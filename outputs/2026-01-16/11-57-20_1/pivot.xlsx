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6\11-57-20_1\"/>
    </mc:Choice>
  </mc:AlternateContent>
  <xr:revisionPtr revIDLastSave="0" documentId="13_ncr:1_{01401769-5BA4-47C7-A186-AD31D9A7EFC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  <sheet name="Sheet1" sheetId="5" r:id="rId5"/>
    <sheet name="Sheet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5" i="6" l="1"/>
  <c r="P45" i="6"/>
  <c r="Q45" i="6"/>
  <c r="R45" i="6"/>
  <c r="S45" i="6"/>
  <c r="T45" i="6"/>
  <c r="U45" i="6"/>
  <c r="V45" i="6"/>
  <c r="W45" i="6"/>
  <c r="X45" i="6"/>
  <c r="P46" i="6"/>
  <c r="Q46" i="6"/>
  <c r="R46" i="6"/>
  <c r="S46" i="6"/>
  <c r="T46" i="6"/>
  <c r="U46" i="6"/>
  <c r="V46" i="6"/>
  <c r="W46" i="6"/>
  <c r="X46" i="6"/>
  <c r="O46" i="6"/>
  <c r="P46" i="5"/>
  <c r="Q46" i="5"/>
  <c r="R46" i="5"/>
  <c r="S46" i="5"/>
  <c r="T46" i="5"/>
  <c r="U46" i="5"/>
  <c r="V46" i="5"/>
  <c r="W46" i="5"/>
  <c r="X46" i="5"/>
  <c r="P47" i="5"/>
  <c r="Q47" i="5"/>
  <c r="R47" i="5"/>
  <c r="S47" i="5"/>
  <c r="T47" i="5"/>
  <c r="U47" i="5"/>
  <c r="V47" i="5"/>
  <c r="W47" i="5"/>
  <c r="X47" i="5"/>
  <c r="O46" i="5"/>
  <c r="O47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2" i="6"/>
  <c r="AN6" i="6"/>
  <c r="AN8" i="6"/>
  <c r="AN9" i="6"/>
  <c r="AN10" i="6"/>
  <c r="AN11" i="6"/>
  <c r="AN12" i="6"/>
  <c r="AN13" i="6"/>
  <c r="AN7" i="6"/>
  <c r="AP3" i="6"/>
  <c r="AQ3" i="6"/>
  <c r="AR3" i="6"/>
  <c r="AS3" i="6"/>
  <c r="AT3" i="6"/>
  <c r="AU3" i="6"/>
  <c r="AV3" i="6"/>
  <c r="AW3" i="6"/>
  <c r="AX3" i="6"/>
  <c r="AX4" i="6"/>
  <c r="AP5" i="6"/>
  <c r="AQ5" i="6"/>
  <c r="AR5" i="6"/>
  <c r="AS5" i="6"/>
  <c r="AT5" i="6"/>
  <c r="AU5" i="6"/>
  <c r="AV5" i="6"/>
  <c r="AW5" i="6"/>
  <c r="AX5" i="6"/>
  <c r="AQ4" i="6"/>
  <c r="AR4" i="6"/>
  <c r="AS4" i="6"/>
  <c r="AT4" i="6"/>
  <c r="AU4" i="6"/>
  <c r="AV4" i="6"/>
  <c r="AW4" i="6"/>
  <c r="AP4" i="6"/>
  <c r="AO4" i="6" a="1"/>
  <c r="AO4" i="6" s="1"/>
  <c r="D2" i="6"/>
  <c r="E2" i="6"/>
  <c r="F2" i="6"/>
  <c r="G2" i="6"/>
  <c r="H2" i="6"/>
  <c r="I2" i="6"/>
  <c r="J2" i="6"/>
  <c r="K2" i="6"/>
  <c r="L2" i="6"/>
  <c r="M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D3" i="6"/>
  <c r="E3" i="6"/>
  <c r="F3" i="6"/>
  <c r="G3" i="6"/>
  <c r="H3" i="6"/>
  <c r="I3" i="6"/>
  <c r="J3" i="6"/>
  <c r="K3" i="6"/>
  <c r="L3" i="6"/>
  <c r="M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D4" i="6"/>
  <c r="E4" i="6"/>
  <c r="F4" i="6"/>
  <c r="G4" i="6"/>
  <c r="H4" i="6"/>
  <c r="I4" i="6"/>
  <c r="J4" i="6"/>
  <c r="K4" i="6"/>
  <c r="L4" i="6"/>
  <c r="M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D5" i="6"/>
  <c r="E5" i="6"/>
  <c r="F5" i="6"/>
  <c r="G5" i="6"/>
  <c r="H5" i="6"/>
  <c r="I5" i="6"/>
  <c r="J5" i="6"/>
  <c r="K5" i="6"/>
  <c r="L5" i="6"/>
  <c r="M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D6" i="6"/>
  <c r="E6" i="6"/>
  <c r="F6" i="6"/>
  <c r="G6" i="6"/>
  <c r="H6" i="6"/>
  <c r="I6" i="6"/>
  <c r="J6" i="6"/>
  <c r="K6" i="6"/>
  <c r="L6" i="6"/>
  <c r="M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O6" i="6"/>
  <c r="AP6" i="6"/>
  <c r="AQ6" i="6"/>
  <c r="AR6" i="6"/>
  <c r="AS6" i="6"/>
  <c r="AT6" i="6"/>
  <c r="AU6" i="6"/>
  <c r="AV6" i="6"/>
  <c r="AW6" i="6"/>
  <c r="AX6" i="6"/>
  <c r="D7" i="6"/>
  <c r="E7" i="6"/>
  <c r="F7" i="6"/>
  <c r="G7" i="6"/>
  <c r="H7" i="6"/>
  <c r="I7" i="6"/>
  <c r="J7" i="6"/>
  <c r="K7" i="6"/>
  <c r="L7" i="6"/>
  <c r="M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O7" i="6"/>
  <c r="AP7" i="6"/>
  <c r="AQ7" i="6"/>
  <c r="AR7" i="6"/>
  <c r="AS7" i="6"/>
  <c r="AT7" i="6"/>
  <c r="AU7" i="6"/>
  <c r="AV7" i="6"/>
  <c r="AW7" i="6"/>
  <c r="AX7" i="6"/>
  <c r="D8" i="6"/>
  <c r="E8" i="6"/>
  <c r="F8" i="6"/>
  <c r="G8" i="6"/>
  <c r="H8" i="6"/>
  <c r="I8" i="6"/>
  <c r="J8" i="6"/>
  <c r="K8" i="6"/>
  <c r="L8" i="6"/>
  <c r="M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O8" i="6"/>
  <c r="AP8" i="6"/>
  <c r="AQ8" i="6"/>
  <c r="AR8" i="6"/>
  <c r="AS8" i="6"/>
  <c r="AT8" i="6"/>
  <c r="AU8" i="6"/>
  <c r="AV8" i="6"/>
  <c r="AW8" i="6"/>
  <c r="AX8" i="6"/>
  <c r="D9" i="6"/>
  <c r="E9" i="6"/>
  <c r="F9" i="6"/>
  <c r="G9" i="6"/>
  <c r="H9" i="6"/>
  <c r="I9" i="6"/>
  <c r="J9" i="6"/>
  <c r="K9" i="6"/>
  <c r="L9" i="6"/>
  <c r="M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O9" i="6"/>
  <c r="AP9" i="6"/>
  <c r="AQ9" i="6"/>
  <c r="AR9" i="6"/>
  <c r="AS9" i="6"/>
  <c r="AT9" i="6"/>
  <c r="AU9" i="6"/>
  <c r="AV9" i="6"/>
  <c r="AW9" i="6"/>
  <c r="AX9" i="6"/>
  <c r="D10" i="6"/>
  <c r="E10" i="6"/>
  <c r="F10" i="6"/>
  <c r="G10" i="6"/>
  <c r="H10" i="6"/>
  <c r="I10" i="6"/>
  <c r="J10" i="6"/>
  <c r="K10" i="6"/>
  <c r="L10" i="6"/>
  <c r="M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O10" i="6"/>
  <c r="AP10" i="6"/>
  <c r="AQ10" i="6"/>
  <c r="AR10" i="6"/>
  <c r="AS10" i="6"/>
  <c r="AT10" i="6"/>
  <c r="AU10" i="6"/>
  <c r="AV10" i="6"/>
  <c r="AW10" i="6"/>
  <c r="AX10" i="6"/>
  <c r="D11" i="6"/>
  <c r="E11" i="6"/>
  <c r="F11" i="6"/>
  <c r="G11" i="6"/>
  <c r="H11" i="6"/>
  <c r="I11" i="6"/>
  <c r="J11" i="6"/>
  <c r="K11" i="6"/>
  <c r="L11" i="6"/>
  <c r="M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O11" i="6"/>
  <c r="AP11" i="6"/>
  <c r="AQ11" i="6"/>
  <c r="AR11" i="6"/>
  <c r="AS11" i="6"/>
  <c r="AT11" i="6"/>
  <c r="AU11" i="6"/>
  <c r="AV11" i="6"/>
  <c r="AW11" i="6"/>
  <c r="AX11" i="6"/>
  <c r="D12" i="6"/>
  <c r="E12" i="6"/>
  <c r="F12" i="6"/>
  <c r="G12" i="6"/>
  <c r="H12" i="6"/>
  <c r="I12" i="6"/>
  <c r="J12" i="6"/>
  <c r="K12" i="6"/>
  <c r="L12" i="6"/>
  <c r="M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O12" i="6"/>
  <c r="AP12" i="6"/>
  <c r="AQ12" i="6"/>
  <c r="AR12" i="6"/>
  <c r="AS12" i="6"/>
  <c r="AT12" i="6"/>
  <c r="AU12" i="6"/>
  <c r="AV12" i="6"/>
  <c r="AW12" i="6"/>
  <c r="AX12" i="6"/>
  <c r="D13" i="6"/>
  <c r="E13" i="6"/>
  <c r="F13" i="6"/>
  <c r="G13" i="6"/>
  <c r="H13" i="6"/>
  <c r="I13" i="6"/>
  <c r="J13" i="6"/>
  <c r="K13" i="6"/>
  <c r="L13" i="6"/>
  <c r="M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O13" i="6"/>
  <c r="AP13" i="6"/>
  <c r="AQ13" i="6"/>
  <c r="AR13" i="6"/>
  <c r="AS13" i="6"/>
  <c r="AT13" i="6"/>
  <c r="AU13" i="6"/>
  <c r="AV13" i="6"/>
  <c r="AW13" i="6"/>
  <c r="AX13" i="6"/>
  <c r="D14" i="6"/>
  <c r="E14" i="6"/>
  <c r="F14" i="6"/>
  <c r="G14" i="6"/>
  <c r="H14" i="6"/>
  <c r="I14" i="6"/>
  <c r="J14" i="6"/>
  <c r="K14" i="6"/>
  <c r="L14" i="6"/>
  <c r="M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D15" i="6"/>
  <c r="E15" i="6"/>
  <c r="F15" i="6"/>
  <c r="G15" i="6"/>
  <c r="H15" i="6"/>
  <c r="I15" i="6"/>
  <c r="J15" i="6"/>
  <c r="K15" i="6"/>
  <c r="L15" i="6"/>
  <c r="M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D16" i="6"/>
  <c r="E16" i="6"/>
  <c r="F16" i="6"/>
  <c r="G16" i="6"/>
  <c r="H16" i="6"/>
  <c r="I16" i="6"/>
  <c r="J16" i="6"/>
  <c r="K16" i="6"/>
  <c r="L16" i="6"/>
  <c r="M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D17" i="6"/>
  <c r="E17" i="6"/>
  <c r="F17" i="6"/>
  <c r="G17" i="6"/>
  <c r="H17" i="6"/>
  <c r="I17" i="6"/>
  <c r="J17" i="6"/>
  <c r="K17" i="6"/>
  <c r="L17" i="6"/>
  <c r="M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D18" i="6"/>
  <c r="E18" i="6"/>
  <c r="F18" i="6"/>
  <c r="G18" i="6"/>
  <c r="H18" i="6"/>
  <c r="I18" i="6"/>
  <c r="J18" i="6"/>
  <c r="K18" i="6"/>
  <c r="L18" i="6"/>
  <c r="M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D19" i="6"/>
  <c r="E19" i="6"/>
  <c r="F19" i="6"/>
  <c r="G19" i="6"/>
  <c r="H19" i="6"/>
  <c r="I19" i="6"/>
  <c r="J19" i="6"/>
  <c r="K19" i="6"/>
  <c r="L19" i="6"/>
  <c r="M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D20" i="6"/>
  <c r="E20" i="6"/>
  <c r="F20" i="6"/>
  <c r="G20" i="6"/>
  <c r="H20" i="6"/>
  <c r="I20" i="6"/>
  <c r="J20" i="6"/>
  <c r="K20" i="6"/>
  <c r="L20" i="6"/>
  <c r="M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D21" i="6"/>
  <c r="E21" i="6"/>
  <c r="F21" i="6"/>
  <c r="G21" i="6"/>
  <c r="H21" i="6"/>
  <c r="I21" i="6"/>
  <c r="J21" i="6"/>
  <c r="K21" i="6"/>
  <c r="L21" i="6"/>
  <c r="M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D22" i="6"/>
  <c r="E22" i="6"/>
  <c r="F22" i="6"/>
  <c r="G22" i="6"/>
  <c r="H22" i="6"/>
  <c r="I22" i="6"/>
  <c r="J22" i="6"/>
  <c r="K22" i="6"/>
  <c r="L22" i="6"/>
  <c r="M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D23" i="6"/>
  <c r="E23" i="6"/>
  <c r="F23" i="6"/>
  <c r="G23" i="6"/>
  <c r="H23" i="6"/>
  <c r="I23" i="6"/>
  <c r="J23" i="6"/>
  <c r="K23" i="6"/>
  <c r="L23" i="6"/>
  <c r="M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D24" i="6"/>
  <c r="E24" i="6"/>
  <c r="F24" i="6"/>
  <c r="G24" i="6"/>
  <c r="H24" i="6"/>
  <c r="I24" i="6"/>
  <c r="J24" i="6"/>
  <c r="K24" i="6"/>
  <c r="L24" i="6"/>
  <c r="M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D25" i="6"/>
  <c r="E25" i="6"/>
  <c r="F25" i="6"/>
  <c r="G25" i="6"/>
  <c r="H25" i="6"/>
  <c r="I25" i="6"/>
  <c r="J25" i="6"/>
  <c r="K25" i="6"/>
  <c r="L25" i="6"/>
  <c r="M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D26" i="6"/>
  <c r="E26" i="6"/>
  <c r="F26" i="6"/>
  <c r="G26" i="6"/>
  <c r="H26" i="6"/>
  <c r="I26" i="6"/>
  <c r="J26" i="6"/>
  <c r="K26" i="6"/>
  <c r="L26" i="6"/>
  <c r="M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D27" i="6"/>
  <c r="E27" i="6"/>
  <c r="F27" i="6"/>
  <c r="G27" i="6"/>
  <c r="H27" i="6"/>
  <c r="I27" i="6"/>
  <c r="J27" i="6"/>
  <c r="K27" i="6"/>
  <c r="L27" i="6"/>
  <c r="M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D28" i="6"/>
  <c r="E28" i="6"/>
  <c r="F28" i="6"/>
  <c r="G28" i="6"/>
  <c r="H28" i="6"/>
  <c r="I28" i="6"/>
  <c r="J28" i="6"/>
  <c r="K28" i="6"/>
  <c r="L28" i="6"/>
  <c r="M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D29" i="6"/>
  <c r="E29" i="6"/>
  <c r="F29" i="6"/>
  <c r="G29" i="6"/>
  <c r="H29" i="6"/>
  <c r="I29" i="6"/>
  <c r="J29" i="6"/>
  <c r="K29" i="6"/>
  <c r="L29" i="6"/>
  <c r="M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D30" i="6"/>
  <c r="E30" i="6"/>
  <c r="F30" i="6"/>
  <c r="G30" i="6"/>
  <c r="H30" i="6"/>
  <c r="I30" i="6"/>
  <c r="J30" i="6"/>
  <c r="K30" i="6"/>
  <c r="L30" i="6"/>
  <c r="M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D31" i="6"/>
  <c r="E31" i="6"/>
  <c r="F31" i="6"/>
  <c r="G31" i="6"/>
  <c r="H31" i="6"/>
  <c r="I31" i="6"/>
  <c r="J31" i="6"/>
  <c r="K31" i="6"/>
  <c r="L31" i="6"/>
  <c r="M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D32" i="6"/>
  <c r="E32" i="6"/>
  <c r="F32" i="6"/>
  <c r="G32" i="6"/>
  <c r="H32" i="6"/>
  <c r="I32" i="6"/>
  <c r="J32" i="6"/>
  <c r="K32" i="6"/>
  <c r="L32" i="6"/>
  <c r="M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D33" i="6"/>
  <c r="E33" i="6"/>
  <c r="F33" i="6"/>
  <c r="G33" i="6"/>
  <c r="H33" i="6"/>
  <c r="I33" i="6"/>
  <c r="J33" i="6"/>
  <c r="K33" i="6"/>
  <c r="L33" i="6"/>
  <c r="M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D34" i="6"/>
  <c r="E34" i="6"/>
  <c r="F34" i="6"/>
  <c r="G34" i="6"/>
  <c r="H34" i="6"/>
  <c r="I34" i="6"/>
  <c r="J34" i="6"/>
  <c r="K34" i="6"/>
  <c r="L34" i="6"/>
  <c r="M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D35" i="6"/>
  <c r="E35" i="6"/>
  <c r="F35" i="6"/>
  <c r="G35" i="6"/>
  <c r="H35" i="6"/>
  <c r="I35" i="6"/>
  <c r="J35" i="6"/>
  <c r="K35" i="6"/>
  <c r="L35" i="6"/>
  <c r="M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D36" i="6"/>
  <c r="E36" i="6"/>
  <c r="F36" i="6"/>
  <c r="G36" i="6"/>
  <c r="H36" i="6"/>
  <c r="I36" i="6"/>
  <c r="J36" i="6"/>
  <c r="K36" i="6"/>
  <c r="L36" i="6"/>
  <c r="M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V36" i="6"/>
  <c r="AW36" i="6"/>
  <c r="AX36" i="6"/>
  <c r="D37" i="6"/>
  <c r="E37" i="6"/>
  <c r="F37" i="6"/>
  <c r="G37" i="6"/>
  <c r="H37" i="6"/>
  <c r="I37" i="6"/>
  <c r="J37" i="6"/>
  <c r="K37" i="6"/>
  <c r="L37" i="6"/>
  <c r="M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D38" i="6"/>
  <c r="E38" i="6"/>
  <c r="F38" i="6"/>
  <c r="G38" i="6"/>
  <c r="H38" i="6"/>
  <c r="I38" i="6"/>
  <c r="J38" i="6"/>
  <c r="K38" i="6"/>
  <c r="L38" i="6"/>
  <c r="M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D39" i="6"/>
  <c r="E39" i="6"/>
  <c r="F39" i="6"/>
  <c r="G39" i="6"/>
  <c r="H39" i="6"/>
  <c r="I39" i="6"/>
  <c r="J39" i="6"/>
  <c r="K39" i="6"/>
  <c r="L39" i="6"/>
  <c r="M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D40" i="6"/>
  <c r="E40" i="6"/>
  <c r="F40" i="6"/>
  <c r="G40" i="6"/>
  <c r="H40" i="6"/>
  <c r="I40" i="6"/>
  <c r="J40" i="6"/>
  <c r="K40" i="6"/>
  <c r="L40" i="6"/>
  <c r="M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D41" i="6"/>
  <c r="E41" i="6"/>
  <c r="F41" i="6"/>
  <c r="G41" i="6"/>
  <c r="H41" i="6"/>
  <c r="I41" i="6"/>
  <c r="J41" i="6"/>
  <c r="K41" i="6"/>
  <c r="L41" i="6"/>
  <c r="M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AR41" i="6"/>
  <c r="AS41" i="6"/>
  <c r="AT41" i="6"/>
  <c r="AU41" i="6"/>
  <c r="AV41" i="6"/>
  <c r="AW41" i="6"/>
  <c r="AX41" i="6"/>
  <c r="D42" i="6"/>
  <c r="E42" i="6"/>
  <c r="F42" i="6"/>
  <c r="G42" i="6"/>
  <c r="H42" i="6"/>
  <c r="I42" i="6"/>
  <c r="J42" i="6"/>
  <c r="K42" i="6"/>
  <c r="L42" i="6"/>
  <c r="M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AR42" i="6"/>
  <c r="AS42" i="6"/>
  <c r="AT42" i="6"/>
  <c r="AU42" i="6"/>
  <c r="AV42" i="6"/>
  <c r="AW42" i="6"/>
  <c r="AX42" i="6"/>
  <c r="D43" i="6"/>
  <c r="E43" i="6"/>
  <c r="F43" i="6"/>
  <c r="G43" i="6"/>
  <c r="H43" i="6"/>
  <c r="I43" i="6"/>
  <c r="J43" i="6"/>
  <c r="K43" i="6"/>
  <c r="L43" i="6"/>
  <c r="M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D44" i="6"/>
  <c r="E44" i="6"/>
  <c r="F44" i="6"/>
  <c r="G44" i="6"/>
  <c r="H44" i="6"/>
  <c r="I44" i="6"/>
  <c r="J44" i="6"/>
  <c r="K44" i="6"/>
  <c r="L44" i="6"/>
  <c r="M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U44" i="6"/>
  <c r="AV44" i="6"/>
  <c r="AW44" i="6"/>
  <c r="AX44" i="6"/>
  <c r="D45" i="6"/>
  <c r="E45" i="6"/>
  <c r="F45" i="6"/>
  <c r="G45" i="6"/>
  <c r="H45" i="6"/>
  <c r="I45" i="6"/>
  <c r="J45" i="6"/>
  <c r="K45" i="6"/>
  <c r="L45" i="6"/>
  <c r="M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AR45" i="6"/>
  <c r="AS45" i="6"/>
  <c r="AT45" i="6"/>
  <c r="AU45" i="6"/>
  <c r="AV45" i="6"/>
  <c r="AW45" i="6"/>
  <c r="AX45" i="6"/>
  <c r="D46" i="6"/>
  <c r="E46" i="6"/>
  <c r="F46" i="6"/>
  <c r="G46" i="6"/>
  <c r="H46" i="6"/>
  <c r="I46" i="6"/>
  <c r="J46" i="6"/>
  <c r="K46" i="6"/>
  <c r="L46" i="6"/>
  <c r="M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AR46" i="6"/>
  <c r="AS46" i="6"/>
  <c r="AT46" i="6"/>
  <c r="AU46" i="6"/>
  <c r="AV46" i="6"/>
  <c r="AW46" i="6"/>
  <c r="AX46" i="6"/>
  <c r="D47" i="6"/>
  <c r="E47" i="6"/>
  <c r="F47" i="6"/>
  <c r="G47" i="6"/>
  <c r="H47" i="6"/>
  <c r="I47" i="6"/>
  <c r="J47" i="6"/>
  <c r="K47" i="6"/>
  <c r="L47" i="6"/>
  <c r="M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AS47" i="6"/>
  <c r="AT47" i="6"/>
  <c r="AU47" i="6"/>
  <c r="AV47" i="6"/>
  <c r="AW47" i="6"/>
  <c r="AX47" i="6"/>
  <c r="D48" i="6"/>
  <c r="E48" i="6"/>
  <c r="F48" i="6"/>
  <c r="G48" i="6"/>
  <c r="H48" i="6"/>
  <c r="I48" i="6"/>
  <c r="J48" i="6"/>
  <c r="K48" i="6"/>
  <c r="L48" i="6"/>
  <c r="M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AQ48" i="6"/>
  <c r="AR48" i="6"/>
  <c r="AS48" i="6"/>
  <c r="AT48" i="6"/>
  <c r="AU48" i="6"/>
  <c r="AV48" i="6"/>
  <c r="AW48" i="6"/>
  <c r="AX48" i="6"/>
  <c r="D49" i="6"/>
  <c r="E49" i="6"/>
  <c r="F49" i="6"/>
  <c r="G49" i="6"/>
  <c r="H49" i="6"/>
  <c r="I49" i="6"/>
  <c r="J49" i="6"/>
  <c r="K49" i="6"/>
  <c r="L49" i="6"/>
  <c r="M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U49" i="6"/>
  <c r="AV49" i="6"/>
  <c r="AW49" i="6"/>
  <c r="AX49" i="6"/>
  <c r="D50" i="6"/>
  <c r="E50" i="6"/>
  <c r="F50" i="6"/>
  <c r="G50" i="6"/>
  <c r="H50" i="6"/>
  <c r="I50" i="6"/>
  <c r="J50" i="6"/>
  <c r="K50" i="6"/>
  <c r="L50" i="6"/>
  <c r="M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AR50" i="6"/>
  <c r="AS50" i="6"/>
  <c r="AT50" i="6"/>
  <c r="AU50" i="6"/>
  <c r="AV50" i="6"/>
  <c r="AW50" i="6"/>
  <c r="AX50" i="6"/>
  <c r="D51" i="6"/>
  <c r="E51" i="6"/>
  <c r="F51" i="6"/>
  <c r="G51" i="6"/>
  <c r="H51" i="6"/>
  <c r="I51" i="6"/>
  <c r="J51" i="6"/>
  <c r="K51" i="6"/>
  <c r="L51" i="6"/>
  <c r="M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AR51" i="6"/>
  <c r="AS51" i="6"/>
  <c r="AT51" i="6"/>
  <c r="AU51" i="6"/>
  <c r="AV51" i="6"/>
  <c r="AW51" i="6"/>
  <c r="AX51" i="6"/>
  <c r="D52" i="6"/>
  <c r="E52" i="6"/>
  <c r="F52" i="6"/>
  <c r="G52" i="6"/>
  <c r="H52" i="6"/>
  <c r="I52" i="6"/>
  <c r="J52" i="6"/>
  <c r="K52" i="6"/>
  <c r="L52" i="6"/>
  <c r="M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AQ52" i="6"/>
  <c r="AR52" i="6"/>
  <c r="AS52" i="6"/>
  <c r="AT52" i="6"/>
  <c r="AU52" i="6"/>
  <c r="AV52" i="6"/>
  <c r="AW52" i="6"/>
  <c r="AX52" i="6"/>
  <c r="D53" i="6"/>
  <c r="E53" i="6"/>
  <c r="F53" i="6"/>
  <c r="G53" i="6"/>
  <c r="H53" i="6"/>
  <c r="I53" i="6"/>
  <c r="J53" i="6"/>
  <c r="K53" i="6"/>
  <c r="L53" i="6"/>
  <c r="M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AQ53" i="6"/>
  <c r="AR53" i="6"/>
  <c r="AS53" i="6"/>
  <c r="AT53" i="6"/>
  <c r="AU53" i="6"/>
  <c r="AV53" i="6"/>
  <c r="AW53" i="6"/>
  <c r="AX53" i="6"/>
  <c r="D54" i="6"/>
  <c r="E54" i="6"/>
  <c r="F54" i="6"/>
  <c r="G54" i="6"/>
  <c r="H54" i="6"/>
  <c r="I54" i="6"/>
  <c r="J54" i="6"/>
  <c r="K54" i="6"/>
  <c r="L54" i="6"/>
  <c r="M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D55" i="6"/>
  <c r="E55" i="6"/>
  <c r="F55" i="6"/>
  <c r="G55" i="6"/>
  <c r="H55" i="6"/>
  <c r="I55" i="6"/>
  <c r="J55" i="6"/>
  <c r="K55" i="6"/>
  <c r="L55" i="6"/>
  <c r="M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O55" i="6"/>
  <c r="AP55" i="6"/>
  <c r="AQ55" i="6"/>
  <c r="AR55" i="6"/>
  <c r="AS55" i="6"/>
  <c r="AT55" i="6"/>
  <c r="AU55" i="6"/>
  <c r="AV55" i="6"/>
  <c r="AW55" i="6"/>
  <c r="AX55" i="6"/>
  <c r="D56" i="6"/>
  <c r="E56" i="6"/>
  <c r="F56" i="6"/>
  <c r="G56" i="6"/>
  <c r="H56" i="6"/>
  <c r="I56" i="6"/>
  <c r="J56" i="6"/>
  <c r="K56" i="6"/>
  <c r="L56" i="6"/>
  <c r="M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AO56" i="6"/>
  <c r="AP56" i="6"/>
  <c r="AQ56" i="6"/>
  <c r="AR56" i="6"/>
  <c r="AS56" i="6"/>
  <c r="AT56" i="6"/>
  <c r="AU56" i="6"/>
  <c r="AV56" i="6"/>
  <c r="AW56" i="6"/>
  <c r="AX56" i="6"/>
  <c r="D57" i="6"/>
  <c r="E57" i="6"/>
  <c r="F57" i="6"/>
  <c r="G57" i="6"/>
  <c r="H57" i="6"/>
  <c r="I57" i="6"/>
  <c r="J57" i="6"/>
  <c r="K57" i="6"/>
  <c r="L57" i="6"/>
  <c r="M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AO57" i="6"/>
  <c r="AP57" i="6"/>
  <c r="AQ57" i="6"/>
  <c r="AR57" i="6"/>
  <c r="AS57" i="6"/>
  <c r="AT57" i="6"/>
  <c r="AU57" i="6"/>
  <c r="AV57" i="6"/>
  <c r="AW57" i="6"/>
  <c r="AX57" i="6"/>
  <c r="D58" i="6"/>
  <c r="E58" i="6"/>
  <c r="F58" i="6"/>
  <c r="G58" i="6"/>
  <c r="H58" i="6"/>
  <c r="I58" i="6"/>
  <c r="J58" i="6"/>
  <c r="K58" i="6"/>
  <c r="L58" i="6"/>
  <c r="M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AO58" i="6"/>
  <c r="AP58" i="6"/>
  <c r="AQ58" i="6"/>
  <c r="AR58" i="6"/>
  <c r="AS58" i="6"/>
  <c r="AT58" i="6"/>
  <c r="AU58" i="6"/>
  <c r="AV58" i="6"/>
  <c r="AW58" i="6"/>
  <c r="AX58" i="6"/>
  <c r="D59" i="6"/>
  <c r="E59" i="6"/>
  <c r="F59" i="6"/>
  <c r="G59" i="6"/>
  <c r="H59" i="6"/>
  <c r="I59" i="6"/>
  <c r="J59" i="6"/>
  <c r="K59" i="6"/>
  <c r="L59" i="6"/>
  <c r="M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D60" i="6"/>
  <c r="E60" i="6"/>
  <c r="F60" i="6"/>
  <c r="G60" i="6"/>
  <c r="H60" i="6"/>
  <c r="I60" i="6"/>
  <c r="J60" i="6"/>
  <c r="K60" i="6"/>
  <c r="L60" i="6"/>
  <c r="M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AL60" i="6"/>
  <c r="AM60" i="6"/>
  <c r="AN60" i="6"/>
  <c r="AO60" i="6"/>
  <c r="AP60" i="6"/>
  <c r="AQ60" i="6"/>
  <c r="AR60" i="6"/>
  <c r="AS60" i="6"/>
  <c r="AT60" i="6"/>
  <c r="AU60" i="6"/>
  <c r="AV60" i="6"/>
  <c r="AW60" i="6"/>
  <c r="AX60" i="6"/>
  <c r="D61" i="6"/>
  <c r="E61" i="6"/>
  <c r="F61" i="6"/>
  <c r="G61" i="6"/>
  <c r="H61" i="6"/>
  <c r="I61" i="6"/>
  <c r="J61" i="6"/>
  <c r="K61" i="6"/>
  <c r="L61" i="6"/>
  <c r="M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N61" i="6"/>
  <c r="AO61" i="6"/>
  <c r="AP61" i="6"/>
  <c r="AQ61" i="6"/>
  <c r="AR61" i="6"/>
  <c r="AS61" i="6"/>
  <c r="AT61" i="6"/>
  <c r="AU61" i="6"/>
  <c r="AV61" i="6"/>
  <c r="AW61" i="6"/>
  <c r="AX61" i="6"/>
  <c r="D62" i="6"/>
  <c r="E62" i="6"/>
  <c r="F62" i="6"/>
  <c r="G62" i="6"/>
  <c r="H62" i="6"/>
  <c r="I62" i="6"/>
  <c r="J62" i="6"/>
  <c r="K62" i="6"/>
  <c r="L62" i="6"/>
  <c r="M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AN62" i="6"/>
  <c r="AO62" i="6"/>
  <c r="AP62" i="6"/>
  <c r="AQ62" i="6"/>
  <c r="AR62" i="6"/>
  <c r="AS62" i="6"/>
  <c r="AT62" i="6"/>
  <c r="AU62" i="6"/>
  <c r="AV62" i="6"/>
  <c r="AW62" i="6"/>
  <c r="AX62" i="6"/>
  <c r="D63" i="6"/>
  <c r="E63" i="6"/>
  <c r="F63" i="6"/>
  <c r="G63" i="6"/>
  <c r="H63" i="6"/>
  <c r="I63" i="6"/>
  <c r="J63" i="6"/>
  <c r="K63" i="6"/>
  <c r="L63" i="6"/>
  <c r="M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AL63" i="6"/>
  <c r="AM63" i="6"/>
  <c r="AN63" i="6"/>
  <c r="AO63" i="6"/>
  <c r="AP63" i="6"/>
  <c r="AQ63" i="6"/>
  <c r="AR63" i="6"/>
  <c r="AS63" i="6"/>
  <c r="AT63" i="6"/>
  <c r="AU63" i="6"/>
  <c r="AV63" i="6"/>
  <c r="AW63" i="6"/>
  <c r="AX63" i="6"/>
  <c r="D64" i="6"/>
  <c r="E64" i="6"/>
  <c r="F64" i="6"/>
  <c r="G64" i="6"/>
  <c r="H64" i="6"/>
  <c r="I64" i="6"/>
  <c r="J64" i="6"/>
  <c r="K64" i="6"/>
  <c r="L64" i="6"/>
  <c r="M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AJ64" i="6"/>
  <c r="AK64" i="6"/>
  <c r="AL64" i="6"/>
  <c r="AM64" i="6"/>
  <c r="AN64" i="6"/>
  <c r="AO64" i="6"/>
  <c r="AP64" i="6"/>
  <c r="AQ64" i="6"/>
  <c r="AR64" i="6"/>
  <c r="AS64" i="6"/>
  <c r="AT64" i="6"/>
  <c r="AU64" i="6"/>
  <c r="AV64" i="6"/>
  <c r="AW64" i="6"/>
  <c r="AX64" i="6"/>
  <c r="D65" i="6"/>
  <c r="E65" i="6"/>
  <c r="F65" i="6"/>
  <c r="G65" i="6"/>
  <c r="H65" i="6"/>
  <c r="I65" i="6"/>
  <c r="J65" i="6"/>
  <c r="K65" i="6"/>
  <c r="L65" i="6"/>
  <c r="M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AL65" i="6"/>
  <c r="AM65" i="6"/>
  <c r="AN65" i="6"/>
  <c r="AO65" i="6"/>
  <c r="AP65" i="6"/>
  <c r="AQ65" i="6"/>
  <c r="AR65" i="6"/>
  <c r="AS65" i="6"/>
  <c r="AT65" i="6"/>
  <c r="AU65" i="6"/>
  <c r="AV65" i="6"/>
  <c r="AW65" i="6"/>
  <c r="AX65" i="6"/>
  <c r="D66" i="6"/>
  <c r="E66" i="6"/>
  <c r="F66" i="6"/>
  <c r="G66" i="6"/>
  <c r="H66" i="6"/>
  <c r="I66" i="6"/>
  <c r="J66" i="6"/>
  <c r="K66" i="6"/>
  <c r="L66" i="6"/>
  <c r="M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AK66" i="6"/>
  <c r="AL66" i="6"/>
  <c r="AM66" i="6"/>
  <c r="AN66" i="6"/>
  <c r="AO66" i="6"/>
  <c r="AP66" i="6"/>
  <c r="AQ66" i="6"/>
  <c r="AR66" i="6"/>
  <c r="AS66" i="6"/>
  <c r="AT66" i="6"/>
  <c r="AU66" i="6"/>
  <c r="AV66" i="6"/>
  <c r="AW66" i="6"/>
  <c r="AX66" i="6"/>
  <c r="D67" i="6"/>
  <c r="E67" i="6"/>
  <c r="F67" i="6"/>
  <c r="G67" i="6"/>
  <c r="H67" i="6"/>
  <c r="I67" i="6"/>
  <c r="J67" i="6"/>
  <c r="K67" i="6"/>
  <c r="L67" i="6"/>
  <c r="M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AL67" i="6"/>
  <c r="AM67" i="6"/>
  <c r="AN67" i="6"/>
  <c r="AO67" i="6"/>
  <c r="AP67" i="6"/>
  <c r="AQ67" i="6"/>
  <c r="AR67" i="6"/>
  <c r="AS67" i="6"/>
  <c r="AT67" i="6"/>
  <c r="AU67" i="6"/>
  <c r="AV67" i="6"/>
  <c r="AW67" i="6"/>
  <c r="AX67" i="6"/>
  <c r="D68" i="6"/>
  <c r="E68" i="6"/>
  <c r="F68" i="6"/>
  <c r="G68" i="6"/>
  <c r="H68" i="6"/>
  <c r="I68" i="6"/>
  <c r="J68" i="6"/>
  <c r="K68" i="6"/>
  <c r="L68" i="6"/>
  <c r="M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AL68" i="6"/>
  <c r="AM68" i="6"/>
  <c r="AN68" i="6"/>
  <c r="AO68" i="6"/>
  <c r="AP68" i="6"/>
  <c r="AQ68" i="6"/>
  <c r="AR68" i="6"/>
  <c r="AS68" i="6"/>
  <c r="AT68" i="6"/>
  <c r="AU68" i="6"/>
  <c r="AV68" i="6"/>
  <c r="AW68" i="6"/>
  <c r="AX68" i="6"/>
  <c r="D69" i="6"/>
  <c r="E69" i="6"/>
  <c r="F69" i="6"/>
  <c r="G69" i="6"/>
  <c r="H69" i="6"/>
  <c r="I69" i="6"/>
  <c r="J69" i="6"/>
  <c r="K69" i="6"/>
  <c r="L69" i="6"/>
  <c r="M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AL69" i="6"/>
  <c r="AM69" i="6"/>
  <c r="AN69" i="6"/>
  <c r="AO69" i="6"/>
  <c r="AP69" i="6"/>
  <c r="AQ69" i="6"/>
  <c r="AR69" i="6"/>
  <c r="AS69" i="6"/>
  <c r="AT69" i="6"/>
  <c r="AU69" i="6"/>
  <c r="AV69" i="6"/>
  <c r="AW69" i="6"/>
  <c r="AX69" i="6"/>
  <c r="D70" i="6"/>
  <c r="E70" i="6"/>
  <c r="F70" i="6"/>
  <c r="G70" i="6"/>
  <c r="H70" i="6"/>
  <c r="I70" i="6"/>
  <c r="J70" i="6"/>
  <c r="K70" i="6"/>
  <c r="L70" i="6"/>
  <c r="M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AL70" i="6"/>
  <c r="AM70" i="6"/>
  <c r="AN70" i="6"/>
  <c r="AO70" i="6"/>
  <c r="AP70" i="6"/>
  <c r="AQ70" i="6"/>
  <c r="AR70" i="6"/>
  <c r="AS70" i="6"/>
  <c r="AT70" i="6"/>
  <c r="AU70" i="6"/>
  <c r="AV70" i="6"/>
  <c r="AW70" i="6"/>
  <c r="AX70" i="6"/>
  <c r="D71" i="6"/>
  <c r="E71" i="6"/>
  <c r="F71" i="6"/>
  <c r="G71" i="6"/>
  <c r="H71" i="6"/>
  <c r="I71" i="6"/>
  <c r="J71" i="6"/>
  <c r="K71" i="6"/>
  <c r="L71" i="6"/>
  <c r="M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O71" i="6"/>
  <c r="AP71" i="6"/>
  <c r="AQ71" i="6"/>
  <c r="AR71" i="6"/>
  <c r="AS71" i="6"/>
  <c r="AT71" i="6"/>
  <c r="AU71" i="6"/>
  <c r="AV71" i="6"/>
  <c r="AW71" i="6"/>
  <c r="AX71" i="6"/>
  <c r="D72" i="6"/>
  <c r="E72" i="6"/>
  <c r="F72" i="6"/>
  <c r="G72" i="6"/>
  <c r="H72" i="6"/>
  <c r="I72" i="6"/>
  <c r="J72" i="6"/>
  <c r="K72" i="6"/>
  <c r="L72" i="6"/>
  <c r="M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O72" i="6"/>
  <c r="AP72" i="6"/>
  <c r="AQ72" i="6"/>
  <c r="AR72" i="6"/>
  <c r="AS72" i="6"/>
  <c r="AT72" i="6"/>
  <c r="AU72" i="6"/>
  <c r="AV72" i="6"/>
  <c r="AW72" i="6"/>
  <c r="AX72" i="6"/>
  <c r="D73" i="6"/>
  <c r="E73" i="6"/>
  <c r="F73" i="6"/>
  <c r="G73" i="6"/>
  <c r="H73" i="6"/>
  <c r="I73" i="6"/>
  <c r="J73" i="6"/>
  <c r="K73" i="6"/>
  <c r="L73" i="6"/>
  <c r="M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AQ73" i="6"/>
  <c r="AR73" i="6"/>
  <c r="AS73" i="6"/>
  <c r="AT73" i="6"/>
  <c r="AU73" i="6"/>
  <c r="AV73" i="6"/>
  <c r="AW73" i="6"/>
  <c r="AX73" i="6"/>
  <c r="D74" i="6"/>
  <c r="E74" i="6"/>
  <c r="F74" i="6"/>
  <c r="G74" i="6"/>
  <c r="H74" i="6"/>
  <c r="I74" i="6"/>
  <c r="J74" i="6"/>
  <c r="K74" i="6"/>
  <c r="L74" i="6"/>
  <c r="M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AO74" i="6"/>
  <c r="AP74" i="6"/>
  <c r="AQ74" i="6"/>
  <c r="AR74" i="6"/>
  <c r="AS74" i="6"/>
  <c r="AT74" i="6"/>
  <c r="AU74" i="6"/>
  <c r="AV74" i="6"/>
  <c r="AW74" i="6"/>
  <c r="AX74" i="6"/>
  <c r="D75" i="6"/>
  <c r="E75" i="6"/>
  <c r="F75" i="6"/>
  <c r="G75" i="6"/>
  <c r="H75" i="6"/>
  <c r="I75" i="6"/>
  <c r="J75" i="6"/>
  <c r="K75" i="6"/>
  <c r="L75" i="6"/>
  <c r="M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O75" i="6"/>
  <c r="AP75" i="6"/>
  <c r="AQ75" i="6"/>
  <c r="AR75" i="6"/>
  <c r="AS75" i="6"/>
  <c r="AT75" i="6"/>
  <c r="AU75" i="6"/>
  <c r="AV75" i="6"/>
  <c r="AW75" i="6"/>
  <c r="AX75" i="6"/>
  <c r="D76" i="6"/>
  <c r="E76" i="6"/>
  <c r="F76" i="6"/>
  <c r="G76" i="6"/>
  <c r="H76" i="6"/>
  <c r="I76" i="6"/>
  <c r="J76" i="6"/>
  <c r="K76" i="6"/>
  <c r="L76" i="6"/>
  <c r="M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AK76" i="6"/>
  <c r="AL76" i="6"/>
  <c r="AM76" i="6"/>
  <c r="AN76" i="6"/>
  <c r="AO76" i="6"/>
  <c r="AP76" i="6"/>
  <c r="AQ76" i="6"/>
  <c r="AR76" i="6"/>
  <c r="AS76" i="6"/>
  <c r="AT76" i="6"/>
  <c r="AU76" i="6"/>
  <c r="AV76" i="6"/>
  <c r="AW76" i="6"/>
  <c r="AX76" i="6"/>
  <c r="D77" i="6"/>
  <c r="E77" i="6"/>
  <c r="F77" i="6"/>
  <c r="G77" i="6"/>
  <c r="H77" i="6"/>
  <c r="I77" i="6"/>
  <c r="J77" i="6"/>
  <c r="K77" i="6"/>
  <c r="L77" i="6"/>
  <c r="M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AK77" i="6"/>
  <c r="AL77" i="6"/>
  <c r="AM77" i="6"/>
  <c r="AN77" i="6"/>
  <c r="AO77" i="6"/>
  <c r="AP77" i="6"/>
  <c r="AQ77" i="6"/>
  <c r="AR77" i="6"/>
  <c r="AS77" i="6"/>
  <c r="AT77" i="6"/>
  <c r="AU77" i="6"/>
  <c r="AV77" i="6"/>
  <c r="AW77" i="6"/>
  <c r="AX77" i="6"/>
  <c r="D78" i="6"/>
  <c r="E78" i="6"/>
  <c r="F78" i="6"/>
  <c r="G78" i="6"/>
  <c r="H78" i="6"/>
  <c r="I78" i="6"/>
  <c r="J78" i="6"/>
  <c r="K78" i="6"/>
  <c r="L78" i="6"/>
  <c r="M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AJ78" i="6"/>
  <c r="AK78" i="6"/>
  <c r="AL78" i="6"/>
  <c r="AM78" i="6"/>
  <c r="AN78" i="6"/>
  <c r="AO78" i="6"/>
  <c r="AP78" i="6"/>
  <c r="AQ78" i="6"/>
  <c r="AR78" i="6"/>
  <c r="AS78" i="6"/>
  <c r="AT78" i="6"/>
  <c r="AU78" i="6"/>
  <c r="AV78" i="6"/>
  <c r="AW78" i="6"/>
  <c r="AX78" i="6"/>
  <c r="D79" i="6"/>
  <c r="E79" i="6"/>
  <c r="F79" i="6"/>
  <c r="G79" i="6"/>
  <c r="H79" i="6"/>
  <c r="I79" i="6"/>
  <c r="J79" i="6"/>
  <c r="K79" i="6"/>
  <c r="L79" i="6"/>
  <c r="M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AJ79" i="6"/>
  <c r="AK79" i="6"/>
  <c r="AL79" i="6"/>
  <c r="AM79" i="6"/>
  <c r="AN79" i="6"/>
  <c r="AO79" i="6"/>
  <c r="AP79" i="6"/>
  <c r="AQ79" i="6"/>
  <c r="AR79" i="6"/>
  <c r="AS79" i="6"/>
  <c r="AT79" i="6"/>
  <c r="AU79" i="6"/>
  <c r="AV79" i="6"/>
  <c r="AW79" i="6"/>
  <c r="AX79" i="6"/>
  <c r="D80" i="6"/>
  <c r="E80" i="6"/>
  <c r="F80" i="6"/>
  <c r="G80" i="6"/>
  <c r="H80" i="6"/>
  <c r="I80" i="6"/>
  <c r="J80" i="6"/>
  <c r="K80" i="6"/>
  <c r="L80" i="6"/>
  <c r="M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AJ80" i="6"/>
  <c r="AK80" i="6"/>
  <c r="AL80" i="6"/>
  <c r="AM80" i="6"/>
  <c r="AN80" i="6"/>
  <c r="AO80" i="6"/>
  <c r="AP80" i="6"/>
  <c r="AQ80" i="6"/>
  <c r="AR80" i="6"/>
  <c r="AS80" i="6"/>
  <c r="AT80" i="6"/>
  <c r="AU80" i="6"/>
  <c r="AV80" i="6"/>
  <c r="AW80" i="6"/>
  <c r="AX80" i="6"/>
  <c r="D81" i="6"/>
  <c r="E81" i="6"/>
  <c r="F81" i="6"/>
  <c r="G81" i="6"/>
  <c r="H81" i="6"/>
  <c r="I81" i="6"/>
  <c r="J81" i="6"/>
  <c r="K81" i="6"/>
  <c r="L81" i="6"/>
  <c r="M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AJ81" i="6"/>
  <c r="AK81" i="6"/>
  <c r="AL81" i="6"/>
  <c r="AM81" i="6"/>
  <c r="AN81" i="6"/>
  <c r="AO81" i="6"/>
  <c r="AP81" i="6"/>
  <c r="AQ81" i="6"/>
  <c r="AR81" i="6"/>
  <c r="AS81" i="6"/>
  <c r="AT81" i="6"/>
  <c r="AU81" i="6"/>
  <c r="AV81" i="6"/>
  <c r="AW81" i="6"/>
  <c r="AX81" i="6"/>
  <c r="D82" i="6"/>
  <c r="E82" i="6"/>
  <c r="F82" i="6"/>
  <c r="G82" i="6"/>
  <c r="H82" i="6"/>
  <c r="I82" i="6"/>
  <c r="J82" i="6"/>
  <c r="K82" i="6"/>
  <c r="L82" i="6"/>
  <c r="M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AJ82" i="6"/>
  <c r="AK82" i="6"/>
  <c r="AL82" i="6"/>
  <c r="AM82" i="6"/>
  <c r="AN82" i="6"/>
  <c r="AO82" i="6"/>
  <c r="AP82" i="6"/>
  <c r="AQ82" i="6"/>
  <c r="AR82" i="6"/>
  <c r="AS82" i="6"/>
  <c r="AT82" i="6"/>
  <c r="AU82" i="6"/>
  <c r="AV82" i="6"/>
  <c r="AW82" i="6"/>
  <c r="AX82" i="6"/>
  <c r="D83" i="6"/>
  <c r="E83" i="6"/>
  <c r="F83" i="6"/>
  <c r="G83" i="6"/>
  <c r="H83" i="6"/>
  <c r="I83" i="6"/>
  <c r="J83" i="6"/>
  <c r="K83" i="6"/>
  <c r="L83" i="6"/>
  <c r="M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AJ83" i="6"/>
  <c r="AK83" i="6"/>
  <c r="AL83" i="6"/>
  <c r="AM83" i="6"/>
  <c r="AN83" i="6"/>
  <c r="AO83" i="6"/>
  <c r="AP83" i="6"/>
  <c r="AQ83" i="6"/>
  <c r="AR83" i="6"/>
  <c r="AS83" i="6"/>
  <c r="AT83" i="6"/>
  <c r="AU83" i="6"/>
  <c r="AV83" i="6"/>
  <c r="AW83" i="6"/>
  <c r="AX83" i="6"/>
  <c r="D84" i="6"/>
  <c r="E84" i="6"/>
  <c r="F84" i="6"/>
  <c r="G84" i="6"/>
  <c r="H84" i="6"/>
  <c r="I84" i="6"/>
  <c r="J84" i="6"/>
  <c r="K84" i="6"/>
  <c r="L84" i="6"/>
  <c r="M84" i="6"/>
  <c r="O84" i="6"/>
  <c r="P84" i="6"/>
  <c r="Q84" i="6"/>
  <c r="R84" i="6"/>
  <c r="S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AJ84" i="6"/>
  <c r="AK84" i="6"/>
  <c r="AL84" i="6"/>
  <c r="AM84" i="6"/>
  <c r="AN84" i="6"/>
  <c r="AO84" i="6"/>
  <c r="AP84" i="6"/>
  <c r="AQ84" i="6"/>
  <c r="AR84" i="6"/>
  <c r="AS84" i="6"/>
  <c r="AT84" i="6"/>
  <c r="AU84" i="6"/>
  <c r="AV84" i="6"/>
  <c r="AW84" i="6"/>
  <c r="AX84" i="6"/>
  <c r="D85" i="6"/>
  <c r="E85" i="6"/>
  <c r="F85" i="6"/>
  <c r="G85" i="6"/>
  <c r="H85" i="6"/>
  <c r="I85" i="6"/>
  <c r="J85" i="6"/>
  <c r="K85" i="6"/>
  <c r="L85" i="6"/>
  <c r="M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AJ85" i="6"/>
  <c r="AK85" i="6"/>
  <c r="AL85" i="6"/>
  <c r="AM85" i="6"/>
  <c r="AN85" i="6"/>
  <c r="AO85" i="6"/>
  <c r="AP85" i="6"/>
  <c r="AQ85" i="6"/>
  <c r="AR85" i="6"/>
  <c r="AS85" i="6"/>
  <c r="AT85" i="6"/>
  <c r="AU85" i="6"/>
  <c r="AV85" i="6"/>
  <c r="AW85" i="6"/>
  <c r="AX85" i="6"/>
  <c r="D86" i="6"/>
  <c r="E86" i="6"/>
  <c r="F86" i="6"/>
  <c r="G86" i="6"/>
  <c r="H86" i="6"/>
  <c r="I86" i="6"/>
  <c r="J86" i="6"/>
  <c r="K86" i="6"/>
  <c r="L86" i="6"/>
  <c r="M86" i="6"/>
  <c r="O86" i="6"/>
  <c r="P86" i="6"/>
  <c r="Q86" i="6"/>
  <c r="R86" i="6"/>
  <c r="S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AJ86" i="6"/>
  <c r="AK86" i="6"/>
  <c r="AL86" i="6"/>
  <c r="AM86" i="6"/>
  <c r="AN86" i="6"/>
  <c r="AO86" i="6"/>
  <c r="AP86" i="6"/>
  <c r="AQ86" i="6"/>
  <c r="AR86" i="6"/>
  <c r="AS86" i="6"/>
  <c r="AT86" i="6"/>
  <c r="AU86" i="6"/>
  <c r="AV86" i="6"/>
  <c r="AW86" i="6"/>
  <c r="AX86" i="6"/>
  <c r="D87" i="6"/>
  <c r="E87" i="6"/>
  <c r="F87" i="6"/>
  <c r="G87" i="6"/>
  <c r="H87" i="6"/>
  <c r="I87" i="6"/>
  <c r="J87" i="6"/>
  <c r="K87" i="6"/>
  <c r="L87" i="6"/>
  <c r="M87" i="6"/>
  <c r="O87" i="6"/>
  <c r="P87" i="6"/>
  <c r="Q87" i="6"/>
  <c r="R87" i="6"/>
  <c r="S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AJ87" i="6"/>
  <c r="AK87" i="6"/>
  <c r="AL87" i="6"/>
  <c r="AM87" i="6"/>
  <c r="AN87" i="6"/>
  <c r="AO87" i="6"/>
  <c r="AP87" i="6"/>
  <c r="AQ87" i="6"/>
  <c r="AR87" i="6"/>
  <c r="AS87" i="6"/>
  <c r="AT87" i="6"/>
  <c r="AU87" i="6"/>
  <c r="AV87" i="6"/>
  <c r="AW87" i="6"/>
  <c r="AX87" i="6"/>
  <c r="D88" i="6"/>
  <c r="E88" i="6"/>
  <c r="F88" i="6"/>
  <c r="G88" i="6"/>
  <c r="H88" i="6"/>
  <c r="I88" i="6"/>
  <c r="J88" i="6"/>
  <c r="K88" i="6"/>
  <c r="L88" i="6"/>
  <c r="M88" i="6"/>
  <c r="O88" i="6"/>
  <c r="P88" i="6"/>
  <c r="Q88" i="6"/>
  <c r="R88" i="6"/>
  <c r="S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AJ88" i="6"/>
  <c r="AK88" i="6"/>
  <c r="AL88" i="6"/>
  <c r="AM88" i="6"/>
  <c r="AN88" i="6"/>
  <c r="AO88" i="6"/>
  <c r="AP88" i="6"/>
  <c r="AQ88" i="6"/>
  <c r="AR88" i="6"/>
  <c r="AS88" i="6"/>
  <c r="AT88" i="6"/>
  <c r="AU88" i="6"/>
  <c r="AV88" i="6"/>
  <c r="AW88" i="6"/>
  <c r="AX88" i="6"/>
  <c r="D89" i="6"/>
  <c r="E89" i="6"/>
  <c r="F89" i="6"/>
  <c r="G89" i="6"/>
  <c r="H89" i="6"/>
  <c r="I89" i="6"/>
  <c r="J89" i="6"/>
  <c r="K89" i="6"/>
  <c r="L89" i="6"/>
  <c r="M89" i="6"/>
  <c r="O89" i="6"/>
  <c r="P89" i="6"/>
  <c r="Q89" i="6"/>
  <c r="R89" i="6"/>
  <c r="S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AJ89" i="6"/>
  <c r="AK89" i="6"/>
  <c r="AL89" i="6"/>
  <c r="AM89" i="6"/>
  <c r="AN89" i="6"/>
  <c r="AO89" i="6"/>
  <c r="AP89" i="6"/>
  <c r="AQ89" i="6"/>
  <c r="AR89" i="6"/>
  <c r="AS89" i="6"/>
  <c r="AT89" i="6"/>
  <c r="AU89" i="6"/>
  <c r="AV89" i="6"/>
  <c r="AW89" i="6"/>
  <c r="AX89" i="6"/>
  <c r="D90" i="6"/>
  <c r="E90" i="6"/>
  <c r="F90" i="6"/>
  <c r="G90" i="6"/>
  <c r="H90" i="6"/>
  <c r="I90" i="6"/>
  <c r="J90" i="6"/>
  <c r="K90" i="6"/>
  <c r="L90" i="6"/>
  <c r="M90" i="6"/>
  <c r="O90" i="6"/>
  <c r="P90" i="6"/>
  <c r="Q90" i="6"/>
  <c r="R90" i="6"/>
  <c r="S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AJ90" i="6"/>
  <c r="AK90" i="6"/>
  <c r="AL90" i="6"/>
  <c r="AM90" i="6"/>
  <c r="AN90" i="6"/>
  <c r="AO90" i="6"/>
  <c r="AP90" i="6"/>
  <c r="AQ90" i="6"/>
  <c r="AR90" i="6"/>
  <c r="AS90" i="6"/>
  <c r="AT90" i="6"/>
  <c r="AU90" i="6"/>
  <c r="AV90" i="6"/>
  <c r="AW90" i="6"/>
  <c r="AX90" i="6"/>
  <c r="D91" i="6"/>
  <c r="E91" i="6"/>
  <c r="F91" i="6"/>
  <c r="G91" i="6"/>
  <c r="H91" i="6"/>
  <c r="I91" i="6"/>
  <c r="J91" i="6"/>
  <c r="K91" i="6"/>
  <c r="L91" i="6"/>
  <c r="M91" i="6"/>
  <c r="O91" i="6"/>
  <c r="P91" i="6"/>
  <c r="Q91" i="6"/>
  <c r="R91" i="6"/>
  <c r="S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AJ91" i="6"/>
  <c r="AK91" i="6"/>
  <c r="AL91" i="6"/>
  <c r="AM91" i="6"/>
  <c r="AN91" i="6"/>
  <c r="AO91" i="6"/>
  <c r="AP91" i="6"/>
  <c r="AQ91" i="6"/>
  <c r="AR91" i="6"/>
  <c r="AS91" i="6"/>
  <c r="AT91" i="6"/>
  <c r="AU91" i="6"/>
  <c r="AV91" i="6"/>
  <c r="AW91" i="6"/>
  <c r="AX91" i="6"/>
  <c r="D92" i="6"/>
  <c r="E92" i="6"/>
  <c r="F92" i="6"/>
  <c r="G92" i="6"/>
  <c r="H92" i="6"/>
  <c r="I92" i="6"/>
  <c r="J92" i="6"/>
  <c r="K92" i="6"/>
  <c r="L92" i="6"/>
  <c r="M92" i="6"/>
  <c r="O92" i="6"/>
  <c r="P92" i="6"/>
  <c r="Q92" i="6"/>
  <c r="R92" i="6"/>
  <c r="S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AJ92" i="6"/>
  <c r="AK92" i="6"/>
  <c r="AL92" i="6"/>
  <c r="AM92" i="6"/>
  <c r="AN92" i="6"/>
  <c r="AO92" i="6"/>
  <c r="AP92" i="6"/>
  <c r="AQ92" i="6"/>
  <c r="AR92" i="6"/>
  <c r="AS92" i="6"/>
  <c r="AT92" i="6"/>
  <c r="AU92" i="6"/>
  <c r="AV92" i="6"/>
  <c r="AW92" i="6"/>
  <c r="AX92" i="6"/>
  <c r="D93" i="6"/>
  <c r="E93" i="6"/>
  <c r="F93" i="6"/>
  <c r="G93" i="6"/>
  <c r="H93" i="6"/>
  <c r="I93" i="6"/>
  <c r="J93" i="6"/>
  <c r="K93" i="6"/>
  <c r="L93" i="6"/>
  <c r="M93" i="6"/>
  <c r="O93" i="6"/>
  <c r="P93" i="6"/>
  <c r="Q93" i="6"/>
  <c r="R93" i="6"/>
  <c r="S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AJ93" i="6"/>
  <c r="AK93" i="6"/>
  <c r="AL93" i="6"/>
  <c r="AM93" i="6"/>
  <c r="AN93" i="6"/>
  <c r="AO93" i="6"/>
  <c r="AP93" i="6"/>
  <c r="AQ93" i="6"/>
  <c r="AR93" i="6"/>
  <c r="AS93" i="6"/>
  <c r="AT93" i="6"/>
  <c r="AU93" i="6"/>
  <c r="AV93" i="6"/>
  <c r="AW93" i="6"/>
  <c r="AX93" i="6"/>
  <c r="D94" i="6"/>
  <c r="E94" i="6"/>
  <c r="F94" i="6"/>
  <c r="G94" i="6"/>
  <c r="H94" i="6"/>
  <c r="I94" i="6"/>
  <c r="J94" i="6"/>
  <c r="K94" i="6"/>
  <c r="L94" i="6"/>
  <c r="M94" i="6"/>
  <c r="O94" i="6"/>
  <c r="P94" i="6"/>
  <c r="Q94" i="6"/>
  <c r="R94" i="6"/>
  <c r="S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AJ94" i="6"/>
  <c r="AK94" i="6"/>
  <c r="AL94" i="6"/>
  <c r="AM94" i="6"/>
  <c r="AN94" i="6"/>
  <c r="AO94" i="6"/>
  <c r="AP94" i="6"/>
  <c r="AQ94" i="6"/>
  <c r="AR94" i="6"/>
  <c r="AS94" i="6"/>
  <c r="AT94" i="6"/>
  <c r="AU94" i="6"/>
  <c r="AV94" i="6"/>
  <c r="AW94" i="6"/>
  <c r="AX94" i="6"/>
  <c r="D95" i="6"/>
  <c r="E95" i="6"/>
  <c r="F95" i="6"/>
  <c r="G95" i="6"/>
  <c r="H95" i="6"/>
  <c r="I95" i="6"/>
  <c r="J95" i="6"/>
  <c r="K95" i="6"/>
  <c r="L95" i="6"/>
  <c r="M95" i="6"/>
  <c r="O95" i="6"/>
  <c r="P95" i="6"/>
  <c r="Q95" i="6"/>
  <c r="R95" i="6"/>
  <c r="S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AJ95" i="6"/>
  <c r="AK95" i="6"/>
  <c r="AL95" i="6"/>
  <c r="AM95" i="6"/>
  <c r="AN95" i="6"/>
  <c r="AO95" i="6"/>
  <c r="AP95" i="6"/>
  <c r="AQ95" i="6"/>
  <c r="AR95" i="6"/>
  <c r="AS95" i="6"/>
  <c r="AT95" i="6"/>
  <c r="AU95" i="6"/>
  <c r="AV95" i="6"/>
  <c r="AW95" i="6"/>
  <c r="AX95" i="6"/>
  <c r="D96" i="6"/>
  <c r="E96" i="6"/>
  <c r="F96" i="6"/>
  <c r="G96" i="6"/>
  <c r="H96" i="6"/>
  <c r="I96" i="6"/>
  <c r="J96" i="6"/>
  <c r="K96" i="6"/>
  <c r="L96" i="6"/>
  <c r="M96" i="6"/>
  <c r="O96" i="6"/>
  <c r="P96" i="6"/>
  <c r="Q96" i="6"/>
  <c r="R96" i="6"/>
  <c r="S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AJ96" i="6"/>
  <c r="AK96" i="6"/>
  <c r="AL96" i="6"/>
  <c r="AM96" i="6"/>
  <c r="AN96" i="6"/>
  <c r="AO96" i="6"/>
  <c r="AP96" i="6"/>
  <c r="AQ96" i="6"/>
  <c r="AR96" i="6"/>
  <c r="AS96" i="6"/>
  <c r="AT96" i="6"/>
  <c r="AU96" i="6"/>
  <c r="AV96" i="6"/>
  <c r="AW96" i="6"/>
  <c r="AX96" i="6"/>
  <c r="D97" i="6"/>
  <c r="E97" i="6"/>
  <c r="F97" i="6"/>
  <c r="G97" i="6"/>
  <c r="H97" i="6"/>
  <c r="I97" i="6"/>
  <c r="J97" i="6"/>
  <c r="K97" i="6"/>
  <c r="L97" i="6"/>
  <c r="M97" i="6"/>
  <c r="O97" i="6"/>
  <c r="P97" i="6"/>
  <c r="Q97" i="6"/>
  <c r="R97" i="6"/>
  <c r="S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AJ97" i="6"/>
  <c r="AK97" i="6"/>
  <c r="AL97" i="6"/>
  <c r="AM97" i="6"/>
  <c r="AN97" i="6"/>
  <c r="AO97" i="6"/>
  <c r="AP97" i="6"/>
  <c r="AQ97" i="6"/>
  <c r="AR97" i="6"/>
  <c r="AS97" i="6"/>
  <c r="AT97" i="6"/>
  <c r="AU97" i="6"/>
  <c r="AV97" i="6"/>
  <c r="AW97" i="6"/>
  <c r="AX97" i="6"/>
  <c r="D98" i="6"/>
  <c r="E98" i="6"/>
  <c r="F98" i="6"/>
  <c r="G98" i="6"/>
  <c r="H98" i="6"/>
  <c r="I98" i="6"/>
  <c r="J98" i="6"/>
  <c r="K98" i="6"/>
  <c r="L98" i="6"/>
  <c r="M98" i="6"/>
  <c r="O98" i="6"/>
  <c r="P98" i="6"/>
  <c r="Q98" i="6"/>
  <c r="R98" i="6"/>
  <c r="S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AJ98" i="6"/>
  <c r="AK98" i="6"/>
  <c r="AL98" i="6"/>
  <c r="AM98" i="6"/>
  <c r="AN98" i="6"/>
  <c r="AO98" i="6"/>
  <c r="AP98" i="6"/>
  <c r="AQ98" i="6"/>
  <c r="AR98" i="6"/>
  <c r="AS98" i="6"/>
  <c r="AT98" i="6"/>
  <c r="AU98" i="6"/>
  <c r="AV98" i="6"/>
  <c r="AW98" i="6"/>
  <c r="AX98" i="6"/>
  <c r="D99" i="6"/>
  <c r="E99" i="6"/>
  <c r="F99" i="6"/>
  <c r="G99" i="6"/>
  <c r="H99" i="6"/>
  <c r="I99" i="6"/>
  <c r="J99" i="6"/>
  <c r="K99" i="6"/>
  <c r="L99" i="6"/>
  <c r="M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AJ99" i="6"/>
  <c r="AK99" i="6"/>
  <c r="AL99" i="6"/>
  <c r="AM99" i="6"/>
  <c r="AN99" i="6"/>
  <c r="AO99" i="6"/>
  <c r="AP99" i="6"/>
  <c r="AQ99" i="6"/>
  <c r="AR99" i="6"/>
  <c r="AS99" i="6"/>
  <c r="AT99" i="6"/>
  <c r="AU99" i="6"/>
  <c r="AV99" i="6"/>
  <c r="AW99" i="6"/>
  <c r="AX99" i="6"/>
  <c r="D100" i="6"/>
  <c r="E100" i="6"/>
  <c r="F100" i="6"/>
  <c r="G100" i="6"/>
  <c r="H100" i="6"/>
  <c r="I100" i="6"/>
  <c r="J100" i="6"/>
  <c r="K100" i="6"/>
  <c r="L100" i="6"/>
  <c r="M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AJ100" i="6"/>
  <c r="AK100" i="6"/>
  <c r="AL100" i="6"/>
  <c r="AM100" i="6"/>
  <c r="AN100" i="6"/>
  <c r="AO100" i="6"/>
  <c r="AP100" i="6"/>
  <c r="AQ100" i="6"/>
  <c r="AR100" i="6"/>
  <c r="AS100" i="6"/>
  <c r="AT100" i="6"/>
  <c r="AU100" i="6"/>
  <c r="AV100" i="6"/>
  <c r="AW100" i="6"/>
  <c r="AX100" i="6"/>
  <c r="D101" i="6"/>
  <c r="E101" i="6"/>
  <c r="F101" i="6"/>
  <c r="G101" i="6"/>
  <c r="H101" i="6"/>
  <c r="I101" i="6"/>
  <c r="J101" i="6"/>
  <c r="K101" i="6"/>
  <c r="L101" i="6"/>
  <c r="M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AJ101" i="6"/>
  <c r="AK101" i="6"/>
  <c r="AL101" i="6"/>
  <c r="AM101" i="6"/>
  <c r="AN101" i="6"/>
  <c r="AO101" i="6"/>
  <c r="AP101" i="6"/>
  <c r="AQ101" i="6"/>
  <c r="AR101" i="6"/>
  <c r="AS101" i="6"/>
  <c r="AT101" i="6"/>
  <c r="AU101" i="6"/>
  <c r="AV101" i="6"/>
  <c r="AW101" i="6"/>
  <c r="AX101" i="6"/>
  <c r="D102" i="6"/>
  <c r="E102" i="6"/>
  <c r="F102" i="6"/>
  <c r="G102" i="6"/>
  <c r="H102" i="6"/>
  <c r="I102" i="6"/>
  <c r="J102" i="6"/>
  <c r="K102" i="6"/>
  <c r="L102" i="6"/>
  <c r="M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AJ102" i="6"/>
  <c r="AK102" i="6"/>
  <c r="AL102" i="6"/>
  <c r="AM102" i="6"/>
  <c r="AN102" i="6"/>
  <c r="AO102" i="6"/>
  <c r="AP102" i="6"/>
  <c r="AQ102" i="6"/>
  <c r="AR102" i="6"/>
  <c r="AS102" i="6"/>
  <c r="AT102" i="6"/>
  <c r="AU102" i="6"/>
  <c r="AV102" i="6"/>
  <c r="AW102" i="6"/>
  <c r="AX102" i="6"/>
  <c r="D103" i="6"/>
  <c r="E103" i="6"/>
  <c r="F103" i="6"/>
  <c r="G103" i="6"/>
  <c r="H103" i="6"/>
  <c r="I103" i="6"/>
  <c r="J103" i="6"/>
  <c r="K103" i="6"/>
  <c r="L103" i="6"/>
  <c r="M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AJ103" i="6"/>
  <c r="AK103" i="6"/>
  <c r="AL103" i="6"/>
  <c r="AM103" i="6"/>
  <c r="AN103" i="6"/>
  <c r="AO103" i="6"/>
  <c r="AP103" i="6"/>
  <c r="AQ103" i="6"/>
  <c r="AR103" i="6"/>
  <c r="AS103" i="6"/>
  <c r="AT103" i="6"/>
  <c r="AU103" i="6"/>
  <c r="AV103" i="6"/>
  <c r="AW103" i="6"/>
  <c r="AX103" i="6"/>
  <c r="D104" i="6"/>
  <c r="E104" i="6"/>
  <c r="F104" i="6"/>
  <c r="G104" i="6"/>
  <c r="H104" i="6"/>
  <c r="I104" i="6"/>
  <c r="J104" i="6"/>
  <c r="K104" i="6"/>
  <c r="L104" i="6"/>
  <c r="M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AJ104" i="6"/>
  <c r="AK104" i="6"/>
  <c r="AL104" i="6"/>
  <c r="AM104" i="6"/>
  <c r="AN104" i="6"/>
  <c r="AO104" i="6"/>
  <c r="AP104" i="6"/>
  <c r="AQ104" i="6"/>
  <c r="AR104" i="6"/>
  <c r="AS104" i="6"/>
  <c r="AT104" i="6"/>
  <c r="AU104" i="6"/>
  <c r="AV104" i="6"/>
  <c r="AW104" i="6"/>
  <c r="AX104" i="6"/>
  <c r="D105" i="6"/>
  <c r="E105" i="6"/>
  <c r="F105" i="6"/>
  <c r="G105" i="6"/>
  <c r="H105" i="6"/>
  <c r="I105" i="6"/>
  <c r="J105" i="6"/>
  <c r="K105" i="6"/>
  <c r="L105" i="6"/>
  <c r="M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AJ105" i="6"/>
  <c r="AK105" i="6"/>
  <c r="AL105" i="6"/>
  <c r="AM105" i="6"/>
  <c r="AN105" i="6"/>
  <c r="AO105" i="6"/>
  <c r="AP105" i="6"/>
  <c r="AQ105" i="6"/>
  <c r="AR105" i="6"/>
  <c r="AS105" i="6"/>
  <c r="AT105" i="6"/>
  <c r="AU105" i="6"/>
  <c r="AV105" i="6"/>
  <c r="AW105" i="6"/>
  <c r="AX105" i="6"/>
  <c r="D106" i="6"/>
  <c r="E106" i="6"/>
  <c r="F106" i="6"/>
  <c r="G106" i="6"/>
  <c r="H106" i="6"/>
  <c r="I106" i="6"/>
  <c r="J106" i="6"/>
  <c r="K106" i="6"/>
  <c r="L106" i="6"/>
  <c r="M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AJ106" i="6"/>
  <c r="AK106" i="6"/>
  <c r="AL106" i="6"/>
  <c r="AM106" i="6"/>
  <c r="AN106" i="6"/>
  <c r="AO106" i="6"/>
  <c r="AP106" i="6"/>
  <c r="AQ106" i="6"/>
  <c r="AR106" i="6"/>
  <c r="AS106" i="6"/>
  <c r="AT106" i="6"/>
  <c r="AU106" i="6"/>
  <c r="AV106" i="6"/>
  <c r="AW106" i="6"/>
  <c r="AX106" i="6"/>
  <c r="D107" i="6"/>
  <c r="E107" i="6"/>
  <c r="F107" i="6"/>
  <c r="G107" i="6"/>
  <c r="H107" i="6"/>
  <c r="I107" i="6"/>
  <c r="J107" i="6"/>
  <c r="K107" i="6"/>
  <c r="L107" i="6"/>
  <c r="M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AJ107" i="6"/>
  <c r="AK107" i="6"/>
  <c r="AL107" i="6"/>
  <c r="AM107" i="6"/>
  <c r="AN107" i="6"/>
  <c r="AO107" i="6"/>
  <c r="AP107" i="6"/>
  <c r="AQ107" i="6"/>
  <c r="AR107" i="6"/>
  <c r="AS107" i="6"/>
  <c r="AT107" i="6"/>
  <c r="AU107" i="6"/>
  <c r="AV107" i="6"/>
  <c r="AW107" i="6"/>
  <c r="AX107" i="6"/>
  <c r="D108" i="6"/>
  <c r="E108" i="6"/>
  <c r="F108" i="6"/>
  <c r="G108" i="6"/>
  <c r="H108" i="6"/>
  <c r="I108" i="6"/>
  <c r="J108" i="6"/>
  <c r="K108" i="6"/>
  <c r="L108" i="6"/>
  <c r="M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AJ108" i="6"/>
  <c r="AK108" i="6"/>
  <c r="AL108" i="6"/>
  <c r="AM108" i="6"/>
  <c r="AN108" i="6"/>
  <c r="AO108" i="6"/>
  <c r="AP108" i="6"/>
  <c r="AQ108" i="6"/>
  <c r="AR108" i="6"/>
  <c r="AS108" i="6"/>
  <c r="AT108" i="6"/>
  <c r="AU108" i="6"/>
  <c r="AV108" i="6"/>
  <c r="AW108" i="6"/>
  <c r="AX108" i="6"/>
  <c r="D109" i="6"/>
  <c r="E109" i="6"/>
  <c r="F109" i="6"/>
  <c r="G109" i="6"/>
  <c r="H109" i="6"/>
  <c r="I109" i="6"/>
  <c r="J109" i="6"/>
  <c r="K109" i="6"/>
  <c r="L109" i="6"/>
  <c r="M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AJ109" i="6"/>
  <c r="AK109" i="6"/>
  <c r="AL109" i="6"/>
  <c r="AM109" i="6"/>
  <c r="AN109" i="6"/>
  <c r="AO109" i="6"/>
  <c r="AP109" i="6"/>
  <c r="AQ109" i="6"/>
  <c r="AR109" i="6"/>
  <c r="AS109" i="6"/>
  <c r="AT109" i="6"/>
  <c r="AU109" i="6"/>
  <c r="AV109" i="6"/>
  <c r="AW109" i="6"/>
  <c r="AX109" i="6"/>
  <c r="D110" i="6"/>
  <c r="E110" i="6"/>
  <c r="F110" i="6"/>
  <c r="G110" i="6"/>
  <c r="H110" i="6"/>
  <c r="I110" i="6"/>
  <c r="J110" i="6"/>
  <c r="K110" i="6"/>
  <c r="L110" i="6"/>
  <c r="M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AJ110" i="6"/>
  <c r="AK110" i="6"/>
  <c r="AL110" i="6"/>
  <c r="AM110" i="6"/>
  <c r="AN110" i="6"/>
  <c r="AO110" i="6"/>
  <c r="AP110" i="6"/>
  <c r="AQ110" i="6"/>
  <c r="AR110" i="6"/>
  <c r="AS110" i="6"/>
  <c r="AT110" i="6"/>
  <c r="AU110" i="6"/>
  <c r="AV110" i="6"/>
  <c r="AW110" i="6"/>
  <c r="AX110" i="6"/>
  <c r="D111" i="6"/>
  <c r="E111" i="6"/>
  <c r="F111" i="6"/>
  <c r="G111" i="6"/>
  <c r="H111" i="6"/>
  <c r="I111" i="6"/>
  <c r="J111" i="6"/>
  <c r="K111" i="6"/>
  <c r="L111" i="6"/>
  <c r="M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AJ111" i="6"/>
  <c r="AK111" i="6"/>
  <c r="AL111" i="6"/>
  <c r="AM111" i="6"/>
  <c r="AN111" i="6"/>
  <c r="AO111" i="6"/>
  <c r="AP111" i="6"/>
  <c r="AQ111" i="6"/>
  <c r="AR111" i="6"/>
  <c r="AS111" i="6"/>
  <c r="AT111" i="6"/>
  <c r="AU111" i="6"/>
  <c r="AV111" i="6"/>
  <c r="AW111" i="6"/>
  <c r="AX111" i="6"/>
  <c r="D112" i="6"/>
  <c r="E112" i="6"/>
  <c r="F112" i="6"/>
  <c r="G112" i="6"/>
  <c r="H112" i="6"/>
  <c r="I112" i="6"/>
  <c r="J112" i="6"/>
  <c r="K112" i="6"/>
  <c r="L112" i="6"/>
  <c r="M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AJ112" i="6"/>
  <c r="AK112" i="6"/>
  <c r="AL112" i="6"/>
  <c r="AM112" i="6"/>
  <c r="AN112" i="6"/>
  <c r="AO112" i="6"/>
  <c r="AP112" i="6"/>
  <c r="AQ112" i="6"/>
  <c r="AR112" i="6"/>
  <c r="AS112" i="6"/>
  <c r="AT112" i="6"/>
  <c r="AU112" i="6"/>
  <c r="AV112" i="6"/>
  <c r="AW112" i="6"/>
  <c r="AX112" i="6"/>
  <c r="D113" i="6"/>
  <c r="E113" i="6"/>
  <c r="F113" i="6"/>
  <c r="G113" i="6"/>
  <c r="H113" i="6"/>
  <c r="I113" i="6"/>
  <c r="J113" i="6"/>
  <c r="K113" i="6"/>
  <c r="L113" i="6"/>
  <c r="M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AJ113" i="6"/>
  <c r="AK113" i="6"/>
  <c r="AL113" i="6"/>
  <c r="AM113" i="6"/>
  <c r="AN113" i="6"/>
  <c r="AO113" i="6"/>
  <c r="AP113" i="6"/>
  <c r="AQ113" i="6"/>
  <c r="AR113" i="6"/>
  <c r="AS113" i="6"/>
  <c r="AT113" i="6"/>
  <c r="AU113" i="6"/>
  <c r="AV113" i="6"/>
  <c r="AW113" i="6"/>
  <c r="AX113" i="6"/>
  <c r="D114" i="6"/>
  <c r="E114" i="6"/>
  <c r="F114" i="6"/>
  <c r="G114" i="6"/>
  <c r="H114" i="6"/>
  <c r="I114" i="6"/>
  <c r="J114" i="6"/>
  <c r="K114" i="6"/>
  <c r="L114" i="6"/>
  <c r="M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AJ114" i="6"/>
  <c r="AK114" i="6"/>
  <c r="AL114" i="6"/>
  <c r="AM114" i="6"/>
  <c r="AN114" i="6"/>
  <c r="AO114" i="6"/>
  <c r="AP114" i="6"/>
  <c r="AQ114" i="6"/>
  <c r="AR114" i="6"/>
  <c r="AS114" i="6"/>
  <c r="AT114" i="6"/>
  <c r="AU114" i="6"/>
  <c r="AV114" i="6"/>
  <c r="AW114" i="6"/>
  <c r="AX114" i="6"/>
  <c r="D115" i="6"/>
  <c r="E115" i="6"/>
  <c r="F115" i="6"/>
  <c r="G115" i="6"/>
  <c r="H115" i="6"/>
  <c r="I115" i="6"/>
  <c r="J115" i="6"/>
  <c r="K115" i="6"/>
  <c r="L115" i="6"/>
  <c r="M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AJ115" i="6"/>
  <c r="AK115" i="6"/>
  <c r="AL115" i="6"/>
  <c r="AM115" i="6"/>
  <c r="AN115" i="6"/>
  <c r="AO115" i="6"/>
  <c r="AP115" i="6"/>
  <c r="AQ115" i="6"/>
  <c r="AR115" i="6"/>
  <c r="AS115" i="6"/>
  <c r="AT115" i="6"/>
  <c r="AU115" i="6"/>
  <c r="AV115" i="6"/>
  <c r="AW115" i="6"/>
  <c r="AX115" i="6"/>
  <c r="D116" i="6"/>
  <c r="E116" i="6"/>
  <c r="F116" i="6"/>
  <c r="G116" i="6"/>
  <c r="H116" i="6"/>
  <c r="I116" i="6"/>
  <c r="J116" i="6"/>
  <c r="K116" i="6"/>
  <c r="L116" i="6"/>
  <c r="M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AJ116" i="6"/>
  <c r="AK116" i="6"/>
  <c r="AL116" i="6"/>
  <c r="AM116" i="6"/>
  <c r="AN116" i="6"/>
  <c r="AO116" i="6"/>
  <c r="AP116" i="6"/>
  <c r="AQ116" i="6"/>
  <c r="AR116" i="6"/>
  <c r="AS116" i="6"/>
  <c r="AT116" i="6"/>
  <c r="AU116" i="6"/>
  <c r="AV116" i="6"/>
  <c r="AW116" i="6"/>
  <c r="AX116" i="6"/>
  <c r="D117" i="6"/>
  <c r="E117" i="6"/>
  <c r="F117" i="6"/>
  <c r="G117" i="6"/>
  <c r="H117" i="6"/>
  <c r="I117" i="6"/>
  <c r="J117" i="6"/>
  <c r="K117" i="6"/>
  <c r="L117" i="6"/>
  <c r="M117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AJ117" i="6"/>
  <c r="AK117" i="6"/>
  <c r="AL117" i="6"/>
  <c r="AM117" i="6"/>
  <c r="AN117" i="6"/>
  <c r="AO117" i="6"/>
  <c r="AP117" i="6"/>
  <c r="AQ117" i="6"/>
  <c r="AR117" i="6"/>
  <c r="AS117" i="6"/>
  <c r="AT117" i="6"/>
  <c r="AU117" i="6"/>
  <c r="AV117" i="6"/>
  <c r="AW117" i="6"/>
  <c r="AX117" i="6"/>
  <c r="D118" i="6"/>
  <c r="E118" i="6"/>
  <c r="F118" i="6"/>
  <c r="G118" i="6"/>
  <c r="H118" i="6"/>
  <c r="I118" i="6"/>
  <c r="J118" i="6"/>
  <c r="K118" i="6"/>
  <c r="L118" i="6"/>
  <c r="M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AJ118" i="6"/>
  <c r="AK118" i="6"/>
  <c r="AL118" i="6"/>
  <c r="AM118" i="6"/>
  <c r="AN118" i="6"/>
  <c r="AO118" i="6"/>
  <c r="AP118" i="6"/>
  <c r="AQ118" i="6"/>
  <c r="AR118" i="6"/>
  <c r="AS118" i="6"/>
  <c r="AT118" i="6"/>
  <c r="AU118" i="6"/>
  <c r="AV118" i="6"/>
  <c r="AW118" i="6"/>
  <c r="AX118" i="6"/>
  <c r="D119" i="6"/>
  <c r="E119" i="6"/>
  <c r="F119" i="6"/>
  <c r="G119" i="6"/>
  <c r="H119" i="6"/>
  <c r="I119" i="6"/>
  <c r="J119" i="6"/>
  <c r="K119" i="6"/>
  <c r="L119" i="6"/>
  <c r="M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AJ119" i="6"/>
  <c r="AK119" i="6"/>
  <c r="AL119" i="6"/>
  <c r="AM119" i="6"/>
  <c r="AN119" i="6"/>
  <c r="AO119" i="6"/>
  <c r="AP119" i="6"/>
  <c r="AQ119" i="6"/>
  <c r="AR119" i="6"/>
  <c r="AS119" i="6"/>
  <c r="AT119" i="6"/>
  <c r="AU119" i="6"/>
  <c r="AV119" i="6"/>
  <c r="AW119" i="6"/>
  <c r="AX119" i="6"/>
  <c r="D120" i="6"/>
  <c r="E120" i="6"/>
  <c r="F120" i="6"/>
  <c r="G120" i="6"/>
  <c r="H120" i="6"/>
  <c r="I120" i="6"/>
  <c r="J120" i="6"/>
  <c r="K120" i="6"/>
  <c r="L120" i="6"/>
  <c r="M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AJ120" i="6"/>
  <c r="AK120" i="6"/>
  <c r="AL120" i="6"/>
  <c r="AM120" i="6"/>
  <c r="AN120" i="6"/>
  <c r="AO120" i="6"/>
  <c r="AP120" i="6"/>
  <c r="AQ120" i="6"/>
  <c r="AR120" i="6"/>
  <c r="AS120" i="6"/>
  <c r="AT120" i="6"/>
  <c r="AU120" i="6"/>
  <c r="AV120" i="6"/>
  <c r="AW120" i="6"/>
  <c r="AX120" i="6"/>
  <c r="D121" i="6"/>
  <c r="E121" i="6"/>
  <c r="F121" i="6"/>
  <c r="G121" i="6"/>
  <c r="H121" i="6"/>
  <c r="I121" i="6"/>
  <c r="J121" i="6"/>
  <c r="K121" i="6"/>
  <c r="L121" i="6"/>
  <c r="M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AJ121" i="6"/>
  <c r="AK121" i="6"/>
  <c r="AL121" i="6"/>
  <c r="AM121" i="6"/>
  <c r="AN121" i="6"/>
  <c r="AO121" i="6"/>
  <c r="AP121" i="6"/>
  <c r="AQ121" i="6"/>
  <c r="AR121" i="6"/>
  <c r="AS121" i="6"/>
  <c r="AT121" i="6"/>
  <c r="AU121" i="6"/>
  <c r="AV121" i="6"/>
  <c r="AW121" i="6"/>
  <c r="AX121" i="6"/>
  <c r="D122" i="6"/>
  <c r="E122" i="6"/>
  <c r="F122" i="6"/>
  <c r="G122" i="6"/>
  <c r="H122" i="6"/>
  <c r="I122" i="6"/>
  <c r="J122" i="6"/>
  <c r="K122" i="6"/>
  <c r="L122" i="6"/>
  <c r="M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AJ122" i="6"/>
  <c r="AK122" i="6"/>
  <c r="AL122" i="6"/>
  <c r="AM122" i="6"/>
  <c r="AN122" i="6"/>
  <c r="AO122" i="6"/>
  <c r="AP122" i="6"/>
  <c r="AQ122" i="6"/>
  <c r="AR122" i="6"/>
  <c r="AS122" i="6"/>
  <c r="AT122" i="6"/>
  <c r="AU122" i="6"/>
  <c r="AV122" i="6"/>
  <c r="AW122" i="6"/>
  <c r="AX122" i="6"/>
  <c r="D123" i="6"/>
  <c r="E123" i="6"/>
  <c r="F123" i="6"/>
  <c r="G123" i="6"/>
  <c r="H123" i="6"/>
  <c r="I123" i="6"/>
  <c r="J123" i="6"/>
  <c r="K123" i="6"/>
  <c r="L123" i="6"/>
  <c r="M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AJ123" i="6"/>
  <c r="AK123" i="6"/>
  <c r="AL123" i="6"/>
  <c r="AM123" i="6"/>
  <c r="AN123" i="6"/>
  <c r="AO123" i="6"/>
  <c r="AP123" i="6"/>
  <c r="AQ123" i="6"/>
  <c r="AR123" i="6"/>
  <c r="AS123" i="6"/>
  <c r="AT123" i="6"/>
  <c r="AU123" i="6"/>
  <c r="AV123" i="6"/>
  <c r="AW123" i="6"/>
  <c r="AX123" i="6"/>
  <c r="D124" i="6"/>
  <c r="E124" i="6"/>
  <c r="F124" i="6"/>
  <c r="G124" i="6"/>
  <c r="H124" i="6"/>
  <c r="I124" i="6"/>
  <c r="J124" i="6"/>
  <c r="K124" i="6"/>
  <c r="L124" i="6"/>
  <c r="M124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AJ124" i="6"/>
  <c r="AK124" i="6"/>
  <c r="AL124" i="6"/>
  <c r="AM124" i="6"/>
  <c r="AN124" i="6"/>
  <c r="AO124" i="6"/>
  <c r="AP124" i="6"/>
  <c r="AQ124" i="6"/>
  <c r="AR124" i="6"/>
  <c r="AS124" i="6"/>
  <c r="AT124" i="6"/>
  <c r="AU124" i="6"/>
  <c r="AV124" i="6"/>
  <c r="AW124" i="6"/>
  <c r="AX124" i="6"/>
  <c r="D125" i="6"/>
  <c r="E125" i="6"/>
  <c r="F125" i="6"/>
  <c r="G125" i="6"/>
  <c r="H125" i="6"/>
  <c r="I125" i="6"/>
  <c r="J125" i="6"/>
  <c r="K125" i="6"/>
  <c r="L125" i="6"/>
  <c r="M125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AJ125" i="6"/>
  <c r="AK125" i="6"/>
  <c r="AL125" i="6"/>
  <c r="AM125" i="6"/>
  <c r="AN125" i="6"/>
  <c r="AO125" i="6"/>
  <c r="AP125" i="6"/>
  <c r="AQ125" i="6"/>
  <c r="AR125" i="6"/>
  <c r="AS125" i="6"/>
  <c r="AT125" i="6"/>
  <c r="AU125" i="6"/>
  <c r="AV125" i="6"/>
  <c r="AW125" i="6"/>
  <c r="AX125" i="6"/>
  <c r="D126" i="6"/>
  <c r="E126" i="6"/>
  <c r="F126" i="6"/>
  <c r="G126" i="6"/>
  <c r="H126" i="6"/>
  <c r="I126" i="6"/>
  <c r="J126" i="6"/>
  <c r="K126" i="6"/>
  <c r="L126" i="6"/>
  <c r="M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AJ126" i="6"/>
  <c r="AK126" i="6"/>
  <c r="AL126" i="6"/>
  <c r="AM126" i="6"/>
  <c r="AN126" i="6"/>
  <c r="AO126" i="6"/>
  <c r="AP126" i="6"/>
  <c r="AQ126" i="6"/>
  <c r="AR126" i="6"/>
  <c r="AS126" i="6"/>
  <c r="AT126" i="6"/>
  <c r="AU126" i="6"/>
  <c r="AV126" i="6"/>
  <c r="AW126" i="6"/>
  <c r="AX126" i="6"/>
  <c r="D127" i="6"/>
  <c r="E127" i="6"/>
  <c r="F127" i="6"/>
  <c r="G127" i="6"/>
  <c r="H127" i="6"/>
  <c r="I127" i="6"/>
  <c r="J127" i="6"/>
  <c r="K127" i="6"/>
  <c r="L127" i="6"/>
  <c r="M127" i="6"/>
  <c r="O127" i="6"/>
  <c r="P127" i="6"/>
  <c r="Q127" i="6"/>
  <c r="R127" i="6"/>
  <c r="S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AJ127" i="6"/>
  <c r="AK127" i="6"/>
  <c r="AL127" i="6"/>
  <c r="AM127" i="6"/>
  <c r="AN127" i="6"/>
  <c r="AO127" i="6"/>
  <c r="AP127" i="6"/>
  <c r="AQ127" i="6"/>
  <c r="AR127" i="6"/>
  <c r="AS127" i="6"/>
  <c r="AT127" i="6"/>
  <c r="AU127" i="6"/>
  <c r="AV127" i="6"/>
  <c r="AW127" i="6"/>
  <c r="AX127" i="6"/>
  <c r="D128" i="6"/>
  <c r="E128" i="6"/>
  <c r="F128" i="6"/>
  <c r="G128" i="6"/>
  <c r="H128" i="6"/>
  <c r="I128" i="6"/>
  <c r="J128" i="6"/>
  <c r="K128" i="6"/>
  <c r="L128" i="6"/>
  <c r="M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AJ128" i="6"/>
  <c r="AK128" i="6"/>
  <c r="AL128" i="6"/>
  <c r="AM128" i="6"/>
  <c r="AN128" i="6"/>
  <c r="AO128" i="6"/>
  <c r="AP128" i="6"/>
  <c r="AQ128" i="6"/>
  <c r="AR128" i="6"/>
  <c r="AS128" i="6"/>
  <c r="AT128" i="6"/>
  <c r="AU128" i="6"/>
  <c r="AV128" i="6"/>
  <c r="AW128" i="6"/>
  <c r="AX128" i="6"/>
  <c r="D129" i="6"/>
  <c r="E129" i="6"/>
  <c r="F129" i="6"/>
  <c r="G129" i="6"/>
  <c r="H129" i="6"/>
  <c r="I129" i="6"/>
  <c r="J129" i="6"/>
  <c r="K129" i="6"/>
  <c r="L129" i="6"/>
  <c r="M129" i="6"/>
  <c r="O129" i="6"/>
  <c r="P129" i="6"/>
  <c r="Q129" i="6"/>
  <c r="R129" i="6"/>
  <c r="S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AJ129" i="6"/>
  <c r="AK129" i="6"/>
  <c r="AL129" i="6"/>
  <c r="AM129" i="6"/>
  <c r="AN129" i="6"/>
  <c r="AO129" i="6"/>
  <c r="AP129" i="6"/>
  <c r="AQ129" i="6"/>
  <c r="AR129" i="6"/>
  <c r="AS129" i="6"/>
  <c r="AT129" i="6"/>
  <c r="AU129" i="6"/>
  <c r="AV129" i="6"/>
  <c r="AW129" i="6"/>
  <c r="AX129" i="6"/>
  <c r="D130" i="6"/>
  <c r="E130" i="6"/>
  <c r="F130" i="6"/>
  <c r="G130" i="6"/>
  <c r="H130" i="6"/>
  <c r="I130" i="6"/>
  <c r="J130" i="6"/>
  <c r="K130" i="6"/>
  <c r="L130" i="6"/>
  <c r="M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AJ130" i="6"/>
  <c r="AK130" i="6"/>
  <c r="AL130" i="6"/>
  <c r="AM130" i="6"/>
  <c r="AN130" i="6"/>
  <c r="AO130" i="6"/>
  <c r="AP130" i="6"/>
  <c r="AQ130" i="6"/>
  <c r="AR130" i="6"/>
  <c r="AS130" i="6"/>
  <c r="AT130" i="6"/>
  <c r="AU130" i="6"/>
  <c r="AV130" i="6"/>
  <c r="AW130" i="6"/>
  <c r="AX130" i="6"/>
  <c r="D131" i="6"/>
  <c r="E131" i="6"/>
  <c r="F131" i="6"/>
  <c r="G131" i="6"/>
  <c r="H131" i="6"/>
  <c r="I131" i="6"/>
  <c r="J131" i="6"/>
  <c r="K131" i="6"/>
  <c r="L131" i="6"/>
  <c r="M131" i="6"/>
  <c r="O131" i="6"/>
  <c r="P131" i="6"/>
  <c r="Q131" i="6"/>
  <c r="R131" i="6"/>
  <c r="S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AJ131" i="6"/>
  <c r="AK131" i="6"/>
  <c r="AL131" i="6"/>
  <c r="AM131" i="6"/>
  <c r="AN131" i="6"/>
  <c r="AO131" i="6"/>
  <c r="AP131" i="6"/>
  <c r="AQ131" i="6"/>
  <c r="AR131" i="6"/>
  <c r="AS131" i="6"/>
  <c r="AT131" i="6"/>
  <c r="AU131" i="6"/>
  <c r="AV131" i="6"/>
  <c r="AW131" i="6"/>
  <c r="AX131" i="6"/>
  <c r="D132" i="6"/>
  <c r="E132" i="6"/>
  <c r="F132" i="6"/>
  <c r="G132" i="6"/>
  <c r="H132" i="6"/>
  <c r="I132" i="6"/>
  <c r="J132" i="6"/>
  <c r="K132" i="6"/>
  <c r="L132" i="6"/>
  <c r="M132" i="6"/>
  <c r="O132" i="6"/>
  <c r="P132" i="6"/>
  <c r="Q132" i="6"/>
  <c r="R132" i="6"/>
  <c r="S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AJ132" i="6"/>
  <c r="AK132" i="6"/>
  <c r="AL132" i="6"/>
  <c r="AM132" i="6"/>
  <c r="AN132" i="6"/>
  <c r="AO132" i="6"/>
  <c r="AP132" i="6"/>
  <c r="AQ132" i="6"/>
  <c r="AR132" i="6"/>
  <c r="AS132" i="6"/>
  <c r="AT132" i="6"/>
  <c r="AU132" i="6"/>
  <c r="AV132" i="6"/>
  <c r="AW132" i="6"/>
  <c r="AX132" i="6"/>
  <c r="D133" i="6"/>
  <c r="E133" i="6"/>
  <c r="F133" i="6"/>
  <c r="G133" i="6"/>
  <c r="H133" i="6"/>
  <c r="I133" i="6"/>
  <c r="J133" i="6"/>
  <c r="K133" i="6"/>
  <c r="L133" i="6"/>
  <c r="M133" i="6"/>
  <c r="O133" i="6"/>
  <c r="P133" i="6"/>
  <c r="Q133" i="6"/>
  <c r="R133" i="6"/>
  <c r="S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AJ133" i="6"/>
  <c r="AK133" i="6"/>
  <c r="AL133" i="6"/>
  <c r="AM133" i="6"/>
  <c r="AN133" i="6"/>
  <c r="AO133" i="6"/>
  <c r="AP133" i="6"/>
  <c r="AQ133" i="6"/>
  <c r="AR133" i="6"/>
  <c r="AS133" i="6"/>
  <c r="AT133" i="6"/>
  <c r="AU133" i="6"/>
  <c r="AV133" i="6"/>
  <c r="AW133" i="6"/>
  <c r="AX133" i="6"/>
  <c r="D134" i="6"/>
  <c r="E134" i="6"/>
  <c r="F134" i="6"/>
  <c r="G134" i="6"/>
  <c r="H134" i="6"/>
  <c r="I134" i="6"/>
  <c r="J134" i="6"/>
  <c r="K134" i="6"/>
  <c r="L134" i="6"/>
  <c r="M134" i="6"/>
  <c r="O134" i="6"/>
  <c r="P134" i="6"/>
  <c r="Q134" i="6"/>
  <c r="R134" i="6"/>
  <c r="S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AJ134" i="6"/>
  <c r="AK134" i="6"/>
  <c r="AL134" i="6"/>
  <c r="AM134" i="6"/>
  <c r="AN134" i="6"/>
  <c r="AO134" i="6"/>
  <c r="AP134" i="6"/>
  <c r="AQ134" i="6"/>
  <c r="AR134" i="6"/>
  <c r="AS134" i="6"/>
  <c r="AT134" i="6"/>
  <c r="AU134" i="6"/>
  <c r="AV134" i="6"/>
  <c r="AW134" i="6"/>
  <c r="AX134" i="6"/>
  <c r="D135" i="6"/>
  <c r="E135" i="6"/>
  <c r="F135" i="6"/>
  <c r="G135" i="6"/>
  <c r="H135" i="6"/>
  <c r="I135" i="6"/>
  <c r="J135" i="6"/>
  <c r="K135" i="6"/>
  <c r="L135" i="6"/>
  <c r="M135" i="6"/>
  <c r="O135" i="6"/>
  <c r="P135" i="6"/>
  <c r="Q135" i="6"/>
  <c r="R135" i="6"/>
  <c r="S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AJ135" i="6"/>
  <c r="AK135" i="6"/>
  <c r="AL135" i="6"/>
  <c r="AM135" i="6"/>
  <c r="AN135" i="6"/>
  <c r="AO135" i="6"/>
  <c r="AP135" i="6"/>
  <c r="AQ135" i="6"/>
  <c r="AR135" i="6"/>
  <c r="AS135" i="6"/>
  <c r="AT135" i="6"/>
  <c r="AU135" i="6"/>
  <c r="AV135" i="6"/>
  <c r="AW135" i="6"/>
  <c r="AX135" i="6"/>
  <c r="D136" i="6"/>
  <c r="E136" i="6"/>
  <c r="F136" i="6"/>
  <c r="G136" i="6"/>
  <c r="H136" i="6"/>
  <c r="I136" i="6"/>
  <c r="J136" i="6"/>
  <c r="K136" i="6"/>
  <c r="L136" i="6"/>
  <c r="M136" i="6"/>
  <c r="O136" i="6"/>
  <c r="P136" i="6"/>
  <c r="Q136" i="6"/>
  <c r="R136" i="6"/>
  <c r="S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AJ136" i="6"/>
  <c r="AK136" i="6"/>
  <c r="AL136" i="6"/>
  <c r="AM136" i="6"/>
  <c r="AN136" i="6"/>
  <c r="AO136" i="6"/>
  <c r="AP136" i="6"/>
  <c r="AQ136" i="6"/>
  <c r="AR136" i="6"/>
  <c r="AS136" i="6"/>
  <c r="AT136" i="6"/>
  <c r="AU136" i="6"/>
  <c r="AV136" i="6"/>
  <c r="AW136" i="6"/>
  <c r="AX136" i="6"/>
  <c r="D137" i="6"/>
  <c r="E137" i="6"/>
  <c r="F137" i="6"/>
  <c r="G137" i="6"/>
  <c r="H137" i="6"/>
  <c r="I137" i="6"/>
  <c r="J137" i="6"/>
  <c r="K137" i="6"/>
  <c r="L137" i="6"/>
  <c r="M137" i="6"/>
  <c r="O137" i="6"/>
  <c r="P137" i="6"/>
  <c r="Q137" i="6"/>
  <c r="R137" i="6"/>
  <c r="S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AJ137" i="6"/>
  <c r="AK137" i="6"/>
  <c r="AL137" i="6"/>
  <c r="AM137" i="6"/>
  <c r="AN137" i="6"/>
  <c r="AO137" i="6"/>
  <c r="AP137" i="6"/>
  <c r="AQ137" i="6"/>
  <c r="AR137" i="6"/>
  <c r="AS137" i="6"/>
  <c r="AT137" i="6"/>
  <c r="AU137" i="6"/>
  <c r="AV137" i="6"/>
  <c r="AW137" i="6"/>
  <c r="AX137" i="6"/>
  <c r="D138" i="6"/>
  <c r="E138" i="6"/>
  <c r="F138" i="6"/>
  <c r="G138" i="6"/>
  <c r="H138" i="6"/>
  <c r="I138" i="6"/>
  <c r="J138" i="6"/>
  <c r="K138" i="6"/>
  <c r="L138" i="6"/>
  <c r="M138" i="6"/>
  <c r="O138" i="6"/>
  <c r="P138" i="6"/>
  <c r="Q138" i="6"/>
  <c r="R138" i="6"/>
  <c r="S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AJ138" i="6"/>
  <c r="AK138" i="6"/>
  <c r="AL138" i="6"/>
  <c r="AM138" i="6"/>
  <c r="AN138" i="6"/>
  <c r="AO138" i="6"/>
  <c r="AP138" i="6"/>
  <c r="AQ138" i="6"/>
  <c r="AR138" i="6"/>
  <c r="AS138" i="6"/>
  <c r="AT138" i="6"/>
  <c r="AU138" i="6"/>
  <c r="AV138" i="6"/>
  <c r="AW138" i="6"/>
  <c r="AX138" i="6"/>
  <c r="D139" i="6"/>
  <c r="E139" i="6"/>
  <c r="F139" i="6"/>
  <c r="G139" i="6"/>
  <c r="H139" i="6"/>
  <c r="I139" i="6"/>
  <c r="J139" i="6"/>
  <c r="K139" i="6"/>
  <c r="L139" i="6"/>
  <c r="M139" i="6"/>
  <c r="O139" i="6"/>
  <c r="P139" i="6"/>
  <c r="Q139" i="6"/>
  <c r="R139" i="6"/>
  <c r="S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AJ139" i="6"/>
  <c r="AK139" i="6"/>
  <c r="AL139" i="6"/>
  <c r="AM139" i="6"/>
  <c r="AN139" i="6"/>
  <c r="AO139" i="6"/>
  <c r="AP139" i="6"/>
  <c r="AQ139" i="6"/>
  <c r="AR139" i="6"/>
  <c r="AS139" i="6"/>
  <c r="AT139" i="6"/>
  <c r="AU139" i="6"/>
  <c r="AV139" i="6"/>
  <c r="AW139" i="6"/>
  <c r="AX139" i="6"/>
  <c r="D140" i="6"/>
  <c r="E140" i="6"/>
  <c r="F140" i="6"/>
  <c r="G140" i="6"/>
  <c r="H140" i="6"/>
  <c r="I140" i="6"/>
  <c r="J140" i="6"/>
  <c r="K140" i="6"/>
  <c r="L140" i="6"/>
  <c r="M140" i="6"/>
  <c r="O140" i="6"/>
  <c r="P140" i="6"/>
  <c r="Q140" i="6"/>
  <c r="R140" i="6"/>
  <c r="S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AJ140" i="6"/>
  <c r="AK140" i="6"/>
  <c r="AL140" i="6"/>
  <c r="AM140" i="6"/>
  <c r="AN140" i="6"/>
  <c r="AO140" i="6"/>
  <c r="AP140" i="6"/>
  <c r="AQ140" i="6"/>
  <c r="AR140" i="6"/>
  <c r="AS140" i="6"/>
  <c r="AT140" i="6"/>
  <c r="AU140" i="6"/>
  <c r="AV140" i="6"/>
  <c r="AW140" i="6"/>
  <c r="AX140" i="6"/>
  <c r="D141" i="6"/>
  <c r="E141" i="6"/>
  <c r="F141" i="6"/>
  <c r="G141" i="6"/>
  <c r="H141" i="6"/>
  <c r="I141" i="6"/>
  <c r="J141" i="6"/>
  <c r="K141" i="6"/>
  <c r="L141" i="6"/>
  <c r="M141" i="6"/>
  <c r="O141" i="6"/>
  <c r="P141" i="6"/>
  <c r="Q141" i="6"/>
  <c r="R141" i="6"/>
  <c r="S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AJ141" i="6"/>
  <c r="AK141" i="6"/>
  <c r="AL141" i="6"/>
  <c r="AM141" i="6"/>
  <c r="AN141" i="6"/>
  <c r="AO141" i="6"/>
  <c r="AP141" i="6"/>
  <c r="AQ141" i="6"/>
  <c r="AR141" i="6"/>
  <c r="AS141" i="6"/>
  <c r="AT141" i="6"/>
  <c r="AU141" i="6"/>
  <c r="AV141" i="6"/>
  <c r="AW141" i="6"/>
  <c r="AX141" i="6"/>
  <c r="D142" i="6"/>
  <c r="E142" i="6"/>
  <c r="F142" i="6"/>
  <c r="G142" i="6"/>
  <c r="H142" i="6"/>
  <c r="I142" i="6"/>
  <c r="J142" i="6"/>
  <c r="K142" i="6"/>
  <c r="L142" i="6"/>
  <c r="M142" i="6"/>
  <c r="O142" i="6"/>
  <c r="P142" i="6"/>
  <c r="Q142" i="6"/>
  <c r="R142" i="6"/>
  <c r="S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AJ142" i="6"/>
  <c r="AK142" i="6"/>
  <c r="AL142" i="6"/>
  <c r="AM142" i="6"/>
  <c r="AN142" i="6"/>
  <c r="AO142" i="6"/>
  <c r="AP142" i="6"/>
  <c r="AQ142" i="6"/>
  <c r="AR142" i="6"/>
  <c r="AS142" i="6"/>
  <c r="AT142" i="6"/>
  <c r="AU142" i="6"/>
  <c r="AV142" i="6"/>
  <c r="AW142" i="6"/>
  <c r="AX142" i="6"/>
  <c r="D143" i="6"/>
  <c r="E143" i="6"/>
  <c r="F143" i="6"/>
  <c r="G143" i="6"/>
  <c r="H143" i="6"/>
  <c r="I143" i="6"/>
  <c r="J143" i="6"/>
  <c r="K143" i="6"/>
  <c r="L143" i="6"/>
  <c r="M143" i="6"/>
  <c r="O143" i="6"/>
  <c r="P143" i="6"/>
  <c r="Q143" i="6"/>
  <c r="R143" i="6"/>
  <c r="S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AJ143" i="6"/>
  <c r="AK143" i="6"/>
  <c r="AL143" i="6"/>
  <c r="AM143" i="6"/>
  <c r="AN143" i="6"/>
  <c r="AO143" i="6"/>
  <c r="AP143" i="6"/>
  <c r="AQ143" i="6"/>
  <c r="AR143" i="6"/>
  <c r="AS143" i="6"/>
  <c r="AT143" i="6"/>
  <c r="AU143" i="6"/>
  <c r="AV143" i="6"/>
  <c r="AW143" i="6"/>
  <c r="AX143" i="6"/>
  <c r="D144" i="6"/>
  <c r="E144" i="6"/>
  <c r="F144" i="6"/>
  <c r="G144" i="6"/>
  <c r="H144" i="6"/>
  <c r="I144" i="6"/>
  <c r="J144" i="6"/>
  <c r="K144" i="6"/>
  <c r="L144" i="6"/>
  <c r="M144" i="6"/>
  <c r="O144" i="6"/>
  <c r="P144" i="6"/>
  <c r="Q144" i="6"/>
  <c r="R144" i="6"/>
  <c r="S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AJ144" i="6"/>
  <c r="AK144" i="6"/>
  <c r="AL144" i="6"/>
  <c r="AM144" i="6"/>
  <c r="AN144" i="6"/>
  <c r="AO144" i="6"/>
  <c r="AP144" i="6"/>
  <c r="AQ144" i="6"/>
  <c r="AR144" i="6"/>
  <c r="AS144" i="6"/>
  <c r="AT144" i="6"/>
  <c r="AU144" i="6"/>
  <c r="AV144" i="6"/>
  <c r="AW144" i="6"/>
  <c r="AX144" i="6"/>
  <c r="D145" i="6"/>
  <c r="E145" i="6"/>
  <c r="F145" i="6"/>
  <c r="G145" i="6"/>
  <c r="H145" i="6"/>
  <c r="I145" i="6"/>
  <c r="J145" i="6"/>
  <c r="K145" i="6"/>
  <c r="L145" i="6"/>
  <c r="M145" i="6"/>
  <c r="O145" i="6"/>
  <c r="P145" i="6"/>
  <c r="Q145" i="6"/>
  <c r="R145" i="6"/>
  <c r="S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AJ145" i="6"/>
  <c r="AK145" i="6"/>
  <c r="AL145" i="6"/>
  <c r="AM145" i="6"/>
  <c r="AN145" i="6"/>
  <c r="AO145" i="6"/>
  <c r="AP145" i="6"/>
  <c r="AQ145" i="6"/>
  <c r="AR145" i="6"/>
  <c r="AS145" i="6"/>
  <c r="AT145" i="6"/>
  <c r="AU145" i="6"/>
  <c r="AV145" i="6"/>
  <c r="AW145" i="6"/>
  <c r="AX145" i="6"/>
  <c r="D146" i="6"/>
  <c r="E146" i="6"/>
  <c r="F146" i="6"/>
  <c r="G146" i="6"/>
  <c r="H146" i="6"/>
  <c r="I146" i="6"/>
  <c r="J146" i="6"/>
  <c r="K146" i="6"/>
  <c r="L146" i="6"/>
  <c r="M146" i="6"/>
  <c r="O146" i="6"/>
  <c r="P146" i="6"/>
  <c r="Q146" i="6"/>
  <c r="R146" i="6"/>
  <c r="S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AJ146" i="6"/>
  <c r="AK146" i="6"/>
  <c r="AL146" i="6"/>
  <c r="AM146" i="6"/>
  <c r="AN146" i="6"/>
  <c r="AO146" i="6"/>
  <c r="AP146" i="6"/>
  <c r="AQ146" i="6"/>
  <c r="AR146" i="6"/>
  <c r="AS146" i="6"/>
  <c r="AT146" i="6"/>
  <c r="AU146" i="6"/>
  <c r="AV146" i="6"/>
  <c r="AW146" i="6"/>
  <c r="AX146" i="6"/>
  <c r="D147" i="6"/>
  <c r="E147" i="6"/>
  <c r="F147" i="6"/>
  <c r="G147" i="6"/>
  <c r="H147" i="6"/>
  <c r="I147" i="6"/>
  <c r="J147" i="6"/>
  <c r="K147" i="6"/>
  <c r="L147" i="6"/>
  <c r="M147" i="6"/>
  <c r="O147" i="6"/>
  <c r="P147" i="6"/>
  <c r="Q147" i="6"/>
  <c r="R147" i="6"/>
  <c r="S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AJ147" i="6"/>
  <c r="AK147" i="6"/>
  <c r="AL147" i="6"/>
  <c r="AM147" i="6"/>
  <c r="AN147" i="6"/>
  <c r="AO147" i="6"/>
  <c r="AP147" i="6"/>
  <c r="AQ147" i="6"/>
  <c r="AR147" i="6"/>
  <c r="AS147" i="6"/>
  <c r="AT147" i="6"/>
  <c r="AU147" i="6"/>
  <c r="AV147" i="6"/>
  <c r="AW147" i="6"/>
  <c r="AX147" i="6"/>
  <c r="D148" i="6"/>
  <c r="E148" i="6"/>
  <c r="F148" i="6"/>
  <c r="G148" i="6"/>
  <c r="H148" i="6"/>
  <c r="I148" i="6"/>
  <c r="J148" i="6"/>
  <c r="K148" i="6"/>
  <c r="L148" i="6"/>
  <c r="M148" i="6"/>
  <c r="O148" i="6"/>
  <c r="P148" i="6"/>
  <c r="Q148" i="6"/>
  <c r="R148" i="6"/>
  <c r="S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AJ148" i="6"/>
  <c r="AK148" i="6"/>
  <c r="AL148" i="6"/>
  <c r="AM148" i="6"/>
  <c r="AN148" i="6"/>
  <c r="AO148" i="6"/>
  <c r="AP148" i="6"/>
  <c r="AQ148" i="6"/>
  <c r="AR148" i="6"/>
  <c r="AS148" i="6"/>
  <c r="AT148" i="6"/>
  <c r="AU148" i="6"/>
  <c r="AV148" i="6"/>
  <c r="AW148" i="6"/>
  <c r="AX148" i="6"/>
  <c r="D149" i="6"/>
  <c r="E149" i="6"/>
  <c r="F149" i="6"/>
  <c r="G149" i="6"/>
  <c r="H149" i="6"/>
  <c r="I149" i="6"/>
  <c r="J149" i="6"/>
  <c r="K149" i="6"/>
  <c r="L149" i="6"/>
  <c r="M149" i="6"/>
  <c r="O149" i="6"/>
  <c r="P149" i="6"/>
  <c r="Q149" i="6"/>
  <c r="R149" i="6"/>
  <c r="S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AJ149" i="6"/>
  <c r="AK149" i="6"/>
  <c r="AL149" i="6"/>
  <c r="AM149" i="6"/>
  <c r="AN149" i="6"/>
  <c r="AO149" i="6"/>
  <c r="AP149" i="6"/>
  <c r="AQ149" i="6"/>
  <c r="AR149" i="6"/>
  <c r="AS149" i="6"/>
  <c r="AT149" i="6"/>
  <c r="AU149" i="6"/>
  <c r="AV149" i="6"/>
  <c r="AW149" i="6"/>
  <c r="AX149" i="6"/>
  <c r="D150" i="6"/>
  <c r="E150" i="6"/>
  <c r="F150" i="6"/>
  <c r="G150" i="6"/>
  <c r="H150" i="6"/>
  <c r="I150" i="6"/>
  <c r="J150" i="6"/>
  <c r="K150" i="6"/>
  <c r="L150" i="6"/>
  <c r="M150" i="6"/>
  <c r="O150" i="6"/>
  <c r="P150" i="6"/>
  <c r="Q150" i="6"/>
  <c r="R150" i="6"/>
  <c r="S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AJ150" i="6"/>
  <c r="AK150" i="6"/>
  <c r="AL150" i="6"/>
  <c r="AM150" i="6"/>
  <c r="AN150" i="6"/>
  <c r="AO150" i="6"/>
  <c r="AP150" i="6"/>
  <c r="AQ150" i="6"/>
  <c r="AR150" i="6"/>
  <c r="AS150" i="6"/>
  <c r="AT150" i="6"/>
  <c r="AU150" i="6"/>
  <c r="AV150" i="6"/>
  <c r="AW150" i="6"/>
  <c r="AX150" i="6"/>
  <c r="D151" i="6"/>
  <c r="E151" i="6"/>
  <c r="F151" i="6"/>
  <c r="G151" i="6"/>
  <c r="H151" i="6"/>
  <c r="I151" i="6"/>
  <c r="J151" i="6"/>
  <c r="K151" i="6"/>
  <c r="L151" i="6"/>
  <c r="M151" i="6"/>
  <c r="O151" i="6"/>
  <c r="P151" i="6"/>
  <c r="Q151" i="6"/>
  <c r="R151" i="6"/>
  <c r="S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AJ151" i="6"/>
  <c r="AK151" i="6"/>
  <c r="AL151" i="6"/>
  <c r="AM151" i="6"/>
  <c r="AN151" i="6"/>
  <c r="AO151" i="6"/>
  <c r="AP151" i="6"/>
  <c r="AQ151" i="6"/>
  <c r="AR151" i="6"/>
  <c r="AS151" i="6"/>
  <c r="AT151" i="6"/>
  <c r="AU151" i="6"/>
  <c r="AV151" i="6"/>
  <c r="AW151" i="6"/>
  <c r="AX151" i="6"/>
  <c r="D152" i="6"/>
  <c r="E152" i="6"/>
  <c r="F152" i="6"/>
  <c r="G152" i="6"/>
  <c r="H152" i="6"/>
  <c r="I152" i="6"/>
  <c r="J152" i="6"/>
  <c r="K152" i="6"/>
  <c r="L152" i="6"/>
  <c r="M152" i="6"/>
  <c r="O152" i="6"/>
  <c r="P152" i="6"/>
  <c r="Q152" i="6"/>
  <c r="R152" i="6"/>
  <c r="S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AJ152" i="6"/>
  <c r="AK152" i="6"/>
  <c r="AL152" i="6"/>
  <c r="AM152" i="6"/>
  <c r="AN152" i="6"/>
  <c r="AO152" i="6"/>
  <c r="AP152" i="6"/>
  <c r="AQ152" i="6"/>
  <c r="AR152" i="6"/>
  <c r="AS152" i="6"/>
  <c r="AT152" i="6"/>
  <c r="AU152" i="6"/>
  <c r="AV152" i="6"/>
  <c r="AW152" i="6"/>
  <c r="AX152" i="6"/>
  <c r="D153" i="6"/>
  <c r="E153" i="6"/>
  <c r="F153" i="6"/>
  <c r="G153" i="6"/>
  <c r="H153" i="6"/>
  <c r="I153" i="6"/>
  <c r="J153" i="6"/>
  <c r="K153" i="6"/>
  <c r="L153" i="6"/>
  <c r="M153" i="6"/>
  <c r="O153" i="6"/>
  <c r="P153" i="6"/>
  <c r="Q153" i="6"/>
  <c r="R153" i="6"/>
  <c r="S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AJ153" i="6"/>
  <c r="AK153" i="6"/>
  <c r="AL153" i="6"/>
  <c r="AM153" i="6"/>
  <c r="AN153" i="6"/>
  <c r="AO153" i="6"/>
  <c r="AP153" i="6"/>
  <c r="AQ153" i="6"/>
  <c r="AR153" i="6"/>
  <c r="AS153" i="6"/>
  <c r="AT153" i="6"/>
  <c r="AU153" i="6"/>
  <c r="AV153" i="6"/>
  <c r="AW153" i="6"/>
  <c r="AX153" i="6"/>
  <c r="D154" i="6"/>
  <c r="E154" i="6"/>
  <c r="F154" i="6"/>
  <c r="G154" i="6"/>
  <c r="H154" i="6"/>
  <c r="I154" i="6"/>
  <c r="J154" i="6"/>
  <c r="K154" i="6"/>
  <c r="L154" i="6"/>
  <c r="M154" i="6"/>
  <c r="O154" i="6"/>
  <c r="P154" i="6"/>
  <c r="Q154" i="6"/>
  <c r="R154" i="6"/>
  <c r="S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AJ154" i="6"/>
  <c r="AK154" i="6"/>
  <c r="AL154" i="6"/>
  <c r="AM154" i="6"/>
  <c r="AN154" i="6"/>
  <c r="AO154" i="6"/>
  <c r="AP154" i="6"/>
  <c r="AQ154" i="6"/>
  <c r="AR154" i="6"/>
  <c r="AS154" i="6"/>
  <c r="AT154" i="6"/>
  <c r="AU154" i="6"/>
  <c r="AV154" i="6"/>
  <c r="AW154" i="6"/>
  <c r="AX154" i="6"/>
  <c r="D155" i="6"/>
  <c r="E155" i="6"/>
  <c r="F155" i="6"/>
  <c r="G155" i="6"/>
  <c r="H155" i="6"/>
  <c r="I155" i="6"/>
  <c r="J155" i="6"/>
  <c r="K155" i="6"/>
  <c r="L155" i="6"/>
  <c r="M155" i="6"/>
  <c r="O155" i="6"/>
  <c r="P155" i="6"/>
  <c r="Q155" i="6"/>
  <c r="R155" i="6"/>
  <c r="S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AJ155" i="6"/>
  <c r="AK155" i="6"/>
  <c r="AL155" i="6"/>
  <c r="AM155" i="6"/>
  <c r="AN155" i="6"/>
  <c r="AO155" i="6"/>
  <c r="AP155" i="6"/>
  <c r="AQ155" i="6"/>
  <c r="AR155" i="6"/>
  <c r="AS155" i="6"/>
  <c r="AT155" i="6"/>
  <c r="AU155" i="6"/>
  <c r="AV155" i="6"/>
  <c r="AW155" i="6"/>
  <c r="AX155" i="6"/>
  <c r="D156" i="6"/>
  <c r="E156" i="6"/>
  <c r="F156" i="6"/>
  <c r="G156" i="6"/>
  <c r="H156" i="6"/>
  <c r="I156" i="6"/>
  <c r="J156" i="6"/>
  <c r="K156" i="6"/>
  <c r="L156" i="6"/>
  <c r="M156" i="6"/>
  <c r="O156" i="6"/>
  <c r="P156" i="6"/>
  <c r="Q156" i="6"/>
  <c r="R156" i="6"/>
  <c r="S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AJ156" i="6"/>
  <c r="AK156" i="6"/>
  <c r="AL156" i="6"/>
  <c r="AM156" i="6"/>
  <c r="AN156" i="6"/>
  <c r="AO156" i="6"/>
  <c r="AP156" i="6"/>
  <c r="AQ156" i="6"/>
  <c r="AR156" i="6"/>
  <c r="AS156" i="6"/>
  <c r="AT156" i="6"/>
  <c r="AU156" i="6"/>
  <c r="AV156" i="6"/>
  <c r="AW156" i="6"/>
  <c r="AX156" i="6"/>
  <c r="D157" i="6"/>
  <c r="E157" i="6"/>
  <c r="F157" i="6"/>
  <c r="G157" i="6"/>
  <c r="H157" i="6"/>
  <c r="I157" i="6"/>
  <c r="J157" i="6"/>
  <c r="K157" i="6"/>
  <c r="L157" i="6"/>
  <c r="M157" i="6"/>
  <c r="O157" i="6"/>
  <c r="P157" i="6"/>
  <c r="Q157" i="6"/>
  <c r="R157" i="6"/>
  <c r="S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AJ157" i="6"/>
  <c r="AK157" i="6"/>
  <c r="AL157" i="6"/>
  <c r="AM157" i="6"/>
  <c r="AN157" i="6"/>
  <c r="AO157" i="6"/>
  <c r="AP157" i="6"/>
  <c r="AQ157" i="6"/>
  <c r="AR157" i="6"/>
  <c r="AS157" i="6"/>
  <c r="AT157" i="6"/>
  <c r="AU157" i="6"/>
  <c r="AV157" i="6"/>
  <c r="AW157" i="6"/>
  <c r="AX157" i="6"/>
  <c r="D158" i="6"/>
  <c r="E158" i="6"/>
  <c r="F158" i="6"/>
  <c r="G158" i="6"/>
  <c r="H158" i="6"/>
  <c r="I158" i="6"/>
  <c r="J158" i="6"/>
  <c r="K158" i="6"/>
  <c r="L158" i="6"/>
  <c r="M158" i="6"/>
  <c r="O158" i="6"/>
  <c r="P158" i="6"/>
  <c r="Q158" i="6"/>
  <c r="R158" i="6"/>
  <c r="S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AJ158" i="6"/>
  <c r="AK158" i="6"/>
  <c r="AL158" i="6"/>
  <c r="AM158" i="6"/>
  <c r="AN158" i="6"/>
  <c r="AO158" i="6"/>
  <c r="AP158" i="6"/>
  <c r="AQ158" i="6"/>
  <c r="AR158" i="6"/>
  <c r="AS158" i="6"/>
  <c r="AT158" i="6"/>
  <c r="AU158" i="6"/>
  <c r="AV158" i="6"/>
  <c r="AW158" i="6"/>
  <c r="AX158" i="6"/>
  <c r="D159" i="6"/>
  <c r="E159" i="6"/>
  <c r="F159" i="6"/>
  <c r="G159" i="6"/>
  <c r="H159" i="6"/>
  <c r="I159" i="6"/>
  <c r="J159" i="6"/>
  <c r="K159" i="6"/>
  <c r="L159" i="6"/>
  <c r="M159" i="6"/>
  <c r="O159" i="6"/>
  <c r="P159" i="6"/>
  <c r="Q159" i="6"/>
  <c r="R159" i="6"/>
  <c r="S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AJ159" i="6"/>
  <c r="AK159" i="6"/>
  <c r="AL159" i="6"/>
  <c r="AM159" i="6"/>
  <c r="AN159" i="6"/>
  <c r="AO159" i="6"/>
  <c r="AP159" i="6"/>
  <c r="AQ159" i="6"/>
  <c r="AR159" i="6"/>
  <c r="AS159" i="6"/>
  <c r="AT159" i="6"/>
  <c r="AU159" i="6"/>
  <c r="AV159" i="6"/>
  <c r="AW159" i="6"/>
  <c r="AX159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AY2" i="6"/>
  <c r="C2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2" i="5"/>
  <c r="C100" i="5"/>
  <c r="D100" i="5"/>
  <c r="E100" i="5"/>
  <c r="F100" i="5"/>
  <c r="G100" i="5"/>
  <c r="H100" i="5"/>
  <c r="I100" i="5"/>
  <c r="J100" i="5"/>
  <c r="K100" i="5"/>
  <c r="L100" i="5"/>
  <c r="M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AS100" i="5"/>
  <c r="AT100" i="5"/>
  <c r="AU100" i="5"/>
  <c r="AV100" i="5"/>
  <c r="AW100" i="5"/>
  <c r="AX100" i="5"/>
  <c r="C101" i="5"/>
  <c r="D101" i="5"/>
  <c r="E101" i="5"/>
  <c r="F101" i="5"/>
  <c r="G101" i="5"/>
  <c r="H101" i="5"/>
  <c r="I101" i="5"/>
  <c r="J101" i="5"/>
  <c r="K101" i="5"/>
  <c r="L101" i="5"/>
  <c r="M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AU101" i="5"/>
  <c r="AV101" i="5"/>
  <c r="AW101" i="5"/>
  <c r="AX101" i="5"/>
  <c r="C102" i="5"/>
  <c r="D102" i="5"/>
  <c r="E102" i="5"/>
  <c r="F102" i="5"/>
  <c r="G102" i="5"/>
  <c r="H102" i="5"/>
  <c r="I102" i="5"/>
  <c r="J102" i="5"/>
  <c r="K102" i="5"/>
  <c r="L102" i="5"/>
  <c r="M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AU102" i="5"/>
  <c r="AV102" i="5"/>
  <c r="AW102" i="5"/>
  <c r="AX102" i="5"/>
  <c r="C103" i="5"/>
  <c r="D103" i="5"/>
  <c r="E103" i="5"/>
  <c r="F103" i="5"/>
  <c r="G103" i="5"/>
  <c r="H103" i="5"/>
  <c r="I103" i="5"/>
  <c r="J103" i="5"/>
  <c r="K103" i="5"/>
  <c r="L103" i="5"/>
  <c r="M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AU103" i="5"/>
  <c r="AV103" i="5"/>
  <c r="AW103" i="5"/>
  <c r="AX103" i="5"/>
  <c r="C104" i="5"/>
  <c r="D104" i="5"/>
  <c r="E104" i="5"/>
  <c r="F104" i="5"/>
  <c r="G104" i="5"/>
  <c r="H104" i="5"/>
  <c r="I104" i="5"/>
  <c r="J104" i="5"/>
  <c r="K104" i="5"/>
  <c r="L104" i="5"/>
  <c r="M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AU104" i="5"/>
  <c r="AV104" i="5"/>
  <c r="AW104" i="5"/>
  <c r="AX104" i="5"/>
  <c r="C105" i="5"/>
  <c r="D105" i="5"/>
  <c r="E105" i="5"/>
  <c r="F105" i="5"/>
  <c r="G105" i="5"/>
  <c r="H105" i="5"/>
  <c r="I105" i="5"/>
  <c r="J105" i="5"/>
  <c r="K105" i="5"/>
  <c r="L105" i="5"/>
  <c r="M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AU105" i="5"/>
  <c r="AV105" i="5"/>
  <c r="AW105" i="5"/>
  <c r="AX105" i="5"/>
  <c r="C106" i="5"/>
  <c r="D106" i="5"/>
  <c r="E106" i="5"/>
  <c r="F106" i="5"/>
  <c r="G106" i="5"/>
  <c r="H106" i="5"/>
  <c r="I106" i="5"/>
  <c r="J106" i="5"/>
  <c r="K106" i="5"/>
  <c r="L106" i="5"/>
  <c r="M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AQ106" i="5"/>
  <c r="AR106" i="5"/>
  <c r="AS106" i="5"/>
  <c r="AT106" i="5"/>
  <c r="AU106" i="5"/>
  <c r="AV106" i="5"/>
  <c r="AW106" i="5"/>
  <c r="AX106" i="5"/>
  <c r="C107" i="5"/>
  <c r="D107" i="5"/>
  <c r="E107" i="5"/>
  <c r="F107" i="5"/>
  <c r="G107" i="5"/>
  <c r="H107" i="5"/>
  <c r="I107" i="5"/>
  <c r="J107" i="5"/>
  <c r="K107" i="5"/>
  <c r="L107" i="5"/>
  <c r="M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R107" i="5"/>
  <c r="AS107" i="5"/>
  <c r="AT107" i="5"/>
  <c r="AU107" i="5"/>
  <c r="AV107" i="5"/>
  <c r="AW107" i="5"/>
  <c r="AX107" i="5"/>
  <c r="C108" i="5"/>
  <c r="D108" i="5"/>
  <c r="E108" i="5"/>
  <c r="F108" i="5"/>
  <c r="G108" i="5"/>
  <c r="H108" i="5"/>
  <c r="I108" i="5"/>
  <c r="J108" i="5"/>
  <c r="K108" i="5"/>
  <c r="L108" i="5"/>
  <c r="M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R108" i="5"/>
  <c r="AS108" i="5"/>
  <c r="AT108" i="5"/>
  <c r="AU108" i="5"/>
  <c r="AV108" i="5"/>
  <c r="AW108" i="5"/>
  <c r="AX108" i="5"/>
  <c r="C109" i="5"/>
  <c r="D109" i="5"/>
  <c r="E109" i="5"/>
  <c r="F109" i="5"/>
  <c r="G109" i="5"/>
  <c r="H109" i="5"/>
  <c r="I109" i="5"/>
  <c r="J109" i="5"/>
  <c r="K109" i="5"/>
  <c r="L109" i="5"/>
  <c r="M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AQ109" i="5"/>
  <c r="AR109" i="5"/>
  <c r="AS109" i="5"/>
  <c r="AT109" i="5"/>
  <c r="AU109" i="5"/>
  <c r="AV109" i="5"/>
  <c r="AW109" i="5"/>
  <c r="AX109" i="5"/>
  <c r="C110" i="5"/>
  <c r="D110" i="5"/>
  <c r="E110" i="5"/>
  <c r="F110" i="5"/>
  <c r="G110" i="5"/>
  <c r="H110" i="5"/>
  <c r="I110" i="5"/>
  <c r="J110" i="5"/>
  <c r="K110" i="5"/>
  <c r="L110" i="5"/>
  <c r="M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AU110" i="5"/>
  <c r="AV110" i="5"/>
  <c r="AW110" i="5"/>
  <c r="AX110" i="5"/>
  <c r="C111" i="5"/>
  <c r="D111" i="5"/>
  <c r="E111" i="5"/>
  <c r="F111" i="5"/>
  <c r="G111" i="5"/>
  <c r="H111" i="5"/>
  <c r="I111" i="5"/>
  <c r="J111" i="5"/>
  <c r="K111" i="5"/>
  <c r="L111" i="5"/>
  <c r="M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R111" i="5"/>
  <c r="AS111" i="5"/>
  <c r="AT111" i="5"/>
  <c r="AU111" i="5"/>
  <c r="AV111" i="5"/>
  <c r="AW111" i="5"/>
  <c r="AX111" i="5"/>
  <c r="C112" i="5"/>
  <c r="D112" i="5"/>
  <c r="E112" i="5"/>
  <c r="F112" i="5"/>
  <c r="G112" i="5"/>
  <c r="H112" i="5"/>
  <c r="I112" i="5"/>
  <c r="J112" i="5"/>
  <c r="K112" i="5"/>
  <c r="L112" i="5"/>
  <c r="M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N112" i="5"/>
  <c r="AO112" i="5"/>
  <c r="AP112" i="5"/>
  <c r="AQ112" i="5"/>
  <c r="AR112" i="5"/>
  <c r="AS112" i="5"/>
  <c r="AT112" i="5"/>
  <c r="AU112" i="5"/>
  <c r="AV112" i="5"/>
  <c r="AW112" i="5"/>
  <c r="AX112" i="5"/>
  <c r="C113" i="5"/>
  <c r="D113" i="5"/>
  <c r="E113" i="5"/>
  <c r="F113" i="5"/>
  <c r="G113" i="5"/>
  <c r="H113" i="5"/>
  <c r="I113" i="5"/>
  <c r="J113" i="5"/>
  <c r="K113" i="5"/>
  <c r="L113" i="5"/>
  <c r="M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AU113" i="5"/>
  <c r="AV113" i="5"/>
  <c r="AW113" i="5"/>
  <c r="AX113" i="5"/>
  <c r="C114" i="5"/>
  <c r="D114" i="5"/>
  <c r="E114" i="5"/>
  <c r="F114" i="5"/>
  <c r="G114" i="5"/>
  <c r="H114" i="5"/>
  <c r="I114" i="5"/>
  <c r="J114" i="5"/>
  <c r="K114" i="5"/>
  <c r="L114" i="5"/>
  <c r="M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AU114" i="5"/>
  <c r="AV114" i="5"/>
  <c r="AW114" i="5"/>
  <c r="AX114" i="5"/>
  <c r="C115" i="5"/>
  <c r="D115" i="5"/>
  <c r="E115" i="5"/>
  <c r="F115" i="5"/>
  <c r="G115" i="5"/>
  <c r="H115" i="5"/>
  <c r="I115" i="5"/>
  <c r="J115" i="5"/>
  <c r="K115" i="5"/>
  <c r="L115" i="5"/>
  <c r="M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AR115" i="5"/>
  <c r="AS115" i="5"/>
  <c r="AT115" i="5"/>
  <c r="AU115" i="5"/>
  <c r="AV115" i="5"/>
  <c r="AW115" i="5"/>
  <c r="AX115" i="5"/>
  <c r="C116" i="5"/>
  <c r="D116" i="5"/>
  <c r="E116" i="5"/>
  <c r="F116" i="5"/>
  <c r="G116" i="5"/>
  <c r="H116" i="5"/>
  <c r="I116" i="5"/>
  <c r="J116" i="5"/>
  <c r="K116" i="5"/>
  <c r="L116" i="5"/>
  <c r="M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AU116" i="5"/>
  <c r="AV116" i="5"/>
  <c r="AW116" i="5"/>
  <c r="AX116" i="5"/>
  <c r="C117" i="5"/>
  <c r="D117" i="5"/>
  <c r="E117" i="5"/>
  <c r="F117" i="5"/>
  <c r="G117" i="5"/>
  <c r="H117" i="5"/>
  <c r="I117" i="5"/>
  <c r="J117" i="5"/>
  <c r="K117" i="5"/>
  <c r="L117" i="5"/>
  <c r="M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AS117" i="5"/>
  <c r="AT117" i="5"/>
  <c r="AU117" i="5"/>
  <c r="AV117" i="5"/>
  <c r="AW117" i="5"/>
  <c r="AX117" i="5"/>
  <c r="C118" i="5"/>
  <c r="D118" i="5"/>
  <c r="E118" i="5"/>
  <c r="F118" i="5"/>
  <c r="G118" i="5"/>
  <c r="H118" i="5"/>
  <c r="I118" i="5"/>
  <c r="J118" i="5"/>
  <c r="K118" i="5"/>
  <c r="L118" i="5"/>
  <c r="M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AR118" i="5"/>
  <c r="AS118" i="5"/>
  <c r="AT118" i="5"/>
  <c r="AU118" i="5"/>
  <c r="AV118" i="5"/>
  <c r="AW118" i="5"/>
  <c r="AX118" i="5"/>
  <c r="C119" i="5"/>
  <c r="D119" i="5"/>
  <c r="E119" i="5"/>
  <c r="F119" i="5"/>
  <c r="G119" i="5"/>
  <c r="H119" i="5"/>
  <c r="I119" i="5"/>
  <c r="J119" i="5"/>
  <c r="K119" i="5"/>
  <c r="L119" i="5"/>
  <c r="M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R119" i="5"/>
  <c r="AS119" i="5"/>
  <c r="AT119" i="5"/>
  <c r="AU119" i="5"/>
  <c r="AV119" i="5"/>
  <c r="AW119" i="5"/>
  <c r="AX119" i="5"/>
  <c r="C120" i="5"/>
  <c r="D120" i="5"/>
  <c r="E120" i="5"/>
  <c r="F120" i="5"/>
  <c r="G120" i="5"/>
  <c r="H120" i="5"/>
  <c r="I120" i="5"/>
  <c r="J120" i="5"/>
  <c r="K120" i="5"/>
  <c r="L120" i="5"/>
  <c r="M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R120" i="5"/>
  <c r="AS120" i="5"/>
  <c r="AT120" i="5"/>
  <c r="AU120" i="5"/>
  <c r="AV120" i="5"/>
  <c r="AW120" i="5"/>
  <c r="AX120" i="5"/>
  <c r="C121" i="5"/>
  <c r="D121" i="5"/>
  <c r="E121" i="5"/>
  <c r="F121" i="5"/>
  <c r="G121" i="5"/>
  <c r="H121" i="5"/>
  <c r="I121" i="5"/>
  <c r="J121" i="5"/>
  <c r="K121" i="5"/>
  <c r="L121" i="5"/>
  <c r="M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AR121" i="5"/>
  <c r="AS121" i="5"/>
  <c r="AT121" i="5"/>
  <c r="AU121" i="5"/>
  <c r="AV121" i="5"/>
  <c r="AW121" i="5"/>
  <c r="AX121" i="5"/>
  <c r="C122" i="5"/>
  <c r="D122" i="5"/>
  <c r="E122" i="5"/>
  <c r="F122" i="5"/>
  <c r="G122" i="5"/>
  <c r="H122" i="5"/>
  <c r="I122" i="5"/>
  <c r="J122" i="5"/>
  <c r="K122" i="5"/>
  <c r="L122" i="5"/>
  <c r="M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R122" i="5"/>
  <c r="AS122" i="5"/>
  <c r="AT122" i="5"/>
  <c r="AU122" i="5"/>
  <c r="AV122" i="5"/>
  <c r="AW122" i="5"/>
  <c r="AX122" i="5"/>
  <c r="C123" i="5"/>
  <c r="D123" i="5"/>
  <c r="E123" i="5"/>
  <c r="F123" i="5"/>
  <c r="G123" i="5"/>
  <c r="H123" i="5"/>
  <c r="I123" i="5"/>
  <c r="J123" i="5"/>
  <c r="K123" i="5"/>
  <c r="L123" i="5"/>
  <c r="M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R123" i="5"/>
  <c r="AS123" i="5"/>
  <c r="AT123" i="5"/>
  <c r="AU123" i="5"/>
  <c r="AV123" i="5"/>
  <c r="AW123" i="5"/>
  <c r="AX123" i="5"/>
  <c r="C124" i="5"/>
  <c r="D124" i="5"/>
  <c r="E124" i="5"/>
  <c r="F124" i="5"/>
  <c r="G124" i="5"/>
  <c r="H124" i="5"/>
  <c r="I124" i="5"/>
  <c r="J124" i="5"/>
  <c r="K124" i="5"/>
  <c r="L124" i="5"/>
  <c r="M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R124" i="5"/>
  <c r="AS124" i="5"/>
  <c r="AT124" i="5"/>
  <c r="AU124" i="5"/>
  <c r="AV124" i="5"/>
  <c r="AW124" i="5"/>
  <c r="AX124" i="5"/>
  <c r="C125" i="5"/>
  <c r="D125" i="5"/>
  <c r="E125" i="5"/>
  <c r="F125" i="5"/>
  <c r="G125" i="5"/>
  <c r="H125" i="5"/>
  <c r="I125" i="5"/>
  <c r="J125" i="5"/>
  <c r="K125" i="5"/>
  <c r="L125" i="5"/>
  <c r="M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R125" i="5"/>
  <c r="AS125" i="5"/>
  <c r="AT125" i="5"/>
  <c r="AU125" i="5"/>
  <c r="AV125" i="5"/>
  <c r="AW125" i="5"/>
  <c r="AX125" i="5"/>
  <c r="C126" i="5"/>
  <c r="D126" i="5"/>
  <c r="E126" i="5"/>
  <c r="F126" i="5"/>
  <c r="G126" i="5"/>
  <c r="H126" i="5"/>
  <c r="I126" i="5"/>
  <c r="J126" i="5"/>
  <c r="K126" i="5"/>
  <c r="L126" i="5"/>
  <c r="M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AR126" i="5"/>
  <c r="AS126" i="5"/>
  <c r="AT126" i="5"/>
  <c r="AU126" i="5"/>
  <c r="AV126" i="5"/>
  <c r="AW126" i="5"/>
  <c r="AX126" i="5"/>
  <c r="C127" i="5"/>
  <c r="D127" i="5"/>
  <c r="E127" i="5"/>
  <c r="F127" i="5"/>
  <c r="G127" i="5"/>
  <c r="H127" i="5"/>
  <c r="I127" i="5"/>
  <c r="J127" i="5"/>
  <c r="K127" i="5"/>
  <c r="L127" i="5"/>
  <c r="M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AQ127" i="5"/>
  <c r="AR127" i="5"/>
  <c r="AS127" i="5"/>
  <c r="AT127" i="5"/>
  <c r="AU127" i="5"/>
  <c r="AV127" i="5"/>
  <c r="AW127" i="5"/>
  <c r="AX127" i="5"/>
  <c r="C128" i="5"/>
  <c r="D128" i="5"/>
  <c r="E128" i="5"/>
  <c r="F128" i="5"/>
  <c r="G128" i="5"/>
  <c r="H128" i="5"/>
  <c r="I128" i="5"/>
  <c r="J128" i="5"/>
  <c r="K128" i="5"/>
  <c r="L128" i="5"/>
  <c r="M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AS128" i="5"/>
  <c r="AT128" i="5"/>
  <c r="AU128" i="5"/>
  <c r="AV128" i="5"/>
  <c r="AW128" i="5"/>
  <c r="AX128" i="5"/>
  <c r="C129" i="5"/>
  <c r="D129" i="5"/>
  <c r="E129" i="5"/>
  <c r="F129" i="5"/>
  <c r="G129" i="5"/>
  <c r="H129" i="5"/>
  <c r="I129" i="5"/>
  <c r="J129" i="5"/>
  <c r="K129" i="5"/>
  <c r="L129" i="5"/>
  <c r="M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AR129" i="5"/>
  <c r="AS129" i="5"/>
  <c r="AT129" i="5"/>
  <c r="AU129" i="5"/>
  <c r="AV129" i="5"/>
  <c r="AW129" i="5"/>
  <c r="AX129" i="5"/>
  <c r="C130" i="5"/>
  <c r="D130" i="5"/>
  <c r="E130" i="5"/>
  <c r="F130" i="5"/>
  <c r="G130" i="5"/>
  <c r="H130" i="5"/>
  <c r="I130" i="5"/>
  <c r="J130" i="5"/>
  <c r="K130" i="5"/>
  <c r="L130" i="5"/>
  <c r="M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AL130" i="5"/>
  <c r="AM130" i="5"/>
  <c r="AN130" i="5"/>
  <c r="AO130" i="5"/>
  <c r="AP130" i="5"/>
  <c r="AQ130" i="5"/>
  <c r="AR130" i="5"/>
  <c r="AS130" i="5"/>
  <c r="AT130" i="5"/>
  <c r="AU130" i="5"/>
  <c r="AV130" i="5"/>
  <c r="AW130" i="5"/>
  <c r="AX130" i="5"/>
  <c r="C131" i="5"/>
  <c r="D131" i="5"/>
  <c r="E131" i="5"/>
  <c r="F131" i="5"/>
  <c r="G131" i="5"/>
  <c r="H131" i="5"/>
  <c r="I131" i="5"/>
  <c r="J131" i="5"/>
  <c r="K131" i="5"/>
  <c r="L131" i="5"/>
  <c r="M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AR131" i="5"/>
  <c r="AS131" i="5"/>
  <c r="AT131" i="5"/>
  <c r="AU131" i="5"/>
  <c r="AV131" i="5"/>
  <c r="AW131" i="5"/>
  <c r="AX131" i="5"/>
  <c r="C132" i="5"/>
  <c r="D132" i="5"/>
  <c r="E132" i="5"/>
  <c r="F132" i="5"/>
  <c r="G132" i="5"/>
  <c r="H132" i="5"/>
  <c r="I132" i="5"/>
  <c r="J132" i="5"/>
  <c r="K132" i="5"/>
  <c r="L132" i="5"/>
  <c r="M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AR132" i="5"/>
  <c r="AS132" i="5"/>
  <c r="AT132" i="5"/>
  <c r="AU132" i="5"/>
  <c r="AV132" i="5"/>
  <c r="AW132" i="5"/>
  <c r="AX132" i="5"/>
  <c r="C133" i="5"/>
  <c r="D133" i="5"/>
  <c r="E133" i="5"/>
  <c r="F133" i="5"/>
  <c r="G133" i="5"/>
  <c r="H133" i="5"/>
  <c r="I133" i="5"/>
  <c r="J133" i="5"/>
  <c r="K133" i="5"/>
  <c r="L133" i="5"/>
  <c r="M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AJ133" i="5"/>
  <c r="AK133" i="5"/>
  <c r="AL133" i="5"/>
  <c r="AM133" i="5"/>
  <c r="AN133" i="5"/>
  <c r="AO133" i="5"/>
  <c r="AP133" i="5"/>
  <c r="AQ133" i="5"/>
  <c r="AR133" i="5"/>
  <c r="AS133" i="5"/>
  <c r="AT133" i="5"/>
  <c r="AU133" i="5"/>
  <c r="AV133" i="5"/>
  <c r="AW133" i="5"/>
  <c r="AX133" i="5"/>
  <c r="C134" i="5"/>
  <c r="D134" i="5"/>
  <c r="E134" i="5"/>
  <c r="F134" i="5"/>
  <c r="G134" i="5"/>
  <c r="H134" i="5"/>
  <c r="I134" i="5"/>
  <c r="J134" i="5"/>
  <c r="K134" i="5"/>
  <c r="L134" i="5"/>
  <c r="M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AR134" i="5"/>
  <c r="AS134" i="5"/>
  <c r="AT134" i="5"/>
  <c r="AU134" i="5"/>
  <c r="AV134" i="5"/>
  <c r="AW134" i="5"/>
  <c r="AX134" i="5"/>
  <c r="C135" i="5"/>
  <c r="D135" i="5"/>
  <c r="E135" i="5"/>
  <c r="F135" i="5"/>
  <c r="G135" i="5"/>
  <c r="H135" i="5"/>
  <c r="I135" i="5"/>
  <c r="J135" i="5"/>
  <c r="K135" i="5"/>
  <c r="L135" i="5"/>
  <c r="M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AR135" i="5"/>
  <c r="AS135" i="5"/>
  <c r="AT135" i="5"/>
  <c r="AU135" i="5"/>
  <c r="AV135" i="5"/>
  <c r="AW135" i="5"/>
  <c r="AX135" i="5"/>
  <c r="C136" i="5"/>
  <c r="D136" i="5"/>
  <c r="E136" i="5"/>
  <c r="F136" i="5"/>
  <c r="G136" i="5"/>
  <c r="H136" i="5"/>
  <c r="I136" i="5"/>
  <c r="J136" i="5"/>
  <c r="K136" i="5"/>
  <c r="L136" i="5"/>
  <c r="M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K136" i="5"/>
  <c r="AL136" i="5"/>
  <c r="AM136" i="5"/>
  <c r="AN136" i="5"/>
  <c r="AO136" i="5"/>
  <c r="AP136" i="5"/>
  <c r="AQ136" i="5"/>
  <c r="AR136" i="5"/>
  <c r="AS136" i="5"/>
  <c r="AT136" i="5"/>
  <c r="AU136" i="5"/>
  <c r="AV136" i="5"/>
  <c r="AW136" i="5"/>
  <c r="AX136" i="5"/>
  <c r="C137" i="5"/>
  <c r="D137" i="5"/>
  <c r="E137" i="5"/>
  <c r="F137" i="5"/>
  <c r="G137" i="5"/>
  <c r="H137" i="5"/>
  <c r="I137" i="5"/>
  <c r="J137" i="5"/>
  <c r="K137" i="5"/>
  <c r="L137" i="5"/>
  <c r="M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AR137" i="5"/>
  <c r="AS137" i="5"/>
  <c r="AT137" i="5"/>
  <c r="AU137" i="5"/>
  <c r="AV137" i="5"/>
  <c r="AW137" i="5"/>
  <c r="AX137" i="5"/>
  <c r="C138" i="5"/>
  <c r="D138" i="5"/>
  <c r="E138" i="5"/>
  <c r="F138" i="5"/>
  <c r="G138" i="5"/>
  <c r="H138" i="5"/>
  <c r="I138" i="5"/>
  <c r="J138" i="5"/>
  <c r="K138" i="5"/>
  <c r="L138" i="5"/>
  <c r="M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AR138" i="5"/>
  <c r="AS138" i="5"/>
  <c r="AT138" i="5"/>
  <c r="AU138" i="5"/>
  <c r="AV138" i="5"/>
  <c r="AW138" i="5"/>
  <c r="AX138" i="5"/>
  <c r="C139" i="5"/>
  <c r="D139" i="5"/>
  <c r="E139" i="5"/>
  <c r="F139" i="5"/>
  <c r="G139" i="5"/>
  <c r="H139" i="5"/>
  <c r="I139" i="5"/>
  <c r="J139" i="5"/>
  <c r="K139" i="5"/>
  <c r="L139" i="5"/>
  <c r="M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I139" i="5"/>
  <c r="AJ139" i="5"/>
  <c r="AK139" i="5"/>
  <c r="AL139" i="5"/>
  <c r="AM139" i="5"/>
  <c r="AN139" i="5"/>
  <c r="AO139" i="5"/>
  <c r="AP139" i="5"/>
  <c r="AQ139" i="5"/>
  <c r="AR139" i="5"/>
  <c r="AS139" i="5"/>
  <c r="AT139" i="5"/>
  <c r="AU139" i="5"/>
  <c r="AV139" i="5"/>
  <c r="AW139" i="5"/>
  <c r="AX139" i="5"/>
  <c r="C140" i="5"/>
  <c r="D140" i="5"/>
  <c r="E140" i="5"/>
  <c r="F140" i="5"/>
  <c r="G140" i="5"/>
  <c r="H140" i="5"/>
  <c r="I140" i="5"/>
  <c r="J140" i="5"/>
  <c r="K140" i="5"/>
  <c r="L140" i="5"/>
  <c r="M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AQ140" i="5"/>
  <c r="AR140" i="5"/>
  <c r="AS140" i="5"/>
  <c r="AT140" i="5"/>
  <c r="AU140" i="5"/>
  <c r="AV140" i="5"/>
  <c r="AW140" i="5"/>
  <c r="AX140" i="5"/>
  <c r="C141" i="5"/>
  <c r="D141" i="5"/>
  <c r="E141" i="5"/>
  <c r="F141" i="5"/>
  <c r="G141" i="5"/>
  <c r="H141" i="5"/>
  <c r="I141" i="5"/>
  <c r="J141" i="5"/>
  <c r="K141" i="5"/>
  <c r="L141" i="5"/>
  <c r="M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AO141" i="5"/>
  <c r="AP141" i="5"/>
  <c r="AQ141" i="5"/>
  <c r="AR141" i="5"/>
  <c r="AS141" i="5"/>
  <c r="AT141" i="5"/>
  <c r="AU141" i="5"/>
  <c r="AV141" i="5"/>
  <c r="AW141" i="5"/>
  <c r="AX141" i="5"/>
  <c r="C142" i="5"/>
  <c r="D142" i="5"/>
  <c r="E142" i="5"/>
  <c r="F142" i="5"/>
  <c r="G142" i="5"/>
  <c r="H142" i="5"/>
  <c r="I142" i="5"/>
  <c r="J142" i="5"/>
  <c r="K142" i="5"/>
  <c r="L142" i="5"/>
  <c r="M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AH142" i="5"/>
  <c r="AI142" i="5"/>
  <c r="AJ142" i="5"/>
  <c r="AK142" i="5"/>
  <c r="AL142" i="5"/>
  <c r="AM142" i="5"/>
  <c r="AN142" i="5"/>
  <c r="AO142" i="5"/>
  <c r="AP142" i="5"/>
  <c r="AQ142" i="5"/>
  <c r="AR142" i="5"/>
  <c r="AS142" i="5"/>
  <c r="AT142" i="5"/>
  <c r="AU142" i="5"/>
  <c r="AV142" i="5"/>
  <c r="AW142" i="5"/>
  <c r="AX142" i="5"/>
  <c r="C143" i="5"/>
  <c r="D143" i="5"/>
  <c r="E143" i="5"/>
  <c r="F143" i="5"/>
  <c r="G143" i="5"/>
  <c r="H143" i="5"/>
  <c r="I143" i="5"/>
  <c r="J143" i="5"/>
  <c r="K143" i="5"/>
  <c r="L143" i="5"/>
  <c r="M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AO143" i="5"/>
  <c r="AP143" i="5"/>
  <c r="AQ143" i="5"/>
  <c r="AR143" i="5"/>
  <c r="AS143" i="5"/>
  <c r="AT143" i="5"/>
  <c r="AU143" i="5"/>
  <c r="AV143" i="5"/>
  <c r="AW143" i="5"/>
  <c r="AX143" i="5"/>
  <c r="C144" i="5"/>
  <c r="D144" i="5"/>
  <c r="E144" i="5"/>
  <c r="F144" i="5"/>
  <c r="G144" i="5"/>
  <c r="H144" i="5"/>
  <c r="I144" i="5"/>
  <c r="J144" i="5"/>
  <c r="K144" i="5"/>
  <c r="L144" i="5"/>
  <c r="M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AO144" i="5"/>
  <c r="AP144" i="5"/>
  <c r="AQ144" i="5"/>
  <c r="AR144" i="5"/>
  <c r="AS144" i="5"/>
  <c r="AT144" i="5"/>
  <c r="AU144" i="5"/>
  <c r="AV144" i="5"/>
  <c r="AW144" i="5"/>
  <c r="AX144" i="5"/>
  <c r="C145" i="5"/>
  <c r="D145" i="5"/>
  <c r="E145" i="5"/>
  <c r="F145" i="5"/>
  <c r="G145" i="5"/>
  <c r="H145" i="5"/>
  <c r="I145" i="5"/>
  <c r="J145" i="5"/>
  <c r="K145" i="5"/>
  <c r="L145" i="5"/>
  <c r="M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I145" i="5"/>
  <c r="AJ145" i="5"/>
  <c r="AK145" i="5"/>
  <c r="AL145" i="5"/>
  <c r="AM145" i="5"/>
  <c r="AN145" i="5"/>
  <c r="AO145" i="5"/>
  <c r="AP145" i="5"/>
  <c r="AQ145" i="5"/>
  <c r="AR145" i="5"/>
  <c r="AS145" i="5"/>
  <c r="AT145" i="5"/>
  <c r="AU145" i="5"/>
  <c r="AV145" i="5"/>
  <c r="AW145" i="5"/>
  <c r="AX145" i="5"/>
  <c r="C146" i="5"/>
  <c r="D146" i="5"/>
  <c r="E146" i="5"/>
  <c r="F146" i="5"/>
  <c r="G146" i="5"/>
  <c r="H146" i="5"/>
  <c r="I146" i="5"/>
  <c r="J146" i="5"/>
  <c r="K146" i="5"/>
  <c r="L146" i="5"/>
  <c r="M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AQ146" i="5"/>
  <c r="AR146" i="5"/>
  <c r="AS146" i="5"/>
  <c r="AT146" i="5"/>
  <c r="AU146" i="5"/>
  <c r="AV146" i="5"/>
  <c r="AW146" i="5"/>
  <c r="AX146" i="5"/>
  <c r="C147" i="5"/>
  <c r="D147" i="5"/>
  <c r="E147" i="5"/>
  <c r="F147" i="5"/>
  <c r="G147" i="5"/>
  <c r="H147" i="5"/>
  <c r="I147" i="5"/>
  <c r="J147" i="5"/>
  <c r="K147" i="5"/>
  <c r="L147" i="5"/>
  <c r="M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AH147" i="5"/>
  <c r="AI147" i="5"/>
  <c r="AJ147" i="5"/>
  <c r="AK147" i="5"/>
  <c r="AL147" i="5"/>
  <c r="AM147" i="5"/>
  <c r="AN147" i="5"/>
  <c r="AO147" i="5"/>
  <c r="AP147" i="5"/>
  <c r="AQ147" i="5"/>
  <c r="AR147" i="5"/>
  <c r="AS147" i="5"/>
  <c r="AT147" i="5"/>
  <c r="AU147" i="5"/>
  <c r="AV147" i="5"/>
  <c r="AW147" i="5"/>
  <c r="AX147" i="5"/>
  <c r="C148" i="5"/>
  <c r="D148" i="5"/>
  <c r="E148" i="5"/>
  <c r="F148" i="5"/>
  <c r="G148" i="5"/>
  <c r="H148" i="5"/>
  <c r="I148" i="5"/>
  <c r="J148" i="5"/>
  <c r="K148" i="5"/>
  <c r="L148" i="5"/>
  <c r="M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AH148" i="5"/>
  <c r="AI148" i="5"/>
  <c r="AJ148" i="5"/>
  <c r="AK148" i="5"/>
  <c r="AL148" i="5"/>
  <c r="AM148" i="5"/>
  <c r="AN148" i="5"/>
  <c r="AO148" i="5"/>
  <c r="AP148" i="5"/>
  <c r="AQ148" i="5"/>
  <c r="AR148" i="5"/>
  <c r="AS148" i="5"/>
  <c r="AT148" i="5"/>
  <c r="AU148" i="5"/>
  <c r="AV148" i="5"/>
  <c r="AW148" i="5"/>
  <c r="AX148" i="5"/>
  <c r="C149" i="5"/>
  <c r="D149" i="5"/>
  <c r="E149" i="5"/>
  <c r="F149" i="5"/>
  <c r="G149" i="5"/>
  <c r="H149" i="5"/>
  <c r="I149" i="5"/>
  <c r="J149" i="5"/>
  <c r="K149" i="5"/>
  <c r="L149" i="5"/>
  <c r="M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I149" i="5"/>
  <c r="AJ149" i="5"/>
  <c r="AK149" i="5"/>
  <c r="AL149" i="5"/>
  <c r="AM149" i="5"/>
  <c r="AN149" i="5"/>
  <c r="AO149" i="5"/>
  <c r="AP149" i="5"/>
  <c r="AQ149" i="5"/>
  <c r="AR149" i="5"/>
  <c r="AS149" i="5"/>
  <c r="AT149" i="5"/>
  <c r="AU149" i="5"/>
  <c r="AV149" i="5"/>
  <c r="AW149" i="5"/>
  <c r="AX149" i="5"/>
  <c r="C150" i="5"/>
  <c r="D150" i="5"/>
  <c r="E150" i="5"/>
  <c r="F150" i="5"/>
  <c r="G150" i="5"/>
  <c r="H150" i="5"/>
  <c r="I150" i="5"/>
  <c r="J150" i="5"/>
  <c r="K150" i="5"/>
  <c r="L150" i="5"/>
  <c r="M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K150" i="5"/>
  <c r="AL150" i="5"/>
  <c r="AM150" i="5"/>
  <c r="AN150" i="5"/>
  <c r="AO150" i="5"/>
  <c r="AP150" i="5"/>
  <c r="AQ150" i="5"/>
  <c r="AR150" i="5"/>
  <c r="AS150" i="5"/>
  <c r="AT150" i="5"/>
  <c r="AU150" i="5"/>
  <c r="AV150" i="5"/>
  <c r="AW150" i="5"/>
  <c r="AX150" i="5"/>
  <c r="C151" i="5"/>
  <c r="D151" i="5"/>
  <c r="E151" i="5"/>
  <c r="F151" i="5"/>
  <c r="G151" i="5"/>
  <c r="H151" i="5"/>
  <c r="I151" i="5"/>
  <c r="J151" i="5"/>
  <c r="K151" i="5"/>
  <c r="L151" i="5"/>
  <c r="M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AG151" i="5"/>
  <c r="AH151" i="5"/>
  <c r="AI151" i="5"/>
  <c r="AJ151" i="5"/>
  <c r="AK151" i="5"/>
  <c r="AL151" i="5"/>
  <c r="AM151" i="5"/>
  <c r="AN151" i="5"/>
  <c r="AO151" i="5"/>
  <c r="AP151" i="5"/>
  <c r="AQ151" i="5"/>
  <c r="AR151" i="5"/>
  <c r="AS151" i="5"/>
  <c r="AT151" i="5"/>
  <c r="AU151" i="5"/>
  <c r="AV151" i="5"/>
  <c r="AW151" i="5"/>
  <c r="AX151" i="5"/>
  <c r="C152" i="5"/>
  <c r="D152" i="5"/>
  <c r="E152" i="5"/>
  <c r="F152" i="5"/>
  <c r="G152" i="5"/>
  <c r="H152" i="5"/>
  <c r="I152" i="5"/>
  <c r="J152" i="5"/>
  <c r="K152" i="5"/>
  <c r="L152" i="5"/>
  <c r="M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I152" i="5"/>
  <c r="AJ152" i="5"/>
  <c r="AK152" i="5"/>
  <c r="AL152" i="5"/>
  <c r="AM152" i="5"/>
  <c r="AN152" i="5"/>
  <c r="AO152" i="5"/>
  <c r="AP152" i="5"/>
  <c r="AQ152" i="5"/>
  <c r="AR152" i="5"/>
  <c r="AS152" i="5"/>
  <c r="AT152" i="5"/>
  <c r="AU152" i="5"/>
  <c r="AV152" i="5"/>
  <c r="AW152" i="5"/>
  <c r="AX152" i="5"/>
  <c r="C153" i="5"/>
  <c r="D153" i="5"/>
  <c r="E153" i="5"/>
  <c r="F153" i="5"/>
  <c r="G153" i="5"/>
  <c r="H153" i="5"/>
  <c r="I153" i="5"/>
  <c r="J153" i="5"/>
  <c r="K153" i="5"/>
  <c r="L153" i="5"/>
  <c r="M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AH153" i="5"/>
  <c r="AI153" i="5"/>
  <c r="AJ153" i="5"/>
  <c r="AK153" i="5"/>
  <c r="AL153" i="5"/>
  <c r="AM153" i="5"/>
  <c r="AN153" i="5"/>
  <c r="AO153" i="5"/>
  <c r="AP153" i="5"/>
  <c r="AQ153" i="5"/>
  <c r="AR153" i="5"/>
  <c r="AS153" i="5"/>
  <c r="AT153" i="5"/>
  <c r="AU153" i="5"/>
  <c r="AV153" i="5"/>
  <c r="AW153" i="5"/>
  <c r="AX153" i="5"/>
  <c r="C154" i="5"/>
  <c r="D154" i="5"/>
  <c r="E154" i="5"/>
  <c r="F154" i="5"/>
  <c r="G154" i="5"/>
  <c r="H154" i="5"/>
  <c r="I154" i="5"/>
  <c r="J154" i="5"/>
  <c r="K154" i="5"/>
  <c r="L154" i="5"/>
  <c r="M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AG154" i="5"/>
  <c r="AH154" i="5"/>
  <c r="AI154" i="5"/>
  <c r="AJ154" i="5"/>
  <c r="AK154" i="5"/>
  <c r="AL154" i="5"/>
  <c r="AM154" i="5"/>
  <c r="AN154" i="5"/>
  <c r="AO154" i="5"/>
  <c r="AP154" i="5"/>
  <c r="AQ154" i="5"/>
  <c r="AR154" i="5"/>
  <c r="AS154" i="5"/>
  <c r="AT154" i="5"/>
  <c r="AU154" i="5"/>
  <c r="AV154" i="5"/>
  <c r="AW154" i="5"/>
  <c r="AX154" i="5"/>
  <c r="C155" i="5"/>
  <c r="D155" i="5"/>
  <c r="E155" i="5"/>
  <c r="F155" i="5"/>
  <c r="G155" i="5"/>
  <c r="H155" i="5"/>
  <c r="I155" i="5"/>
  <c r="J155" i="5"/>
  <c r="K155" i="5"/>
  <c r="L155" i="5"/>
  <c r="M155" i="5"/>
  <c r="O155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AG155" i="5"/>
  <c r="AH155" i="5"/>
  <c r="AI155" i="5"/>
  <c r="AJ155" i="5"/>
  <c r="AK155" i="5"/>
  <c r="AL155" i="5"/>
  <c r="AM155" i="5"/>
  <c r="AN155" i="5"/>
  <c r="AO155" i="5"/>
  <c r="AP155" i="5"/>
  <c r="AQ155" i="5"/>
  <c r="AR155" i="5"/>
  <c r="AS155" i="5"/>
  <c r="AT155" i="5"/>
  <c r="AU155" i="5"/>
  <c r="AV155" i="5"/>
  <c r="AW155" i="5"/>
  <c r="AX155" i="5"/>
  <c r="C156" i="5"/>
  <c r="D156" i="5"/>
  <c r="E156" i="5"/>
  <c r="F156" i="5"/>
  <c r="G156" i="5"/>
  <c r="H156" i="5"/>
  <c r="I156" i="5"/>
  <c r="J156" i="5"/>
  <c r="K156" i="5"/>
  <c r="L156" i="5"/>
  <c r="M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AG156" i="5"/>
  <c r="AH156" i="5"/>
  <c r="AI156" i="5"/>
  <c r="AJ156" i="5"/>
  <c r="AK156" i="5"/>
  <c r="AL156" i="5"/>
  <c r="AM156" i="5"/>
  <c r="AN156" i="5"/>
  <c r="AO156" i="5"/>
  <c r="AP156" i="5"/>
  <c r="AQ156" i="5"/>
  <c r="AR156" i="5"/>
  <c r="AS156" i="5"/>
  <c r="AT156" i="5"/>
  <c r="AU156" i="5"/>
  <c r="AV156" i="5"/>
  <c r="AW156" i="5"/>
  <c r="AX156" i="5"/>
  <c r="C157" i="5"/>
  <c r="D157" i="5"/>
  <c r="E157" i="5"/>
  <c r="F157" i="5"/>
  <c r="G157" i="5"/>
  <c r="H157" i="5"/>
  <c r="I157" i="5"/>
  <c r="J157" i="5"/>
  <c r="K157" i="5"/>
  <c r="L157" i="5"/>
  <c r="M157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AG157" i="5"/>
  <c r="AH157" i="5"/>
  <c r="AI157" i="5"/>
  <c r="AJ157" i="5"/>
  <c r="AK157" i="5"/>
  <c r="AL157" i="5"/>
  <c r="AM157" i="5"/>
  <c r="AN157" i="5"/>
  <c r="AO157" i="5"/>
  <c r="AP157" i="5"/>
  <c r="AQ157" i="5"/>
  <c r="AR157" i="5"/>
  <c r="AS157" i="5"/>
  <c r="AT157" i="5"/>
  <c r="AU157" i="5"/>
  <c r="AV157" i="5"/>
  <c r="AW157" i="5"/>
  <c r="AX157" i="5"/>
  <c r="C158" i="5"/>
  <c r="D158" i="5"/>
  <c r="E158" i="5"/>
  <c r="F158" i="5"/>
  <c r="G158" i="5"/>
  <c r="H158" i="5"/>
  <c r="I158" i="5"/>
  <c r="J158" i="5"/>
  <c r="K158" i="5"/>
  <c r="L158" i="5"/>
  <c r="M158" i="5"/>
  <c r="O158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AG158" i="5"/>
  <c r="AH158" i="5"/>
  <c r="AI158" i="5"/>
  <c r="AJ158" i="5"/>
  <c r="AK158" i="5"/>
  <c r="AL158" i="5"/>
  <c r="AM158" i="5"/>
  <c r="AN158" i="5"/>
  <c r="AO158" i="5"/>
  <c r="AP158" i="5"/>
  <c r="AQ158" i="5"/>
  <c r="AR158" i="5"/>
  <c r="AS158" i="5"/>
  <c r="AT158" i="5"/>
  <c r="AU158" i="5"/>
  <c r="AV158" i="5"/>
  <c r="AW158" i="5"/>
  <c r="AX158" i="5"/>
  <c r="C159" i="5"/>
  <c r="D159" i="5"/>
  <c r="E159" i="5"/>
  <c r="F159" i="5"/>
  <c r="G159" i="5"/>
  <c r="H159" i="5"/>
  <c r="I159" i="5"/>
  <c r="J159" i="5"/>
  <c r="K159" i="5"/>
  <c r="L159" i="5"/>
  <c r="M159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AG159" i="5"/>
  <c r="AH159" i="5"/>
  <c r="AI159" i="5"/>
  <c r="AJ159" i="5"/>
  <c r="AK159" i="5"/>
  <c r="AL159" i="5"/>
  <c r="AM159" i="5"/>
  <c r="AN159" i="5"/>
  <c r="AO159" i="5"/>
  <c r="AP159" i="5"/>
  <c r="AQ159" i="5"/>
  <c r="AR159" i="5"/>
  <c r="AS159" i="5"/>
  <c r="AT159" i="5"/>
  <c r="AU159" i="5"/>
  <c r="AV159" i="5"/>
  <c r="AW159" i="5"/>
  <c r="AX159" i="5"/>
  <c r="H2" i="5"/>
  <c r="I2" i="5"/>
  <c r="J2" i="5"/>
  <c r="K2" i="5"/>
  <c r="L2" i="5"/>
  <c r="M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H3" i="5"/>
  <c r="I3" i="5"/>
  <c r="J3" i="5"/>
  <c r="K3" i="5"/>
  <c r="L3" i="5"/>
  <c r="M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H4" i="5"/>
  <c r="I4" i="5"/>
  <c r="J4" i="5"/>
  <c r="K4" i="5"/>
  <c r="L4" i="5"/>
  <c r="M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H5" i="5"/>
  <c r="I5" i="5"/>
  <c r="J5" i="5"/>
  <c r="K5" i="5"/>
  <c r="L5" i="5"/>
  <c r="M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H6" i="5"/>
  <c r="I6" i="5"/>
  <c r="J6" i="5"/>
  <c r="K6" i="5"/>
  <c r="L6" i="5"/>
  <c r="M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H7" i="5"/>
  <c r="I7" i="5"/>
  <c r="J7" i="5"/>
  <c r="K7" i="5"/>
  <c r="L7" i="5"/>
  <c r="M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H8" i="5"/>
  <c r="I8" i="5"/>
  <c r="J8" i="5"/>
  <c r="K8" i="5"/>
  <c r="L8" i="5"/>
  <c r="M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H9" i="5"/>
  <c r="I9" i="5"/>
  <c r="J9" i="5"/>
  <c r="K9" i="5"/>
  <c r="L9" i="5"/>
  <c r="M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H10" i="5"/>
  <c r="I10" i="5"/>
  <c r="J10" i="5"/>
  <c r="K10" i="5"/>
  <c r="L10" i="5"/>
  <c r="M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H11" i="5"/>
  <c r="I11" i="5"/>
  <c r="J11" i="5"/>
  <c r="K11" i="5"/>
  <c r="L11" i="5"/>
  <c r="M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H12" i="5"/>
  <c r="I12" i="5"/>
  <c r="J12" i="5"/>
  <c r="K12" i="5"/>
  <c r="L12" i="5"/>
  <c r="M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H13" i="5"/>
  <c r="I13" i="5"/>
  <c r="J13" i="5"/>
  <c r="K13" i="5"/>
  <c r="L13" i="5"/>
  <c r="M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H14" i="5"/>
  <c r="I14" i="5"/>
  <c r="J14" i="5"/>
  <c r="K14" i="5"/>
  <c r="L14" i="5"/>
  <c r="M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H15" i="5"/>
  <c r="I15" i="5"/>
  <c r="J15" i="5"/>
  <c r="K15" i="5"/>
  <c r="L15" i="5"/>
  <c r="M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H16" i="5"/>
  <c r="I16" i="5"/>
  <c r="J16" i="5"/>
  <c r="K16" i="5"/>
  <c r="L16" i="5"/>
  <c r="M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H17" i="5"/>
  <c r="I17" i="5"/>
  <c r="J17" i="5"/>
  <c r="K17" i="5"/>
  <c r="L17" i="5"/>
  <c r="M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H18" i="5"/>
  <c r="I18" i="5"/>
  <c r="J18" i="5"/>
  <c r="K18" i="5"/>
  <c r="L18" i="5"/>
  <c r="M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H19" i="5"/>
  <c r="I19" i="5"/>
  <c r="J19" i="5"/>
  <c r="K19" i="5"/>
  <c r="L19" i="5"/>
  <c r="M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H20" i="5"/>
  <c r="I20" i="5"/>
  <c r="J20" i="5"/>
  <c r="K20" i="5"/>
  <c r="L20" i="5"/>
  <c r="M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H21" i="5"/>
  <c r="I21" i="5"/>
  <c r="J21" i="5"/>
  <c r="K21" i="5"/>
  <c r="L21" i="5"/>
  <c r="M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H22" i="5"/>
  <c r="I22" i="5"/>
  <c r="J22" i="5"/>
  <c r="K22" i="5"/>
  <c r="L22" i="5"/>
  <c r="M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H23" i="5"/>
  <c r="I23" i="5"/>
  <c r="J23" i="5"/>
  <c r="K23" i="5"/>
  <c r="L23" i="5"/>
  <c r="M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H24" i="5"/>
  <c r="I24" i="5"/>
  <c r="J24" i="5"/>
  <c r="K24" i="5"/>
  <c r="L24" i="5"/>
  <c r="M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H25" i="5"/>
  <c r="I25" i="5"/>
  <c r="J25" i="5"/>
  <c r="K25" i="5"/>
  <c r="L25" i="5"/>
  <c r="M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H26" i="5"/>
  <c r="I26" i="5"/>
  <c r="J26" i="5"/>
  <c r="K26" i="5"/>
  <c r="L26" i="5"/>
  <c r="M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H27" i="5"/>
  <c r="I27" i="5"/>
  <c r="J27" i="5"/>
  <c r="K27" i="5"/>
  <c r="L27" i="5"/>
  <c r="M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H28" i="5"/>
  <c r="I28" i="5"/>
  <c r="J28" i="5"/>
  <c r="K28" i="5"/>
  <c r="L28" i="5"/>
  <c r="M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H29" i="5"/>
  <c r="I29" i="5"/>
  <c r="J29" i="5"/>
  <c r="K29" i="5"/>
  <c r="L29" i="5"/>
  <c r="M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H30" i="5"/>
  <c r="I30" i="5"/>
  <c r="J30" i="5"/>
  <c r="K30" i="5"/>
  <c r="L30" i="5"/>
  <c r="M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H31" i="5"/>
  <c r="I31" i="5"/>
  <c r="J31" i="5"/>
  <c r="K31" i="5"/>
  <c r="L31" i="5"/>
  <c r="M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H32" i="5"/>
  <c r="I32" i="5"/>
  <c r="J32" i="5"/>
  <c r="K32" i="5"/>
  <c r="L32" i="5"/>
  <c r="M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H33" i="5"/>
  <c r="I33" i="5"/>
  <c r="J33" i="5"/>
  <c r="K33" i="5"/>
  <c r="L33" i="5"/>
  <c r="M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H34" i="5"/>
  <c r="I34" i="5"/>
  <c r="J34" i="5"/>
  <c r="K34" i="5"/>
  <c r="L34" i="5"/>
  <c r="M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H35" i="5"/>
  <c r="I35" i="5"/>
  <c r="J35" i="5"/>
  <c r="K35" i="5"/>
  <c r="L35" i="5"/>
  <c r="M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H36" i="5"/>
  <c r="I36" i="5"/>
  <c r="J36" i="5"/>
  <c r="K36" i="5"/>
  <c r="L36" i="5"/>
  <c r="M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H37" i="5"/>
  <c r="I37" i="5"/>
  <c r="J37" i="5"/>
  <c r="K37" i="5"/>
  <c r="L37" i="5"/>
  <c r="M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H38" i="5"/>
  <c r="I38" i="5"/>
  <c r="J38" i="5"/>
  <c r="K38" i="5"/>
  <c r="L38" i="5"/>
  <c r="M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H39" i="5"/>
  <c r="I39" i="5"/>
  <c r="J39" i="5"/>
  <c r="K39" i="5"/>
  <c r="L39" i="5"/>
  <c r="M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H40" i="5"/>
  <c r="I40" i="5"/>
  <c r="J40" i="5"/>
  <c r="K40" i="5"/>
  <c r="L40" i="5"/>
  <c r="M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H41" i="5"/>
  <c r="I41" i="5"/>
  <c r="J41" i="5"/>
  <c r="K41" i="5"/>
  <c r="L41" i="5"/>
  <c r="M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H42" i="5"/>
  <c r="I42" i="5"/>
  <c r="J42" i="5"/>
  <c r="K42" i="5"/>
  <c r="L42" i="5"/>
  <c r="M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H43" i="5"/>
  <c r="I43" i="5"/>
  <c r="J43" i="5"/>
  <c r="K43" i="5"/>
  <c r="L43" i="5"/>
  <c r="M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H44" i="5"/>
  <c r="I44" i="5"/>
  <c r="J44" i="5"/>
  <c r="K44" i="5"/>
  <c r="L44" i="5"/>
  <c r="M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H45" i="5"/>
  <c r="I45" i="5"/>
  <c r="J45" i="5"/>
  <c r="K45" i="5"/>
  <c r="L45" i="5"/>
  <c r="M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H46" i="5"/>
  <c r="I46" i="5"/>
  <c r="J46" i="5"/>
  <c r="K46" i="5"/>
  <c r="L46" i="5"/>
  <c r="M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H47" i="5"/>
  <c r="I47" i="5"/>
  <c r="J47" i="5"/>
  <c r="K47" i="5"/>
  <c r="L47" i="5"/>
  <c r="M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H48" i="5"/>
  <c r="I48" i="5"/>
  <c r="J48" i="5"/>
  <c r="K48" i="5"/>
  <c r="L48" i="5"/>
  <c r="M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H49" i="5"/>
  <c r="I49" i="5"/>
  <c r="J49" i="5"/>
  <c r="K49" i="5"/>
  <c r="L49" i="5"/>
  <c r="M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H50" i="5"/>
  <c r="I50" i="5"/>
  <c r="J50" i="5"/>
  <c r="K50" i="5"/>
  <c r="L50" i="5"/>
  <c r="M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H51" i="5"/>
  <c r="I51" i="5"/>
  <c r="J51" i="5"/>
  <c r="K51" i="5"/>
  <c r="L51" i="5"/>
  <c r="M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H52" i="5"/>
  <c r="I52" i="5"/>
  <c r="J52" i="5"/>
  <c r="K52" i="5"/>
  <c r="L52" i="5"/>
  <c r="M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H53" i="5"/>
  <c r="I53" i="5"/>
  <c r="J53" i="5"/>
  <c r="K53" i="5"/>
  <c r="L53" i="5"/>
  <c r="M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H54" i="5"/>
  <c r="I54" i="5"/>
  <c r="J54" i="5"/>
  <c r="K54" i="5"/>
  <c r="L54" i="5"/>
  <c r="M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H55" i="5"/>
  <c r="I55" i="5"/>
  <c r="J55" i="5"/>
  <c r="K55" i="5"/>
  <c r="L55" i="5"/>
  <c r="M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H56" i="5"/>
  <c r="I56" i="5"/>
  <c r="J56" i="5"/>
  <c r="K56" i="5"/>
  <c r="L56" i="5"/>
  <c r="M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H57" i="5"/>
  <c r="I57" i="5"/>
  <c r="J57" i="5"/>
  <c r="K57" i="5"/>
  <c r="L57" i="5"/>
  <c r="M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H58" i="5"/>
  <c r="I58" i="5"/>
  <c r="J58" i="5"/>
  <c r="K58" i="5"/>
  <c r="L58" i="5"/>
  <c r="M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H59" i="5"/>
  <c r="I59" i="5"/>
  <c r="J59" i="5"/>
  <c r="K59" i="5"/>
  <c r="L59" i="5"/>
  <c r="M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H60" i="5"/>
  <c r="I60" i="5"/>
  <c r="J60" i="5"/>
  <c r="K60" i="5"/>
  <c r="L60" i="5"/>
  <c r="M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H61" i="5"/>
  <c r="I61" i="5"/>
  <c r="J61" i="5"/>
  <c r="K61" i="5"/>
  <c r="L61" i="5"/>
  <c r="M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H62" i="5"/>
  <c r="I62" i="5"/>
  <c r="J62" i="5"/>
  <c r="K62" i="5"/>
  <c r="L62" i="5"/>
  <c r="M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H63" i="5"/>
  <c r="I63" i="5"/>
  <c r="J63" i="5"/>
  <c r="K63" i="5"/>
  <c r="L63" i="5"/>
  <c r="M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H64" i="5"/>
  <c r="I64" i="5"/>
  <c r="J64" i="5"/>
  <c r="K64" i="5"/>
  <c r="L64" i="5"/>
  <c r="M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H65" i="5"/>
  <c r="I65" i="5"/>
  <c r="J65" i="5"/>
  <c r="K65" i="5"/>
  <c r="L65" i="5"/>
  <c r="M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H66" i="5"/>
  <c r="I66" i="5"/>
  <c r="J66" i="5"/>
  <c r="K66" i="5"/>
  <c r="L66" i="5"/>
  <c r="M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H67" i="5"/>
  <c r="I67" i="5"/>
  <c r="J67" i="5"/>
  <c r="K67" i="5"/>
  <c r="L67" i="5"/>
  <c r="M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H68" i="5"/>
  <c r="I68" i="5"/>
  <c r="J68" i="5"/>
  <c r="K68" i="5"/>
  <c r="L68" i="5"/>
  <c r="M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H69" i="5"/>
  <c r="I69" i="5"/>
  <c r="J69" i="5"/>
  <c r="K69" i="5"/>
  <c r="L69" i="5"/>
  <c r="M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H70" i="5"/>
  <c r="I70" i="5"/>
  <c r="J70" i="5"/>
  <c r="K70" i="5"/>
  <c r="L70" i="5"/>
  <c r="M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H71" i="5"/>
  <c r="I71" i="5"/>
  <c r="J71" i="5"/>
  <c r="K71" i="5"/>
  <c r="L71" i="5"/>
  <c r="M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H72" i="5"/>
  <c r="I72" i="5"/>
  <c r="J72" i="5"/>
  <c r="K72" i="5"/>
  <c r="L72" i="5"/>
  <c r="M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H73" i="5"/>
  <c r="I73" i="5"/>
  <c r="J73" i="5"/>
  <c r="K73" i="5"/>
  <c r="L73" i="5"/>
  <c r="M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H74" i="5"/>
  <c r="I74" i="5"/>
  <c r="J74" i="5"/>
  <c r="K74" i="5"/>
  <c r="L74" i="5"/>
  <c r="M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H75" i="5"/>
  <c r="I75" i="5"/>
  <c r="J75" i="5"/>
  <c r="K75" i="5"/>
  <c r="L75" i="5"/>
  <c r="M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H76" i="5"/>
  <c r="I76" i="5"/>
  <c r="J76" i="5"/>
  <c r="K76" i="5"/>
  <c r="L76" i="5"/>
  <c r="M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H77" i="5"/>
  <c r="I77" i="5"/>
  <c r="J77" i="5"/>
  <c r="K77" i="5"/>
  <c r="L77" i="5"/>
  <c r="M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H78" i="5"/>
  <c r="I78" i="5"/>
  <c r="J78" i="5"/>
  <c r="K78" i="5"/>
  <c r="L78" i="5"/>
  <c r="M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H79" i="5"/>
  <c r="I79" i="5"/>
  <c r="J79" i="5"/>
  <c r="K79" i="5"/>
  <c r="L79" i="5"/>
  <c r="M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H80" i="5"/>
  <c r="I80" i="5"/>
  <c r="J80" i="5"/>
  <c r="K80" i="5"/>
  <c r="L80" i="5"/>
  <c r="M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H81" i="5"/>
  <c r="I81" i="5"/>
  <c r="J81" i="5"/>
  <c r="K81" i="5"/>
  <c r="L81" i="5"/>
  <c r="M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H82" i="5"/>
  <c r="I82" i="5"/>
  <c r="J82" i="5"/>
  <c r="K82" i="5"/>
  <c r="L82" i="5"/>
  <c r="M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H83" i="5"/>
  <c r="I83" i="5"/>
  <c r="J83" i="5"/>
  <c r="K83" i="5"/>
  <c r="L83" i="5"/>
  <c r="M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AU83" i="5"/>
  <c r="AV83" i="5"/>
  <c r="AW83" i="5"/>
  <c r="AX83" i="5"/>
  <c r="H84" i="5"/>
  <c r="I84" i="5"/>
  <c r="J84" i="5"/>
  <c r="K84" i="5"/>
  <c r="L84" i="5"/>
  <c r="M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AS84" i="5"/>
  <c r="AT84" i="5"/>
  <c r="AU84" i="5"/>
  <c r="AV84" i="5"/>
  <c r="AW84" i="5"/>
  <c r="AX84" i="5"/>
  <c r="H85" i="5"/>
  <c r="I85" i="5"/>
  <c r="J85" i="5"/>
  <c r="K85" i="5"/>
  <c r="L85" i="5"/>
  <c r="M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R85" i="5"/>
  <c r="AS85" i="5"/>
  <c r="AT85" i="5"/>
  <c r="AU85" i="5"/>
  <c r="AV85" i="5"/>
  <c r="AW85" i="5"/>
  <c r="AX85" i="5"/>
  <c r="H86" i="5"/>
  <c r="I86" i="5"/>
  <c r="J86" i="5"/>
  <c r="K86" i="5"/>
  <c r="L86" i="5"/>
  <c r="M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AU86" i="5"/>
  <c r="AV86" i="5"/>
  <c r="AW86" i="5"/>
  <c r="AX86" i="5"/>
  <c r="H87" i="5"/>
  <c r="I87" i="5"/>
  <c r="J87" i="5"/>
  <c r="K87" i="5"/>
  <c r="L87" i="5"/>
  <c r="M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AU87" i="5"/>
  <c r="AV87" i="5"/>
  <c r="AW87" i="5"/>
  <c r="AX87" i="5"/>
  <c r="H88" i="5"/>
  <c r="I88" i="5"/>
  <c r="J88" i="5"/>
  <c r="K88" i="5"/>
  <c r="L88" i="5"/>
  <c r="M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R88" i="5"/>
  <c r="AS88" i="5"/>
  <c r="AT88" i="5"/>
  <c r="AU88" i="5"/>
  <c r="AV88" i="5"/>
  <c r="AW88" i="5"/>
  <c r="AX88" i="5"/>
  <c r="H89" i="5"/>
  <c r="I89" i="5"/>
  <c r="J89" i="5"/>
  <c r="K89" i="5"/>
  <c r="L89" i="5"/>
  <c r="M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AU89" i="5"/>
  <c r="AV89" i="5"/>
  <c r="AW89" i="5"/>
  <c r="AX89" i="5"/>
  <c r="H90" i="5"/>
  <c r="I90" i="5"/>
  <c r="J90" i="5"/>
  <c r="K90" i="5"/>
  <c r="L90" i="5"/>
  <c r="M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AU90" i="5"/>
  <c r="AV90" i="5"/>
  <c r="AW90" i="5"/>
  <c r="AX90" i="5"/>
  <c r="H91" i="5"/>
  <c r="I91" i="5"/>
  <c r="J91" i="5"/>
  <c r="K91" i="5"/>
  <c r="L91" i="5"/>
  <c r="M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R91" i="5"/>
  <c r="AS91" i="5"/>
  <c r="AT91" i="5"/>
  <c r="AU91" i="5"/>
  <c r="AV91" i="5"/>
  <c r="AW91" i="5"/>
  <c r="AX91" i="5"/>
  <c r="H92" i="5"/>
  <c r="I92" i="5"/>
  <c r="J92" i="5"/>
  <c r="K92" i="5"/>
  <c r="L92" i="5"/>
  <c r="M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AU92" i="5"/>
  <c r="AV92" i="5"/>
  <c r="AW92" i="5"/>
  <c r="AX92" i="5"/>
  <c r="H93" i="5"/>
  <c r="I93" i="5"/>
  <c r="J93" i="5"/>
  <c r="K93" i="5"/>
  <c r="L93" i="5"/>
  <c r="M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AU93" i="5"/>
  <c r="AV93" i="5"/>
  <c r="AW93" i="5"/>
  <c r="AX93" i="5"/>
  <c r="H94" i="5"/>
  <c r="I94" i="5"/>
  <c r="J94" i="5"/>
  <c r="K94" i="5"/>
  <c r="L94" i="5"/>
  <c r="M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AS94" i="5"/>
  <c r="AT94" i="5"/>
  <c r="AU94" i="5"/>
  <c r="AV94" i="5"/>
  <c r="AW94" i="5"/>
  <c r="AX94" i="5"/>
  <c r="H95" i="5"/>
  <c r="I95" i="5"/>
  <c r="J95" i="5"/>
  <c r="K95" i="5"/>
  <c r="L95" i="5"/>
  <c r="M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AS95" i="5"/>
  <c r="AT95" i="5"/>
  <c r="AU95" i="5"/>
  <c r="AV95" i="5"/>
  <c r="AW95" i="5"/>
  <c r="AX95" i="5"/>
  <c r="H96" i="5"/>
  <c r="I96" i="5"/>
  <c r="J96" i="5"/>
  <c r="K96" i="5"/>
  <c r="L96" i="5"/>
  <c r="M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AU96" i="5"/>
  <c r="AV96" i="5"/>
  <c r="AW96" i="5"/>
  <c r="AX96" i="5"/>
  <c r="H97" i="5"/>
  <c r="I97" i="5"/>
  <c r="J97" i="5"/>
  <c r="K97" i="5"/>
  <c r="L97" i="5"/>
  <c r="M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AT97" i="5"/>
  <c r="AU97" i="5"/>
  <c r="AV97" i="5"/>
  <c r="AW97" i="5"/>
  <c r="AX97" i="5"/>
  <c r="H98" i="5"/>
  <c r="I98" i="5"/>
  <c r="J98" i="5"/>
  <c r="K98" i="5"/>
  <c r="L98" i="5"/>
  <c r="M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AT98" i="5"/>
  <c r="AU98" i="5"/>
  <c r="AV98" i="5"/>
  <c r="AW98" i="5"/>
  <c r="AX98" i="5"/>
  <c r="C2" i="5"/>
  <c r="D2" i="5"/>
  <c r="E2" i="5"/>
  <c r="F2" i="5"/>
  <c r="G2" i="5"/>
  <c r="C3" i="5"/>
  <c r="D3" i="5"/>
  <c r="E3" i="5"/>
  <c r="F3" i="5"/>
  <c r="G3" i="5"/>
  <c r="C4" i="5"/>
  <c r="D4" i="5"/>
  <c r="E4" i="5"/>
  <c r="F4" i="5"/>
  <c r="G4" i="5"/>
  <c r="C5" i="5"/>
  <c r="D5" i="5"/>
  <c r="E5" i="5"/>
  <c r="F5" i="5"/>
  <c r="G5" i="5"/>
  <c r="C6" i="5"/>
  <c r="D6" i="5"/>
  <c r="E6" i="5"/>
  <c r="F6" i="5"/>
  <c r="G6" i="5"/>
  <c r="C7" i="5"/>
  <c r="D7" i="5"/>
  <c r="E7" i="5"/>
  <c r="F7" i="5"/>
  <c r="G7" i="5"/>
  <c r="C8" i="5"/>
  <c r="D8" i="5"/>
  <c r="E8" i="5"/>
  <c r="F8" i="5"/>
  <c r="G8" i="5"/>
  <c r="C9" i="5"/>
  <c r="D9" i="5"/>
  <c r="E9" i="5"/>
  <c r="F9" i="5"/>
  <c r="G9" i="5"/>
  <c r="C10" i="5"/>
  <c r="D10" i="5"/>
  <c r="E10" i="5"/>
  <c r="F10" i="5"/>
  <c r="G10" i="5"/>
  <c r="C11" i="5"/>
  <c r="D11" i="5"/>
  <c r="E11" i="5"/>
  <c r="F11" i="5"/>
  <c r="G11" i="5"/>
  <c r="C12" i="5"/>
  <c r="D12" i="5"/>
  <c r="E12" i="5"/>
  <c r="F12" i="5"/>
  <c r="G12" i="5"/>
  <c r="C13" i="5"/>
  <c r="D13" i="5"/>
  <c r="E13" i="5"/>
  <c r="F13" i="5"/>
  <c r="G13" i="5"/>
  <c r="C14" i="5"/>
  <c r="D14" i="5"/>
  <c r="E14" i="5"/>
  <c r="F14" i="5"/>
  <c r="G14" i="5"/>
  <c r="C15" i="5"/>
  <c r="D15" i="5"/>
  <c r="E15" i="5"/>
  <c r="F15" i="5"/>
  <c r="G15" i="5"/>
  <c r="C16" i="5"/>
  <c r="D16" i="5"/>
  <c r="E16" i="5"/>
  <c r="F16" i="5"/>
  <c r="G16" i="5"/>
  <c r="C17" i="5"/>
  <c r="D17" i="5"/>
  <c r="E17" i="5"/>
  <c r="F17" i="5"/>
  <c r="G17" i="5"/>
  <c r="C18" i="5"/>
  <c r="D18" i="5"/>
  <c r="E18" i="5"/>
  <c r="F18" i="5"/>
  <c r="G18" i="5"/>
  <c r="C19" i="5"/>
  <c r="D19" i="5"/>
  <c r="E19" i="5"/>
  <c r="F19" i="5"/>
  <c r="G19" i="5"/>
  <c r="C20" i="5"/>
  <c r="D20" i="5"/>
  <c r="E20" i="5"/>
  <c r="F20" i="5"/>
  <c r="G20" i="5"/>
  <c r="C21" i="5"/>
  <c r="D21" i="5"/>
  <c r="E21" i="5"/>
  <c r="F21" i="5"/>
  <c r="G21" i="5"/>
  <c r="C22" i="5"/>
  <c r="D22" i="5"/>
  <c r="E22" i="5"/>
  <c r="F22" i="5"/>
  <c r="G22" i="5"/>
  <c r="C23" i="5"/>
  <c r="D23" i="5"/>
  <c r="E23" i="5"/>
  <c r="F23" i="5"/>
  <c r="G23" i="5"/>
  <c r="C24" i="5"/>
  <c r="D24" i="5"/>
  <c r="E24" i="5"/>
  <c r="F24" i="5"/>
  <c r="G24" i="5"/>
  <c r="C25" i="5"/>
  <c r="D25" i="5"/>
  <c r="E25" i="5"/>
  <c r="F25" i="5"/>
  <c r="G25" i="5"/>
  <c r="C26" i="5"/>
  <c r="D26" i="5"/>
  <c r="E26" i="5"/>
  <c r="F26" i="5"/>
  <c r="G26" i="5"/>
  <c r="C27" i="5"/>
  <c r="D27" i="5"/>
  <c r="E27" i="5"/>
  <c r="F27" i="5"/>
  <c r="G27" i="5"/>
  <c r="C28" i="5"/>
  <c r="D28" i="5"/>
  <c r="E28" i="5"/>
  <c r="F28" i="5"/>
  <c r="G28" i="5"/>
  <c r="C29" i="5"/>
  <c r="D29" i="5"/>
  <c r="E29" i="5"/>
  <c r="F29" i="5"/>
  <c r="G29" i="5"/>
  <c r="C30" i="5"/>
  <c r="D30" i="5"/>
  <c r="E30" i="5"/>
  <c r="F30" i="5"/>
  <c r="G30" i="5"/>
  <c r="C31" i="5"/>
  <c r="D31" i="5"/>
  <c r="E31" i="5"/>
  <c r="F31" i="5"/>
  <c r="G31" i="5"/>
  <c r="C32" i="5"/>
  <c r="D32" i="5"/>
  <c r="E32" i="5"/>
  <c r="F32" i="5"/>
  <c r="G32" i="5"/>
  <c r="C33" i="5"/>
  <c r="D33" i="5"/>
  <c r="E33" i="5"/>
  <c r="F33" i="5"/>
  <c r="G33" i="5"/>
  <c r="C34" i="5"/>
  <c r="D34" i="5"/>
  <c r="E34" i="5"/>
  <c r="F34" i="5"/>
  <c r="G34" i="5"/>
  <c r="C35" i="5"/>
  <c r="D35" i="5"/>
  <c r="E35" i="5"/>
  <c r="F35" i="5"/>
  <c r="G35" i="5"/>
  <c r="C36" i="5"/>
  <c r="D36" i="5"/>
  <c r="E36" i="5"/>
  <c r="F36" i="5"/>
  <c r="G36" i="5"/>
  <c r="C37" i="5"/>
  <c r="D37" i="5"/>
  <c r="E37" i="5"/>
  <c r="F37" i="5"/>
  <c r="G37" i="5"/>
  <c r="C38" i="5"/>
  <c r="D38" i="5"/>
  <c r="E38" i="5"/>
  <c r="F38" i="5"/>
  <c r="G38" i="5"/>
  <c r="C39" i="5"/>
  <c r="D39" i="5"/>
  <c r="E39" i="5"/>
  <c r="F39" i="5"/>
  <c r="G39" i="5"/>
  <c r="C40" i="5"/>
  <c r="D40" i="5"/>
  <c r="E40" i="5"/>
  <c r="F40" i="5"/>
  <c r="G40" i="5"/>
  <c r="C41" i="5"/>
  <c r="D41" i="5"/>
  <c r="E41" i="5"/>
  <c r="F41" i="5"/>
  <c r="G41" i="5"/>
  <c r="C42" i="5"/>
  <c r="D42" i="5"/>
  <c r="E42" i="5"/>
  <c r="F42" i="5"/>
  <c r="G42" i="5"/>
  <c r="C43" i="5"/>
  <c r="D43" i="5"/>
  <c r="E43" i="5"/>
  <c r="F43" i="5"/>
  <c r="G43" i="5"/>
  <c r="C44" i="5"/>
  <c r="D44" i="5"/>
  <c r="E44" i="5"/>
  <c r="F44" i="5"/>
  <c r="G44" i="5"/>
  <c r="C45" i="5"/>
  <c r="D45" i="5"/>
  <c r="E45" i="5"/>
  <c r="F45" i="5"/>
  <c r="G45" i="5"/>
  <c r="C46" i="5"/>
  <c r="D46" i="5"/>
  <c r="E46" i="5"/>
  <c r="F46" i="5"/>
  <c r="G46" i="5"/>
  <c r="C47" i="5"/>
  <c r="D47" i="5"/>
  <c r="E47" i="5"/>
  <c r="F47" i="5"/>
  <c r="G47" i="5"/>
  <c r="C48" i="5"/>
  <c r="D48" i="5"/>
  <c r="E48" i="5"/>
  <c r="F48" i="5"/>
  <c r="G48" i="5"/>
  <c r="C49" i="5"/>
  <c r="D49" i="5"/>
  <c r="E49" i="5"/>
  <c r="F49" i="5"/>
  <c r="G49" i="5"/>
  <c r="C50" i="5"/>
  <c r="D50" i="5"/>
  <c r="E50" i="5"/>
  <c r="F50" i="5"/>
  <c r="G50" i="5"/>
  <c r="C51" i="5"/>
  <c r="D51" i="5"/>
  <c r="E51" i="5"/>
  <c r="F51" i="5"/>
  <c r="G51" i="5"/>
  <c r="C52" i="5"/>
  <c r="D52" i="5"/>
  <c r="E52" i="5"/>
  <c r="F52" i="5"/>
  <c r="G52" i="5"/>
  <c r="C53" i="5"/>
  <c r="D53" i="5"/>
  <c r="E53" i="5"/>
  <c r="F53" i="5"/>
  <c r="G53" i="5"/>
  <c r="C54" i="5"/>
  <c r="D54" i="5"/>
  <c r="E54" i="5"/>
  <c r="F54" i="5"/>
  <c r="G54" i="5"/>
  <c r="C55" i="5"/>
  <c r="D55" i="5"/>
  <c r="E55" i="5"/>
  <c r="F55" i="5"/>
  <c r="G55" i="5"/>
  <c r="C56" i="5"/>
  <c r="D56" i="5"/>
  <c r="E56" i="5"/>
  <c r="F56" i="5"/>
  <c r="G56" i="5"/>
  <c r="C57" i="5"/>
  <c r="D57" i="5"/>
  <c r="E57" i="5"/>
  <c r="F57" i="5"/>
  <c r="G57" i="5"/>
  <c r="C58" i="5"/>
  <c r="D58" i="5"/>
  <c r="E58" i="5"/>
  <c r="F58" i="5"/>
  <c r="G58" i="5"/>
  <c r="C59" i="5"/>
  <c r="D59" i="5"/>
  <c r="E59" i="5"/>
  <c r="F59" i="5"/>
  <c r="G59" i="5"/>
  <c r="C60" i="5"/>
  <c r="D60" i="5"/>
  <c r="E60" i="5"/>
  <c r="F60" i="5"/>
  <c r="G60" i="5"/>
  <c r="C61" i="5"/>
  <c r="D61" i="5"/>
  <c r="E61" i="5"/>
  <c r="F61" i="5"/>
  <c r="G61" i="5"/>
  <c r="C62" i="5"/>
  <c r="D62" i="5"/>
  <c r="E62" i="5"/>
  <c r="F62" i="5"/>
  <c r="G62" i="5"/>
  <c r="C63" i="5"/>
  <c r="D63" i="5"/>
  <c r="E63" i="5"/>
  <c r="F63" i="5"/>
  <c r="G63" i="5"/>
  <c r="C64" i="5"/>
  <c r="D64" i="5"/>
  <c r="E64" i="5"/>
  <c r="F64" i="5"/>
  <c r="G64" i="5"/>
  <c r="C65" i="5"/>
  <c r="D65" i="5"/>
  <c r="E65" i="5"/>
  <c r="F65" i="5"/>
  <c r="G65" i="5"/>
  <c r="C66" i="5"/>
  <c r="D66" i="5"/>
  <c r="E66" i="5"/>
  <c r="F66" i="5"/>
  <c r="G66" i="5"/>
  <c r="C67" i="5"/>
  <c r="D67" i="5"/>
  <c r="E67" i="5"/>
  <c r="F67" i="5"/>
  <c r="G67" i="5"/>
  <c r="C68" i="5"/>
  <c r="D68" i="5"/>
  <c r="E68" i="5"/>
  <c r="F68" i="5"/>
  <c r="G68" i="5"/>
  <c r="C69" i="5"/>
  <c r="D69" i="5"/>
  <c r="E69" i="5"/>
  <c r="F69" i="5"/>
  <c r="G69" i="5"/>
  <c r="C70" i="5"/>
  <c r="D70" i="5"/>
  <c r="E70" i="5"/>
  <c r="F70" i="5"/>
  <c r="G70" i="5"/>
  <c r="C71" i="5"/>
  <c r="D71" i="5"/>
  <c r="E71" i="5"/>
  <c r="F71" i="5"/>
  <c r="G71" i="5"/>
  <c r="C72" i="5"/>
  <c r="D72" i="5"/>
  <c r="E72" i="5"/>
  <c r="F72" i="5"/>
  <c r="G72" i="5"/>
  <c r="C73" i="5"/>
  <c r="D73" i="5"/>
  <c r="E73" i="5"/>
  <c r="F73" i="5"/>
  <c r="G73" i="5"/>
  <c r="C74" i="5"/>
  <c r="D74" i="5"/>
  <c r="E74" i="5"/>
  <c r="F74" i="5"/>
  <c r="G74" i="5"/>
  <c r="C75" i="5"/>
  <c r="D75" i="5"/>
  <c r="E75" i="5"/>
  <c r="F75" i="5"/>
  <c r="G75" i="5"/>
  <c r="C76" i="5"/>
  <c r="D76" i="5"/>
  <c r="E76" i="5"/>
  <c r="F76" i="5"/>
  <c r="G76" i="5"/>
  <c r="C77" i="5"/>
  <c r="D77" i="5"/>
  <c r="E77" i="5"/>
  <c r="F77" i="5"/>
  <c r="G77" i="5"/>
  <c r="C78" i="5"/>
  <c r="D78" i="5"/>
  <c r="E78" i="5"/>
  <c r="F78" i="5"/>
  <c r="G78" i="5"/>
  <c r="C79" i="5"/>
  <c r="D79" i="5"/>
  <c r="E79" i="5"/>
  <c r="F79" i="5"/>
  <c r="G79" i="5"/>
  <c r="C80" i="5"/>
  <c r="D80" i="5"/>
  <c r="E80" i="5"/>
  <c r="F80" i="5"/>
  <c r="G80" i="5"/>
  <c r="C81" i="5"/>
  <c r="D81" i="5"/>
  <c r="E81" i="5"/>
  <c r="F81" i="5"/>
  <c r="G81" i="5"/>
  <c r="C82" i="5"/>
  <c r="D82" i="5"/>
  <c r="E82" i="5"/>
  <c r="F82" i="5"/>
  <c r="G82" i="5"/>
  <c r="C83" i="5"/>
  <c r="D83" i="5"/>
  <c r="E83" i="5"/>
  <c r="F83" i="5"/>
  <c r="G83" i="5"/>
  <c r="C84" i="5"/>
  <c r="D84" i="5"/>
  <c r="E84" i="5"/>
  <c r="F84" i="5"/>
  <c r="G84" i="5"/>
  <c r="C85" i="5"/>
  <c r="D85" i="5"/>
  <c r="E85" i="5"/>
  <c r="F85" i="5"/>
  <c r="G85" i="5"/>
  <c r="C86" i="5"/>
  <c r="D86" i="5"/>
  <c r="E86" i="5"/>
  <c r="F86" i="5"/>
  <c r="G86" i="5"/>
  <c r="C87" i="5"/>
  <c r="D87" i="5"/>
  <c r="E87" i="5"/>
  <c r="F87" i="5"/>
  <c r="G87" i="5"/>
  <c r="C88" i="5"/>
  <c r="D88" i="5"/>
  <c r="E88" i="5"/>
  <c r="F88" i="5"/>
  <c r="G88" i="5"/>
  <c r="C89" i="5"/>
  <c r="D89" i="5"/>
  <c r="E89" i="5"/>
  <c r="F89" i="5"/>
  <c r="G89" i="5"/>
  <c r="C90" i="5"/>
  <c r="D90" i="5"/>
  <c r="E90" i="5"/>
  <c r="F90" i="5"/>
  <c r="G90" i="5"/>
  <c r="C91" i="5"/>
  <c r="D91" i="5"/>
  <c r="E91" i="5"/>
  <c r="F91" i="5"/>
  <c r="G91" i="5"/>
  <c r="C92" i="5"/>
  <c r="D92" i="5"/>
  <c r="E92" i="5"/>
  <c r="F92" i="5"/>
  <c r="G92" i="5"/>
  <c r="C93" i="5"/>
  <c r="D93" i="5"/>
  <c r="E93" i="5"/>
  <c r="F93" i="5"/>
  <c r="G93" i="5"/>
  <c r="C94" i="5"/>
  <c r="D94" i="5"/>
  <c r="E94" i="5"/>
  <c r="F94" i="5"/>
  <c r="G94" i="5"/>
  <c r="C95" i="5"/>
  <c r="D95" i="5"/>
  <c r="E95" i="5"/>
  <c r="F95" i="5"/>
  <c r="G95" i="5"/>
  <c r="C96" i="5"/>
  <c r="D96" i="5"/>
  <c r="E96" i="5"/>
  <c r="F96" i="5"/>
  <c r="G96" i="5"/>
  <c r="C97" i="5"/>
  <c r="D97" i="5"/>
  <c r="E97" i="5"/>
  <c r="F97" i="5"/>
  <c r="G97" i="5"/>
  <c r="C98" i="5"/>
  <c r="D98" i="5"/>
  <c r="E98" i="5"/>
  <c r="F98" i="5"/>
  <c r="G9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<sst xmlns="http://schemas.openxmlformats.org/spreadsheetml/2006/main" count="6012" uniqueCount="69">
  <si>
    <t>Lenght</t>
  </si>
  <si>
    <t>11</t>
  </si>
  <si>
    <t>12</t>
  </si>
  <si>
    <t>13</t>
  </si>
  <si>
    <t>14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</si>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</sst>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X226"/>
  <sheetViews>
    <sheetView topLeftCell="A5" workbookViewId="0">
      <selection activeCell="J14" sqref="J14"/>
    </sheetView>
  </sheetViews>
  <sheetFormatPr defaultRowHeight="14.4" x14ac:dyDescent="0.3"/>
  <sheetData>
    <row r="1" spans="2:50" x14ac:dyDescent="0.3">
      <c r="B1" t="s">
        <v>0</v>
      </c>
    </row>
    <row r="2" spans="2:5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50" x14ac:dyDescent="0.3">
      <c r="B3" s="1" t="s">
        <v>6</v>
      </c>
      <c r="C3">
        <v>2.2000000000000002</v>
      </c>
      <c r="D3">
        <v>2.5</v>
      </c>
      <c r="E3">
        <v>2.8</v>
      </c>
      <c r="F3">
        <v>3.3</v>
      </c>
      <c r="G3">
        <v>0.8</v>
      </c>
    </row>
    <row r="5" spans="2:50" x14ac:dyDescent="0.3">
      <c r="B5" t="s">
        <v>7</v>
      </c>
      <c r="N5" t="s">
        <v>8</v>
      </c>
      <c r="AA5" t="s">
        <v>9</v>
      </c>
      <c r="AN5" t="s">
        <v>10</v>
      </c>
    </row>
    <row r="6" spans="2:50" x14ac:dyDescent="0.3">
      <c r="B6" s="1" t="s">
        <v>11</v>
      </c>
      <c r="C6" s="1" t="s">
        <v>12</v>
      </c>
      <c r="D6" s="1" t="s">
        <v>13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12</v>
      </c>
      <c r="J6" s="1" t="s">
        <v>13</v>
      </c>
      <c r="K6" s="1" t="s">
        <v>12</v>
      </c>
      <c r="L6" s="1" t="s">
        <v>13</v>
      </c>
      <c r="N6" s="1" t="s">
        <v>11</v>
      </c>
      <c r="O6" s="1" t="s">
        <v>12</v>
      </c>
      <c r="P6" s="1" t="s">
        <v>13</v>
      </c>
      <c r="Q6" s="1" t="s">
        <v>12</v>
      </c>
      <c r="R6" s="1" t="s">
        <v>13</v>
      </c>
      <c r="S6" s="1" t="s">
        <v>12</v>
      </c>
      <c r="T6" s="1" t="s">
        <v>13</v>
      </c>
      <c r="U6" s="1" t="s">
        <v>12</v>
      </c>
      <c r="V6" s="1" t="s">
        <v>13</v>
      </c>
      <c r="W6" s="1" t="s">
        <v>12</v>
      </c>
      <c r="X6" s="1" t="s">
        <v>13</v>
      </c>
      <c r="AA6" s="1" t="s">
        <v>11</v>
      </c>
      <c r="AB6" s="1" t="s">
        <v>12</v>
      </c>
      <c r="AC6" s="1" t="s">
        <v>13</v>
      </c>
      <c r="AD6" s="1" t="s">
        <v>12</v>
      </c>
      <c r="AE6" s="1" t="s">
        <v>13</v>
      </c>
      <c r="AF6" s="1" t="s">
        <v>12</v>
      </c>
      <c r="AG6" s="1" t="s">
        <v>13</v>
      </c>
      <c r="AH6" s="1" t="s">
        <v>12</v>
      </c>
      <c r="AI6" s="1" t="s">
        <v>13</v>
      </c>
      <c r="AJ6" s="1" t="s">
        <v>12</v>
      </c>
      <c r="AK6" s="1" t="s">
        <v>13</v>
      </c>
      <c r="AN6" s="1" t="s">
        <v>11</v>
      </c>
      <c r="AO6" s="1" t="s">
        <v>12</v>
      </c>
      <c r="AP6" s="1" t="s">
        <v>13</v>
      </c>
      <c r="AQ6" s="1" t="s">
        <v>12</v>
      </c>
      <c r="AR6" s="1" t="s">
        <v>13</v>
      </c>
      <c r="AS6" s="1" t="s">
        <v>12</v>
      </c>
      <c r="AT6" s="1" t="s">
        <v>13</v>
      </c>
      <c r="AU6" s="1" t="s">
        <v>12</v>
      </c>
      <c r="AV6" s="1" t="s">
        <v>13</v>
      </c>
      <c r="AW6" s="1" t="s">
        <v>12</v>
      </c>
      <c r="AX6" s="1" t="s">
        <v>13</v>
      </c>
    </row>
    <row r="7" spans="2:50" x14ac:dyDescent="0.3">
      <c r="B7" s="1" t="s">
        <v>14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N7" s="1" t="s">
        <v>14</v>
      </c>
      <c r="O7" s="1" t="s">
        <v>1</v>
      </c>
      <c r="P7" s="1" t="s">
        <v>1</v>
      </c>
      <c r="Q7" s="1" t="s">
        <v>2</v>
      </c>
      <c r="R7" s="1" t="s">
        <v>2</v>
      </c>
      <c r="S7" s="1" t="s">
        <v>3</v>
      </c>
      <c r="T7" s="1" t="s">
        <v>3</v>
      </c>
      <c r="U7" s="1" t="s">
        <v>4</v>
      </c>
      <c r="V7" s="1" t="s">
        <v>4</v>
      </c>
      <c r="W7" s="1" t="s">
        <v>5</v>
      </c>
      <c r="X7" s="1" t="s">
        <v>5</v>
      </c>
      <c r="AA7" s="1" t="s">
        <v>14</v>
      </c>
      <c r="AB7" s="1" t="s">
        <v>1</v>
      </c>
      <c r="AC7" s="1" t="s">
        <v>1</v>
      </c>
      <c r="AD7" s="1" t="s">
        <v>2</v>
      </c>
      <c r="AE7" s="1" t="s">
        <v>2</v>
      </c>
      <c r="AF7" s="1" t="s">
        <v>3</v>
      </c>
      <c r="AG7" s="1" t="s">
        <v>3</v>
      </c>
      <c r="AH7" s="1" t="s">
        <v>4</v>
      </c>
      <c r="AI7" s="1" t="s">
        <v>4</v>
      </c>
      <c r="AJ7" s="1" t="s">
        <v>5</v>
      </c>
      <c r="AK7" s="1" t="s">
        <v>5</v>
      </c>
      <c r="AN7" s="1" t="s">
        <v>14</v>
      </c>
      <c r="AO7" s="1" t="s">
        <v>1</v>
      </c>
      <c r="AP7" s="1" t="s">
        <v>1</v>
      </c>
      <c r="AQ7" s="1" t="s">
        <v>2</v>
      </c>
      <c r="AR7" s="1" t="s">
        <v>2</v>
      </c>
      <c r="AS7" s="1" t="s">
        <v>3</v>
      </c>
      <c r="AT7" s="1" t="s">
        <v>3</v>
      </c>
      <c r="AU7" s="1" t="s">
        <v>4</v>
      </c>
      <c r="AV7" s="1" t="s">
        <v>4</v>
      </c>
      <c r="AW7" s="1" t="s">
        <v>5</v>
      </c>
      <c r="AX7" s="1" t="s">
        <v>5</v>
      </c>
    </row>
    <row r="8" spans="2:50" x14ac:dyDescent="0.3">
      <c r="B8" s="1" t="s">
        <v>15</v>
      </c>
      <c r="N8" s="1" t="s">
        <v>15</v>
      </c>
      <c r="AA8" s="1" t="s">
        <v>15</v>
      </c>
      <c r="AN8" s="1" t="s">
        <v>15</v>
      </c>
    </row>
    <row r="9" spans="2:50" x14ac:dyDescent="0.3">
      <c r="B9" s="1" t="s">
        <v>16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N9" s="1" t="s">
        <v>16</v>
      </c>
      <c r="O9" s="2">
        <v>2137.9699999999998</v>
      </c>
      <c r="P9" s="2">
        <v>2128.7800000000002</v>
      </c>
      <c r="Q9" s="2">
        <v>2957.58</v>
      </c>
      <c r="R9" s="2">
        <v>2252.9699999999998</v>
      </c>
      <c r="S9" s="2">
        <v>1803.05</v>
      </c>
      <c r="T9" s="2">
        <v>1595.26</v>
      </c>
      <c r="U9" s="2">
        <v>2162.9699999999998</v>
      </c>
      <c r="V9" s="2">
        <v>1528.98</v>
      </c>
      <c r="W9" s="2">
        <v>1804.93</v>
      </c>
      <c r="X9" s="2">
        <v>1445.71</v>
      </c>
      <c r="AA9" s="1" t="s">
        <v>16</v>
      </c>
      <c r="AB9" s="2">
        <v>34390.83</v>
      </c>
      <c r="AC9" s="2">
        <v>34153.620000000003</v>
      </c>
      <c r="AD9" s="2">
        <v>45972.42</v>
      </c>
      <c r="AE9" s="2">
        <v>35354.53</v>
      </c>
      <c r="AF9" s="2">
        <v>32869.35</v>
      </c>
      <c r="AG9" s="2">
        <v>29255.14</v>
      </c>
      <c r="AH9" s="2">
        <v>33665.129999999997</v>
      </c>
      <c r="AI9" s="2">
        <v>28939.919999999998</v>
      </c>
      <c r="AJ9" s="2">
        <v>16417.47</v>
      </c>
      <c r="AK9" s="2">
        <v>13383.09</v>
      </c>
      <c r="AN9" s="1" t="s">
        <v>16</v>
      </c>
      <c r="AO9" s="2">
        <v>36528.800000000003</v>
      </c>
      <c r="AP9" s="2">
        <v>36282.400000000001</v>
      </c>
      <c r="AQ9" s="2">
        <v>48930</v>
      </c>
      <c r="AR9" s="2">
        <v>37607.5</v>
      </c>
      <c r="AS9" s="2">
        <v>34672.400000000001</v>
      </c>
      <c r="AT9" s="2">
        <v>30850.400000000001</v>
      </c>
      <c r="AU9" s="2">
        <v>35828.1</v>
      </c>
      <c r="AV9" s="2">
        <v>30468.9</v>
      </c>
      <c r="AW9" s="2">
        <v>18222.400000000001</v>
      </c>
      <c r="AX9" s="2">
        <v>14828.8</v>
      </c>
    </row>
    <row r="10" spans="2:50" x14ac:dyDescent="0.3">
      <c r="B10" s="1" t="s">
        <v>17</v>
      </c>
      <c r="C10" s="2">
        <v>1.04</v>
      </c>
      <c r="D10" s="2">
        <v>0.5</v>
      </c>
      <c r="E10" s="2">
        <v>0.4</v>
      </c>
      <c r="F10" s="2">
        <v>1.56</v>
      </c>
      <c r="G10" s="2">
        <v>0.7</v>
      </c>
      <c r="H10" s="2">
        <v>0.75</v>
      </c>
      <c r="I10" s="2">
        <v>0.78</v>
      </c>
      <c r="J10" s="2">
        <v>0.9</v>
      </c>
      <c r="K10" s="2">
        <v>1.26</v>
      </c>
      <c r="L10" s="2">
        <v>0.94</v>
      </c>
      <c r="N10" s="1" t="s">
        <v>17</v>
      </c>
      <c r="O10" s="2">
        <v>2208.27</v>
      </c>
      <c r="P10" s="2">
        <v>1410.28</v>
      </c>
      <c r="Q10" s="2">
        <v>2871.94</v>
      </c>
      <c r="R10" s="2">
        <v>1593.07</v>
      </c>
      <c r="S10" s="2">
        <v>3529.67</v>
      </c>
      <c r="T10" s="2">
        <v>1754.67</v>
      </c>
      <c r="U10" s="2">
        <v>3758.12</v>
      </c>
      <c r="V10" s="2">
        <v>613.39</v>
      </c>
      <c r="W10" s="2">
        <v>964.94</v>
      </c>
      <c r="X10" s="2">
        <v>763.32</v>
      </c>
      <c r="AA10" s="1" t="s">
        <v>17</v>
      </c>
      <c r="AB10" s="2">
        <v>12696.73</v>
      </c>
      <c r="AC10" s="2">
        <v>8274.1200000000008</v>
      </c>
      <c r="AD10" s="2">
        <v>17213.060000000001</v>
      </c>
      <c r="AE10" s="2">
        <v>9822.0499999999993</v>
      </c>
      <c r="AF10" s="2">
        <v>19007.53</v>
      </c>
      <c r="AG10" s="2">
        <v>9543.33</v>
      </c>
      <c r="AH10" s="2">
        <v>20189.98</v>
      </c>
      <c r="AI10" s="2">
        <v>12022.31</v>
      </c>
      <c r="AJ10" s="2">
        <v>5275.06</v>
      </c>
      <c r="AK10" s="2">
        <v>4507.08</v>
      </c>
      <c r="AN10" s="1" t="s">
        <v>17</v>
      </c>
      <c r="AO10" s="2">
        <v>14905</v>
      </c>
      <c r="AP10" s="2">
        <v>9684.4</v>
      </c>
      <c r="AQ10" s="2">
        <v>20085</v>
      </c>
      <c r="AR10" s="2">
        <v>11415.12</v>
      </c>
      <c r="AS10" s="2">
        <v>22537.200000000001</v>
      </c>
      <c r="AT10" s="2">
        <v>11298</v>
      </c>
      <c r="AU10" s="2">
        <v>23948.1</v>
      </c>
      <c r="AV10" s="2">
        <v>12635.7</v>
      </c>
      <c r="AW10" s="2">
        <v>6240</v>
      </c>
      <c r="AX10" s="2">
        <v>5270.4</v>
      </c>
    </row>
    <row r="11" spans="2:50" x14ac:dyDescent="0.3">
      <c r="B11" s="1" t="s">
        <v>18</v>
      </c>
      <c r="C11" s="2">
        <v>1.6</v>
      </c>
      <c r="D11" s="2">
        <v>1.29</v>
      </c>
      <c r="E11" s="2">
        <v>0.82</v>
      </c>
      <c r="F11" s="2">
        <v>1.6</v>
      </c>
      <c r="G11" s="2">
        <v>1.6</v>
      </c>
      <c r="H11" s="2">
        <v>0.86</v>
      </c>
      <c r="I11" s="2">
        <v>1.22</v>
      </c>
      <c r="J11" s="2">
        <v>0.38</v>
      </c>
      <c r="K11" s="2">
        <v>1.17</v>
      </c>
      <c r="L11" s="2">
        <v>1.6</v>
      </c>
      <c r="N11" s="1" t="s">
        <v>18</v>
      </c>
      <c r="O11" s="2">
        <v>10205.93</v>
      </c>
      <c r="P11" s="2">
        <v>4049.2</v>
      </c>
      <c r="Q11" s="2">
        <v>10513.25</v>
      </c>
      <c r="R11" s="2">
        <v>9835.31</v>
      </c>
      <c r="S11" s="2">
        <v>13206.74</v>
      </c>
      <c r="T11" s="2">
        <v>9313.2800000000007</v>
      </c>
      <c r="U11" s="2">
        <v>13342.95</v>
      </c>
      <c r="V11" s="2">
        <v>9874.86</v>
      </c>
      <c r="W11" s="2">
        <v>1973.91</v>
      </c>
      <c r="X11" s="2">
        <v>2596.0300000000002</v>
      </c>
      <c r="AA11" s="1" t="s">
        <v>18</v>
      </c>
      <c r="AB11" s="2">
        <v>46034.7</v>
      </c>
      <c r="AC11" s="2">
        <v>24360.17</v>
      </c>
      <c r="AD11" s="2">
        <v>67096.75</v>
      </c>
      <c r="AE11" s="2">
        <v>37740.19</v>
      </c>
      <c r="AF11" s="2">
        <v>71717.960000000006</v>
      </c>
      <c r="AG11" s="2">
        <v>52133.84</v>
      </c>
      <c r="AH11" s="2">
        <v>76880.87</v>
      </c>
      <c r="AI11" s="2">
        <v>57358.17</v>
      </c>
      <c r="AJ11" s="2">
        <v>11194.89</v>
      </c>
      <c r="AK11" s="2">
        <v>12965.57</v>
      </c>
      <c r="AN11" s="1" t="s">
        <v>18</v>
      </c>
      <c r="AO11" s="2">
        <v>56240.63</v>
      </c>
      <c r="AP11" s="2">
        <v>28409.37</v>
      </c>
      <c r="AQ11" s="2">
        <v>77610</v>
      </c>
      <c r="AR11" s="2">
        <v>47575.5</v>
      </c>
      <c r="AS11" s="2">
        <v>84924.7</v>
      </c>
      <c r="AT11" s="2">
        <v>61447.12</v>
      </c>
      <c r="AU11" s="2">
        <v>90223.83</v>
      </c>
      <c r="AV11" s="2">
        <v>67233.02</v>
      </c>
      <c r="AW11" s="2">
        <v>13168.8</v>
      </c>
      <c r="AX11" s="2">
        <v>15561.6</v>
      </c>
    </row>
    <row r="12" spans="2:50" x14ac:dyDescent="0.3">
      <c r="B12" s="1" t="s">
        <v>19</v>
      </c>
      <c r="C12" s="2">
        <v>1.3</v>
      </c>
      <c r="D12" s="2">
        <v>0.86</v>
      </c>
      <c r="E12" s="2">
        <v>0.6</v>
      </c>
      <c r="F12" s="2">
        <v>1.42</v>
      </c>
      <c r="G12" s="2">
        <v>1.02</v>
      </c>
      <c r="H12" s="2">
        <v>0.75</v>
      </c>
      <c r="I12" s="2">
        <v>0.43</v>
      </c>
      <c r="J12" s="2">
        <v>0.24</v>
      </c>
      <c r="K12" s="2">
        <v>1.04</v>
      </c>
      <c r="L12" s="2">
        <v>1.1499999999999999</v>
      </c>
      <c r="N12" s="1" t="s">
        <v>19</v>
      </c>
      <c r="O12" s="2">
        <v>2324.19</v>
      </c>
      <c r="P12" s="2">
        <v>1371.83</v>
      </c>
      <c r="Q12" s="2">
        <v>3023</v>
      </c>
      <c r="R12" s="2">
        <v>3080.56</v>
      </c>
      <c r="S12" s="2">
        <v>3752.48</v>
      </c>
      <c r="T12" s="2">
        <v>3250.94</v>
      </c>
      <c r="U12" s="2">
        <v>3698.55</v>
      </c>
      <c r="V12" s="2">
        <v>3146.91</v>
      </c>
      <c r="W12" s="2">
        <v>592.11</v>
      </c>
      <c r="X12" s="2">
        <v>608.98</v>
      </c>
      <c r="AA12" s="1" t="s">
        <v>19</v>
      </c>
      <c r="AB12" s="2">
        <v>14934.81</v>
      </c>
      <c r="AC12" s="2">
        <v>8727.93</v>
      </c>
      <c r="AD12" s="2">
        <v>21112</v>
      </c>
      <c r="AE12" s="2">
        <v>20241.439999999999</v>
      </c>
      <c r="AF12" s="2">
        <v>21836.720000000001</v>
      </c>
      <c r="AG12" s="2">
        <v>19135.060000000001</v>
      </c>
      <c r="AH12" s="2">
        <v>21232.95</v>
      </c>
      <c r="AI12" s="2">
        <v>18501.09</v>
      </c>
      <c r="AJ12" s="2">
        <v>3763.09</v>
      </c>
      <c r="AK12" s="2">
        <v>3774.86</v>
      </c>
      <c r="AN12" s="1" t="s">
        <v>19</v>
      </c>
      <c r="AO12" s="2">
        <v>17259</v>
      </c>
      <c r="AP12" s="2">
        <v>10099.76</v>
      </c>
      <c r="AQ12" s="2">
        <v>24135</v>
      </c>
      <c r="AR12" s="2">
        <v>23322</v>
      </c>
      <c r="AS12" s="2">
        <v>25589.200000000001</v>
      </c>
      <c r="AT12" s="2">
        <v>22386</v>
      </c>
      <c r="AU12" s="2">
        <v>24931.5</v>
      </c>
      <c r="AV12" s="2">
        <v>21648</v>
      </c>
      <c r="AW12" s="2">
        <v>4355.2</v>
      </c>
      <c r="AX12" s="2">
        <v>4383.84</v>
      </c>
    </row>
    <row r="13" spans="2:50" x14ac:dyDescent="0.3">
      <c r="B13" s="1" t="s">
        <v>20</v>
      </c>
      <c r="C13" s="2">
        <v>1.4</v>
      </c>
      <c r="D13" s="2">
        <v>1.26</v>
      </c>
      <c r="E13" s="2">
        <v>0.9</v>
      </c>
      <c r="F13" s="2">
        <v>1.05</v>
      </c>
      <c r="G13" s="2">
        <v>0.72</v>
      </c>
      <c r="H13" s="2">
        <v>0.67</v>
      </c>
      <c r="I13" s="2">
        <v>0.38</v>
      </c>
      <c r="J13" s="2">
        <v>0.2</v>
      </c>
      <c r="K13" s="2">
        <v>1.42</v>
      </c>
      <c r="L13" s="2">
        <v>1.47</v>
      </c>
      <c r="N13" s="1" t="s">
        <v>20</v>
      </c>
      <c r="O13" s="2">
        <v>8272.5</v>
      </c>
      <c r="P13" s="2">
        <v>9488.68</v>
      </c>
      <c r="Q13" s="2">
        <v>11445.31</v>
      </c>
      <c r="R13" s="2">
        <v>12128.17</v>
      </c>
      <c r="S13" s="2">
        <v>12932.57</v>
      </c>
      <c r="T13" s="2">
        <v>15215.44</v>
      </c>
      <c r="U13" s="2">
        <v>12964.95</v>
      </c>
      <c r="V13" s="2">
        <v>15875.48</v>
      </c>
      <c r="W13" s="2">
        <v>4396.5200000000004</v>
      </c>
      <c r="X13" s="2">
        <v>4207.25</v>
      </c>
      <c r="AA13" s="1" t="s">
        <v>20</v>
      </c>
      <c r="AB13" s="2">
        <v>51248.5</v>
      </c>
      <c r="AC13" s="2">
        <v>56511.32</v>
      </c>
      <c r="AD13" s="2">
        <v>76842.19</v>
      </c>
      <c r="AE13" s="2">
        <v>77071.83</v>
      </c>
      <c r="AF13" s="2">
        <v>73727.429999999993</v>
      </c>
      <c r="AG13" s="2">
        <v>82812.56</v>
      </c>
      <c r="AH13" s="2">
        <v>72307.05</v>
      </c>
      <c r="AI13" s="2">
        <v>87381.52</v>
      </c>
      <c r="AJ13" s="2">
        <v>27155.48</v>
      </c>
      <c r="AK13" s="2">
        <v>25530.720000000001</v>
      </c>
      <c r="AN13" s="1" t="s">
        <v>20</v>
      </c>
      <c r="AO13" s="2">
        <v>59521</v>
      </c>
      <c r="AP13" s="2">
        <v>66000</v>
      </c>
      <c r="AQ13" s="2">
        <v>88287.5</v>
      </c>
      <c r="AR13" s="2">
        <v>89200</v>
      </c>
      <c r="AS13" s="2">
        <v>86660</v>
      </c>
      <c r="AT13" s="2">
        <v>98028</v>
      </c>
      <c r="AU13" s="2">
        <v>85272</v>
      </c>
      <c r="AV13" s="2">
        <v>103257</v>
      </c>
      <c r="AW13" s="2">
        <v>31552</v>
      </c>
      <c r="AX13" s="2">
        <v>29737.97</v>
      </c>
    </row>
    <row r="14" spans="2:50" x14ac:dyDescent="0.3">
      <c r="B14" s="1" t="s">
        <v>21</v>
      </c>
      <c r="C14" s="2">
        <v>1.21</v>
      </c>
      <c r="D14" s="2">
        <v>1.19</v>
      </c>
      <c r="E14" s="2">
        <v>0.72</v>
      </c>
      <c r="F14" s="2">
        <v>0.53</v>
      </c>
      <c r="G14" s="2">
        <v>0.67</v>
      </c>
      <c r="H14" s="2">
        <v>1</v>
      </c>
      <c r="I14" s="2">
        <v>0.32</v>
      </c>
      <c r="J14" s="2">
        <v>0.24</v>
      </c>
      <c r="K14" s="2">
        <v>1.3</v>
      </c>
      <c r="L14" s="2">
        <v>1.38</v>
      </c>
      <c r="N14" s="1" t="s">
        <v>21</v>
      </c>
      <c r="O14" s="2">
        <v>2704.9</v>
      </c>
      <c r="P14" s="2">
        <v>2501.5700000000002</v>
      </c>
      <c r="Q14" s="2">
        <v>3386.1</v>
      </c>
      <c r="R14" s="2">
        <v>4266.78</v>
      </c>
      <c r="S14" s="2">
        <v>4491.75</v>
      </c>
      <c r="T14" s="2">
        <v>5481.41</v>
      </c>
      <c r="U14" s="2">
        <v>4171.0200000000004</v>
      </c>
      <c r="V14" s="2">
        <v>6273.97</v>
      </c>
      <c r="W14" s="2">
        <v>1062.1600000000001</v>
      </c>
      <c r="X14" s="2">
        <v>708.66</v>
      </c>
      <c r="AA14" s="1" t="s">
        <v>21</v>
      </c>
      <c r="AB14" s="2">
        <v>13398.64</v>
      </c>
      <c r="AC14" s="2">
        <v>11600.76</v>
      </c>
      <c r="AD14" s="2">
        <v>18497.52</v>
      </c>
      <c r="AE14" s="2">
        <v>20778.22</v>
      </c>
      <c r="AF14" s="2">
        <v>20328.28</v>
      </c>
      <c r="AG14" s="2">
        <v>25083.82</v>
      </c>
      <c r="AH14" s="2">
        <v>18460.38</v>
      </c>
      <c r="AI14" s="2">
        <v>27736.82</v>
      </c>
      <c r="AJ14" s="2">
        <v>5273.56</v>
      </c>
      <c r="AK14" s="2">
        <v>3177.67</v>
      </c>
      <c r="AN14" s="1" t="s">
        <v>21</v>
      </c>
      <c r="AO14" s="2">
        <v>16103.54</v>
      </c>
      <c r="AP14" s="2">
        <v>14102.33</v>
      </c>
      <c r="AQ14" s="2">
        <v>21883.62</v>
      </c>
      <c r="AR14" s="2">
        <v>25045</v>
      </c>
      <c r="AS14" s="2">
        <v>24820.03</v>
      </c>
      <c r="AT14" s="2">
        <v>30565.23</v>
      </c>
      <c r="AU14" s="2">
        <v>22631.4</v>
      </c>
      <c r="AV14" s="2">
        <v>34010.79</v>
      </c>
      <c r="AW14" s="2">
        <v>6335.73</v>
      </c>
      <c r="AX14" s="2">
        <v>3886.33</v>
      </c>
    </row>
    <row r="15" spans="2:50" x14ac:dyDescent="0.3">
      <c r="B15" s="1" t="s">
        <v>22</v>
      </c>
      <c r="C15" s="2">
        <v>1.54</v>
      </c>
      <c r="D15" s="2">
        <v>1.43</v>
      </c>
      <c r="E15" s="2">
        <v>1.07</v>
      </c>
      <c r="F15" s="2">
        <v>0.72</v>
      </c>
      <c r="G15" s="2">
        <v>0.75</v>
      </c>
      <c r="H15" s="2">
        <v>0.82</v>
      </c>
      <c r="I15" s="2">
        <v>0.48</v>
      </c>
      <c r="J15" s="2">
        <v>0.2</v>
      </c>
      <c r="K15" s="2">
        <v>1.6</v>
      </c>
      <c r="L15" s="2">
        <v>1.42</v>
      </c>
      <c r="N15" s="1" t="s">
        <v>22</v>
      </c>
      <c r="O15" s="2">
        <v>8819.44</v>
      </c>
      <c r="P15" s="2">
        <v>8929.23</v>
      </c>
      <c r="Q15" s="2">
        <v>8368.7999999999993</v>
      </c>
      <c r="R15" s="2">
        <v>10537.48</v>
      </c>
      <c r="S15" s="2">
        <v>12150.78</v>
      </c>
      <c r="T15" s="2">
        <v>13393.05</v>
      </c>
      <c r="U15" s="2">
        <v>11843</v>
      </c>
      <c r="V15" s="2">
        <v>13342.55</v>
      </c>
      <c r="W15" s="2">
        <v>1889.72</v>
      </c>
      <c r="X15" s="2">
        <v>2306.6</v>
      </c>
      <c r="AA15" s="1" t="s">
        <v>22</v>
      </c>
      <c r="AB15" s="2">
        <v>43125.18</v>
      </c>
      <c r="AC15" s="2">
        <v>42438.57</v>
      </c>
      <c r="AD15" s="2">
        <v>44554.2</v>
      </c>
      <c r="AE15" s="2">
        <v>54832.52</v>
      </c>
      <c r="AF15" s="2">
        <v>55688.31</v>
      </c>
      <c r="AG15" s="2">
        <v>59226.32</v>
      </c>
      <c r="AH15" s="2">
        <v>54050.48</v>
      </c>
      <c r="AI15" s="2">
        <v>59576.35</v>
      </c>
      <c r="AJ15" s="2">
        <v>9274.48</v>
      </c>
      <c r="AK15" s="2">
        <v>11184.28</v>
      </c>
      <c r="AN15" s="1" t="s">
        <v>22</v>
      </c>
      <c r="AO15" s="2">
        <v>51944.62</v>
      </c>
      <c r="AP15" s="2">
        <v>51367.8</v>
      </c>
      <c r="AQ15" s="2">
        <v>52923</v>
      </c>
      <c r="AR15" s="2">
        <v>65370</v>
      </c>
      <c r="AS15" s="2">
        <v>67839.09</v>
      </c>
      <c r="AT15" s="2">
        <v>72619.37</v>
      </c>
      <c r="AU15" s="2">
        <v>65893.48</v>
      </c>
      <c r="AV15" s="2">
        <v>72918.89</v>
      </c>
      <c r="AW15" s="2">
        <v>11164.2</v>
      </c>
      <c r="AX15" s="2">
        <v>13490.88</v>
      </c>
    </row>
    <row r="16" spans="2:50" x14ac:dyDescent="0.3">
      <c r="B16" s="1" t="s">
        <v>23</v>
      </c>
      <c r="C16" s="2">
        <v>0.5</v>
      </c>
      <c r="D16" s="2">
        <v>0.43</v>
      </c>
      <c r="E16" s="2">
        <v>0.6</v>
      </c>
      <c r="F16" s="2">
        <v>0.2</v>
      </c>
      <c r="G16" s="2">
        <v>0.67</v>
      </c>
      <c r="H16" s="2">
        <v>0.59</v>
      </c>
      <c r="I16" s="2">
        <v>0.5</v>
      </c>
      <c r="J16" s="2">
        <v>0.9</v>
      </c>
      <c r="K16" s="2">
        <v>0.71</v>
      </c>
      <c r="L16" s="2">
        <v>1.1399999999999999</v>
      </c>
      <c r="N16" s="1" t="s">
        <v>23</v>
      </c>
      <c r="O16" s="2">
        <v>4101.05</v>
      </c>
      <c r="P16" s="2">
        <v>5366.79</v>
      </c>
      <c r="Q16" s="2">
        <v>4082.13</v>
      </c>
      <c r="R16" s="2">
        <v>4355.99</v>
      </c>
      <c r="S16" s="2">
        <v>4207</v>
      </c>
      <c r="T16" s="2">
        <v>5093.21</v>
      </c>
      <c r="U16" s="2">
        <v>3921.81</v>
      </c>
      <c r="V16" s="2">
        <v>1411.19</v>
      </c>
      <c r="W16" s="2">
        <v>1654.3</v>
      </c>
      <c r="X16" s="2">
        <v>1821.58</v>
      </c>
      <c r="AA16" s="1" t="s">
        <v>23</v>
      </c>
      <c r="AB16" s="2">
        <v>20827.150000000001</v>
      </c>
      <c r="AC16" s="2">
        <v>25158.21</v>
      </c>
      <c r="AD16" s="2">
        <v>24545.37</v>
      </c>
      <c r="AE16" s="2">
        <v>26851.51</v>
      </c>
      <c r="AF16" s="2">
        <v>19959.8</v>
      </c>
      <c r="AG16" s="2">
        <v>22643.59</v>
      </c>
      <c r="AH16" s="2">
        <v>18749.189999999999</v>
      </c>
      <c r="AI16" s="2">
        <v>27536.41</v>
      </c>
      <c r="AJ16" s="2">
        <v>9181.7000000000007</v>
      </c>
      <c r="AK16" s="2">
        <v>9392.2099999999991</v>
      </c>
      <c r="AN16" s="1" t="s">
        <v>23</v>
      </c>
      <c r="AO16" s="2">
        <v>24928.2</v>
      </c>
      <c r="AP16" s="2">
        <v>30525</v>
      </c>
      <c r="AQ16" s="2">
        <v>28627.5</v>
      </c>
      <c r="AR16" s="2">
        <v>31207.5</v>
      </c>
      <c r="AS16" s="2">
        <v>24166.799999999999</v>
      </c>
      <c r="AT16" s="2">
        <v>27736.799999999999</v>
      </c>
      <c r="AU16" s="2">
        <v>22671</v>
      </c>
      <c r="AV16" s="2">
        <v>28947.599999999999</v>
      </c>
      <c r="AW16" s="2">
        <v>10836</v>
      </c>
      <c r="AX16" s="2">
        <v>11213.79</v>
      </c>
    </row>
    <row r="19" spans="2:50" x14ac:dyDescent="0.3">
      <c r="B19" t="s">
        <v>24</v>
      </c>
      <c r="N19" t="s">
        <v>25</v>
      </c>
      <c r="AA19" t="s">
        <v>26</v>
      </c>
      <c r="AN19" t="s">
        <v>27</v>
      </c>
    </row>
    <row r="20" spans="2:50" x14ac:dyDescent="0.3">
      <c r="B20" s="1" t="s">
        <v>11</v>
      </c>
      <c r="C20" s="1" t="s">
        <v>12</v>
      </c>
      <c r="D20" s="1" t="s">
        <v>13</v>
      </c>
      <c r="E20" s="1" t="s">
        <v>12</v>
      </c>
      <c r="F20" s="1" t="s">
        <v>13</v>
      </c>
      <c r="G20" s="1" t="s">
        <v>12</v>
      </c>
      <c r="H20" s="1" t="s">
        <v>13</v>
      </c>
      <c r="I20" s="1" t="s">
        <v>12</v>
      </c>
      <c r="J20" s="1" t="s">
        <v>13</v>
      </c>
      <c r="K20" s="1" t="s">
        <v>12</v>
      </c>
      <c r="L20" s="1" t="s">
        <v>13</v>
      </c>
      <c r="N20" s="1" t="s">
        <v>11</v>
      </c>
      <c r="O20" s="1" t="s">
        <v>12</v>
      </c>
      <c r="P20" s="1" t="s">
        <v>13</v>
      </c>
      <c r="Q20" s="1" t="s">
        <v>12</v>
      </c>
      <c r="R20" s="1" t="s">
        <v>13</v>
      </c>
      <c r="S20" s="1" t="s">
        <v>12</v>
      </c>
      <c r="T20" s="1" t="s">
        <v>13</v>
      </c>
      <c r="U20" s="1" t="s">
        <v>12</v>
      </c>
      <c r="V20" s="1" t="s">
        <v>13</v>
      </c>
      <c r="W20" s="1" t="s">
        <v>12</v>
      </c>
      <c r="X20" s="1" t="s">
        <v>13</v>
      </c>
      <c r="AA20" s="1" t="s">
        <v>11</v>
      </c>
      <c r="AB20" s="1" t="s">
        <v>12</v>
      </c>
      <c r="AC20" s="1" t="s">
        <v>13</v>
      </c>
      <c r="AD20" s="1" t="s">
        <v>12</v>
      </c>
      <c r="AE20" s="1" t="s">
        <v>13</v>
      </c>
      <c r="AF20" s="1" t="s">
        <v>12</v>
      </c>
      <c r="AG20" s="1" t="s">
        <v>13</v>
      </c>
      <c r="AH20" s="1" t="s">
        <v>12</v>
      </c>
      <c r="AI20" s="1" t="s">
        <v>13</v>
      </c>
      <c r="AJ20" s="1" t="s">
        <v>12</v>
      </c>
      <c r="AK20" s="1" t="s">
        <v>13</v>
      </c>
      <c r="AN20" s="1" t="s">
        <v>11</v>
      </c>
      <c r="AO20" s="1" t="s">
        <v>12</v>
      </c>
      <c r="AP20" s="1" t="s">
        <v>13</v>
      </c>
      <c r="AQ20" s="1" t="s">
        <v>12</v>
      </c>
      <c r="AR20" s="1" t="s">
        <v>13</v>
      </c>
      <c r="AS20" s="1" t="s">
        <v>12</v>
      </c>
      <c r="AT20" s="1" t="s">
        <v>13</v>
      </c>
      <c r="AU20" s="1" t="s">
        <v>12</v>
      </c>
      <c r="AV20" s="1" t="s">
        <v>13</v>
      </c>
      <c r="AW20" s="1" t="s">
        <v>12</v>
      </c>
      <c r="AX20" s="1" t="s">
        <v>13</v>
      </c>
    </row>
    <row r="21" spans="2:50" x14ac:dyDescent="0.3">
      <c r="B21" s="1" t="s">
        <v>14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N21" s="1" t="s">
        <v>14</v>
      </c>
      <c r="O21" s="1" t="s">
        <v>1</v>
      </c>
      <c r="P21" s="1" t="s">
        <v>1</v>
      </c>
      <c r="Q21" s="1" t="s">
        <v>2</v>
      </c>
      <c r="R21" s="1" t="s">
        <v>2</v>
      </c>
      <c r="S21" s="1" t="s">
        <v>3</v>
      </c>
      <c r="T21" s="1" t="s">
        <v>3</v>
      </c>
      <c r="U21" s="1" t="s">
        <v>4</v>
      </c>
      <c r="V21" s="1" t="s">
        <v>4</v>
      </c>
      <c r="W21" s="1" t="s">
        <v>5</v>
      </c>
      <c r="X21" s="1" t="s">
        <v>5</v>
      </c>
      <c r="AA21" s="1" t="s">
        <v>14</v>
      </c>
      <c r="AB21" s="1" t="s">
        <v>1</v>
      </c>
      <c r="AC21" s="1" t="s">
        <v>1</v>
      </c>
      <c r="AD21" s="1" t="s">
        <v>2</v>
      </c>
      <c r="AE21" s="1" t="s">
        <v>2</v>
      </c>
      <c r="AF21" s="1" t="s">
        <v>3</v>
      </c>
      <c r="AG21" s="1" t="s">
        <v>3</v>
      </c>
      <c r="AH21" s="1" t="s">
        <v>4</v>
      </c>
      <c r="AI21" s="1" t="s">
        <v>4</v>
      </c>
      <c r="AJ21" s="1" t="s">
        <v>5</v>
      </c>
      <c r="AK21" s="1" t="s">
        <v>5</v>
      </c>
      <c r="AN21" s="1" t="s">
        <v>14</v>
      </c>
      <c r="AO21" s="1" t="s">
        <v>1</v>
      </c>
      <c r="AP21" s="1" t="s">
        <v>1</v>
      </c>
      <c r="AQ21" s="1" t="s">
        <v>2</v>
      </c>
      <c r="AR21" s="1" t="s">
        <v>2</v>
      </c>
      <c r="AS21" s="1" t="s">
        <v>3</v>
      </c>
      <c r="AT21" s="1" t="s">
        <v>3</v>
      </c>
      <c r="AU21" s="1" t="s">
        <v>4</v>
      </c>
      <c r="AV21" s="1" t="s">
        <v>4</v>
      </c>
      <c r="AW21" s="1" t="s">
        <v>5</v>
      </c>
      <c r="AX21" s="1" t="s">
        <v>5</v>
      </c>
    </row>
    <row r="22" spans="2:50" x14ac:dyDescent="0.3">
      <c r="B22" s="1" t="s">
        <v>15</v>
      </c>
      <c r="N22" s="1" t="s">
        <v>15</v>
      </c>
      <c r="AA22" s="1" t="s">
        <v>15</v>
      </c>
      <c r="AN22" s="1" t="s">
        <v>15</v>
      </c>
    </row>
    <row r="23" spans="2:50" x14ac:dyDescent="0.3">
      <c r="B23" s="1" t="s">
        <v>16</v>
      </c>
      <c r="C23" s="2">
        <v>0.06</v>
      </c>
      <c r="D23" s="2">
        <v>0.06</v>
      </c>
      <c r="E23" s="2">
        <v>0.06</v>
      </c>
      <c r="F23" s="2">
        <v>0.06</v>
      </c>
      <c r="G23" s="2">
        <v>0.05</v>
      </c>
      <c r="H23" s="2">
        <v>0.05</v>
      </c>
      <c r="I23" s="2">
        <v>0.06</v>
      </c>
      <c r="J23" s="2">
        <v>0.05</v>
      </c>
      <c r="K23" s="2">
        <v>0.1</v>
      </c>
      <c r="L23" s="2">
        <v>0.1</v>
      </c>
      <c r="N23" s="1" t="s">
        <v>16</v>
      </c>
      <c r="O23" s="2">
        <v>971.81</v>
      </c>
      <c r="P23" s="2">
        <v>967.63</v>
      </c>
      <c r="Q23" s="2">
        <v>1183.03</v>
      </c>
      <c r="R23" s="2">
        <v>901.19</v>
      </c>
      <c r="S23" s="2">
        <v>643.95000000000005</v>
      </c>
      <c r="T23" s="2">
        <v>569.74</v>
      </c>
      <c r="U23" s="2">
        <v>655.44</v>
      </c>
      <c r="V23" s="2">
        <v>463.33</v>
      </c>
      <c r="W23" s="2">
        <v>2256.16</v>
      </c>
      <c r="X23" s="2">
        <v>1807.14</v>
      </c>
      <c r="AA23" s="1" t="s">
        <v>16</v>
      </c>
      <c r="AB23" s="2">
        <v>15632.19</v>
      </c>
      <c r="AC23" s="2">
        <v>15524.37</v>
      </c>
      <c r="AD23" s="2">
        <v>18388.97</v>
      </c>
      <c r="AE23" s="2">
        <v>14141.81</v>
      </c>
      <c r="AF23" s="2">
        <v>11739.05</v>
      </c>
      <c r="AG23" s="2">
        <v>10448.26</v>
      </c>
      <c r="AH23" s="2">
        <v>10201.56</v>
      </c>
      <c r="AI23" s="2">
        <v>8769.67</v>
      </c>
      <c r="AJ23" s="2">
        <v>20521.84</v>
      </c>
      <c r="AK23" s="2">
        <v>16728.86</v>
      </c>
      <c r="AN23" s="1" t="s">
        <v>16</v>
      </c>
      <c r="AO23" s="2">
        <v>16604</v>
      </c>
      <c r="AP23" s="2">
        <v>16492</v>
      </c>
      <c r="AQ23" s="2">
        <v>19572</v>
      </c>
      <c r="AR23" s="2">
        <v>15043</v>
      </c>
      <c r="AS23" s="2">
        <v>12383</v>
      </c>
      <c r="AT23" s="2">
        <v>11018</v>
      </c>
      <c r="AU23" s="2">
        <v>10857</v>
      </c>
      <c r="AV23" s="2">
        <v>9233</v>
      </c>
      <c r="AW23" s="2">
        <v>22778</v>
      </c>
      <c r="AX23" s="2">
        <v>18536</v>
      </c>
    </row>
    <row r="24" spans="2:50" x14ac:dyDescent="0.3">
      <c r="B24" s="1" t="s">
        <v>17</v>
      </c>
      <c r="C24" s="2">
        <v>0.16</v>
      </c>
      <c r="D24" s="2">
        <v>0.17</v>
      </c>
      <c r="E24" s="2">
        <v>0.16</v>
      </c>
      <c r="F24" s="2">
        <v>0.17</v>
      </c>
      <c r="G24" s="2">
        <v>0.17</v>
      </c>
      <c r="H24" s="2">
        <v>0.17</v>
      </c>
      <c r="I24" s="2">
        <v>0.17</v>
      </c>
      <c r="J24" s="2">
        <v>0.05</v>
      </c>
      <c r="K24" s="2">
        <v>0.17</v>
      </c>
      <c r="L24" s="2">
        <v>0.18</v>
      </c>
      <c r="N24" s="1" t="s">
        <v>17</v>
      </c>
      <c r="O24" s="2">
        <v>1003.76</v>
      </c>
      <c r="P24" s="2">
        <v>641.04</v>
      </c>
      <c r="Q24" s="2">
        <v>1148.78</v>
      </c>
      <c r="R24" s="2">
        <v>637.23</v>
      </c>
      <c r="S24" s="2">
        <v>1260.5999999999999</v>
      </c>
      <c r="T24" s="2">
        <v>626.66999999999996</v>
      </c>
      <c r="U24" s="2">
        <v>1138.82</v>
      </c>
      <c r="V24" s="2">
        <v>185.87</v>
      </c>
      <c r="W24" s="2">
        <v>1206.17</v>
      </c>
      <c r="X24" s="2">
        <v>954.15</v>
      </c>
      <c r="AA24" s="1" t="s">
        <v>17</v>
      </c>
      <c r="AB24" s="2">
        <v>5771.24</v>
      </c>
      <c r="AC24" s="2">
        <v>3760.96</v>
      </c>
      <c r="AD24" s="2">
        <v>6885.22</v>
      </c>
      <c r="AE24" s="2">
        <v>3928.82</v>
      </c>
      <c r="AF24" s="2">
        <v>6788.4</v>
      </c>
      <c r="AG24" s="2">
        <v>3408.33</v>
      </c>
      <c r="AH24" s="2">
        <v>6118.18</v>
      </c>
      <c r="AI24" s="2">
        <v>3643.13</v>
      </c>
      <c r="AJ24" s="2">
        <v>6593.83</v>
      </c>
      <c r="AK24" s="2">
        <v>5633.85</v>
      </c>
      <c r="AN24" s="1" t="s">
        <v>17</v>
      </c>
      <c r="AO24" s="2">
        <v>6775</v>
      </c>
      <c r="AP24" s="2">
        <v>4402</v>
      </c>
      <c r="AQ24" s="2">
        <v>8034</v>
      </c>
      <c r="AR24" s="2">
        <v>4566.05</v>
      </c>
      <c r="AS24" s="2">
        <v>8049</v>
      </c>
      <c r="AT24" s="2">
        <v>4035</v>
      </c>
      <c r="AU24" s="2">
        <v>7257</v>
      </c>
      <c r="AV24" s="2">
        <v>3829</v>
      </c>
      <c r="AW24" s="2">
        <v>7800</v>
      </c>
      <c r="AX24" s="2">
        <v>6588</v>
      </c>
    </row>
    <row r="25" spans="2:50" x14ac:dyDescent="0.3">
      <c r="B25" s="1" t="s">
        <v>18</v>
      </c>
      <c r="C25" s="2">
        <v>0.21</v>
      </c>
      <c r="D25" s="2">
        <v>0.17</v>
      </c>
      <c r="E25" s="2">
        <v>0.16</v>
      </c>
      <c r="F25" s="2">
        <v>0.26</v>
      </c>
      <c r="G25" s="2">
        <v>0.17</v>
      </c>
      <c r="H25" s="2">
        <v>0.17</v>
      </c>
      <c r="I25" s="2">
        <v>0.16</v>
      </c>
      <c r="J25" s="2">
        <v>0.17</v>
      </c>
      <c r="K25" s="2">
        <v>0.18</v>
      </c>
      <c r="L25" s="2">
        <v>0.2</v>
      </c>
      <c r="N25" s="1" t="s">
        <v>18</v>
      </c>
      <c r="O25" s="2">
        <v>4639.0600000000004</v>
      </c>
      <c r="P25" s="2">
        <v>1840.55</v>
      </c>
      <c r="Q25" s="2">
        <v>4205.3</v>
      </c>
      <c r="R25" s="2">
        <v>3934.12</v>
      </c>
      <c r="S25" s="2">
        <v>4716.6899999999996</v>
      </c>
      <c r="T25" s="2">
        <v>3326.17</v>
      </c>
      <c r="U25" s="2">
        <v>4043.32</v>
      </c>
      <c r="V25" s="2">
        <v>2992.38</v>
      </c>
      <c r="W25" s="2">
        <v>2467.39</v>
      </c>
      <c r="X25" s="2">
        <v>3245.03</v>
      </c>
      <c r="AA25" s="1" t="s">
        <v>18</v>
      </c>
      <c r="AB25" s="2">
        <v>20924.86</v>
      </c>
      <c r="AC25" s="2">
        <v>11072.8</v>
      </c>
      <c r="AD25" s="2">
        <v>26838.7</v>
      </c>
      <c r="AE25" s="2">
        <v>15096.08</v>
      </c>
      <c r="AF25" s="2">
        <v>25613.56</v>
      </c>
      <c r="AG25" s="2">
        <v>18619.23</v>
      </c>
      <c r="AH25" s="2">
        <v>23297.23</v>
      </c>
      <c r="AI25" s="2">
        <v>17381.259999999998</v>
      </c>
      <c r="AJ25" s="2">
        <v>13993.61</v>
      </c>
      <c r="AK25" s="2">
        <v>16206.97</v>
      </c>
      <c r="AN25" s="1" t="s">
        <v>18</v>
      </c>
      <c r="AO25" s="2">
        <v>25563.919999999998</v>
      </c>
      <c r="AP25" s="2">
        <v>12913.35</v>
      </c>
      <c r="AQ25" s="2">
        <v>31044</v>
      </c>
      <c r="AR25" s="2">
        <v>19030.2</v>
      </c>
      <c r="AS25" s="2">
        <v>30330.25</v>
      </c>
      <c r="AT25" s="2">
        <v>21945.4</v>
      </c>
      <c r="AU25" s="2">
        <v>27340.55</v>
      </c>
      <c r="AV25" s="2">
        <v>20373.64</v>
      </c>
      <c r="AW25" s="2">
        <v>16461</v>
      </c>
      <c r="AX25" s="2">
        <v>19452</v>
      </c>
    </row>
    <row r="26" spans="2:50" x14ac:dyDescent="0.3">
      <c r="B26" s="1" t="s">
        <v>19</v>
      </c>
      <c r="C26" s="2">
        <v>0.16</v>
      </c>
      <c r="D26" s="2">
        <v>0.17</v>
      </c>
      <c r="E26" s="2">
        <v>0.16</v>
      </c>
      <c r="F26" s="2">
        <v>0.17</v>
      </c>
      <c r="G26" s="2">
        <v>0.16</v>
      </c>
      <c r="H26" s="2">
        <v>0.17</v>
      </c>
      <c r="I26" s="2">
        <v>0.17</v>
      </c>
      <c r="J26" s="2">
        <v>0.17</v>
      </c>
      <c r="K26" s="2">
        <v>0.18</v>
      </c>
      <c r="L26" s="2">
        <v>0.18</v>
      </c>
      <c r="N26" s="1" t="s">
        <v>19</v>
      </c>
      <c r="O26" s="2">
        <v>1056.45</v>
      </c>
      <c r="P26" s="2">
        <v>623.55999999999995</v>
      </c>
      <c r="Q26" s="2">
        <v>1209.2</v>
      </c>
      <c r="R26" s="2">
        <v>1232.22</v>
      </c>
      <c r="S26" s="2">
        <v>1340.17</v>
      </c>
      <c r="T26" s="2">
        <v>1161.05</v>
      </c>
      <c r="U26" s="2">
        <v>1120.77</v>
      </c>
      <c r="V26" s="2">
        <v>953.61</v>
      </c>
      <c r="W26" s="2">
        <v>740.13</v>
      </c>
      <c r="X26" s="2">
        <v>761.22</v>
      </c>
      <c r="AA26" s="1" t="s">
        <v>19</v>
      </c>
      <c r="AB26" s="2">
        <v>6788.55</v>
      </c>
      <c r="AC26" s="2">
        <v>3967.24</v>
      </c>
      <c r="AD26" s="2">
        <v>8444.7999999999993</v>
      </c>
      <c r="AE26" s="2">
        <v>8096.58</v>
      </c>
      <c r="AF26" s="2">
        <v>7798.83</v>
      </c>
      <c r="AG26" s="2">
        <v>6833.95</v>
      </c>
      <c r="AH26" s="2">
        <v>6434.23</v>
      </c>
      <c r="AI26" s="2">
        <v>5606.39</v>
      </c>
      <c r="AJ26" s="2">
        <v>4703.87</v>
      </c>
      <c r="AK26" s="2">
        <v>4718.58</v>
      </c>
      <c r="AN26" s="1" t="s">
        <v>19</v>
      </c>
      <c r="AO26" s="2">
        <v>7845</v>
      </c>
      <c r="AP26" s="2">
        <v>4590.8</v>
      </c>
      <c r="AQ26" s="2">
        <v>9654</v>
      </c>
      <c r="AR26" s="2">
        <v>9328.7999999999993</v>
      </c>
      <c r="AS26" s="2">
        <v>9139</v>
      </c>
      <c r="AT26" s="2">
        <v>7995</v>
      </c>
      <c r="AU26" s="2">
        <v>7555</v>
      </c>
      <c r="AV26" s="2">
        <v>6560</v>
      </c>
      <c r="AW26" s="2">
        <v>5444</v>
      </c>
      <c r="AX26" s="2">
        <v>5479.8</v>
      </c>
    </row>
    <row r="27" spans="2:50" x14ac:dyDescent="0.3">
      <c r="B27" s="1" t="s">
        <v>20</v>
      </c>
      <c r="C27" s="2">
        <v>0.16</v>
      </c>
      <c r="D27" s="2">
        <v>0.17</v>
      </c>
      <c r="E27" s="2">
        <v>0.16</v>
      </c>
      <c r="F27" s="2">
        <v>0.17</v>
      </c>
      <c r="G27" s="2">
        <v>0.17</v>
      </c>
      <c r="H27" s="2">
        <v>0.17</v>
      </c>
      <c r="I27" s="2">
        <v>0.17</v>
      </c>
      <c r="J27" s="2">
        <v>0.17</v>
      </c>
      <c r="K27" s="2">
        <v>0.18</v>
      </c>
      <c r="L27" s="2">
        <v>0.18</v>
      </c>
      <c r="N27" s="1" t="s">
        <v>20</v>
      </c>
      <c r="O27" s="2">
        <v>3760.23</v>
      </c>
      <c r="P27" s="2">
        <v>4313.04</v>
      </c>
      <c r="Q27" s="2">
        <v>4578.12</v>
      </c>
      <c r="R27" s="2">
        <v>4851.2700000000004</v>
      </c>
      <c r="S27" s="2">
        <v>4618.7700000000004</v>
      </c>
      <c r="T27" s="2">
        <v>5434.09</v>
      </c>
      <c r="U27" s="2">
        <v>3928.77</v>
      </c>
      <c r="V27" s="2">
        <v>4810.75</v>
      </c>
      <c r="W27" s="2">
        <v>5495.65</v>
      </c>
      <c r="X27" s="2">
        <v>5259.06</v>
      </c>
      <c r="AA27" s="1" t="s">
        <v>20</v>
      </c>
      <c r="AB27" s="2">
        <v>23294.77</v>
      </c>
      <c r="AC27" s="2">
        <v>25686.959999999999</v>
      </c>
      <c r="AD27" s="2">
        <v>30736.880000000001</v>
      </c>
      <c r="AE27" s="2">
        <v>30828.73</v>
      </c>
      <c r="AF27" s="2">
        <v>26331.23</v>
      </c>
      <c r="AG27" s="2">
        <v>29575.91</v>
      </c>
      <c r="AH27" s="2">
        <v>21911.23</v>
      </c>
      <c r="AI27" s="2">
        <v>26479.25</v>
      </c>
      <c r="AJ27" s="2">
        <v>33944.35</v>
      </c>
      <c r="AK27" s="2">
        <v>31913.4</v>
      </c>
      <c r="AN27" s="1" t="s">
        <v>20</v>
      </c>
      <c r="AO27" s="2">
        <v>27055</v>
      </c>
      <c r="AP27" s="2">
        <v>30000</v>
      </c>
      <c r="AQ27" s="2">
        <v>35315</v>
      </c>
      <c r="AR27" s="2">
        <v>35680</v>
      </c>
      <c r="AS27" s="2">
        <v>30950</v>
      </c>
      <c r="AT27" s="2">
        <v>35010</v>
      </c>
      <c r="AU27" s="2">
        <v>25840</v>
      </c>
      <c r="AV27" s="2">
        <v>31290</v>
      </c>
      <c r="AW27" s="2">
        <v>39440</v>
      </c>
      <c r="AX27" s="2">
        <v>37172.46</v>
      </c>
    </row>
    <row r="28" spans="2:50" x14ac:dyDescent="0.3">
      <c r="B28" s="1" t="s">
        <v>21</v>
      </c>
      <c r="C28" s="2">
        <v>0.2</v>
      </c>
      <c r="D28" s="2">
        <v>0.21</v>
      </c>
      <c r="E28" s="2">
        <v>0.2</v>
      </c>
      <c r="F28" s="2">
        <v>0.2</v>
      </c>
      <c r="G28" s="2">
        <v>0.2</v>
      </c>
      <c r="H28" s="2">
        <v>0.19</v>
      </c>
      <c r="I28" s="2">
        <v>0.2</v>
      </c>
      <c r="J28" s="2">
        <v>0.2</v>
      </c>
      <c r="K28" s="2">
        <v>0.22</v>
      </c>
      <c r="L28" s="2">
        <v>0.22</v>
      </c>
      <c r="N28" s="1" t="s">
        <v>21</v>
      </c>
      <c r="O28" s="2">
        <v>1229.5</v>
      </c>
      <c r="P28" s="2">
        <v>1137.08</v>
      </c>
      <c r="Q28" s="2">
        <v>1354.44</v>
      </c>
      <c r="R28" s="2">
        <v>1706.71</v>
      </c>
      <c r="S28" s="2">
        <v>1604.2</v>
      </c>
      <c r="T28" s="2">
        <v>1957.65</v>
      </c>
      <c r="U28" s="2">
        <v>1263.94</v>
      </c>
      <c r="V28" s="2">
        <v>1901.2</v>
      </c>
      <c r="W28" s="2">
        <v>1327.7</v>
      </c>
      <c r="X28" s="2">
        <v>885.83</v>
      </c>
      <c r="AA28" s="1" t="s">
        <v>21</v>
      </c>
      <c r="AB28" s="2">
        <v>6090.29</v>
      </c>
      <c r="AC28" s="2">
        <v>5273.07</v>
      </c>
      <c r="AD28" s="2">
        <v>7399.01</v>
      </c>
      <c r="AE28" s="2">
        <v>8311.2900000000009</v>
      </c>
      <c r="AF28" s="2">
        <v>7260.1</v>
      </c>
      <c r="AG28" s="2">
        <v>8958.51</v>
      </c>
      <c r="AH28" s="2">
        <v>5594.06</v>
      </c>
      <c r="AI28" s="2">
        <v>8405.1</v>
      </c>
      <c r="AJ28" s="2">
        <v>6591.95</v>
      </c>
      <c r="AK28" s="2">
        <v>3972.09</v>
      </c>
      <c r="AN28" s="1" t="s">
        <v>21</v>
      </c>
      <c r="AO28" s="2">
        <v>7319.79</v>
      </c>
      <c r="AP28" s="2">
        <v>6410.15</v>
      </c>
      <c r="AQ28" s="2">
        <v>8753.4500000000007</v>
      </c>
      <c r="AR28" s="2">
        <v>10018</v>
      </c>
      <c r="AS28" s="2">
        <v>8864.2999999999993</v>
      </c>
      <c r="AT28" s="2">
        <v>10916.15</v>
      </c>
      <c r="AU28" s="2">
        <v>6858</v>
      </c>
      <c r="AV28" s="2">
        <v>10306.299999999999</v>
      </c>
      <c r="AW28" s="2">
        <v>7919.66</v>
      </c>
      <c r="AX28" s="2">
        <v>4857.92</v>
      </c>
    </row>
    <row r="29" spans="2:50" x14ac:dyDescent="0.3">
      <c r="B29" s="1" t="s">
        <v>22</v>
      </c>
      <c r="C29" s="2">
        <v>0.2</v>
      </c>
      <c r="D29" s="2">
        <v>0.2</v>
      </c>
      <c r="E29" s="2">
        <v>0.2</v>
      </c>
      <c r="F29" s="2">
        <v>0.2</v>
      </c>
      <c r="G29" s="2">
        <v>0.2</v>
      </c>
      <c r="H29" s="2">
        <v>0.2</v>
      </c>
      <c r="I29" s="2">
        <v>0.2</v>
      </c>
      <c r="J29" s="2">
        <v>0.2</v>
      </c>
      <c r="K29" s="2">
        <v>0.22</v>
      </c>
      <c r="L29" s="2">
        <v>0.22</v>
      </c>
      <c r="N29" s="1" t="s">
        <v>22</v>
      </c>
      <c r="O29" s="2">
        <v>4008.84</v>
      </c>
      <c r="P29" s="2">
        <v>4058.74</v>
      </c>
      <c r="Q29" s="2">
        <v>3347.52</v>
      </c>
      <c r="R29" s="2">
        <v>4214.99</v>
      </c>
      <c r="S29" s="2">
        <v>4339.5600000000004</v>
      </c>
      <c r="T29" s="2">
        <v>4783.2299999999996</v>
      </c>
      <c r="U29" s="2">
        <v>3588.79</v>
      </c>
      <c r="V29" s="2">
        <v>4043.2</v>
      </c>
      <c r="W29" s="2">
        <v>2362.15</v>
      </c>
      <c r="X29" s="2">
        <v>2883.25</v>
      </c>
      <c r="AA29" s="1" t="s">
        <v>22</v>
      </c>
      <c r="AB29" s="2">
        <v>19602.349999999999</v>
      </c>
      <c r="AC29" s="2">
        <v>19290.259999999998</v>
      </c>
      <c r="AD29" s="2">
        <v>17821.68</v>
      </c>
      <c r="AE29" s="2">
        <v>21933.01</v>
      </c>
      <c r="AF29" s="2">
        <v>19888.68</v>
      </c>
      <c r="AG29" s="2">
        <v>21152.26</v>
      </c>
      <c r="AH29" s="2">
        <v>16378.93</v>
      </c>
      <c r="AI29" s="2">
        <v>18053.439999999999</v>
      </c>
      <c r="AJ29" s="2">
        <v>11593.1</v>
      </c>
      <c r="AK29" s="2">
        <v>13980.35</v>
      </c>
      <c r="AN29" s="1" t="s">
        <v>22</v>
      </c>
      <c r="AO29" s="2">
        <v>23611.19</v>
      </c>
      <c r="AP29" s="2">
        <v>23349</v>
      </c>
      <c r="AQ29" s="2">
        <v>21169.200000000001</v>
      </c>
      <c r="AR29" s="2">
        <v>26148</v>
      </c>
      <c r="AS29" s="2">
        <v>24228.25</v>
      </c>
      <c r="AT29" s="2">
        <v>25935.49</v>
      </c>
      <c r="AU29" s="2">
        <v>19967.72</v>
      </c>
      <c r="AV29" s="2">
        <v>22096.63</v>
      </c>
      <c r="AW29" s="2">
        <v>13955.25</v>
      </c>
      <c r="AX29" s="2">
        <v>16863.599999999999</v>
      </c>
    </row>
    <row r="30" spans="2:50" x14ac:dyDescent="0.3">
      <c r="B30" s="1" t="s">
        <v>23</v>
      </c>
      <c r="C30" s="2">
        <v>0.2</v>
      </c>
      <c r="D30" s="2">
        <v>0.21</v>
      </c>
      <c r="E30" s="2">
        <v>0.2</v>
      </c>
      <c r="F30" s="2">
        <v>0.18</v>
      </c>
      <c r="G30" s="2">
        <v>0.21</v>
      </c>
      <c r="H30" s="2">
        <v>0.21</v>
      </c>
      <c r="I30" s="2">
        <v>0.21</v>
      </c>
      <c r="J30" s="2">
        <v>0.05</v>
      </c>
      <c r="K30" s="2">
        <v>0.22</v>
      </c>
      <c r="L30" s="2">
        <v>0.22</v>
      </c>
      <c r="N30" s="1" t="s">
        <v>23</v>
      </c>
      <c r="O30" s="2">
        <v>1864.12</v>
      </c>
      <c r="P30" s="2">
        <v>2439.4499999999998</v>
      </c>
      <c r="Q30" s="2">
        <v>1632.85</v>
      </c>
      <c r="R30" s="2">
        <v>1742.4</v>
      </c>
      <c r="S30" s="2">
        <v>1502.5</v>
      </c>
      <c r="T30" s="2">
        <v>1819</v>
      </c>
      <c r="U30" s="2">
        <v>1188.43</v>
      </c>
      <c r="V30" s="2">
        <v>427.63</v>
      </c>
      <c r="W30" s="2">
        <v>2067.88</v>
      </c>
      <c r="X30" s="2">
        <v>2276.98</v>
      </c>
      <c r="AA30" s="1" t="s">
        <v>23</v>
      </c>
      <c r="AB30" s="2">
        <v>9466.8799999999992</v>
      </c>
      <c r="AC30" s="2">
        <v>11435.55</v>
      </c>
      <c r="AD30" s="2">
        <v>9818.15</v>
      </c>
      <c r="AE30" s="2">
        <v>10740.6</v>
      </c>
      <c r="AF30" s="2">
        <v>7128.5</v>
      </c>
      <c r="AG30" s="2">
        <v>8087</v>
      </c>
      <c r="AH30" s="2">
        <v>5681.57</v>
      </c>
      <c r="AI30" s="2">
        <v>8344.3700000000008</v>
      </c>
      <c r="AJ30" s="2">
        <v>11477.12</v>
      </c>
      <c r="AK30" s="2">
        <v>11740.27</v>
      </c>
      <c r="AN30" s="1" t="s">
        <v>23</v>
      </c>
      <c r="AO30" s="2">
        <v>11331</v>
      </c>
      <c r="AP30" s="2">
        <v>13875</v>
      </c>
      <c r="AQ30" s="2">
        <v>11451</v>
      </c>
      <c r="AR30" s="2">
        <v>12483</v>
      </c>
      <c r="AS30" s="2">
        <v>8631</v>
      </c>
      <c r="AT30" s="2">
        <v>9906</v>
      </c>
      <c r="AU30" s="2">
        <v>6870</v>
      </c>
      <c r="AV30" s="2">
        <v>8772</v>
      </c>
      <c r="AW30" s="2">
        <v>13545</v>
      </c>
      <c r="AX30" s="2">
        <v>14017.24</v>
      </c>
    </row>
    <row r="33" spans="2:50" x14ac:dyDescent="0.3">
      <c r="B33" t="s">
        <v>28</v>
      </c>
      <c r="N33" t="s">
        <v>29</v>
      </c>
      <c r="AA33" t="s">
        <v>30</v>
      </c>
      <c r="AN33" t="s">
        <v>31</v>
      </c>
    </row>
    <row r="34" spans="2:50" x14ac:dyDescent="0.3">
      <c r="B34" s="1" t="s">
        <v>11</v>
      </c>
      <c r="C34" s="1" t="s">
        <v>12</v>
      </c>
      <c r="D34" s="1" t="s">
        <v>13</v>
      </c>
      <c r="E34" s="1" t="s">
        <v>12</v>
      </c>
      <c r="F34" s="1" t="s">
        <v>13</v>
      </c>
      <c r="G34" s="1" t="s">
        <v>12</v>
      </c>
      <c r="H34" s="1" t="s">
        <v>13</v>
      </c>
      <c r="I34" s="1" t="s">
        <v>12</v>
      </c>
      <c r="J34" s="1" t="s">
        <v>13</v>
      </c>
      <c r="K34" s="1" t="s">
        <v>12</v>
      </c>
      <c r="L34" s="1" t="s">
        <v>13</v>
      </c>
      <c r="N34" s="1" t="s">
        <v>11</v>
      </c>
      <c r="O34" s="1" t="s">
        <v>12</v>
      </c>
      <c r="P34" s="1" t="s">
        <v>13</v>
      </c>
      <c r="Q34" s="1" t="s">
        <v>12</v>
      </c>
      <c r="R34" s="1" t="s">
        <v>13</v>
      </c>
      <c r="S34" s="1" t="s">
        <v>12</v>
      </c>
      <c r="T34" s="1" t="s">
        <v>13</v>
      </c>
      <c r="U34" s="1" t="s">
        <v>12</v>
      </c>
      <c r="V34" s="1" t="s">
        <v>13</v>
      </c>
      <c r="W34" s="1" t="s">
        <v>12</v>
      </c>
      <c r="X34" s="1" t="s">
        <v>13</v>
      </c>
      <c r="AA34" s="1" t="s">
        <v>11</v>
      </c>
      <c r="AB34" s="1" t="s">
        <v>12</v>
      </c>
      <c r="AC34" s="1" t="s">
        <v>13</v>
      </c>
      <c r="AD34" s="1" t="s">
        <v>12</v>
      </c>
      <c r="AE34" s="1" t="s">
        <v>13</v>
      </c>
      <c r="AF34" s="1" t="s">
        <v>12</v>
      </c>
      <c r="AG34" s="1" t="s">
        <v>13</v>
      </c>
      <c r="AH34" s="1" t="s">
        <v>12</v>
      </c>
      <c r="AI34" s="1" t="s">
        <v>13</v>
      </c>
      <c r="AJ34" s="1" t="s">
        <v>12</v>
      </c>
      <c r="AK34" s="1" t="s">
        <v>13</v>
      </c>
      <c r="AN34" s="1" t="s">
        <v>11</v>
      </c>
      <c r="AO34" s="1" t="s">
        <v>12</v>
      </c>
      <c r="AP34" s="1" t="s">
        <v>13</v>
      </c>
      <c r="AQ34" s="1" t="s">
        <v>12</v>
      </c>
      <c r="AR34" s="1" t="s">
        <v>13</v>
      </c>
      <c r="AS34" s="1" t="s">
        <v>12</v>
      </c>
      <c r="AT34" s="1" t="s">
        <v>13</v>
      </c>
      <c r="AU34" s="1" t="s">
        <v>12</v>
      </c>
      <c r="AV34" s="1" t="s">
        <v>13</v>
      </c>
      <c r="AW34" s="1" t="s">
        <v>12</v>
      </c>
      <c r="AX34" s="1" t="s">
        <v>13</v>
      </c>
    </row>
    <row r="35" spans="2:50" x14ac:dyDescent="0.3">
      <c r="B35" s="1" t="s">
        <v>14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N35" s="1" t="s">
        <v>14</v>
      </c>
      <c r="O35" s="1" t="s">
        <v>1</v>
      </c>
      <c r="P35" s="1" t="s">
        <v>1</v>
      </c>
      <c r="Q35" s="1" t="s">
        <v>2</v>
      </c>
      <c r="R35" s="1" t="s">
        <v>2</v>
      </c>
      <c r="S35" s="1" t="s">
        <v>3</v>
      </c>
      <c r="T35" s="1" t="s">
        <v>3</v>
      </c>
      <c r="U35" s="1" t="s">
        <v>4</v>
      </c>
      <c r="V35" s="1" t="s">
        <v>4</v>
      </c>
      <c r="W35" s="1" t="s">
        <v>5</v>
      </c>
      <c r="X35" s="1" t="s">
        <v>5</v>
      </c>
      <c r="AA35" s="1" t="s">
        <v>14</v>
      </c>
      <c r="AB35" s="1" t="s">
        <v>1</v>
      </c>
      <c r="AC35" s="1" t="s">
        <v>1</v>
      </c>
      <c r="AD35" s="1" t="s">
        <v>2</v>
      </c>
      <c r="AE35" s="1" t="s">
        <v>2</v>
      </c>
      <c r="AF35" s="1" t="s">
        <v>3</v>
      </c>
      <c r="AG35" s="1" t="s">
        <v>3</v>
      </c>
      <c r="AH35" s="1" t="s">
        <v>4</v>
      </c>
      <c r="AI35" s="1" t="s">
        <v>4</v>
      </c>
      <c r="AJ35" s="1" t="s">
        <v>5</v>
      </c>
      <c r="AK35" s="1" t="s">
        <v>5</v>
      </c>
      <c r="AN35" s="1" t="s">
        <v>14</v>
      </c>
      <c r="AO35" s="1" t="s">
        <v>1</v>
      </c>
      <c r="AP35" s="1" t="s">
        <v>1</v>
      </c>
      <c r="AQ35" s="1" t="s">
        <v>2</v>
      </c>
      <c r="AR35" s="1" t="s">
        <v>2</v>
      </c>
      <c r="AS35" s="1" t="s">
        <v>3</v>
      </c>
      <c r="AT35" s="1" t="s">
        <v>3</v>
      </c>
      <c r="AU35" s="1" t="s">
        <v>4</v>
      </c>
      <c r="AV35" s="1" t="s">
        <v>4</v>
      </c>
      <c r="AW35" s="1" t="s">
        <v>5</v>
      </c>
      <c r="AX35" s="1" t="s">
        <v>5</v>
      </c>
    </row>
    <row r="36" spans="2:50" x14ac:dyDescent="0.3">
      <c r="B36" s="1" t="s">
        <v>15</v>
      </c>
      <c r="N36" s="1" t="s">
        <v>15</v>
      </c>
      <c r="AA36" s="1" t="s">
        <v>15</v>
      </c>
      <c r="AN36" s="1" t="s">
        <v>15</v>
      </c>
    </row>
    <row r="37" spans="2:50" x14ac:dyDescent="0.3">
      <c r="B37" s="1" t="s">
        <v>16</v>
      </c>
      <c r="C37" s="2">
        <v>427.59</v>
      </c>
      <c r="D37" s="2">
        <v>425.76</v>
      </c>
      <c r="E37" s="2">
        <v>591.52</v>
      </c>
      <c r="F37" s="2">
        <v>450.59</v>
      </c>
      <c r="G37" s="2">
        <v>360.61</v>
      </c>
      <c r="H37" s="2">
        <v>319.05</v>
      </c>
      <c r="I37" s="2">
        <v>432.59</v>
      </c>
      <c r="J37" s="2">
        <v>305.8</v>
      </c>
      <c r="K37" s="2">
        <v>360.99</v>
      </c>
      <c r="L37" s="2">
        <v>289.14</v>
      </c>
      <c r="N37" s="1" t="s">
        <v>16</v>
      </c>
      <c r="O37" s="2">
        <v>138.83000000000001</v>
      </c>
      <c r="P37" s="2">
        <v>138.22999999999999</v>
      </c>
      <c r="Q37" s="2">
        <v>169</v>
      </c>
      <c r="R37" s="2">
        <v>128.74</v>
      </c>
      <c r="S37" s="2">
        <v>91.99</v>
      </c>
      <c r="T37" s="2">
        <v>81.39</v>
      </c>
      <c r="U37" s="2">
        <v>93.63</v>
      </c>
      <c r="V37" s="2">
        <v>66.19</v>
      </c>
      <c r="W37" s="2">
        <v>322.31</v>
      </c>
      <c r="X37" s="2">
        <v>258.16000000000003</v>
      </c>
      <c r="AA37" s="1" t="s">
        <v>16</v>
      </c>
      <c r="AB37" s="2">
        <v>2233.17</v>
      </c>
      <c r="AC37" s="2">
        <v>2217.77</v>
      </c>
      <c r="AD37" s="2">
        <v>2627</v>
      </c>
      <c r="AE37" s="2">
        <v>2020.26</v>
      </c>
      <c r="AF37" s="2">
        <v>1677.01</v>
      </c>
      <c r="AG37" s="2">
        <v>1492.61</v>
      </c>
      <c r="AH37" s="2">
        <v>1457.37</v>
      </c>
      <c r="AI37" s="2">
        <v>1252.81</v>
      </c>
      <c r="AJ37" s="2">
        <v>2931.69</v>
      </c>
      <c r="AK37" s="2">
        <v>2389.84</v>
      </c>
      <c r="AN37" s="1" t="s">
        <v>16</v>
      </c>
      <c r="AO37" s="2">
        <v>2372</v>
      </c>
      <c r="AP37" s="2">
        <v>2356</v>
      </c>
      <c r="AQ37" s="2">
        <v>2796</v>
      </c>
      <c r="AR37" s="2">
        <v>2149</v>
      </c>
      <c r="AS37" s="2">
        <v>1769</v>
      </c>
      <c r="AT37" s="2">
        <v>1574</v>
      </c>
      <c r="AU37" s="2">
        <v>1551</v>
      </c>
      <c r="AV37" s="2">
        <v>1319</v>
      </c>
      <c r="AW37" s="2">
        <v>3254</v>
      </c>
      <c r="AX37" s="2">
        <v>2648</v>
      </c>
    </row>
    <row r="38" spans="2:50" x14ac:dyDescent="0.3">
      <c r="B38" s="1" t="s">
        <v>17</v>
      </c>
      <c r="C38" s="2">
        <v>2301.17</v>
      </c>
      <c r="D38" s="2">
        <v>699.57</v>
      </c>
      <c r="E38" s="2">
        <v>1160.57</v>
      </c>
      <c r="F38" s="2">
        <v>2479.66</v>
      </c>
      <c r="G38" s="2">
        <v>2472.7399999999998</v>
      </c>
      <c r="H38" s="2">
        <v>1314.62</v>
      </c>
      <c r="I38" s="2">
        <v>2922.02</v>
      </c>
      <c r="J38" s="2">
        <v>552.04999999999995</v>
      </c>
      <c r="K38" s="2">
        <v>1211.45</v>
      </c>
      <c r="L38" s="2">
        <v>721.26</v>
      </c>
      <c r="N38" s="1" t="s">
        <v>17</v>
      </c>
      <c r="O38" s="2">
        <v>1003.76</v>
      </c>
      <c r="P38" s="2">
        <v>641.04</v>
      </c>
      <c r="Q38" s="2">
        <v>1148.78</v>
      </c>
      <c r="R38" s="2">
        <v>637.23</v>
      </c>
      <c r="S38" s="2">
        <v>1260.5999999999999</v>
      </c>
      <c r="T38" s="2">
        <v>626.66999999999996</v>
      </c>
      <c r="U38" s="2">
        <v>1138.82</v>
      </c>
      <c r="V38" s="2">
        <v>185.87</v>
      </c>
      <c r="W38" s="2">
        <v>1206.17</v>
      </c>
      <c r="X38" s="2">
        <v>954.15</v>
      </c>
      <c r="AA38" s="1" t="s">
        <v>17</v>
      </c>
      <c r="AB38" s="2">
        <v>5771.24</v>
      </c>
      <c r="AC38" s="2">
        <v>3760.96</v>
      </c>
      <c r="AD38" s="2">
        <v>6885.22</v>
      </c>
      <c r="AE38" s="2">
        <v>3928.82</v>
      </c>
      <c r="AF38" s="2">
        <v>6788.4</v>
      </c>
      <c r="AG38" s="2">
        <v>3408.33</v>
      </c>
      <c r="AH38" s="2">
        <v>6118.18</v>
      </c>
      <c r="AI38" s="2">
        <v>3643.13</v>
      </c>
      <c r="AJ38" s="2">
        <v>6593.83</v>
      </c>
      <c r="AK38" s="2">
        <v>5633.85</v>
      </c>
      <c r="AN38" s="1" t="s">
        <v>17</v>
      </c>
      <c r="AO38" s="2">
        <v>6775</v>
      </c>
      <c r="AP38" s="2">
        <v>4402</v>
      </c>
      <c r="AQ38" s="2">
        <v>8034</v>
      </c>
      <c r="AR38" s="2">
        <v>4566.05</v>
      </c>
      <c r="AS38" s="2">
        <v>8049</v>
      </c>
      <c r="AT38" s="2">
        <v>4035</v>
      </c>
      <c r="AU38" s="2">
        <v>7257</v>
      </c>
      <c r="AV38" s="2">
        <v>3829</v>
      </c>
      <c r="AW38" s="2">
        <v>7800</v>
      </c>
      <c r="AX38" s="2">
        <v>6588</v>
      </c>
    </row>
    <row r="39" spans="2:50" x14ac:dyDescent="0.3">
      <c r="B39" s="1" t="s">
        <v>18</v>
      </c>
      <c r="C39" s="2">
        <v>16329.49</v>
      </c>
      <c r="D39" s="2">
        <v>5213.71</v>
      </c>
      <c r="E39" s="2">
        <v>8588.65</v>
      </c>
      <c r="F39" s="2">
        <v>15736.5</v>
      </c>
      <c r="G39" s="2">
        <v>21130.78</v>
      </c>
      <c r="H39" s="2">
        <v>8010.06</v>
      </c>
      <c r="I39" s="2">
        <v>16319.12</v>
      </c>
      <c r="J39" s="2">
        <v>3777.09</v>
      </c>
      <c r="K39" s="2">
        <v>2303.25</v>
      </c>
      <c r="L39" s="2">
        <v>4153.6400000000003</v>
      </c>
      <c r="N39" s="1" t="s">
        <v>18</v>
      </c>
      <c r="O39" s="2">
        <v>1546.35</v>
      </c>
      <c r="P39" s="2">
        <v>613.52</v>
      </c>
      <c r="Q39" s="2">
        <v>1401.77</v>
      </c>
      <c r="R39" s="2">
        <v>1311.37</v>
      </c>
      <c r="S39" s="2">
        <v>1572.23</v>
      </c>
      <c r="T39" s="2">
        <v>1108.72</v>
      </c>
      <c r="U39" s="2">
        <v>1347.77</v>
      </c>
      <c r="V39" s="2">
        <v>997.46</v>
      </c>
      <c r="W39" s="2">
        <v>822.46</v>
      </c>
      <c r="X39" s="2">
        <v>1081.68</v>
      </c>
      <c r="AA39" s="1" t="s">
        <v>18</v>
      </c>
      <c r="AB39" s="2">
        <v>6974.95</v>
      </c>
      <c r="AC39" s="2">
        <v>3690.93</v>
      </c>
      <c r="AD39" s="2">
        <v>8946.23</v>
      </c>
      <c r="AE39" s="2">
        <v>5032.03</v>
      </c>
      <c r="AF39" s="2">
        <v>8537.85</v>
      </c>
      <c r="AG39" s="2">
        <v>6206.41</v>
      </c>
      <c r="AH39" s="2">
        <v>7765.74</v>
      </c>
      <c r="AI39" s="2">
        <v>5793.75</v>
      </c>
      <c r="AJ39" s="2">
        <v>4664.54</v>
      </c>
      <c r="AK39" s="2">
        <v>5402.32</v>
      </c>
      <c r="AN39" s="1" t="s">
        <v>18</v>
      </c>
      <c r="AO39" s="2">
        <v>8521.31</v>
      </c>
      <c r="AP39" s="2">
        <v>4304.45</v>
      </c>
      <c r="AQ39" s="2">
        <v>10348</v>
      </c>
      <c r="AR39" s="2">
        <v>6343.4</v>
      </c>
      <c r="AS39" s="2">
        <v>10110.08</v>
      </c>
      <c r="AT39" s="2">
        <v>7315.13</v>
      </c>
      <c r="AU39" s="2">
        <v>9113.52</v>
      </c>
      <c r="AV39" s="2">
        <v>6791.21</v>
      </c>
      <c r="AW39" s="2">
        <v>5487</v>
      </c>
      <c r="AX39" s="2">
        <v>6484</v>
      </c>
    </row>
    <row r="40" spans="2:50" x14ac:dyDescent="0.3">
      <c r="B40" s="1" t="s">
        <v>19</v>
      </c>
      <c r="C40" s="2">
        <v>3012.89</v>
      </c>
      <c r="D40" s="2">
        <v>1175.26</v>
      </c>
      <c r="E40" s="2">
        <v>1820.81</v>
      </c>
      <c r="F40" s="2">
        <v>4376.28</v>
      </c>
      <c r="G40" s="2">
        <v>3826.33</v>
      </c>
      <c r="H40" s="2">
        <v>2440.9899999999998</v>
      </c>
      <c r="I40" s="2">
        <v>1583.25</v>
      </c>
      <c r="J40" s="2">
        <v>763.79</v>
      </c>
      <c r="K40" s="2">
        <v>617.13</v>
      </c>
      <c r="L40" s="2">
        <v>702.45</v>
      </c>
      <c r="N40" s="1" t="s">
        <v>19</v>
      </c>
      <c r="O40" s="2">
        <v>1056.45</v>
      </c>
      <c r="P40" s="2">
        <v>623.55999999999995</v>
      </c>
      <c r="Q40" s="2">
        <v>1209.2</v>
      </c>
      <c r="R40" s="2">
        <v>1232.22</v>
      </c>
      <c r="S40" s="2">
        <v>1340.17</v>
      </c>
      <c r="T40" s="2">
        <v>1161.05</v>
      </c>
      <c r="U40" s="2">
        <v>1120.77</v>
      </c>
      <c r="V40" s="2">
        <v>953.61</v>
      </c>
      <c r="W40" s="2">
        <v>740.13</v>
      </c>
      <c r="X40" s="2">
        <v>761.22</v>
      </c>
      <c r="AA40" s="1" t="s">
        <v>19</v>
      </c>
      <c r="AB40" s="2">
        <v>6788.55</v>
      </c>
      <c r="AC40" s="2">
        <v>3967.24</v>
      </c>
      <c r="AD40" s="2">
        <v>8444.7999999999993</v>
      </c>
      <c r="AE40" s="2">
        <v>8096.58</v>
      </c>
      <c r="AF40" s="2">
        <v>7798.83</v>
      </c>
      <c r="AG40" s="2">
        <v>6833.95</v>
      </c>
      <c r="AH40" s="2">
        <v>6434.23</v>
      </c>
      <c r="AI40" s="2">
        <v>5606.39</v>
      </c>
      <c r="AJ40" s="2">
        <v>4703.87</v>
      </c>
      <c r="AK40" s="2">
        <v>4718.58</v>
      </c>
      <c r="AN40" s="1" t="s">
        <v>19</v>
      </c>
      <c r="AO40" s="2">
        <v>7845</v>
      </c>
      <c r="AP40" s="2">
        <v>4590.8</v>
      </c>
      <c r="AQ40" s="2">
        <v>9654</v>
      </c>
      <c r="AR40" s="2">
        <v>9328.7999999999993</v>
      </c>
      <c r="AS40" s="2">
        <v>9139</v>
      </c>
      <c r="AT40" s="2">
        <v>7995</v>
      </c>
      <c r="AU40" s="2">
        <v>7555</v>
      </c>
      <c r="AV40" s="2">
        <v>6560</v>
      </c>
      <c r="AW40" s="2">
        <v>5444</v>
      </c>
      <c r="AX40" s="2">
        <v>5479.8</v>
      </c>
    </row>
    <row r="41" spans="2:50" x14ac:dyDescent="0.3">
      <c r="B41" s="1" t="s">
        <v>20</v>
      </c>
      <c r="C41" s="2">
        <v>11581.86</v>
      </c>
      <c r="D41" s="2">
        <v>11977.86</v>
      </c>
      <c r="E41" s="2">
        <v>10295.66</v>
      </c>
      <c r="F41" s="2">
        <v>12753.01</v>
      </c>
      <c r="G41" s="2">
        <v>9300.5400000000009</v>
      </c>
      <c r="H41" s="2">
        <v>10163.58</v>
      </c>
      <c r="I41" s="2">
        <v>4948.1499999999996</v>
      </c>
      <c r="J41" s="2">
        <v>3197.98</v>
      </c>
      <c r="K41" s="2">
        <v>6253.22</v>
      </c>
      <c r="L41" s="2">
        <v>6192.58</v>
      </c>
      <c r="N41" s="1" t="s">
        <v>20</v>
      </c>
      <c r="O41" s="2">
        <v>752.05</v>
      </c>
      <c r="P41" s="2">
        <v>862.61</v>
      </c>
      <c r="Q41" s="2">
        <v>915.62</v>
      </c>
      <c r="R41" s="2">
        <v>970.25</v>
      </c>
      <c r="S41" s="2">
        <v>923.75</v>
      </c>
      <c r="T41" s="2">
        <v>1086.82</v>
      </c>
      <c r="U41" s="2">
        <v>785.75</v>
      </c>
      <c r="V41" s="2">
        <v>962.15</v>
      </c>
      <c r="W41" s="2">
        <v>1099.1300000000001</v>
      </c>
      <c r="X41" s="2">
        <v>1051.81</v>
      </c>
      <c r="AA41" s="1" t="s">
        <v>20</v>
      </c>
      <c r="AB41" s="2">
        <v>4658.95</v>
      </c>
      <c r="AC41" s="2">
        <v>5137.3900000000003</v>
      </c>
      <c r="AD41" s="2">
        <v>6147.38</v>
      </c>
      <c r="AE41" s="2">
        <v>6165.75</v>
      </c>
      <c r="AF41" s="2">
        <v>5266.25</v>
      </c>
      <c r="AG41" s="2">
        <v>5915.18</v>
      </c>
      <c r="AH41" s="2">
        <v>4382.25</v>
      </c>
      <c r="AI41" s="2">
        <v>5295.85</v>
      </c>
      <c r="AJ41" s="2">
        <v>6788.87</v>
      </c>
      <c r="AK41" s="2">
        <v>6382.68</v>
      </c>
      <c r="AN41" s="1" t="s">
        <v>20</v>
      </c>
      <c r="AO41" s="2">
        <v>5411</v>
      </c>
      <c r="AP41" s="2">
        <v>6000</v>
      </c>
      <c r="AQ41" s="2">
        <v>7063</v>
      </c>
      <c r="AR41" s="2">
        <v>7136</v>
      </c>
      <c r="AS41" s="2">
        <v>6190</v>
      </c>
      <c r="AT41" s="2">
        <v>7002</v>
      </c>
      <c r="AU41" s="2">
        <v>5168</v>
      </c>
      <c r="AV41" s="2">
        <v>6258</v>
      </c>
      <c r="AW41" s="2">
        <v>7888</v>
      </c>
      <c r="AX41" s="2">
        <v>7434.49</v>
      </c>
    </row>
    <row r="42" spans="2:50" x14ac:dyDescent="0.3">
      <c r="B42" s="1" t="s">
        <v>21</v>
      </c>
      <c r="C42" s="2">
        <v>3263.85</v>
      </c>
      <c r="D42" s="2">
        <v>2984.58</v>
      </c>
      <c r="E42" s="2">
        <v>2424.96</v>
      </c>
      <c r="F42" s="2">
        <v>2277.69</v>
      </c>
      <c r="G42" s="2">
        <v>3029.88</v>
      </c>
      <c r="H42" s="2">
        <v>5467.7</v>
      </c>
      <c r="I42" s="2">
        <v>1338.36</v>
      </c>
      <c r="J42" s="2">
        <v>1529.81</v>
      </c>
      <c r="K42" s="2">
        <v>1381.67</v>
      </c>
      <c r="L42" s="2">
        <v>978.27</v>
      </c>
      <c r="N42" s="1" t="s">
        <v>21</v>
      </c>
      <c r="O42" s="2">
        <v>1229.5</v>
      </c>
      <c r="P42" s="2">
        <v>1137.08</v>
      </c>
      <c r="Q42" s="2">
        <v>1354.44</v>
      </c>
      <c r="R42" s="2">
        <v>1706.71</v>
      </c>
      <c r="S42" s="2">
        <v>1604.2</v>
      </c>
      <c r="T42" s="2">
        <v>1957.65</v>
      </c>
      <c r="U42" s="2">
        <v>1263.94</v>
      </c>
      <c r="V42" s="2">
        <v>1901.2</v>
      </c>
      <c r="W42" s="2">
        <v>1327.7</v>
      </c>
      <c r="X42" s="2">
        <v>885.83</v>
      </c>
      <c r="AA42" s="1" t="s">
        <v>21</v>
      </c>
      <c r="AB42" s="2">
        <v>6090.29</v>
      </c>
      <c r="AC42" s="2">
        <v>5273.07</v>
      </c>
      <c r="AD42" s="2">
        <v>7399.01</v>
      </c>
      <c r="AE42" s="2">
        <v>8311.2900000000009</v>
      </c>
      <c r="AF42" s="2">
        <v>7260.1</v>
      </c>
      <c r="AG42" s="2">
        <v>8958.51</v>
      </c>
      <c r="AH42" s="2">
        <v>5594.06</v>
      </c>
      <c r="AI42" s="2">
        <v>8405.1</v>
      </c>
      <c r="AJ42" s="2">
        <v>6591.95</v>
      </c>
      <c r="AK42" s="2">
        <v>3972.09</v>
      </c>
      <c r="AN42" s="1" t="s">
        <v>21</v>
      </c>
      <c r="AO42" s="2">
        <v>7319.79</v>
      </c>
      <c r="AP42" s="2">
        <v>6410.15</v>
      </c>
      <c r="AQ42" s="2">
        <v>8753.4500000000007</v>
      </c>
      <c r="AR42" s="2">
        <v>10018</v>
      </c>
      <c r="AS42" s="2">
        <v>8864.2999999999993</v>
      </c>
      <c r="AT42" s="2">
        <v>10916.15</v>
      </c>
      <c r="AU42" s="2">
        <v>6858</v>
      </c>
      <c r="AV42" s="2">
        <v>10306.299999999999</v>
      </c>
      <c r="AW42" s="2">
        <v>7919.66</v>
      </c>
      <c r="AX42" s="2">
        <v>4857.92</v>
      </c>
    </row>
    <row r="43" spans="2:50" x14ac:dyDescent="0.3">
      <c r="B43" s="1" t="s">
        <v>22</v>
      </c>
      <c r="C43" s="2">
        <v>13606.64</v>
      </c>
      <c r="D43" s="2">
        <v>12783.77</v>
      </c>
      <c r="E43" s="2">
        <v>8921.19</v>
      </c>
      <c r="F43" s="2">
        <v>7548.29</v>
      </c>
      <c r="G43" s="2">
        <v>9173.31</v>
      </c>
      <c r="H43" s="2">
        <v>10951.54</v>
      </c>
      <c r="I43" s="2">
        <v>5743.55</v>
      </c>
      <c r="J43" s="2">
        <v>2668.53</v>
      </c>
      <c r="K43" s="2">
        <v>3017.88</v>
      </c>
      <c r="L43" s="2">
        <v>3285.74</v>
      </c>
      <c r="N43" s="1" t="s">
        <v>22</v>
      </c>
      <c r="O43" s="2">
        <v>1336.28</v>
      </c>
      <c r="P43" s="2">
        <v>1352.91</v>
      </c>
      <c r="Q43" s="2">
        <v>1115.8399999999999</v>
      </c>
      <c r="R43" s="2">
        <v>1405</v>
      </c>
      <c r="S43" s="2">
        <v>1446.52</v>
      </c>
      <c r="T43" s="2">
        <v>1594.41</v>
      </c>
      <c r="U43" s="2">
        <v>1196.26</v>
      </c>
      <c r="V43" s="2">
        <v>1347.73</v>
      </c>
      <c r="W43" s="2">
        <v>787.38</v>
      </c>
      <c r="X43" s="2">
        <v>961.08</v>
      </c>
      <c r="AA43" s="1" t="s">
        <v>22</v>
      </c>
      <c r="AB43" s="2">
        <v>6534.12</v>
      </c>
      <c r="AC43" s="2">
        <v>6430.09</v>
      </c>
      <c r="AD43" s="2">
        <v>5940.56</v>
      </c>
      <c r="AE43" s="2">
        <v>7311</v>
      </c>
      <c r="AF43" s="2">
        <v>6629.56</v>
      </c>
      <c r="AG43" s="2">
        <v>7050.75</v>
      </c>
      <c r="AH43" s="2">
        <v>5459.64</v>
      </c>
      <c r="AI43" s="2">
        <v>6017.81</v>
      </c>
      <c r="AJ43" s="2">
        <v>3864.37</v>
      </c>
      <c r="AK43" s="2">
        <v>4660.12</v>
      </c>
      <c r="AN43" s="1" t="s">
        <v>22</v>
      </c>
      <c r="AO43" s="2">
        <v>7870.4</v>
      </c>
      <c r="AP43" s="2">
        <v>7783</v>
      </c>
      <c r="AQ43" s="2">
        <v>7056.4</v>
      </c>
      <c r="AR43" s="2">
        <v>8716</v>
      </c>
      <c r="AS43" s="2">
        <v>8076.08</v>
      </c>
      <c r="AT43" s="2">
        <v>8645.16</v>
      </c>
      <c r="AU43" s="2">
        <v>6655.91</v>
      </c>
      <c r="AV43" s="2">
        <v>7365.54</v>
      </c>
      <c r="AW43" s="2">
        <v>4651.75</v>
      </c>
      <c r="AX43" s="2">
        <v>5621.2</v>
      </c>
    </row>
    <row r="44" spans="2:50" x14ac:dyDescent="0.3">
      <c r="B44" s="1" t="s">
        <v>23</v>
      </c>
      <c r="C44" s="2">
        <v>2055.98</v>
      </c>
      <c r="D44" s="2">
        <v>2315.17</v>
      </c>
      <c r="E44" s="2">
        <v>2434.6999999999998</v>
      </c>
      <c r="F44" s="2">
        <v>871.2</v>
      </c>
      <c r="G44" s="2">
        <v>2799.09</v>
      </c>
      <c r="H44" s="2">
        <v>3014.52</v>
      </c>
      <c r="I44" s="2">
        <v>1955.64</v>
      </c>
      <c r="J44" s="2">
        <v>1270.07</v>
      </c>
      <c r="K44" s="2">
        <v>1171.21</v>
      </c>
      <c r="L44" s="2">
        <v>2068.08</v>
      </c>
      <c r="N44" s="1" t="s">
        <v>23</v>
      </c>
      <c r="O44" s="2">
        <v>621.37</v>
      </c>
      <c r="P44" s="2">
        <v>813.15</v>
      </c>
      <c r="Q44" s="2">
        <v>544.28</v>
      </c>
      <c r="R44" s="2">
        <v>580.79999999999995</v>
      </c>
      <c r="S44" s="2">
        <v>500.83</v>
      </c>
      <c r="T44" s="2">
        <v>606.33000000000004</v>
      </c>
      <c r="U44" s="2">
        <v>396.14</v>
      </c>
      <c r="V44" s="2">
        <v>142.54</v>
      </c>
      <c r="W44" s="2">
        <v>689.29</v>
      </c>
      <c r="X44" s="2">
        <v>758.99</v>
      </c>
      <c r="AA44" s="1" t="s">
        <v>23</v>
      </c>
      <c r="AB44" s="2">
        <v>3155.63</v>
      </c>
      <c r="AC44" s="2">
        <v>3811.85</v>
      </c>
      <c r="AD44" s="2">
        <v>3272.72</v>
      </c>
      <c r="AE44" s="2">
        <v>3580.2</v>
      </c>
      <c r="AF44" s="2">
        <v>2376.17</v>
      </c>
      <c r="AG44" s="2">
        <v>2695.67</v>
      </c>
      <c r="AH44" s="2">
        <v>1893.86</v>
      </c>
      <c r="AI44" s="2">
        <v>2781.46</v>
      </c>
      <c r="AJ44" s="2">
        <v>3825.71</v>
      </c>
      <c r="AK44" s="2">
        <v>3913.42</v>
      </c>
      <c r="AN44" s="1" t="s">
        <v>23</v>
      </c>
      <c r="AO44" s="2">
        <v>3777</v>
      </c>
      <c r="AP44" s="2">
        <v>4625</v>
      </c>
      <c r="AQ44" s="2">
        <v>3817</v>
      </c>
      <c r="AR44" s="2">
        <v>4161</v>
      </c>
      <c r="AS44" s="2">
        <v>2877</v>
      </c>
      <c r="AT44" s="2">
        <v>3302</v>
      </c>
      <c r="AU44" s="2">
        <v>2290</v>
      </c>
      <c r="AV44" s="2">
        <v>2924</v>
      </c>
      <c r="AW44" s="2">
        <v>4515</v>
      </c>
      <c r="AX44" s="2">
        <v>4672.41</v>
      </c>
    </row>
    <row r="47" spans="2:50" x14ac:dyDescent="0.3">
      <c r="B47" t="s">
        <v>32</v>
      </c>
      <c r="N47" t="s">
        <v>33</v>
      </c>
      <c r="AA47" t="s">
        <v>34</v>
      </c>
      <c r="AN47" t="s">
        <v>35</v>
      </c>
    </row>
    <row r="48" spans="2:50" x14ac:dyDescent="0.3">
      <c r="B48" s="1" t="s">
        <v>11</v>
      </c>
      <c r="C48" s="1" t="s">
        <v>12</v>
      </c>
      <c r="D48" s="1" t="s">
        <v>13</v>
      </c>
      <c r="E48" s="1" t="s">
        <v>12</v>
      </c>
      <c r="F48" s="1" t="s">
        <v>13</v>
      </c>
      <c r="G48" s="1" t="s">
        <v>12</v>
      </c>
      <c r="H48" s="1" t="s">
        <v>13</v>
      </c>
      <c r="I48" s="1" t="s">
        <v>12</v>
      </c>
      <c r="J48" s="1" t="s">
        <v>13</v>
      </c>
      <c r="K48" s="1" t="s">
        <v>12</v>
      </c>
      <c r="L48" s="1" t="s">
        <v>13</v>
      </c>
      <c r="N48" s="1" t="s">
        <v>11</v>
      </c>
      <c r="O48" s="1" t="s">
        <v>12</v>
      </c>
      <c r="P48" s="1" t="s">
        <v>13</v>
      </c>
      <c r="Q48" s="1" t="s">
        <v>12</v>
      </c>
      <c r="R48" s="1" t="s">
        <v>13</v>
      </c>
      <c r="S48" s="1" t="s">
        <v>12</v>
      </c>
      <c r="T48" s="1" t="s">
        <v>13</v>
      </c>
      <c r="U48" s="1" t="s">
        <v>12</v>
      </c>
      <c r="V48" s="1" t="s">
        <v>13</v>
      </c>
      <c r="W48" s="1" t="s">
        <v>12</v>
      </c>
      <c r="X48" s="1" t="s">
        <v>13</v>
      </c>
      <c r="AA48" s="1" t="s">
        <v>11</v>
      </c>
      <c r="AB48" s="1" t="s">
        <v>12</v>
      </c>
      <c r="AC48" s="1" t="s">
        <v>13</v>
      </c>
      <c r="AD48" s="1" t="s">
        <v>12</v>
      </c>
      <c r="AE48" s="1" t="s">
        <v>13</v>
      </c>
      <c r="AF48" s="1" t="s">
        <v>12</v>
      </c>
      <c r="AG48" s="1" t="s">
        <v>13</v>
      </c>
      <c r="AH48" s="1" t="s">
        <v>12</v>
      </c>
      <c r="AI48" s="1" t="s">
        <v>13</v>
      </c>
      <c r="AJ48" s="1" t="s">
        <v>12</v>
      </c>
      <c r="AK48" s="1" t="s">
        <v>13</v>
      </c>
      <c r="AN48" s="1" t="s">
        <v>11</v>
      </c>
      <c r="AO48" s="1" t="s">
        <v>12</v>
      </c>
      <c r="AP48" s="1" t="s">
        <v>13</v>
      </c>
      <c r="AQ48" s="1" t="s">
        <v>12</v>
      </c>
      <c r="AR48" s="1" t="s">
        <v>13</v>
      </c>
      <c r="AS48" s="1" t="s">
        <v>12</v>
      </c>
      <c r="AT48" s="1" t="s">
        <v>13</v>
      </c>
      <c r="AU48" s="1" t="s">
        <v>12</v>
      </c>
      <c r="AV48" s="1" t="s">
        <v>13</v>
      </c>
      <c r="AW48" s="1" t="s">
        <v>12</v>
      </c>
      <c r="AX48" s="1" t="s">
        <v>13</v>
      </c>
    </row>
    <row r="49" spans="2:50" x14ac:dyDescent="0.3">
      <c r="B49" s="1" t="s">
        <v>14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N49" s="1" t="s">
        <v>14</v>
      </c>
      <c r="O49" s="1" t="s">
        <v>1</v>
      </c>
      <c r="P49" s="1" t="s">
        <v>1</v>
      </c>
      <c r="Q49" s="1" t="s">
        <v>2</v>
      </c>
      <c r="R49" s="1" t="s">
        <v>2</v>
      </c>
      <c r="S49" s="1" t="s">
        <v>3</v>
      </c>
      <c r="T49" s="1" t="s">
        <v>3</v>
      </c>
      <c r="U49" s="1" t="s">
        <v>4</v>
      </c>
      <c r="V49" s="1" t="s">
        <v>4</v>
      </c>
      <c r="W49" s="1" t="s">
        <v>5</v>
      </c>
      <c r="X49" s="1" t="s">
        <v>5</v>
      </c>
      <c r="AA49" s="1" t="s">
        <v>14</v>
      </c>
      <c r="AB49" s="1" t="s">
        <v>1</v>
      </c>
      <c r="AC49" s="1" t="s">
        <v>1</v>
      </c>
      <c r="AD49" s="1" t="s">
        <v>2</v>
      </c>
      <c r="AE49" s="1" t="s">
        <v>2</v>
      </c>
      <c r="AF49" s="1" t="s">
        <v>3</v>
      </c>
      <c r="AG49" s="1" t="s">
        <v>3</v>
      </c>
      <c r="AH49" s="1" t="s">
        <v>4</v>
      </c>
      <c r="AI49" s="1" t="s">
        <v>4</v>
      </c>
      <c r="AJ49" s="1" t="s">
        <v>5</v>
      </c>
      <c r="AK49" s="1" t="s">
        <v>5</v>
      </c>
      <c r="AN49" s="1" t="s">
        <v>14</v>
      </c>
      <c r="AO49" s="1" t="s">
        <v>1</v>
      </c>
      <c r="AP49" s="1" t="s">
        <v>1</v>
      </c>
      <c r="AQ49" s="1" t="s">
        <v>2</v>
      </c>
      <c r="AR49" s="1" t="s">
        <v>2</v>
      </c>
      <c r="AS49" s="1" t="s">
        <v>3</v>
      </c>
      <c r="AT49" s="1" t="s">
        <v>3</v>
      </c>
      <c r="AU49" s="1" t="s">
        <v>4</v>
      </c>
      <c r="AV49" s="1" t="s">
        <v>4</v>
      </c>
      <c r="AW49" s="1" t="s">
        <v>5</v>
      </c>
      <c r="AX49" s="1" t="s">
        <v>5</v>
      </c>
    </row>
    <row r="50" spans="2:50" x14ac:dyDescent="0.3">
      <c r="B50" s="1" t="s">
        <v>15</v>
      </c>
      <c r="N50" s="1" t="s">
        <v>15</v>
      </c>
      <c r="AA50" s="1" t="s">
        <v>15</v>
      </c>
      <c r="AN50" s="1" t="s">
        <v>15</v>
      </c>
    </row>
    <row r="51" spans="2:50" x14ac:dyDescent="0.3">
      <c r="B51" s="1" t="s">
        <v>16</v>
      </c>
      <c r="C51" s="2">
        <v>261.77</v>
      </c>
      <c r="D51" s="2">
        <v>254.29</v>
      </c>
      <c r="E51" s="2">
        <v>320.02999999999997</v>
      </c>
      <c r="F51" s="2">
        <v>192.5</v>
      </c>
      <c r="G51" s="2">
        <v>257.99</v>
      </c>
      <c r="H51" s="2">
        <v>214.44</v>
      </c>
      <c r="I51" s="2">
        <v>298.51</v>
      </c>
      <c r="J51" s="2">
        <v>179.28</v>
      </c>
      <c r="K51" s="2">
        <v>192.55</v>
      </c>
      <c r="L51" s="2">
        <v>124.44</v>
      </c>
      <c r="N51" s="1" t="s">
        <v>16</v>
      </c>
      <c r="O51" s="2">
        <v>0.04</v>
      </c>
      <c r="P51" s="2">
        <v>0.04</v>
      </c>
      <c r="Q51" s="2">
        <v>0.05</v>
      </c>
      <c r="R51" s="2">
        <v>0.04</v>
      </c>
      <c r="S51" s="2">
        <v>0.03</v>
      </c>
      <c r="T51" s="2">
        <v>0.02</v>
      </c>
      <c r="U51" s="2">
        <v>0.03</v>
      </c>
      <c r="V51" s="2">
        <v>0.02</v>
      </c>
      <c r="W51" s="2">
        <v>0.09</v>
      </c>
      <c r="X51" s="2">
        <v>7.0000000000000007E-2</v>
      </c>
      <c r="AA51" s="1" t="s">
        <v>16</v>
      </c>
      <c r="AB51" s="2">
        <v>0.28000000000000003</v>
      </c>
      <c r="AC51" s="2">
        <v>0.28000000000000003</v>
      </c>
      <c r="AD51" s="2">
        <v>0.26</v>
      </c>
      <c r="AE51" s="2">
        <v>0.2</v>
      </c>
      <c r="AF51" s="2">
        <v>0.17</v>
      </c>
      <c r="AG51" s="2">
        <v>0.15</v>
      </c>
      <c r="AH51" s="2">
        <v>0.15</v>
      </c>
      <c r="AI51" s="2">
        <v>0.13</v>
      </c>
      <c r="AJ51" s="2">
        <v>0.49</v>
      </c>
      <c r="AK51" s="2">
        <v>0.4</v>
      </c>
      <c r="AN51" s="1" t="s">
        <v>16</v>
      </c>
      <c r="AO51" s="2">
        <v>0.3</v>
      </c>
      <c r="AP51" s="2">
        <v>0.28999999999999998</v>
      </c>
      <c r="AQ51" s="2">
        <v>0.28000000000000003</v>
      </c>
      <c r="AR51" s="2">
        <v>0.21</v>
      </c>
      <c r="AS51" s="2">
        <v>0.18</v>
      </c>
      <c r="AT51" s="2">
        <v>0.16</v>
      </c>
      <c r="AU51" s="2">
        <v>0.16</v>
      </c>
      <c r="AV51" s="2">
        <v>0.13</v>
      </c>
      <c r="AW51" s="2">
        <v>0.54</v>
      </c>
      <c r="AX51" s="2">
        <v>0.44</v>
      </c>
    </row>
    <row r="52" spans="2:50" x14ac:dyDescent="0.3">
      <c r="B52" s="1" t="s">
        <v>17</v>
      </c>
      <c r="C52" s="2">
        <v>1961.72</v>
      </c>
      <c r="D52" s="2">
        <v>561.85</v>
      </c>
      <c r="E52" s="2">
        <v>977.71</v>
      </c>
      <c r="F52" s="2">
        <v>1841.12</v>
      </c>
      <c r="G52" s="2">
        <v>2205</v>
      </c>
      <c r="H52" s="2">
        <v>1083.46</v>
      </c>
      <c r="I52" s="2">
        <v>2611.62</v>
      </c>
      <c r="J52" s="2">
        <v>396.66</v>
      </c>
      <c r="K52" s="2">
        <v>1020.92</v>
      </c>
      <c r="L52" s="2">
        <v>535.66999999999996</v>
      </c>
      <c r="N52" s="1" t="s">
        <v>17</v>
      </c>
      <c r="O52" s="2">
        <v>0.28000000000000003</v>
      </c>
      <c r="P52" s="2">
        <v>0.18</v>
      </c>
      <c r="Q52" s="2">
        <v>0.32</v>
      </c>
      <c r="R52" s="2">
        <v>0.18</v>
      </c>
      <c r="S52" s="2">
        <v>0.35</v>
      </c>
      <c r="T52" s="2">
        <v>0.17</v>
      </c>
      <c r="U52" s="2">
        <v>0.32</v>
      </c>
      <c r="V52" s="2">
        <v>0.05</v>
      </c>
      <c r="W52" s="2">
        <v>0.34</v>
      </c>
      <c r="X52" s="2">
        <v>0.27</v>
      </c>
      <c r="AA52" s="1" t="s">
        <v>17</v>
      </c>
      <c r="AB52" s="2">
        <v>0.78</v>
      </c>
      <c r="AC52" s="2">
        <v>0.51</v>
      </c>
      <c r="AD52" s="2">
        <v>0.56999999999999995</v>
      </c>
      <c r="AE52" s="2">
        <v>0.86</v>
      </c>
      <c r="AF52" s="2">
        <v>0.68</v>
      </c>
      <c r="AG52" s="2">
        <v>0.6</v>
      </c>
      <c r="AH52" s="2">
        <v>0.72</v>
      </c>
      <c r="AI52" s="2">
        <v>0.28000000000000003</v>
      </c>
      <c r="AJ52" s="2">
        <v>0.85</v>
      </c>
      <c r="AK52" s="2">
        <v>0.75</v>
      </c>
      <c r="AN52" s="1" t="s">
        <v>17</v>
      </c>
      <c r="AO52" s="2">
        <v>0.92</v>
      </c>
      <c r="AP52" s="2">
        <v>0.6</v>
      </c>
      <c r="AQ52" s="2">
        <v>0.67</v>
      </c>
      <c r="AR52" s="2">
        <v>1</v>
      </c>
      <c r="AS52" s="2">
        <v>0.8</v>
      </c>
      <c r="AT52" s="2">
        <v>0.71</v>
      </c>
      <c r="AU52" s="2">
        <v>0.85</v>
      </c>
      <c r="AV52" s="2">
        <v>0.28999999999999998</v>
      </c>
      <c r="AW52" s="2">
        <v>1</v>
      </c>
      <c r="AX52" s="2">
        <v>0.88</v>
      </c>
    </row>
    <row r="53" spans="2:50" x14ac:dyDescent="0.3">
      <c r="B53" s="1" t="s">
        <v>18</v>
      </c>
      <c r="C53" s="2">
        <v>13375.83</v>
      </c>
      <c r="D53" s="2">
        <v>4091.08</v>
      </c>
      <c r="E53" s="2">
        <v>6943.84</v>
      </c>
      <c r="F53" s="2">
        <v>11344.41</v>
      </c>
      <c r="G53" s="2">
        <v>18037.29</v>
      </c>
      <c r="H53" s="2">
        <v>6424.75</v>
      </c>
      <c r="I53" s="2">
        <v>13803.34</v>
      </c>
      <c r="J53" s="2">
        <v>2926.96</v>
      </c>
      <c r="K53" s="2">
        <v>1866.79</v>
      </c>
      <c r="L53" s="2">
        <v>3124.74</v>
      </c>
      <c r="N53" s="1" t="s">
        <v>18</v>
      </c>
      <c r="O53" s="2">
        <v>0.43</v>
      </c>
      <c r="P53" s="2">
        <v>0.17</v>
      </c>
      <c r="Q53" s="2">
        <v>0.39</v>
      </c>
      <c r="R53" s="2">
        <v>0.36</v>
      </c>
      <c r="S53" s="2">
        <v>0.44</v>
      </c>
      <c r="T53" s="2">
        <v>0.31</v>
      </c>
      <c r="U53" s="2">
        <v>0.37</v>
      </c>
      <c r="V53" s="2">
        <v>0.28000000000000003</v>
      </c>
      <c r="W53" s="2">
        <v>0.23</v>
      </c>
      <c r="X53" s="2">
        <v>0.3</v>
      </c>
      <c r="AA53" s="1" t="s">
        <v>18</v>
      </c>
      <c r="AB53" s="2">
        <v>0.87</v>
      </c>
      <c r="AC53" s="2">
        <v>0.63</v>
      </c>
      <c r="AD53" s="2">
        <v>0.69</v>
      </c>
      <c r="AE53" s="2">
        <v>0.9</v>
      </c>
      <c r="AF53" s="2">
        <v>0.85</v>
      </c>
      <c r="AG53" s="2">
        <v>0.62</v>
      </c>
      <c r="AH53" s="2">
        <v>0.78</v>
      </c>
      <c r="AI53" s="2">
        <v>0.45</v>
      </c>
      <c r="AJ53" s="2">
        <v>0.69</v>
      </c>
      <c r="AK53" s="2">
        <v>0.84</v>
      </c>
      <c r="AN53" s="1" t="s">
        <v>18</v>
      </c>
      <c r="AO53" s="2">
        <v>1.07</v>
      </c>
      <c r="AP53" s="2">
        <v>0.73</v>
      </c>
      <c r="AQ53" s="2">
        <v>0.8</v>
      </c>
      <c r="AR53" s="2">
        <v>1.1399999999999999</v>
      </c>
      <c r="AS53" s="2">
        <v>1.01</v>
      </c>
      <c r="AT53" s="2">
        <v>0.73</v>
      </c>
      <c r="AU53" s="2">
        <v>0.91</v>
      </c>
      <c r="AV53" s="2">
        <v>0.52</v>
      </c>
      <c r="AW53" s="2">
        <v>0.81</v>
      </c>
      <c r="AX53" s="2">
        <v>1.01</v>
      </c>
    </row>
    <row r="54" spans="2:50" x14ac:dyDescent="0.3">
      <c r="B54" s="1" t="s">
        <v>19</v>
      </c>
      <c r="C54" s="2">
        <v>2370.58</v>
      </c>
      <c r="D54" s="2">
        <v>910.57</v>
      </c>
      <c r="E54" s="2">
        <v>1335.68</v>
      </c>
      <c r="F54" s="2">
        <v>3139.65</v>
      </c>
      <c r="G54" s="2">
        <v>3134.41</v>
      </c>
      <c r="H54" s="2">
        <v>1883.47</v>
      </c>
      <c r="I54" s="2">
        <v>1242.78</v>
      </c>
      <c r="J54" s="2">
        <v>603.71</v>
      </c>
      <c r="K54" s="2">
        <v>453.67</v>
      </c>
      <c r="L54" s="2">
        <v>504.88</v>
      </c>
      <c r="N54" s="1" t="s">
        <v>19</v>
      </c>
      <c r="O54" s="2">
        <v>0.28999999999999998</v>
      </c>
      <c r="P54" s="2">
        <v>0.17</v>
      </c>
      <c r="Q54" s="2">
        <v>0.34</v>
      </c>
      <c r="R54" s="2">
        <v>0.34</v>
      </c>
      <c r="S54" s="2">
        <v>0.37</v>
      </c>
      <c r="T54" s="2">
        <v>0.32</v>
      </c>
      <c r="U54" s="2">
        <v>0.31</v>
      </c>
      <c r="V54" s="2">
        <v>0.26</v>
      </c>
      <c r="W54" s="2">
        <v>0.21</v>
      </c>
      <c r="X54" s="2">
        <v>0.21</v>
      </c>
      <c r="AA54" s="1" t="s">
        <v>19</v>
      </c>
      <c r="AB54" s="2">
        <v>0.84</v>
      </c>
      <c r="AC54" s="2">
        <v>0.68</v>
      </c>
      <c r="AD54" s="2">
        <v>0.67</v>
      </c>
      <c r="AE54" s="2">
        <v>0.88</v>
      </c>
      <c r="AF54" s="2">
        <v>0.78</v>
      </c>
      <c r="AG54" s="2">
        <v>0.68</v>
      </c>
      <c r="AH54" s="2">
        <v>0.57999999999999996</v>
      </c>
      <c r="AI54" s="2">
        <v>0.43</v>
      </c>
      <c r="AJ54" s="2">
        <v>0.76</v>
      </c>
      <c r="AK54" s="2">
        <v>0.79</v>
      </c>
      <c r="AN54" s="1" t="s">
        <v>19</v>
      </c>
      <c r="AO54" s="2">
        <v>0.97</v>
      </c>
      <c r="AP54" s="2">
        <v>0.79</v>
      </c>
      <c r="AQ54" s="2">
        <v>0.77</v>
      </c>
      <c r="AR54" s="2">
        <v>1.01</v>
      </c>
      <c r="AS54" s="2">
        <v>0.91</v>
      </c>
      <c r="AT54" s="2">
        <v>0.8</v>
      </c>
      <c r="AU54" s="2">
        <v>0.68</v>
      </c>
      <c r="AV54" s="2">
        <v>0.5</v>
      </c>
      <c r="AW54" s="2">
        <v>0.87</v>
      </c>
      <c r="AX54" s="2">
        <v>0.91</v>
      </c>
    </row>
    <row r="55" spans="2:50" x14ac:dyDescent="0.3">
      <c r="B55" s="1" t="s">
        <v>20</v>
      </c>
      <c r="C55" s="2">
        <v>9482.14</v>
      </c>
      <c r="D55" s="2">
        <v>9843.02</v>
      </c>
      <c r="E55" s="2">
        <v>7751.86</v>
      </c>
      <c r="F55" s="2">
        <v>9765.0499999999993</v>
      </c>
      <c r="G55" s="2">
        <v>7703.65</v>
      </c>
      <c r="H55" s="2">
        <v>8563.52</v>
      </c>
      <c r="I55" s="2">
        <v>4073.92</v>
      </c>
      <c r="J55" s="2">
        <v>2674.39</v>
      </c>
      <c r="K55" s="2">
        <v>4715.3599999999997</v>
      </c>
      <c r="L55" s="2">
        <v>4744.92</v>
      </c>
      <c r="N55" s="1" t="s">
        <v>20</v>
      </c>
      <c r="O55" s="2">
        <v>0.21</v>
      </c>
      <c r="P55" s="2">
        <v>0.24</v>
      </c>
      <c r="Q55" s="2">
        <v>0.25</v>
      </c>
      <c r="R55" s="2">
        <v>0.27</v>
      </c>
      <c r="S55" s="2">
        <v>0.26</v>
      </c>
      <c r="T55" s="2">
        <v>0.3</v>
      </c>
      <c r="U55" s="2">
        <v>0.22</v>
      </c>
      <c r="V55" s="2">
        <v>0.27</v>
      </c>
      <c r="W55" s="2">
        <v>0.31</v>
      </c>
      <c r="X55" s="2">
        <v>0.28999999999999998</v>
      </c>
      <c r="AA55" s="1" t="s">
        <v>20</v>
      </c>
      <c r="AB55" s="2">
        <v>0.84</v>
      </c>
      <c r="AC55" s="2">
        <v>0.82</v>
      </c>
      <c r="AD55" s="2">
        <v>0.74</v>
      </c>
      <c r="AE55" s="2">
        <v>0.78</v>
      </c>
      <c r="AF55" s="2">
        <v>0.64</v>
      </c>
      <c r="AG55" s="2">
        <v>0.64</v>
      </c>
      <c r="AH55" s="2">
        <v>0.48</v>
      </c>
      <c r="AI55" s="2">
        <v>0.41</v>
      </c>
      <c r="AJ55" s="2">
        <v>0.87</v>
      </c>
      <c r="AK55" s="2">
        <v>0.88</v>
      </c>
      <c r="AN55" s="1" t="s">
        <v>20</v>
      </c>
      <c r="AO55" s="2">
        <v>0.98</v>
      </c>
      <c r="AP55" s="2">
        <v>0.96</v>
      </c>
      <c r="AQ55" s="2">
        <v>0.85</v>
      </c>
      <c r="AR55" s="2">
        <v>0.91</v>
      </c>
      <c r="AS55" s="2">
        <v>0.75</v>
      </c>
      <c r="AT55" s="2">
        <v>0.76</v>
      </c>
      <c r="AU55" s="2">
        <v>0.56999999999999995</v>
      </c>
      <c r="AV55" s="2">
        <v>0.48</v>
      </c>
      <c r="AW55" s="2">
        <v>1.01</v>
      </c>
      <c r="AX55" s="2">
        <v>1.02</v>
      </c>
    </row>
    <row r="56" spans="2:50" x14ac:dyDescent="0.3">
      <c r="B56" s="1" t="s">
        <v>21</v>
      </c>
      <c r="C56" s="2">
        <v>2808.99</v>
      </c>
      <c r="D56" s="2">
        <v>2638.25</v>
      </c>
      <c r="E56" s="2">
        <v>1979.79</v>
      </c>
      <c r="F56" s="2">
        <v>1980.12</v>
      </c>
      <c r="G56" s="2">
        <v>2626.77</v>
      </c>
      <c r="H56" s="2">
        <v>4939.79</v>
      </c>
      <c r="I56" s="2">
        <v>1166.9100000000001</v>
      </c>
      <c r="J56" s="2">
        <v>1392.34</v>
      </c>
      <c r="K56" s="2">
        <v>1129.51</v>
      </c>
      <c r="L56" s="2">
        <v>852.21</v>
      </c>
      <c r="N56" s="1" t="s">
        <v>21</v>
      </c>
      <c r="O56" s="2">
        <v>0.34</v>
      </c>
      <c r="P56" s="2">
        <v>0.32</v>
      </c>
      <c r="Q56" s="2">
        <v>0.38</v>
      </c>
      <c r="R56" s="2">
        <v>0.47</v>
      </c>
      <c r="S56" s="2">
        <v>0.45</v>
      </c>
      <c r="T56" s="2">
        <v>0.54</v>
      </c>
      <c r="U56" s="2">
        <v>0.35</v>
      </c>
      <c r="V56" s="2">
        <v>0.53</v>
      </c>
      <c r="W56" s="2">
        <v>0.37</v>
      </c>
      <c r="X56" s="2">
        <v>0.25</v>
      </c>
      <c r="AA56" s="1" t="s">
        <v>21</v>
      </c>
      <c r="AB56" s="2">
        <v>0.85</v>
      </c>
      <c r="AC56" s="2">
        <v>0.84</v>
      </c>
      <c r="AD56" s="2">
        <v>0.74</v>
      </c>
      <c r="AE56" s="2">
        <v>0.73</v>
      </c>
      <c r="AF56" s="2">
        <v>0.73</v>
      </c>
      <c r="AG56" s="2">
        <v>0.84</v>
      </c>
      <c r="AH56" s="2">
        <v>0.56000000000000005</v>
      </c>
      <c r="AI56" s="2">
        <v>0.65</v>
      </c>
      <c r="AJ56" s="2">
        <v>0.87</v>
      </c>
      <c r="AK56" s="2">
        <v>0.86</v>
      </c>
      <c r="AN56" s="1" t="s">
        <v>21</v>
      </c>
      <c r="AO56" s="2">
        <v>1.02</v>
      </c>
      <c r="AP56" s="2">
        <v>1.02</v>
      </c>
      <c r="AQ56" s="2">
        <v>0.88</v>
      </c>
      <c r="AR56" s="2">
        <v>0.87</v>
      </c>
      <c r="AS56" s="2">
        <v>0.89</v>
      </c>
      <c r="AT56" s="2">
        <v>1.02</v>
      </c>
      <c r="AU56" s="2">
        <v>0.69</v>
      </c>
      <c r="AV56" s="2">
        <v>0.79</v>
      </c>
      <c r="AW56" s="2">
        <v>1.05</v>
      </c>
      <c r="AX56" s="2">
        <v>1.05</v>
      </c>
    </row>
    <row r="57" spans="2:50" x14ac:dyDescent="0.3">
      <c r="B57" s="1" t="s">
        <v>22</v>
      </c>
      <c r="C57" s="2">
        <v>12145.45</v>
      </c>
      <c r="D57" s="2">
        <v>11285.25</v>
      </c>
      <c r="E57" s="2">
        <v>7601.64</v>
      </c>
      <c r="F57" s="2">
        <v>6465.57</v>
      </c>
      <c r="G57" s="2">
        <v>8334.6</v>
      </c>
      <c r="H57" s="2">
        <v>10113.15</v>
      </c>
      <c r="I57" s="2">
        <v>5075.6499999999996</v>
      </c>
      <c r="J57" s="2">
        <v>2478.36</v>
      </c>
      <c r="K57" s="2">
        <v>2554.83</v>
      </c>
      <c r="L57" s="2">
        <v>2819.07</v>
      </c>
      <c r="N57" s="1" t="s">
        <v>22</v>
      </c>
      <c r="O57" s="2">
        <v>0.37</v>
      </c>
      <c r="P57" s="2">
        <v>0.38</v>
      </c>
      <c r="Q57" s="2">
        <v>0.31</v>
      </c>
      <c r="R57" s="2">
        <v>0.39</v>
      </c>
      <c r="S57" s="2">
        <v>0.4</v>
      </c>
      <c r="T57" s="2">
        <v>0.44</v>
      </c>
      <c r="U57" s="2">
        <v>0.33</v>
      </c>
      <c r="V57" s="2">
        <v>0.37</v>
      </c>
      <c r="W57" s="2">
        <v>0.22</v>
      </c>
      <c r="X57" s="2">
        <v>0.27</v>
      </c>
      <c r="AA57" s="1" t="s">
        <v>22</v>
      </c>
      <c r="AB57" s="2">
        <v>0.82</v>
      </c>
      <c r="AC57" s="2">
        <v>0.8</v>
      </c>
      <c r="AD57" s="2">
        <v>0.72</v>
      </c>
      <c r="AE57" s="2">
        <v>0.67</v>
      </c>
      <c r="AF57" s="2">
        <v>0.66</v>
      </c>
      <c r="AG57" s="2">
        <v>0.71</v>
      </c>
      <c r="AH57" s="2">
        <v>0.55000000000000004</v>
      </c>
      <c r="AI57" s="2">
        <v>0.46</v>
      </c>
      <c r="AJ57" s="2">
        <v>0.8</v>
      </c>
      <c r="AK57" s="2">
        <v>0.79</v>
      </c>
      <c r="AN57" s="1" t="s">
        <v>22</v>
      </c>
      <c r="AO57" s="2">
        <v>0.98</v>
      </c>
      <c r="AP57" s="2">
        <v>0.97</v>
      </c>
      <c r="AQ57" s="2">
        <v>0.86</v>
      </c>
      <c r="AR57" s="2">
        <v>0.8</v>
      </c>
      <c r="AS57" s="2">
        <v>0.81</v>
      </c>
      <c r="AT57" s="2">
        <v>0.86</v>
      </c>
      <c r="AU57" s="2">
        <v>0.67</v>
      </c>
      <c r="AV57" s="2">
        <v>0.56999999999999995</v>
      </c>
      <c r="AW57" s="2">
        <v>0.97</v>
      </c>
      <c r="AX57" s="2">
        <v>0.95</v>
      </c>
    </row>
    <row r="58" spans="2:50" x14ac:dyDescent="0.3">
      <c r="B58" s="1" t="s">
        <v>23</v>
      </c>
      <c r="C58" s="2">
        <v>1821.27</v>
      </c>
      <c r="D58" s="2">
        <v>2112.71</v>
      </c>
      <c r="E58" s="2">
        <v>1992.51</v>
      </c>
      <c r="F58" s="2">
        <v>739.44</v>
      </c>
      <c r="G58" s="2">
        <v>2493.21</v>
      </c>
      <c r="H58" s="2">
        <v>2744.03</v>
      </c>
      <c r="I58" s="2">
        <v>1749.99</v>
      </c>
      <c r="J58" s="2">
        <v>1068.98</v>
      </c>
      <c r="K58" s="2">
        <v>958.24</v>
      </c>
      <c r="L58" s="2">
        <v>1779.5</v>
      </c>
      <c r="N58" s="1" t="s">
        <v>23</v>
      </c>
      <c r="O58" s="2">
        <v>0.17</v>
      </c>
      <c r="P58" s="2">
        <v>0.23</v>
      </c>
      <c r="Q58" s="2">
        <v>0.15</v>
      </c>
      <c r="R58" s="2">
        <v>0.16</v>
      </c>
      <c r="S58" s="2">
        <v>0.14000000000000001</v>
      </c>
      <c r="T58" s="2">
        <v>0.17</v>
      </c>
      <c r="U58" s="2">
        <v>0.11</v>
      </c>
      <c r="V58" s="2">
        <v>0.04</v>
      </c>
      <c r="W58" s="2">
        <v>0.19</v>
      </c>
      <c r="X58" s="2">
        <v>0.21</v>
      </c>
      <c r="AA58" s="1" t="s">
        <v>23</v>
      </c>
      <c r="AB58" s="2">
        <v>0.53</v>
      </c>
      <c r="AC58" s="2">
        <v>0.53</v>
      </c>
      <c r="AD58" s="2">
        <v>0.56999999999999995</v>
      </c>
      <c r="AE58" s="2">
        <v>0.3</v>
      </c>
      <c r="AF58" s="2">
        <v>0.55000000000000004</v>
      </c>
      <c r="AG58" s="2">
        <v>0.53</v>
      </c>
      <c r="AH58" s="2">
        <v>0.47</v>
      </c>
      <c r="AI58" s="2">
        <v>0.22</v>
      </c>
      <c r="AJ58" s="2">
        <v>0.65</v>
      </c>
      <c r="AK58" s="2">
        <v>0.8</v>
      </c>
      <c r="AN58" s="1" t="s">
        <v>23</v>
      </c>
      <c r="AO58" s="2">
        <v>0.63</v>
      </c>
      <c r="AP58" s="2">
        <v>0.64</v>
      </c>
      <c r="AQ58" s="2">
        <v>0.66</v>
      </c>
      <c r="AR58" s="2">
        <v>0.35</v>
      </c>
      <c r="AS58" s="2">
        <v>0.67</v>
      </c>
      <c r="AT58" s="2">
        <v>0.65</v>
      </c>
      <c r="AU58" s="2">
        <v>0.56999999999999995</v>
      </c>
      <c r="AV58" s="2">
        <v>0.23</v>
      </c>
      <c r="AW58" s="2">
        <v>0.76</v>
      </c>
      <c r="AX58" s="2">
        <v>0.95</v>
      </c>
    </row>
    <row r="61" spans="2:50" x14ac:dyDescent="0.3">
      <c r="B61" t="s">
        <v>36</v>
      </c>
      <c r="N61" t="s">
        <v>37</v>
      </c>
      <c r="AA61" t="s">
        <v>38</v>
      </c>
      <c r="AN61" t="s">
        <v>39</v>
      </c>
    </row>
    <row r="62" spans="2:50" x14ac:dyDescent="0.3">
      <c r="B62" s="1" t="s">
        <v>11</v>
      </c>
      <c r="C62" s="1" t="s">
        <v>12</v>
      </c>
      <c r="D62" s="1" t="s">
        <v>13</v>
      </c>
      <c r="E62" s="1" t="s">
        <v>12</v>
      </c>
      <c r="F62" s="1" t="s">
        <v>13</v>
      </c>
      <c r="G62" s="1" t="s">
        <v>12</v>
      </c>
      <c r="H62" s="1" t="s">
        <v>13</v>
      </c>
      <c r="I62" s="1" t="s">
        <v>12</v>
      </c>
      <c r="J62" s="1" t="s">
        <v>13</v>
      </c>
      <c r="K62" s="1" t="s">
        <v>12</v>
      </c>
      <c r="L62" s="1" t="s">
        <v>13</v>
      </c>
      <c r="N62" s="1" t="s">
        <v>11</v>
      </c>
      <c r="O62" s="1" t="s">
        <v>12</v>
      </c>
      <c r="P62" s="1" t="s">
        <v>13</v>
      </c>
      <c r="Q62" s="1" t="s">
        <v>12</v>
      </c>
      <c r="R62" s="1" t="s">
        <v>13</v>
      </c>
      <c r="S62" s="1" t="s">
        <v>12</v>
      </c>
      <c r="T62" s="1" t="s">
        <v>13</v>
      </c>
      <c r="U62" s="1" t="s">
        <v>12</v>
      </c>
      <c r="V62" s="1" t="s">
        <v>13</v>
      </c>
      <c r="W62" s="1" t="s">
        <v>12</v>
      </c>
      <c r="X62" s="1" t="s">
        <v>13</v>
      </c>
      <c r="AA62" s="1" t="s">
        <v>11</v>
      </c>
      <c r="AB62" s="1" t="s">
        <v>12</v>
      </c>
      <c r="AC62" s="1" t="s">
        <v>13</v>
      </c>
      <c r="AD62" s="1" t="s">
        <v>12</v>
      </c>
      <c r="AE62" s="1" t="s">
        <v>13</v>
      </c>
      <c r="AF62" s="1" t="s">
        <v>12</v>
      </c>
      <c r="AG62" s="1" t="s">
        <v>13</v>
      </c>
      <c r="AH62" s="1" t="s">
        <v>12</v>
      </c>
      <c r="AI62" s="1" t="s">
        <v>13</v>
      </c>
      <c r="AJ62" s="1" t="s">
        <v>12</v>
      </c>
      <c r="AK62" s="1" t="s">
        <v>13</v>
      </c>
      <c r="AN62" s="1" t="s">
        <v>11</v>
      </c>
      <c r="AO62" s="1" t="s">
        <v>12</v>
      </c>
      <c r="AP62" s="1" t="s">
        <v>13</v>
      </c>
      <c r="AQ62" s="1" t="s">
        <v>12</v>
      </c>
      <c r="AR62" s="1" t="s">
        <v>13</v>
      </c>
      <c r="AS62" s="1" t="s">
        <v>12</v>
      </c>
      <c r="AT62" s="1" t="s">
        <v>13</v>
      </c>
      <c r="AU62" s="1" t="s">
        <v>12</v>
      </c>
      <c r="AV62" s="1" t="s">
        <v>13</v>
      </c>
      <c r="AW62" s="1" t="s">
        <v>12</v>
      </c>
      <c r="AX62" s="1" t="s">
        <v>13</v>
      </c>
    </row>
    <row r="63" spans="2:50" x14ac:dyDescent="0.3">
      <c r="B63" s="1" t="s">
        <v>14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N63" s="1" t="s">
        <v>14</v>
      </c>
      <c r="O63" s="1" t="s">
        <v>1</v>
      </c>
      <c r="P63" s="1" t="s">
        <v>1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4</v>
      </c>
      <c r="V63" s="1" t="s">
        <v>4</v>
      </c>
      <c r="W63" s="1" t="s">
        <v>5</v>
      </c>
      <c r="X63" s="1" t="s">
        <v>5</v>
      </c>
      <c r="AA63" s="1" t="s">
        <v>14</v>
      </c>
      <c r="AB63" s="1" t="s">
        <v>1</v>
      </c>
      <c r="AC63" s="1" t="s">
        <v>1</v>
      </c>
      <c r="AD63" s="1" t="s">
        <v>2</v>
      </c>
      <c r="AE63" s="1" t="s">
        <v>2</v>
      </c>
      <c r="AF63" s="1" t="s">
        <v>3</v>
      </c>
      <c r="AG63" s="1" t="s">
        <v>3</v>
      </c>
      <c r="AH63" s="1" t="s">
        <v>4</v>
      </c>
      <c r="AI63" s="1" t="s">
        <v>4</v>
      </c>
      <c r="AJ63" s="1" t="s">
        <v>5</v>
      </c>
      <c r="AK63" s="1" t="s">
        <v>5</v>
      </c>
      <c r="AN63" s="1" t="s">
        <v>14</v>
      </c>
      <c r="AO63" s="1" t="s">
        <v>1</v>
      </c>
      <c r="AP63" s="1" t="s">
        <v>1</v>
      </c>
      <c r="AQ63" s="1" t="s">
        <v>2</v>
      </c>
      <c r="AR63" s="1" t="s">
        <v>2</v>
      </c>
      <c r="AS63" s="1" t="s">
        <v>3</v>
      </c>
      <c r="AT63" s="1" t="s">
        <v>3</v>
      </c>
      <c r="AU63" s="1" t="s">
        <v>4</v>
      </c>
      <c r="AV63" s="1" t="s">
        <v>4</v>
      </c>
      <c r="AW63" s="1" t="s">
        <v>5</v>
      </c>
      <c r="AX63" s="1" t="s">
        <v>5</v>
      </c>
    </row>
    <row r="64" spans="2:50" x14ac:dyDescent="0.3">
      <c r="B64" s="1" t="s">
        <v>15</v>
      </c>
      <c r="N64" s="1" t="s">
        <v>15</v>
      </c>
      <c r="AA64" s="1" t="s">
        <v>15</v>
      </c>
      <c r="AN64" s="1" t="s">
        <v>15</v>
      </c>
    </row>
    <row r="65" spans="2:50" x14ac:dyDescent="0.3">
      <c r="B65" s="1" t="s">
        <v>16</v>
      </c>
      <c r="C65" s="2">
        <v>20.8</v>
      </c>
      <c r="D65" s="2">
        <v>21.92</v>
      </c>
      <c r="E65" s="2">
        <v>29.38</v>
      </c>
      <c r="F65" s="2">
        <v>33.22</v>
      </c>
      <c r="G65" s="2">
        <v>18.89</v>
      </c>
      <c r="H65" s="2">
        <v>18.829999999999998</v>
      </c>
      <c r="I65" s="2">
        <v>20.239999999999998</v>
      </c>
      <c r="J65" s="2">
        <v>22.62</v>
      </c>
      <c r="K65" s="2">
        <v>17.809999999999999</v>
      </c>
      <c r="L65" s="2">
        <v>21.35</v>
      </c>
      <c r="N65" s="1" t="s">
        <v>16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U65" s="2">
        <v>60</v>
      </c>
      <c r="V65" s="2">
        <v>60</v>
      </c>
      <c r="W65" s="2">
        <v>60</v>
      </c>
      <c r="X65" s="2">
        <v>60</v>
      </c>
      <c r="AA65" s="1" t="s">
        <v>16</v>
      </c>
      <c r="AB65" s="2">
        <v>59.97</v>
      </c>
      <c r="AC65" s="2">
        <v>59.97</v>
      </c>
      <c r="AD65" s="2">
        <v>59.98</v>
      </c>
      <c r="AE65" s="2">
        <v>60</v>
      </c>
      <c r="AF65" s="2">
        <v>55</v>
      </c>
      <c r="AG65" s="2">
        <v>55</v>
      </c>
      <c r="AH65" s="2">
        <v>60</v>
      </c>
      <c r="AI65" s="2">
        <v>60</v>
      </c>
      <c r="AJ65" s="2">
        <v>59.19</v>
      </c>
      <c r="AK65" s="2">
        <v>59.76</v>
      </c>
      <c r="AN65" s="1" t="s">
        <v>16</v>
      </c>
      <c r="AO65" s="2">
        <v>0</v>
      </c>
      <c r="AP65" s="2">
        <v>0</v>
      </c>
      <c r="AQ65" s="2">
        <v>0</v>
      </c>
      <c r="AR65" s="2">
        <v>0</v>
      </c>
      <c r="AS65" s="2">
        <v>-0.25</v>
      </c>
      <c r="AT65" s="2">
        <v>-0.25</v>
      </c>
      <c r="AU65" s="2">
        <v>0</v>
      </c>
      <c r="AV65" s="2">
        <v>0</v>
      </c>
      <c r="AW65" s="2">
        <v>-0.01</v>
      </c>
      <c r="AX65" s="2">
        <v>0</v>
      </c>
    </row>
    <row r="66" spans="2:50" x14ac:dyDescent="0.3">
      <c r="B66" s="1" t="s">
        <v>17</v>
      </c>
      <c r="C66" s="2">
        <v>168.83</v>
      </c>
      <c r="D66" s="2">
        <v>66.02</v>
      </c>
      <c r="E66" s="2">
        <v>88.83</v>
      </c>
      <c r="F66" s="2">
        <v>224.48</v>
      </c>
      <c r="G66" s="2">
        <v>120.27</v>
      </c>
      <c r="H66" s="2">
        <v>116.78</v>
      </c>
      <c r="I66" s="2">
        <v>138.11000000000001</v>
      </c>
      <c r="J66" s="2">
        <v>44.83</v>
      </c>
      <c r="K66" s="2">
        <v>92.69</v>
      </c>
      <c r="L66" s="2">
        <v>64.959999999999994</v>
      </c>
      <c r="N66" s="1" t="s">
        <v>17</v>
      </c>
      <c r="O66" s="2">
        <v>59.97</v>
      </c>
      <c r="P66" s="2">
        <v>60</v>
      </c>
      <c r="Q66" s="2">
        <v>59.93</v>
      </c>
      <c r="R66" s="2">
        <v>60</v>
      </c>
      <c r="S66" s="2">
        <v>59.87</v>
      </c>
      <c r="T66" s="2">
        <v>60</v>
      </c>
      <c r="U66" s="2">
        <v>59.93</v>
      </c>
      <c r="V66" s="2">
        <v>60</v>
      </c>
      <c r="W66" s="2">
        <v>59.9</v>
      </c>
      <c r="X66" s="2">
        <v>59.98</v>
      </c>
      <c r="AA66" s="1" t="s">
        <v>17</v>
      </c>
      <c r="AB66" s="2">
        <v>48.89</v>
      </c>
      <c r="AC66" s="2">
        <v>58.92</v>
      </c>
      <c r="AD66" s="2">
        <v>57.99</v>
      </c>
      <c r="AE66" s="2">
        <v>42.68</v>
      </c>
      <c r="AF66" s="2">
        <v>50.1</v>
      </c>
      <c r="AG66" s="2">
        <v>52.55</v>
      </c>
      <c r="AH66" s="2">
        <v>52.63</v>
      </c>
      <c r="AI66" s="2">
        <v>59.97</v>
      </c>
      <c r="AJ66" s="2">
        <v>43.96</v>
      </c>
      <c r="AK66" s="2">
        <v>50.87</v>
      </c>
      <c r="AN66" s="1" t="s">
        <v>17</v>
      </c>
      <c r="AO66" s="2">
        <v>-0.5</v>
      </c>
      <c r="AP66" s="2">
        <v>-0.04</v>
      </c>
      <c r="AQ66" s="2">
        <v>-0.08</v>
      </c>
      <c r="AR66" s="2">
        <v>-1.01</v>
      </c>
      <c r="AS66" s="2">
        <v>-0.55000000000000004</v>
      </c>
      <c r="AT66" s="2">
        <v>-0.4</v>
      </c>
      <c r="AU66" s="2">
        <v>-0.46</v>
      </c>
      <c r="AV66" s="2">
        <v>0</v>
      </c>
      <c r="AW66" s="2">
        <v>-0.28999999999999998</v>
      </c>
      <c r="AX66" s="2">
        <v>-0.14000000000000001</v>
      </c>
    </row>
    <row r="67" spans="2:50" x14ac:dyDescent="0.3">
      <c r="B67" s="1" t="s">
        <v>18</v>
      </c>
      <c r="C67" s="2">
        <v>1572.44</v>
      </c>
      <c r="D67" s="2">
        <v>556.99</v>
      </c>
      <c r="E67" s="2">
        <v>810.01</v>
      </c>
      <c r="F67" s="2">
        <v>1590.73</v>
      </c>
      <c r="G67" s="2">
        <v>1624.67</v>
      </c>
      <c r="H67" s="2">
        <v>899.38</v>
      </c>
      <c r="I67" s="2">
        <v>1425.44</v>
      </c>
      <c r="J67" s="2">
        <v>485.76</v>
      </c>
      <c r="K67" s="2">
        <v>217.09</v>
      </c>
      <c r="L67" s="2">
        <v>401.12</v>
      </c>
      <c r="N67" s="1" t="s">
        <v>18</v>
      </c>
      <c r="O67" s="2">
        <v>59.54</v>
      </c>
      <c r="P67" s="2">
        <v>60</v>
      </c>
      <c r="Q67" s="2">
        <v>59.75</v>
      </c>
      <c r="R67" s="2">
        <v>59.83</v>
      </c>
      <c r="S67" s="2">
        <v>59.48</v>
      </c>
      <c r="T67" s="2">
        <v>59.94</v>
      </c>
      <c r="U67" s="2">
        <v>59.8</v>
      </c>
      <c r="V67" s="2">
        <v>59.97</v>
      </c>
      <c r="W67" s="2">
        <v>59.99</v>
      </c>
      <c r="X67" s="2">
        <v>59.95</v>
      </c>
      <c r="AA67" s="1" t="s">
        <v>18</v>
      </c>
      <c r="AB67" s="2">
        <v>41.69</v>
      </c>
      <c r="AC67" s="2">
        <v>56.54</v>
      </c>
      <c r="AD67" s="2">
        <v>54.24</v>
      </c>
      <c r="AE67" s="2">
        <v>38.75</v>
      </c>
      <c r="AF67" s="2">
        <v>39.64</v>
      </c>
      <c r="AG67" s="2">
        <v>52.03</v>
      </c>
      <c r="AH67" s="2">
        <v>49.21</v>
      </c>
      <c r="AI67" s="2">
        <v>59.53</v>
      </c>
      <c r="AJ67" s="2">
        <v>54.16</v>
      </c>
      <c r="AK67" s="2">
        <v>44</v>
      </c>
      <c r="AN67" s="1" t="s">
        <v>18</v>
      </c>
      <c r="AO67" s="2">
        <v>-0.95</v>
      </c>
      <c r="AP67" s="2">
        <v>-0.13</v>
      </c>
      <c r="AQ67" s="2">
        <v>-0.26</v>
      </c>
      <c r="AR67" s="2">
        <v>-1.36</v>
      </c>
      <c r="AS67" s="2">
        <v>-1.41</v>
      </c>
      <c r="AT67" s="2">
        <v>-0.43</v>
      </c>
      <c r="AU67" s="2">
        <v>-0.71</v>
      </c>
      <c r="AV67" s="2">
        <v>-0.02</v>
      </c>
      <c r="AW67" s="2">
        <v>-0.09</v>
      </c>
      <c r="AX67" s="2">
        <v>-0.28999999999999998</v>
      </c>
    </row>
    <row r="68" spans="2:50" x14ac:dyDescent="0.3">
      <c r="B68" s="1" t="s">
        <v>19</v>
      </c>
      <c r="C68" s="2">
        <v>316.01</v>
      </c>
      <c r="D68" s="2">
        <v>110.38</v>
      </c>
      <c r="E68" s="2">
        <v>206.67</v>
      </c>
      <c r="F68" s="2">
        <v>509.42</v>
      </c>
      <c r="G68" s="2">
        <v>351.81</v>
      </c>
      <c r="H68" s="2">
        <v>273.38</v>
      </c>
      <c r="I68" s="2">
        <v>202.59</v>
      </c>
      <c r="J68" s="2">
        <v>74.39</v>
      </c>
      <c r="K68" s="2">
        <v>70.02</v>
      </c>
      <c r="L68" s="2">
        <v>81.93</v>
      </c>
      <c r="N68" s="1" t="s">
        <v>19</v>
      </c>
      <c r="O68" s="2">
        <v>59.96</v>
      </c>
      <c r="P68" s="2">
        <v>60</v>
      </c>
      <c r="Q68" s="2">
        <v>59.9</v>
      </c>
      <c r="R68" s="2">
        <v>59.89</v>
      </c>
      <c r="S68" s="2">
        <v>59.81</v>
      </c>
      <c r="T68" s="2">
        <v>59.92</v>
      </c>
      <c r="U68" s="2">
        <v>59.94</v>
      </c>
      <c r="V68" s="2">
        <v>59.98</v>
      </c>
      <c r="W68" s="2">
        <v>60</v>
      </c>
      <c r="X68" s="2">
        <v>59.99</v>
      </c>
      <c r="AA68" s="1" t="s">
        <v>19</v>
      </c>
      <c r="AB68" s="2">
        <v>44.26</v>
      </c>
      <c r="AC68" s="2">
        <v>54.56</v>
      </c>
      <c r="AD68" s="2">
        <v>55.02</v>
      </c>
      <c r="AE68" s="2">
        <v>41.34</v>
      </c>
      <c r="AF68" s="2">
        <v>44.9</v>
      </c>
      <c r="AG68" s="2">
        <v>49.92</v>
      </c>
      <c r="AH68" s="2">
        <v>57.86</v>
      </c>
      <c r="AI68" s="2">
        <v>59.62</v>
      </c>
      <c r="AJ68" s="2">
        <v>50.61</v>
      </c>
      <c r="AK68" s="2">
        <v>48.52</v>
      </c>
      <c r="AN68" s="1" t="s">
        <v>19</v>
      </c>
      <c r="AO68" s="2">
        <v>-0.78</v>
      </c>
      <c r="AP68" s="2">
        <v>-0.22</v>
      </c>
      <c r="AQ68" s="2">
        <v>-0.22</v>
      </c>
      <c r="AR68" s="2">
        <v>-1.1200000000000001</v>
      </c>
      <c r="AS68" s="2">
        <v>-0.93</v>
      </c>
      <c r="AT68" s="2">
        <v>-0.56000000000000005</v>
      </c>
      <c r="AU68" s="2">
        <v>-0.12</v>
      </c>
      <c r="AV68" s="2">
        <v>-0.02</v>
      </c>
      <c r="AW68" s="2">
        <v>-0.15</v>
      </c>
      <c r="AX68" s="2">
        <v>-0.19</v>
      </c>
    </row>
    <row r="69" spans="2:50" x14ac:dyDescent="0.3">
      <c r="B69" s="1" t="s">
        <v>20</v>
      </c>
      <c r="C69" s="2">
        <v>1007.61</v>
      </c>
      <c r="D69" s="2">
        <v>981.6</v>
      </c>
      <c r="E69" s="2">
        <v>1113.9100000000001</v>
      </c>
      <c r="F69" s="2">
        <v>1298.69</v>
      </c>
      <c r="G69" s="2">
        <v>770.21</v>
      </c>
      <c r="H69" s="2">
        <v>834.6</v>
      </c>
      <c r="I69" s="2">
        <v>459.11</v>
      </c>
      <c r="J69" s="2">
        <v>279.08</v>
      </c>
      <c r="K69" s="2">
        <v>672.13</v>
      </c>
      <c r="L69" s="2">
        <v>629.54</v>
      </c>
      <c r="N69" s="1" t="s">
        <v>20</v>
      </c>
      <c r="O69" s="2">
        <v>60</v>
      </c>
      <c r="P69" s="2">
        <v>59.99</v>
      </c>
      <c r="Q69" s="2">
        <v>59.98</v>
      </c>
      <c r="R69" s="2">
        <v>59.98</v>
      </c>
      <c r="S69" s="2">
        <v>59.98</v>
      </c>
      <c r="T69" s="2">
        <v>59.95</v>
      </c>
      <c r="U69" s="2">
        <v>59.99</v>
      </c>
      <c r="V69" s="2">
        <v>59.98</v>
      </c>
      <c r="W69" s="2">
        <v>59.95</v>
      </c>
      <c r="X69" s="2">
        <v>59.96</v>
      </c>
      <c r="AA69" s="1" t="s">
        <v>20</v>
      </c>
      <c r="AB69" s="2">
        <v>44.26</v>
      </c>
      <c r="AC69" s="2">
        <v>45.85</v>
      </c>
      <c r="AD69" s="2">
        <v>51.8</v>
      </c>
      <c r="AE69" s="2">
        <v>48.76</v>
      </c>
      <c r="AF69" s="2">
        <v>51.49</v>
      </c>
      <c r="AG69" s="2">
        <v>51.35</v>
      </c>
      <c r="AH69" s="2">
        <v>59.27</v>
      </c>
      <c r="AI69" s="2">
        <v>59.73</v>
      </c>
      <c r="AJ69" s="2">
        <v>41.82</v>
      </c>
      <c r="AK69" s="2">
        <v>41.35</v>
      </c>
      <c r="AN69" s="1" t="s">
        <v>20</v>
      </c>
      <c r="AO69" s="2">
        <v>-0.78</v>
      </c>
      <c r="AP69" s="2">
        <v>-0.68</v>
      </c>
      <c r="AQ69" s="2">
        <v>-0.39</v>
      </c>
      <c r="AR69" s="2">
        <v>-0.57999999999999996</v>
      </c>
      <c r="AS69" s="2">
        <v>-0.46</v>
      </c>
      <c r="AT69" s="2">
        <v>-0.47</v>
      </c>
      <c r="AU69" s="2">
        <v>-0.04</v>
      </c>
      <c r="AV69" s="2">
        <v>-0.01</v>
      </c>
      <c r="AW69" s="2">
        <v>-0.35</v>
      </c>
      <c r="AX69" s="2">
        <v>-0.36</v>
      </c>
    </row>
    <row r="70" spans="2:50" x14ac:dyDescent="0.3">
      <c r="B70" s="1" t="s">
        <v>21</v>
      </c>
      <c r="C70" s="2">
        <v>207.74</v>
      </c>
      <c r="D70" s="2">
        <v>177.59</v>
      </c>
      <c r="E70" s="2">
        <v>174.85</v>
      </c>
      <c r="F70" s="2">
        <v>107.87</v>
      </c>
      <c r="G70" s="2">
        <v>232.38</v>
      </c>
      <c r="H70" s="2">
        <v>311.57</v>
      </c>
      <c r="I70" s="2">
        <v>102.05</v>
      </c>
      <c r="J70" s="2">
        <v>73.05</v>
      </c>
      <c r="K70" s="2">
        <v>99.76</v>
      </c>
      <c r="L70" s="2">
        <v>46.26</v>
      </c>
      <c r="N70" s="1" t="s">
        <v>21</v>
      </c>
      <c r="O70" s="2">
        <v>59.89</v>
      </c>
      <c r="P70" s="2">
        <v>59.93</v>
      </c>
      <c r="Q70" s="2">
        <v>59.8</v>
      </c>
      <c r="R70" s="2">
        <v>59.14</v>
      </c>
      <c r="S70" s="2">
        <v>59.42</v>
      </c>
      <c r="T70" s="2">
        <v>58</v>
      </c>
      <c r="U70" s="2">
        <v>59.87</v>
      </c>
      <c r="V70" s="2">
        <v>58.33</v>
      </c>
      <c r="W70" s="2">
        <v>59.82</v>
      </c>
      <c r="X70" s="2">
        <v>59.99</v>
      </c>
      <c r="AA70" s="1" t="s">
        <v>21</v>
      </c>
      <c r="AB70" s="2">
        <v>43.68</v>
      </c>
      <c r="AC70" s="2">
        <v>44.48</v>
      </c>
      <c r="AD70" s="2">
        <v>51.54</v>
      </c>
      <c r="AE70" s="2">
        <v>52.39</v>
      </c>
      <c r="AF70" s="2">
        <v>47.97</v>
      </c>
      <c r="AG70" s="2">
        <v>40.92</v>
      </c>
      <c r="AH70" s="2">
        <v>58.22</v>
      </c>
      <c r="AI70" s="2">
        <v>55.92</v>
      </c>
      <c r="AJ70" s="2">
        <v>41.5</v>
      </c>
      <c r="AK70" s="2">
        <v>42.84</v>
      </c>
      <c r="AN70" s="1" t="s">
        <v>21</v>
      </c>
      <c r="AO70" s="2">
        <v>-0.82</v>
      </c>
      <c r="AP70" s="2">
        <v>-0.77</v>
      </c>
      <c r="AQ70" s="2">
        <v>-0.4</v>
      </c>
      <c r="AR70" s="2">
        <v>-0.33</v>
      </c>
      <c r="AS70" s="2">
        <v>-0.67</v>
      </c>
      <c r="AT70" s="2">
        <v>-1.21</v>
      </c>
      <c r="AU70" s="2">
        <v>-0.09</v>
      </c>
      <c r="AV70" s="2">
        <v>-0.15</v>
      </c>
      <c r="AW70" s="2">
        <v>-0.35</v>
      </c>
      <c r="AX70" s="2">
        <v>-0.32</v>
      </c>
    </row>
    <row r="71" spans="2:50" x14ac:dyDescent="0.3">
      <c r="B71" s="1" t="s">
        <v>22</v>
      </c>
      <c r="C71" s="2">
        <v>681.8</v>
      </c>
      <c r="D71" s="2">
        <v>728.48</v>
      </c>
      <c r="E71" s="2">
        <v>546.02</v>
      </c>
      <c r="F71" s="2">
        <v>388.45</v>
      </c>
      <c r="G71" s="2">
        <v>413.16</v>
      </c>
      <c r="H71" s="2">
        <v>448.27</v>
      </c>
      <c r="I71" s="2">
        <v>379</v>
      </c>
      <c r="J71" s="2">
        <v>89.19</v>
      </c>
      <c r="K71" s="2">
        <v>189.31</v>
      </c>
      <c r="L71" s="2">
        <v>168.64</v>
      </c>
      <c r="N71" s="1" t="s">
        <v>22</v>
      </c>
      <c r="O71" s="2">
        <v>59.81</v>
      </c>
      <c r="P71" s="2">
        <v>59.8</v>
      </c>
      <c r="Q71" s="2">
        <v>59.94</v>
      </c>
      <c r="R71" s="2">
        <v>59.75</v>
      </c>
      <c r="S71" s="2">
        <v>59.69</v>
      </c>
      <c r="T71" s="2">
        <v>59.44</v>
      </c>
      <c r="U71" s="2">
        <v>59.91</v>
      </c>
      <c r="V71" s="2">
        <v>59.8</v>
      </c>
      <c r="W71" s="2">
        <v>59.99</v>
      </c>
      <c r="X71" s="2">
        <v>59.98</v>
      </c>
      <c r="AA71" s="1" t="s">
        <v>22</v>
      </c>
      <c r="AB71" s="2">
        <v>46.26</v>
      </c>
      <c r="AC71" s="2">
        <v>47.65</v>
      </c>
      <c r="AD71" s="2">
        <v>52.46</v>
      </c>
      <c r="AE71" s="2">
        <v>54.97</v>
      </c>
      <c r="AF71" s="2">
        <v>50.7</v>
      </c>
      <c r="AG71" s="2">
        <v>48.98</v>
      </c>
      <c r="AH71" s="2">
        <v>58.45</v>
      </c>
      <c r="AI71" s="2">
        <v>59.42</v>
      </c>
      <c r="AJ71" s="2">
        <v>47.24</v>
      </c>
      <c r="AK71" s="2">
        <v>48.35</v>
      </c>
      <c r="AN71" s="1" t="s">
        <v>22</v>
      </c>
      <c r="AO71" s="2">
        <v>-0.65</v>
      </c>
      <c r="AP71" s="2">
        <v>-0.56000000000000005</v>
      </c>
      <c r="AQ71" s="2">
        <v>-0.36</v>
      </c>
      <c r="AR71" s="2">
        <v>-0.22</v>
      </c>
      <c r="AS71" s="2">
        <v>-0.5</v>
      </c>
      <c r="AT71" s="2">
        <v>-0.6</v>
      </c>
      <c r="AU71" s="2">
        <v>-0.08</v>
      </c>
      <c r="AV71" s="2">
        <v>-0.02</v>
      </c>
      <c r="AW71" s="2">
        <v>-0.22</v>
      </c>
      <c r="AX71" s="2">
        <v>-0.19</v>
      </c>
    </row>
    <row r="72" spans="2:50" x14ac:dyDescent="0.3">
      <c r="B72" s="1" t="s">
        <v>23</v>
      </c>
      <c r="C72" s="2">
        <v>102.24</v>
      </c>
      <c r="D72" s="2">
        <v>69.489999999999995</v>
      </c>
      <c r="E72" s="2">
        <v>130.65</v>
      </c>
      <c r="F72" s="2">
        <v>27.52</v>
      </c>
      <c r="G72" s="2">
        <v>123.31</v>
      </c>
      <c r="H72" s="2">
        <v>104.32</v>
      </c>
      <c r="I72" s="2">
        <v>86.55</v>
      </c>
      <c r="J72" s="2">
        <v>13.06</v>
      </c>
      <c r="K72" s="2">
        <v>63.09</v>
      </c>
      <c r="L72" s="2">
        <v>65.86</v>
      </c>
      <c r="N72" s="1" t="s">
        <v>23</v>
      </c>
      <c r="O72" s="2">
        <v>60</v>
      </c>
      <c r="P72" s="2">
        <v>59.99</v>
      </c>
      <c r="Q72" s="2">
        <v>60</v>
      </c>
      <c r="R72" s="2">
        <v>60</v>
      </c>
      <c r="S72" s="2">
        <v>60</v>
      </c>
      <c r="T72" s="2">
        <v>60</v>
      </c>
      <c r="U72" s="2">
        <v>60</v>
      </c>
      <c r="V72" s="2">
        <v>60</v>
      </c>
      <c r="W72" s="2">
        <v>60</v>
      </c>
      <c r="X72" s="2">
        <v>59.99</v>
      </c>
      <c r="AA72" s="1" t="s">
        <v>23</v>
      </c>
      <c r="AB72" s="2">
        <v>58.74</v>
      </c>
      <c r="AC72" s="2">
        <v>58.74</v>
      </c>
      <c r="AD72" s="2">
        <v>58.09</v>
      </c>
      <c r="AE72" s="2">
        <v>59.95</v>
      </c>
      <c r="AF72" s="2">
        <v>53.49</v>
      </c>
      <c r="AG72" s="2">
        <v>53.79</v>
      </c>
      <c r="AH72" s="2">
        <v>59.33</v>
      </c>
      <c r="AI72" s="2">
        <v>59.99</v>
      </c>
      <c r="AJ72" s="2">
        <v>55.91</v>
      </c>
      <c r="AK72" s="2">
        <v>47.86</v>
      </c>
      <c r="AN72" s="1" t="s">
        <v>23</v>
      </c>
      <c r="AO72" s="2">
        <v>-0.05</v>
      </c>
      <c r="AP72" s="2">
        <v>-0.05</v>
      </c>
      <c r="AQ72" s="2">
        <v>-0.08</v>
      </c>
      <c r="AR72" s="2">
        <v>0</v>
      </c>
      <c r="AS72" s="2">
        <v>-0.34</v>
      </c>
      <c r="AT72" s="2">
        <v>-0.32</v>
      </c>
      <c r="AU72" s="2">
        <v>-0.04</v>
      </c>
      <c r="AV72" s="2">
        <v>0</v>
      </c>
      <c r="AW72" s="2">
        <v>-0.06</v>
      </c>
      <c r="AX72" s="2">
        <v>-0.2</v>
      </c>
    </row>
    <row r="75" spans="2:50" x14ac:dyDescent="0.3">
      <c r="B75" t="s">
        <v>40</v>
      </c>
      <c r="N75" t="s">
        <v>41</v>
      </c>
      <c r="AA75" t="s">
        <v>42</v>
      </c>
      <c r="AN75" t="s">
        <v>43</v>
      </c>
    </row>
    <row r="76" spans="2:50" x14ac:dyDescent="0.3">
      <c r="B76" s="1" t="s">
        <v>11</v>
      </c>
      <c r="C76" s="1" t="s">
        <v>12</v>
      </c>
      <c r="D76" s="1" t="s">
        <v>13</v>
      </c>
      <c r="E76" s="1" t="s">
        <v>12</v>
      </c>
      <c r="F76" s="1" t="s">
        <v>13</v>
      </c>
      <c r="G76" s="1" t="s">
        <v>12</v>
      </c>
      <c r="H76" s="1" t="s">
        <v>13</v>
      </c>
      <c r="I76" s="1" t="s">
        <v>12</v>
      </c>
      <c r="J76" s="1" t="s">
        <v>13</v>
      </c>
      <c r="K76" s="1" t="s">
        <v>12</v>
      </c>
      <c r="L76" s="1" t="s">
        <v>13</v>
      </c>
      <c r="N76" s="1" t="s">
        <v>11</v>
      </c>
      <c r="O76" s="1" t="s">
        <v>12</v>
      </c>
      <c r="P76" s="1" t="s">
        <v>13</v>
      </c>
      <c r="Q76" s="1" t="s">
        <v>12</v>
      </c>
      <c r="R76" s="1" t="s">
        <v>13</v>
      </c>
      <c r="S76" s="1" t="s">
        <v>12</v>
      </c>
      <c r="T76" s="1" t="s">
        <v>13</v>
      </c>
      <c r="U76" s="1" t="s">
        <v>12</v>
      </c>
      <c r="V76" s="1" t="s">
        <v>13</v>
      </c>
      <c r="W76" s="1" t="s">
        <v>12</v>
      </c>
      <c r="X76" s="1" t="s">
        <v>13</v>
      </c>
      <c r="AA76" s="1" t="s">
        <v>11</v>
      </c>
      <c r="AB76" s="1" t="s">
        <v>12</v>
      </c>
      <c r="AC76" s="1" t="s">
        <v>13</v>
      </c>
      <c r="AD76" s="1" t="s">
        <v>12</v>
      </c>
      <c r="AE76" s="1" t="s">
        <v>13</v>
      </c>
      <c r="AF76" s="1" t="s">
        <v>12</v>
      </c>
      <c r="AG76" s="1" t="s">
        <v>13</v>
      </c>
      <c r="AH76" s="1" t="s">
        <v>12</v>
      </c>
      <c r="AI76" s="1" t="s">
        <v>13</v>
      </c>
      <c r="AJ76" s="1" t="s">
        <v>12</v>
      </c>
      <c r="AK76" s="1" t="s">
        <v>13</v>
      </c>
      <c r="AN76" s="1" t="s">
        <v>11</v>
      </c>
      <c r="AO76" s="1" t="s">
        <v>12</v>
      </c>
      <c r="AP76" s="1" t="s">
        <v>13</v>
      </c>
      <c r="AQ76" s="1" t="s">
        <v>12</v>
      </c>
      <c r="AR76" s="1" t="s">
        <v>13</v>
      </c>
      <c r="AS76" s="1" t="s">
        <v>12</v>
      </c>
      <c r="AT76" s="1" t="s">
        <v>13</v>
      </c>
      <c r="AU76" s="1" t="s">
        <v>12</v>
      </c>
      <c r="AV76" s="1" t="s">
        <v>13</v>
      </c>
      <c r="AW76" s="1" t="s">
        <v>12</v>
      </c>
      <c r="AX76" s="1" t="s">
        <v>13</v>
      </c>
    </row>
    <row r="77" spans="2:50" x14ac:dyDescent="0.3">
      <c r="B77" s="1" t="s">
        <v>14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N77" s="1" t="s">
        <v>14</v>
      </c>
      <c r="O77" s="1" t="s">
        <v>1</v>
      </c>
      <c r="P77" s="1" t="s">
        <v>1</v>
      </c>
      <c r="Q77" s="1" t="s">
        <v>2</v>
      </c>
      <c r="R77" s="1" t="s">
        <v>2</v>
      </c>
      <c r="S77" s="1" t="s">
        <v>3</v>
      </c>
      <c r="T77" s="1" t="s">
        <v>3</v>
      </c>
      <c r="U77" s="1" t="s">
        <v>4</v>
      </c>
      <c r="V77" s="1" t="s">
        <v>4</v>
      </c>
      <c r="W77" s="1" t="s">
        <v>5</v>
      </c>
      <c r="X77" s="1" t="s">
        <v>5</v>
      </c>
      <c r="AA77" s="1" t="s">
        <v>14</v>
      </c>
      <c r="AB77" s="1" t="s">
        <v>1</v>
      </c>
      <c r="AC77" s="1" t="s">
        <v>1</v>
      </c>
      <c r="AD77" s="1" t="s">
        <v>2</v>
      </c>
      <c r="AE77" s="1" t="s">
        <v>2</v>
      </c>
      <c r="AF77" s="1" t="s">
        <v>3</v>
      </c>
      <c r="AG77" s="1" t="s">
        <v>3</v>
      </c>
      <c r="AH77" s="1" t="s">
        <v>4</v>
      </c>
      <c r="AI77" s="1" t="s">
        <v>4</v>
      </c>
      <c r="AJ77" s="1" t="s">
        <v>5</v>
      </c>
      <c r="AK77" s="1" t="s">
        <v>5</v>
      </c>
      <c r="AN77" s="1" t="s">
        <v>14</v>
      </c>
      <c r="AO77" s="1" t="s">
        <v>1</v>
      </c>
      <c r="AP77" s="1" t="s">
        <v>1</v>
      </c>
      <c r="AQ77" s="1" t="s">
        <v>2</v>
      </c>
      <c r="AR77" s="1" t="s">
        <v>2</v>
      </c>
      <c r="AS77" s="1" t="s">
        <v>3</v>
      </c>
      <c r="AT77" s="1" t="s">
        <v>3</v>
      </c>
      <c r="AU77" s="1" t="s">
        <v>4</v>
      </c>
      <c r="AV77" s="1" t="s">
        <v>4</v>
      </c>
      <c r="AW77" s="1" t="s">
        <v>5</v>
      </c>
      <c r="AX77" s="1" t="s">
        <v>5</v>
      </c>
    </row>
    <row r="78" spans="2:50" x14ac:dyDescent="0.3">
      <c r="B78" s="1" t="s">
        <v>15</v>
      </c>
      <c r="N78" s="1" t="s">
        <v>15</v>
      </c>
      <c r="AA78" s="1" t="s">
        <v>15</v>
      </c>
      <c r="AN78" s="1" t="s">
        <v>15</v>
      </c>
    </row>
    <row r="79" spans="2:50" x14ac:dyDescent="0.3">
      <c r="B79" s="1" t="s">
        <v>16</v>
      </c>
      <c r="C79" s="2">
        <v>5.62</v>
      </c>
      <c r="D79" s="2">
        <v>8.99</v>
      </c>
      <c r="E79" s="2">
        <v>2.56</v>
      </c>
      <c r="F79" s="2">
        <v>5.1100000000000003</v>
      </c>
      <c r="G79" s="2">
        <v>4.41</v>
      </c>
      <c r="H79" s="2">
        <v>6.9</v>
      </c>
      <c r="I79" s="2">
        <v>4.22</v>
      </c>
      <c r="J79" s="2">
        <v>2.12</v>
      </c>
      <c r="K79" s="2">
        <v>1.66</v>
      </c>
      <c r="L79" s="2">
        <v>3.27</v>
      </c>
      <c r="N79" s="1" t="s">
        <v>16</v>
      </c>
      <c r="O79" s="2">
        <v>2.2000000000000002</v>
      </c>
      <c r="P79" s="2">
        <v>2.2000000000000002</v>
      </c>
      <c r="Q79" s="2">
        <v>2.5</v>
      </c>
      <c r="R79" s="2">
        <v>2.5</v>
      </c>
      <c r="S79" s="2">
        <v>2.8</v>
      </c>
      <c r="T79" s="2">
        <v>2.8</v>
      </c>
      <c r="U79" s="2">
        <v>3.3</v>
      </c>
      <c r="V79" s="2">
        <v>3.3</v>
      </c>
      <c r="W79" s="2">
        <v>0.8</v>
      </c>
      <c r="X79" s="2">
        <v>0.8</v>
      </c>
      <c r="AA79" s="1" t="s">
        <v>16</v>
      </c>
      <c r="AB79" s="2">
        <v>2.2000000000000002</v>
      </c>
      <c r="AC79" s="2">
        <v>2.2000000000000002</v>
      </c>
      <c r="AD79" s="2">
        <v>2.5</v>
      </c>
      <c r="AE79" s="2">
        <v>2.5</v>
      </c>
      <c r="AF79" s="2">
        <v>3.05</v>
      </c>
      <c r="AG79" s="2">
        <v>3.05</v>
      </c>
      <c r="AH79" s="2">
        <v>3.3</v>
      </c>
      <c r="AI79" s="2">
        <v>3.3</v>
      </c>
      <c r="AJ79" s="2">
        <v>0.81</v>
      </c>
      <c r="AK79" s="2">
        <v>0.8</v>
      </c>
      <c r="AN79" s="1" t="s">
        <v>16</v>
      </c>
      <c r="AO79" s="2">
        <v>0</v>
      </c>
      <c r="AP79" s="2">
        <v>0</v>
      </c>
      <c r="AQ79" s="2">
        <v>0</v>
      </c>
      <c r="AR79" s="2">
        <v>0</v>
      </c>
      <c r="AS79" s="2">
        <v>-0.08</v>
      </c>
      <c r="AT79" s="2">
        <v>-0.08</v>
      </c>
      <c r="AU79" s="2">
        <v>0</v>
      </c>
      <c r="AV79" s="2">
        <v>0</v>
      </c>
      <c r="AW79" s="2">
        <v>-0.01</v>
      </c>
      <c r="AX79" s="2">
        <v>0</v>
      </c>
    </row>
    <row r="80" spans="2:50" x14ac:dyDescent="0.3">
      <c r="B80" s="1" t="s">
        <v>17</v>
      </c>
      <c r="C80" s="2">
        <v>88.34</v>
      </c>
      <c r="D80" s="2">
        <v>29.41</v>
      </c>
      <c r="E80" s="2">
        <v>36.32</v>
      </c>
      <c r="F80" s="2">
        <v>211.39</v>
      </c>
      <c r="G80" s="2">
        <v>92.9</v>
      </c>
      <c r="H80" s="2">
        <v>64.88</v>
      </c>
      <c r="I80" s="2">
        <v>111.26</v>
      </c>
      <c r="J80" s="2">
        <v>24.37</v>
      </c>
      <c r="K80" s="2">
        <v>38.01</v>
      </c>
      <c r="L80" s="2">
        <v>61.78</v>
      </c>
      <c r="N80" s="1" t="s">
        <v>17</v>
      </c>
      <c r="O80" s="2">
        <v>2.2000000000000002</v>
      </c>
      <c r="P80" s="2">
        <v>2.2000000000000002</v>
      </c>
      <c r="Q80" s="2">
        <v>2.5</v>
      </c>
      <c r="R80" s="2">
        <v>2.5</v>
      </c>
      <c r="S80" s="2">
        <v>2.81</v>
      </c>
      <c r="T80" s="2">
        <v>2.8</v>
      </c>
      <c r="U80" s="2">
        <v>3.3</v>
      </c>
      <c r="V80" s="2">
        <v>3.3</v>
      </c>
      <c r="W80" s="2">
        <v>0.8</v>
      </c>
      <c r="X80" s="2">
        <v>0.8</v>
      </c>
      <c r="AA80" s="1" t="s">
        <v>17</v>
      </c>
      <c r="AB80" s="2">
        <v>2.7</v>
      </c>
      <c r="AC80" s="2">
        <v>2.2400000000000002</v>
      </c>
      <c r="AD80" s="2">
        <v>2.59</v>
      </c>
      <c r="AE80" s="2">
        <v>3.51</v>
      </c>
      <c r="AF80" s="2">
        <v>3.35</v>
      </c>
      <c r="AG80" s="2">
        <v>3.2</v>
      </c>
      <c r="AH80" s="2">
        <v>3.76</v>
      </c>
      <c r="AI80" s="2">
        <v>3.3</v>
      </c>
      <c r="AJ80" s="2">
        <v>1.0900000000000001</v>
      </c>
      <c r="AK80" s="2">
        <v>0.94</v>
      </c>
      <c r="AN80" s="1" t="s">
        <v>17</v>
      </c>
      <c r="AO80" s="2">
        <v>-0.18</v>
      </c>
      <c r="AP80" s="2">
        <v>-0.02</v>
      </c>
      <c r="AQ80" s="2">
        <v>-0.03</v>
      </c>
      <c r="AR80" s="2">
        <v>-0.28999999999999998</v>
      </c>
      <c r="AS80" s="2">
        <v>-0.16</v>
      </c>
      <c r="AT80" s="2">
        <v>-0.12</v>
      </c>
      <c r="AU80" s="2">
        <v>-0.12</v>
      </c>
      <c r="AV80" s="2">
        <v>0</v>
      </c>
      <c r="AW80" s="2">
        <v>-0.27</v>
      </c>
      <c r="AX80" s="2">
        <v>-0.15</v>
      </c>
    </row>
    <row r="81" spans="2:50" x14ac:dyDescent="0.3">
      <c r="B81" s="1" t="s">
        <v>18</v>
      </c>
      <c r="C81" s="2">
        <v>389.56</v>
      </c>
      <c r="D81" s="2">
        <v>193.98</v>
      </c>
      <c r="E81" s="2">
        <v>248.69</v>
      </c>
      <c r="F81" s="2">
        <v>954.55</v>
      </c>
      <c r="G81" s="2">
        <v>710.58</v>
      </c>
      <c r="H81" s="2">
        <v>342.04</v>
      </c>
      <c r="I81" s="2">
        <v>498.55</v>
      </c>
      <c r="J81" s="2">
        <v>152.11000000000001</v>
      </c>
      <c r="K81" s="2">
        <v>66.459999999999994</v>
      </c>
      <c r="L81" s="2">
        <v>235.96</v>
      </c>
      <c r="N81" s="1" t="s">
        <v>18</v>
      </c>
      <c r="O81" s="2">
        <v>2.2200000000000002</v>
      </c>
      <c r="P81" s="2">
        <v>2.2000000000000002</v>
      </c>
      <c r="Q81" s="2">
        <v>2.5099999999999998</v>
      </c>
      <c r="R81" s="2">
        <v>2.5099999999999998</v>
      </c>
      <c r="S81" s="2">
        <v>2.82</v>
      </c>
      <c r="T81" s="2">
        <v>2.8</v>
      </c>
      <c r="U81" s="2">
        <v>3.31</v>
      </c>
      <c r="V81" s="2">
        <v>3.3</v>
      </c>
      <c r="W81" s="2">
        <v>0.8</v>
      </c>
      <c r="X81" s="2">
        <v>0.8</v>
      </c>
      <c r="AA81" s="1" t="s">
        <v>18</v>
      </c>
      <c r="AB81" s="2">
        <v>3.17</v>
      </c>
      <c r="AC81" s="2">
        <v>2.33</v>
      </c>
      <c r="AD81" s="2">
        <v>2.77</v>
      </c>
      <c r="AE81" s="2">
        <v>3.87</v>
      </c>
      <c r="AF81" s="2">
        <v>4.24</v>
      </c>
      <c r="AG81" s="2">
        <v>3.23</v>
      </c>
      <c r="AH81" s="2">
        <v>4.0199999999999996</v>
      </c>
      <c r="AI81" s="2">
        <v>3.33</v>
      </c>
      <c r="AJ81" s="2">
        <v>0.89</v>
      </c>
      <c r="AK81" s="2">
        <v>1.0900000000000001</v>
      </c>
      <c r="AN81" s="1" t="s">
        <v>18</v>
      </c>
      <c r="AO81" s="2">
        <v>-0.3</v>
      </c>
      <c r="AP81" s="2">
        <v>-0.06</v>
      </c>
      <c r="AQ81" s="2">
        <v>-0.09</v>
      </c>
      <c r="AR81" s="2">
        <v>-0.35</v>
      </c>
      <c r="AS81" s="2">
        <v>-0.33</v>
      </c>
      <c r="AT81" s="2">
        <v>-0.13</v>
      </c>
      <c r="AU81" s="2">
        <v>-0.18</v>
      </c>
      <c r="AV81" s="2">
        <v>-0.01</v>
      </c>
      <c r="AW81" s="2">
        <v>-0.1</v>
      </c>
      <c r="AX81" s="2">
        <v>-0.27</v>
      </c>
    </row>
    <row r="82" spans="2:50" x14ac:dyDescent="0.3">
      <c r="B82" s="1" t="s">
        <v>19</v>
      </c>
      <c r="C82" s="2">
        <v>87.73</v>
      </c>
      <c r="D82" s="2">
        <v>43.05</v>
      </c>
      <c r="E82" s="2">
        <v>68.180000000000007</v>
      </c>
      <c r="F82" s="2">
        <v>267.14</v>
      </c>
      <c r="G82" s="2">
        <v>153.27000000000001</v>
      </c>
      <c r="H82" s="2">
        <v>127.61</v>
      </c>
      <c r="I82" s="2">
        <v>63.55</v>
      </c>
      <c r="J82" s="2">
        <v>35.57</v>
      </c>
      <c r="K82" s="2">
        <v>22.9</v>
      </c>
      <c r="L82" s="2">
        <v>42.82</v>
      </c>
      <c r="N82" s="1" t="s">
        <v>19</v>
      </c>
      <c r="O82" s="2">
        <v>2.2000000000000002</v>
      </c>
      <c r="P82" s="2">
        <v>2.2000000000000002</v>
      </c>
      <c r="Q82" s="2">
        <v>2.5</v>
      </c>
      <c r="R82" s="2">
        <v>2.5</v>
      </c>
      <c r="S82" s="2">
        <v>2.81</v>
      </c>
      <c r="T82" s="2">
        <v>2.8</v>
      </c>
      <c r="U82" s="2">
        <v>3.3</v>
      </c>
      <c r="V82" s="2">
        <v>3.3</v>
      </c>
      <c r="W82" s="2">
        <v>0.8</v>
      </c>
      <c r="X82" s="2">
        <v>0.8</v>
      </c>
      <c r="AA82" s="1" t="s">
        <v>19</v>
      </c>
      <c r="AB82" s="2">
        <v>2.98</v>
      </c>
      <c r="AC82" s="2">
        <v>2.42</v>
      </c>
      <c r="AD82" s="2">
        <v>2.73</v>
      </c>
      <c r="AE82" s="2">
        <v>3.63</v>
      </c>
      <c r="AF82" s="2">
        <v>3.74</v>
      </c>
      <c r="AG82" s="2">
        <v>3.37</v>
      </c>
      <c r="AH82" s="2">
        <v>3.42</v>
      </c>
      <c r="AI82" s="2">
        <v>3.32</v>
      </c>
      <c r="AJ82" s="2">
        <v>0.95</v>
      </c>
      <c r="AK82" s="2">
        <v>0.99</v>
      </c>
      <c r="AN82" s="1" t="s">
        <v>19</v>
      </c>
      <c r="AO82" s="2">
        <v>-0.26</v>
      </c>
      <c r="AP82" s="2">
        <v>-0.09</v>
      </c>
      <c r="AQ82" s="2">
        <v>-0.08</v>
      </c>
      <c r="AR82" s="2">
        <v>-0.31</v>
      </c>
      <c r="AS82" s="2">
        <v>-0.25</v>
      </c>
      <c r="AT82" s="2">
        <v>-0.17</v>
      </c>
      <c r="AU82" s="2">
        <v>-0.03</v>
      </c>
      <c r="AV82" s="2">
        <v>-0.01</v>
      </c>
      <c r="AW82" s="2">
        <v>-0.16</v>
      </c>
      <c r="AX82" s="2">
        <v>-0.19</v>
      </c>
    </row>
    <row r="83" spans="2:50" x14ac:dyDescent="0.3">
      <c r="B83" s="1" t="s">
        <v>20</v>
      </c>
      <c r="C83" s="2">
        <v>274.85000000000002</v>
      </c>
      <c r="D83" s="2">
        <v>305.92</v>
      </c>
      <c r="E83" s="2">
        <v>362.09</v>
      </c>
      <c r="F83" s="2">
        <v>457.68</v>
      </c>
      <c r="G83" s="2">
        <v>349.2</v>
      </c>
      <c r="H83" s="2">
        <v>357.06</v>
      </c>
      <c r="I83" s="2">
        <v>199.07</v>
      </c>
      <c r="J83" s="2">
        <v>106.17</v>
      </c>
      <c r="K83" s="2">
        <v>218.02</v>
      </c>
      <c r="L83" s="2">
        <v>221.7</v>
      </c>
      <c r="N83" s="1" t="s">
        <v>20</v>
      </c>
      <c r="O83" s="2">
        <v>2.2000000000000002</v>
      </c>
      <c r="P83" s="2">
        <v>2.2000000000000002</v>
      </c>
      <c r="Q83" s="2">
        <v>2.5</v>
      </c>
      <c r="R83" s="2">
        <v>2.5</v>
      </c>
      <c r="S83" s="2">
        <v>2.8</v>
      </c>
      <c r="T83" s="2">
        <v>2.8</v>
      </c>
      <c r="U83" s="2">
        <v>3.3</v>
      </c>
      <c r="V83" s="2">
        <v>3.3</v>
      </c>
      <c r="W83" s="2">
        <v>0.8</v>
      </c>
      <c r="X83" s="2">
        <v>0.8</v>
      </c>
      <c r="AA83" s="1" t="s">
        <v>20</v>
      </c>
      <c r="AB83" s="2">
        <v>2.98</v>
      </c>
      <c r="AC83" s="2">
        <v>2.88</v>
      </c>
      <c r="AD83" s="2">
        <v>2.9</v>
      </c>
      <c r="AE83" s="2">
        <v>3.08</v>
      </c>
      <c r="AF83" s="2">
        <v>3.26</v>
      </c>
      <c r="AG83" s="2">
        <v>3.27</v>
      </c>
      <c r="AH83" s="2">
        <v>3.34</v>
      </c>
      <c r="AI83" s="2">
        <v>3.32</v>
      </c>
      <c r="AJ83" s="2">
        <v>1.1499999999999999</v>
      </c>
      <c r="AK83" s="2">
        <v>1.1599999999999999</v>
      </c>
      <c r="AN83" s="1" t="s">
        <v>20</v>
      </c>
      <c r="AO83" s="2">
        <v>-0.26</v>
      </c>
      <c r="AP83" s="2">
        <v>-0.24</v>
      </c>
      <c r="AQ83" s="2">
        <v>-0.14000000000000001</v>
      </c>
      <c r="AR83" s="2">
        <v>-0.19</v>
      </c>
      <c r="AS83" s="2">
        <v>-0.14000000000000001</v>
      </c>
      <c r="AT83" s="2">
        <v>-0.14000000000000001</v>
      </c>
      <c r="AU83" s="2">
        <v>-0.01</v>
      </c>
      <c r="AV83" s="2">
        <v>0</v>
      </c>
      <c r="AW83" s="2">
        <v>-0.3</v>
      </c>
      <c r="AX83" s="2">
        <v>-0.31</v>
      </c>
    </row>
    <row r="84" spans="2:50" x14ac:dyDescent="0.3">
      <c r="B84" s="1" t="s">
        <v>21</v>
      </c>
      <c r="C84" s="2">
        <v>69.86</v>
      </c>
      <c r="D84" s="2">
        <v>24</v>
      </c>
      <c r="E84" s="2">
        <v>61.26</v>
      </c>
      <c r="F84" s="2">
        <v>60.03</v>
      </c>
      <c r="G84" s="2">
        <v>70.37</v>
      </c>
      <c r="H84" s="2">
        <v>66.489999999999995</v>
      </c>
      <c r="I84" s="2">
        <v>26.66</v>
      </c>
      <c r="J84" s="2">
        <v>32.96</v>
      </c>
      <c r="K84" s="2">
        <v>34.340000000000003</v>
      </c>
      <c r="L84" s="2">
        <v>25.77</v>
      </c>
      <c r="N84" s="1" t="s">
        <v>21</v>
      </c>
      <c r="O84" s="2">
        <v>2.2000000000000002</v>
      </c>
      <c r="P84" s="2">
        <v>2.2000000000000002</v>
      </c>
      <c r="Q84" s="2">
        <v>2.5099999999999998</v>
      </c>
      <c r="R84" s="2">
        <v>2.54</v>
      </c>
      <c r="S84" s="2">
        <v>2.83</v>
      </c>
      <c r="T84" s="2">
        <v>2.9</v>
      </c>
      <c r="U84" s="2">
        <v>3.31</v>
      </c>
      <c r="V84" s="2">
        <v>3.39</v>
      </c>
      <c r="W84" s="2">
        <v>0.8</v>
      </c>
      <c r="X84" s="2">
        <v>0.8</v>
      </c>
      <c r="AA84" s="1" t="s">
        <v>21</v>
      </c>
      <c r="AB84" s="2">
        <v>3.02</v>
      </c>
      <c r="AC84" s="2">
        <v>2.97</v>
      </c>
      <c r="AD84" s="2">
        <v>2.91</v>
      </c>
      <c r="AE84" s="2">
        <v>2.86</v>
      </c>
      <c r="AF84" s="2">
        <v>3.5</v>
      </c>
      <c r="AG84" s="2">
        <v>4.1100000000000003</v>
      </c>
      <c r="AH84" s="2">
        <v>3.4</v>
      </c>
      <c r="AI84" s="2">
        <v>3.54</v>
      </c>
      <c r="AJ84" s="2">
        <v>1.1599999999999999</v>
      </c>
      <c r="AK84" s="2">
        <v>1.1200000000000001</v>
      </c>
      <c r="AN84" s="1" t="s">
        <v>21</v>
      </c>
      <c r="AO84" s="2">
        <v>-0.27</v>
      </c>
      <c r="AP84" s="2">
        <v>-0.26</v>
      </c>
      <c r="AQ84" s="2">
        <v>-0.14000000000000001</v>
      </c>
      <c r="AR84" s="2">
        <v>-0.11</v>
      </c>
      <c r="AS84" s="2">
        <v>-0.19</v>
      </c>
      <c r="AT84" s="2">
        <v>-0.28999999999999998</v>
      </c>
      <c r="AU84" s="2">
        <v>-0.03</v>
      </c>
      <c r="AV84" s="2">
        <v>-0.04</v>
      </c>
      <c r="AW84" s="2">
        <v>-0.31</v>
      </c>
      <c r="AX84" s="2">
        <v>-0.28999999999999998</v>
      </c>
    </row>
    <row r="85" spans="2:50" x14ac:dyDescent="0.3">
      <c r="B85" s="1" t="s">
        <v>22</v>
      </c>
      <c r="C85" s="2">
        <v>149.38</v>
      </c>
      <c r="D85" s="2">
        <v>138.80000000000001</v>
      </c>
      <c r="E85" s="2">
        <v>82.75</v>
      </c>
      <c r="F85" s="2">
        <v>92.19</v>
      </c>
      <c r="G85" s="2">
        <v>96.43</v>
      </c>
      <c r="H85" s="2">
        <v>95.77</v>
      </c>
      <c r="I85" s="2">
        <v>74.569999999999993</v>
      </c>
      <c r="J85" s="2">
        <v>29.73</v>
      </c>
      <c r="K85" s="2">
        <v>25.82</v>
      </c>
      <c r="L85" s="2">
        <v>40.880000000000003</v>
      </c>
      <c r="N85" s="1" t="s">
        <v>22</v>
      </c>
      <c r="O85" s="2">
        <v>2.21</v>
      </c>
      <c r="P85" s="2">
        <v>2.21</v>
      </c>
      <c r="Q85" s="2">
        <v>2.5</v>
      </c>
      <c r="R85" s="2">
        <v>2.5099999999999998</v>
      </c>
      <c r="S85" s="2">
        <v>2.81</v>
      </c>
      <c r="T85" s="2">
        <v>2.83</v>
      </c>
      <c r="U85" s="2">
        <v>3.31</v>
      </c>
      <c r="V85" s="2">
        <v>3.31</v>
      </c>
      <c r="W85" s="2">
        <v>0.8</v>
      </c>
      <c r="X85" s="2">
        <v>0.8</v>
      </c>
      <c r="AA85" s="1" t="s">
        <v>22</v>
      </c>
      <c r="AB85" s="2">
        <v>2.85</v>
      </c>
      <c r="AC85" s="2">
        <v>2.77</v>
      </c>
      <c r="AD85" s="2">
        <v>2.86</v>
      </c>
      <c r="AE85" s="2">
        <v>2.73</v>
      </c>
      <c r="AF85" s="2">
        <v>3.31</v>
      </c>
      <c r="AG85" s="2">
        <v>3.43</v>
      </c>
      <c r="AH85" s="2">
        <v>3.39</v>
      </c>
      <c r="AI85" s="2">
        <v>3.33</v>
      </c>
      <c r="AJ85" s="2">
        <v>1.02</v>
      </c>
      <c r="AK85" s="2">
        <v>0.99</v>
      </c>
      <c r="AN85" s="1" t="s">
        <v>22</v>
      </c>
      <c r="AO85" s="2">
        <v>-0.23</v>
      </c>
      <c r="AP85" s="2">
        <v>-0.2</v>
      </c>
      <c r="AQ85" s="2">
        <v>-0.12</v>
      </c>
      <c r="AR85" s="2">
        <v>-0.08</v>
      </c>
      <c r="AS85" s="2">
        <v>-0.15</v>
      </c>
      <c r="AT85" s="2">
        <v>-0.18</v>
      </c>
      <c r="AU85" s="2">
        <v>-0.02</v>
      </c>
      <c r="AV85" s="2">
        <v>-0.01</v>
      </c>
      <c r="AW85" s="2">
        <v>-0.21</v>
      </c>
      <c r="AX85" s="2">
        <v>-0.19</v>
      </c>
    </row>
    <row r="86" spans="2:50" x14ac:dyDescent="0.3">
      <c r="B86" s="1" t="s">
        <v>23</v>
      </c>
      <c r="C86" s="2">
        <v>10.02</v>
      </c>
      <c r="D86" s="2">
        <v>16.04</v>
      </c>
      <c r="E86" s="2">
        <v>13.61</v>
      </c>
      <c r="F86" s="2">
        <v>7.51</v>
      </c>
      <c r="G86" s="2">
        <v>24.66</v>
      </c>
      <c r="H86" s="2">
        <v>37.93</v>
      </c>
      <c r="I86" s="2">
        <v>3.09</v>
      </c>
      <c r="J86" s="2">
        <v>1.31</v>
      </c>
      <c r="K86" s="2">
        <v>6.64</v>
      </c>
      <c r="L86" s="2">
        <v>16.89</v>
      </c>
      <c r="N86" s="1" t="s">
        <v>23</v>
      </c>
      <c r="O86" s="2">
        <v>2.2000000000000002</v>
      </c>
      <c r="P86" s="2">
        <v>2.2000000000000002</v>
      </c>
      <c r="Q86" s="2">
        <v>2.5</v>
      </c>
      <c r="R86" s="2">
        <v>2.5</v>
      </c>
      <c r="S86" s="2">
        <v>2.8</v>
      </c>
      <c r="T86" s="2">
        <v>2.8</v>
      </c>
      <c r="U86" s="2">
        <v>3.3</v>
      </c>
      <c r="V86" s="2">
        <v>3.3</v>
      </c>
      <c r="W86" s="2">
        <v>0.8</v>
      </c>
      <c r="X86" s="2">
        <v>0.8</v>
      </c>
      <c r="AA86" s="1" t="s">
        <v>23</v>
      </c>
      <c r="AB86" s="2">
        <v>2.25</v>
      </c>
      <c r="AC86" s="2">
        <v>2.25</v>
      </c>
      <c r="AD86" s="2">
        <v>2.58</v>
      </c>
      <c r="AE86" s="2">
        <v>2.5</v>
      </c>
      <c r="AF86" s="2">
        <v>3.14</v>
      </c>
      <c r="AG86" s="2">
        <v>3.12</v>
      </c>
      <c r="AH86" s="2">
        <v>3.34</v>
      </c>
      <c r="AI86" s="2">
        <v>3.3</v>
      </c>
      <c r="AJ86" s="2">
        <v>0.86</v>
      </c>
      <c r="AK86" s="2">
        <v>1</v>
      </c>
      <c r="AN86" s="1" t="s">
        <v>23</v>
      </c>
      <c r="AO86" s="2">
        <v>-0.02</v>
      </c>
      <c r="AP86" s="2">
        <v>-0.02</v>
      </c>
      <c r="AQ86" s="2">
        <v>-0.03</v>
      </c>
      <c r="AR86" s="2">
        <v>0</v>
      </c>
      <c r="AS86" s="2">
        <v>-0.11</v>
      </c>
      <c r="AT86" s="2">
        <v>-0.1</v>
      </c>
      <c r="AU86" s="2">
        <v>-0.01</v>
      </c>
      <c r="AV86" s="2">
        <v>0</v>
      </c>
      <c r="AW86" s="2">
        <v>-7.0000000000000007E-2</v>
      </c>
      <c r="AX86" s="2">
        <v>-0.2</v>
      </c>
    </row>
    <row r="89" spans="2:50" x14ac:dyDescent="0.3">
      <c r="B89" t="s">
        <v>44</v>
      </c>
      <c r="N89" t="s">
        <v>45</v>
      </c>
      <c r="AA89" t="s">
        <v>46</v>
      </c>
      <c r="AN89" t="s">
        <v>47</v>
      </c>
    </row>
    <row r="90" spans="2:50" x14ac:dyDescent="0.3">
      <c r="B90" s="1" t="s">
        <v>11</v>
      </c>
      <c r="C90" s="1" t="s">
        <v>12</v>
      </c>
      <c r="D90" s="1" t="s">
        <v>13</v>
      </c>
      <c r="E90" s="1" t="s">
        <v>12</v>
      </c>
      <c r="F90" s="1" t="s">
        <v>13</v>
      </c>
      <c r="G90" s="1" t="s">
        <v>12</v>
      </c>
      <c r="H90" s="1" t="s">
        <v>13</v>
      </c>
      <c r="I90" s="1" t="s">
        <v>12</v>
      </c>
      <c r="J90" s="1" t="s">
        <v>13</v>
      </c>
      <c r="K90" s="1" t="s">
        <v>12</v>
      </c>
      <c r="L90" s="1" t="s">
        <v>13</v>
      </c>
      <c r="N90" s="1" t="s">
        <v>11</v>
      </c>
      <c r="O90" s="3" t="s">
        <v>12</v>
      </c>
      <c r="P90" s="3"/>
      <c r="Q90" s="3"/>
      <c r="R90" s="3"/>
      <c r="S90" s="3"/>
      <c r="T90" s="3" t="s">
        <v>13</v>
      </c>
      <c r="U90" s="3"/>
      <c r="V90" s="3"/>
      <c r="W90" s="3"/>
      <c r="X90" s="3"/>
      <c r="AA90" s="1" t="s">
        <v>11</v>
      </c>
      <c r="AB90" s="3" t="s">
        <v>12</v>
      </c>
      <c r="AC90" s="3"/>
      <c r="AD90" s="3"/>
      <c r="AE90" s="3"/>
      <c r="AF90" s="3"/>
      <c r="AG90" s="3" t="s">
        <v>13</v>
      </c>
      <c r="AH90" s="3"/>
      <c r="AI90" s="3"/>
      <c r="AJ90" s="3"/>
      <c r="AK90" s="3"/>
      <c r="AN90" s="1" t="s">
        <v>11</v>
      </c>
      <c r="AO90" s="1" t="s">
        <v>12</v>
      </c>
      <c r="AP90" s="1" t="s">
        <v>13</v>
      </c>
      <c r="AQ90" s="1" t="s">
        <v>12</v>
      </c>
      <c r="AR90" s="1" t="s">
        <v>13</v>
      </c>
      <c r="AS90" s="1" t="s">
        <v>12</v>
      </c>
      <c r="AT90" s="1" t="s">
        <v>13</v>
      </c>
      <c r="AU90" s="1" t="s">
        <v>12</v>
      </c>
      <c r="AV90" s="1" t="s">
        <v>13</v>
      </c>
      <c r="AW90" s="1" t="s">
        <v>12</v>
      </c>
      <c r="AX90" s="1" t="s">
        <v>13</v>
      </c>
    </row>
    <row r="91" spans="2:50" x14ac:dyDescent="0.3">
      <c r="B91" s="1" t="s">
        <v>14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N91" s="1" t="s">
        <v>14</v>
      </c>
      <c r="O91" s="1" t="s">
        <v>1</v>
      </c>
      <c r="P91" s="1" t="s">
        <v>2</v>
      </c>
      <c r="Q91" s="1" t="s">
        <v>3</v>
      </c>
      <c r="R91" s="1" t="s">
        <v>4</v>
      </c>
      <c r="S91" s="1" t="s">
        <v>5</v>
      </c>
      <c r="T91" s="1" t="s">
        <v>1</v>
      </c>
      <c r="U91" s="1" t="s">
        <v>2</v>
      </c>
      <c r="V91" s="1" t="s">
        <v>3</v>
      </c>
      <c r="W91" s="1" t="s">
        <v>4</v>
      </c>
      <c r="X91" s="1" t="s">
        <v>5</v>
      </c>
      <c r="AA91" s="1" t="s">
        <v>14</v>
      </c>
      <c r="AB91" s="1" t="s">
        <v>1</v>
      </c>
      <c r="AC91" s="1" t="s">
        <v>2</v>
      </c>
      <c r="AD91" s="1" t="s">
        <v>3</v>
      </c>
      <c r="AE91" s="1" t="s">
        <v>4</v>
      </c>
      <c r="AF91" s="1" t="s">
        <v>5</v>
      </c>
      <c r="AG91" s="1" t="s">
        <v>1</v>
      </c>
      <c r="AH91" s="1" t="s">
        <v>2</v>
      </c>
      <c r="AI91" s="1" t="s">
        <v>3</v>
      </c>
      <c r="AJ91" s="1" t="s">
        <v>4</v>
      </c>
      <c r="AK91" s="1" t="s">
        <v>5</v>
      </c>
      <c r="AN91" s="1" t="s">
        <v>14</v>
      </c>
      <c r="AO91" s="1" t="s">
        <v>1</v>
      </c>
      <c r="AP91" s="1" t="s">
        <v>1</v>
      </c>
      <c r="AQ91" s="1" t="s">
        <v>2</v>
      </c>
      <c r="AR91" s="1" t="s">
        <v>2</v>
      </c>
      <c r="AS91" s="1" t="s">
        <v>3</v>
      </c>
      <c r="AT91" s="1" t="s">
        <v>3</v>
      </c>
      <c r="AU91" s="1" t="s">
        <v>4</v>
      </c>
      <c r="AV91" s="1" t="s">
        <v>4</v>
      </c>
      <c r="AW91" s="1" t="s">
        <v>5</v>
      </c>
      <c r="AX91" s="1" t="s">
        <v>5</v>
      </c>
    </row>
    <row r="92" spans="2:50" x14ac:dyDescent="0.3">
      <c r="B92" s="1" t="s">
        <v>15</v>
      </c>
      <c r="N92" s="1" t="s">
        <v>15</v>
      </c>
      <c r="AA92" s="1" t="s">
        <v>15</v>
      </c>
      <c r="AN92" s="1" t="s">
        <v>15</v>
      </c>
    </row>
    <row r="93" spans="2:50" x14ac:dyDescent="0.3">
      <c r="B93" s="1" t="s">
        <v>16</v>
      </c>
      <c r="C93" s="2">
        <v>139.41</v>
      </c>
      <c r="D93" s="2">
        <v>140.54</v>
      </c>
      <c r="E93" s="2">
        <v>239.54</v>
      </c>
      <c r="F93" s="2">
        <v>219.76</v>
      </c>
      <c r="G93" s="2">
        <v>79.319999999999993</v>
      </c>
      <c r="H93" s="2">
        <v>78.87</v>
      </c>
      <c r="I93" s="2">
        <v>109.62</v>
      </c>
      <c r="J93" s="2">
        <v>101.77</v>
      </c>
      <c r="K93" s="2">
        <v>148.97</v>
      </c>
      <c r="L93" s="2">
        <v>140.09</v>
      </c>
      <c r="N93" s="1" t="s">
        <v>16</v>
      </c>
      <c r="O93" s="2">
        <v>1308.83</v>
      </c>
      <c r="P93" s="2">
        <v>1600.16</v>
      </c>
      <c r="Q93" s="2">
        <v>1289.95</v>
      </c>
      <c r="R93" s="2">
        <v>1492.57</v>
      </c>
      <c r="S93" s="2">
        <v>962.75</v>
      </c>
      <c r="T93" s="2">
        <v>1271.46</v>
      </c>
      <c r="U93" s="2">
        <v>962.52</v>
      </c>
      <c r="V93" s="2">
        <v>1072.22</v>
      </c>
      <c r="W93" s="2">
        <v>896.42</v>
      </c>
      <c r="X93" s="2">
        <v>622.21</v>
      </c>
      <c r="AA93" s="1" t="s">
        <v>16</v>
      </c>
      <c r="AB93" s="2">
        <v>20204.97</v>
      </c>
      <c r="AC93" s="2">
        <v>24702.34</v>
      </c>
      <c r="AD93" s="2">
        <v>22798.45</v>
      </c>
      <c r="AE93" s="2">
        <v>23039.63</v>
      </c>
      <c r="AF93" s="2">
        <v>8691.65</v>
      </c>
      <c r="AG93" s="2">
        <v>19626.34</v>
      </c>
      <c r="AH93" s="2">
        <v>14857.48</v>
      </c>
      <c r="AI93" s="2">
        <v>19017.78</v>
      </c>
      <c r="AJ93" s="2">
        <v>16682.68</v>
      </c>
      <c r="AK93" s="2">
        <v>5655.39</v>
      </c>
      <c r="AN93" s="1" t="s">
        <v>16</v>
      </c>
      <c r="AO93" s="2">
        <v>0.44</v>
      </c>
      <c r="AP93" s="2">
        <v>0.44</v>
      </c>
      <c r="AQ93" s="2">
        <v>0.5</v>
      </c>
      <c r="AR93" s="2">
        <v>0.5</v>
      </c>
      <c r="AS93" s="2">
        <v>0.56000000000000005</v>
      </c>
      <c r="AT93" s="2">
        <v>0.56000000000000005</v>
      </c>
      <c r="AU93" s="2">
        <v>0.66</v>
      </c>
      <c r="AV93" s="2">
        <v>0.66</v>
      </c>
      <c r="AW93" s="2">
        <v>0.16</v>
      </c>
      <c r="AX93" s="2">
        <v>0.16</v>
      </c>
    </row>
    <row r="94" spans="2:50" x14ac:dyDescent="0.3">
      <c r="B94" s="1" t="s">
        <v>17</v>
      </c>
      <c r="C94" s="2">
        <v>82.28</v>
      </c>
      <c r="D94" s="2">
        <v>42.29</v>
      </c>
      <c r="E94" s="2">
        <v>57.7</v>
      </c>
      <c r="F94" s="2">
        <v>202.67</v>
      </c>
      <c r="G94" s="2">
        <v>54.57</v>
      </c>
      <c r="H94" s="2">
        <v>49.5</v>
      </c>
      <c r="I94" s="2">
        <v>61.03</v>
      </c>
      <c r="J94" s="2">
        <v>86.18</v>
      </c>
      <c r="K94" s="2">
        <v>59.83</v>
      </c>
      <c r="L94" s="2">
        <v>58.85</v>
      </c>
      <c r="N94" s="1" t="s">
        <v>17</v>
      </c>
      <c r="O94" s="2">
        <v>1882.53</v>
      </c>
      <c r="P94" s="2">
        <v>2419.44</v>
      </c>
      <c r="Q94" s="2">
        <v>3147.49</v>
      </c>
      <c r="R94" s="2">
        <v>3358.9</v>
      </c>
      <c r="S94" s="2">
        <v>813.18</v>
      </c>
      <c r="T94" s="2">
        <v>1132.6400000000001</v>
      </c>
      <c r="U94" s="2">
        <v>1182.8399999999999</v>
      </c>
      <c r="V94" s="2">
        <v>1446.13</v>
      </c>
      <c r="W94" s="2">
        <v>440.74</v>
      </c>
      <c r="X94" s="2">
        <v>566.91</v>
      </c>
      <c r="AA94" s="1" t="s">
        <v>17</v>
      </c>
      <c r="AB94" s="2">
        <v>9729.07</v>
      </c>
      <c r="AC94" s="2">
        <v>12558.06</v>
      </c>
      <c r="AD94" s="2">
        <v>15878.51</v>
      </c>
      <c r="AE94" s="2">
        <v>16955.900000000001</v>
      </c>
      <c r="AF94" s="2">
        <v>3839.06</v>
      </c>
      <c r="AG94" s="2">
        <v>5555.36</v>
      </c>
      <c r="AH94" s="2">
        <v>5808.04</v>
      </c>
      <c r="AI94" s="2">
        <v>6979.07</v>
      </c>
      <c r="AJ94" s="2">
        <v>8581.4599999999991</v>
      </c>
      <c r="AK94" s="2">
        <v>2661.09</v>
      </c>
      <c r="AN94" s="1" t="s">
        <v>17</v>
      </c>
      <c r="AO94" s="2">
        <v>2.29</v>
      </c>
      <c r="AP94" s="2">
        <v>1.0900000000000001</v>
      </c>
      <c r="AQ94" s="2">
        <v>1.01</v>
      </c>
      <c r="AR94" s="2">
        <v>3.89</v>
      </c>
      <c r="AS94" s="2">
        <v>1.96</v>
      </c>
      <c r="AT94" s="2">
        <v>2.1</v>
      </c>
      <c r="AU94" s="2">
        <v>2.57</v>
      </c>
      <c r="AV94" s="2">
        <v>2.97</v>
      </c>
      <c r="AW94" s="2">
        <v>1</v>
      </c>
      <c r="AX94" s="2">
        <v>0.76</v>
      </c>
    </row>
    <row r="95" spans="2:50" x14ac:dyDescent="0.3">
      <c r="B95" s="1" t="s">
        <v>18</v>
      </c>
      <c r="C95" s="2">
        <v>991.66</v>
      </c>
      <c r="D95" s="2">
        <v>371.66</v>
      </c>
      <c r="E95" s="2">
        <v>586.12</v>
      </c>
      <c r="F95" s="2">
        <v>1846.81</v>
      </c>
      <c r="G95" s="2">
        <v>758.25</v>
      </c>
      <c r="H95" s="2">
        <v>343.89</v>
      </c>
      <c r="I95" s="2">
        <v>591.79</v>
      </c>
      <c r="J95" s="2">
        <v>212.27</v>
      </c>
      <c r="K95" s="2">
        <v>152.9</v>
      </c>
      <c r="L95" s="2">
        <v>391.82</v>
      </c>
      <c r="N95" s="1" t="s">
        <v>18</v>
      </c>
      <c r="O95" s="2">
        <v>8359.89</v>
      </c>
      <c r="P95" s="2">
        <v>8499.86</v>
      </c>
      <c r="Q95" s="2">
        <v>11273.31</v>
      </c>
      <c r="R95" s="2">
        <v>11285.98</v>
      </c>
      <c r="S95" s="2">
        <v>1599.86</v>
      </c>
      <c r="T95" s="2">
        <v>3177.32</v>
      </c>
      <c r="U95" s="2">
        <v>7090.25</v>
      </c>
      <c r="V95" s="2">
        <v>7470.04</v>
      </c>
      <c r="W95" s="2">
        <v>7652.26</v>
      </c>
      <c r="X95" s="2">
        <v>1952.96</v>
      </c>
      <c r="AA95" s="1" t="s">
        <v>18</v>
      </c>
      <c r="AB95" s="2">
        <v>32151.11</v>
      </c>
      <c r="AC95" s="2">
        <v>45237.64</v>
      </c>
      <c r="AD95" s="2">
        <v>55155.040000000001</v>
      </c>
      <c r="AE95" s="2">
        <v>58867.46</v>
      </c>
      <c r="AF95" s="2">
        <v>7508.14</v>
      </c>
      <c r="AG95" s="2">
        <v>15577.57</v>
      </c>
      <c r="AH95" s="2">
        <v>20639.12</v>
      </c>
      <c r="AI95" s="2">
        <v>36916.49</v>
      </c>
      <c r="AJ95" s="2">
        <v>37870.639999999999</v>
      </c>
      <c r="AK95" s="2">
        <v>7589.44</v>
      </c>
      <c r="AN95" s="1" t="s">
        <v>18</v>
      </c>
      <c r="AO95" s="2">
        <v>3.52</v>
      </c>
      <c r="AP95" s="2">
        <v>2.83</v>
      </c>
      <c r="AQ95" s="2">
        <v>2.04</v>
      </c>
      <c r="AR95" s="2">
        <v>4</v>
      </c>
      <c r="AS95" s="2">
        <v>4.4800000000000004</v>
      </c>
      <c r="AT95" s="2">
        <v>2.41</v>
      </c>
      <c r="AU95" s="2">
        <v>4.04</v>
      </c>
      <c r="AV95" s="2">
        <v>1.26</v>
      </c>
      <c r="AW95" s="2">
        <v>0.93</v>
      </c>
      <c r="AX95" s="2">
        <v>1.28</v>
      </c>
    </row>
    <row r="96" spans="2:50" x14ac:dyDescent="0.3">
      <c r="B96" s="1" t="s">
        <v>19</v>
      </c>
      <c r="C96" s="2">
        <v>238.56</v>
      </c>
      <c r="D96" s="2">
        <v>111.26</v>
      </c>
      <c r="E96" s="2">
        <v>210.28</v>
      </c>
      <c r="F96" s="2">
        <v>460.07</v>
      </c>
      <c r="G96" s="2">
        <v>186.85</v>
      </c>
      <c r="H96" s="2">
        <v>156.52000000000001</v>
      </c>
      <c r="I96" s="2">
        <v>74.33</v>
      </c>
      <c r="J96" s="2">
        <v>50.12</v>
      </c>
      <c r="K96" s="2">
        <v>70.55</v>
      </c>
      <c r="L96" s="2">
        <v>72.83</v>
      </c>
      <c r="N96" s="1" t="s">
        <v>19</v>
      </c>
      <c r="O96" s="2">
        <v>1828.71</v>
      </c>
      <c r="P96" s="2">
        <v>2217.5700000000002</v>
      </c>
      <c r="Q96" s="2">
        <v>3073.91</v>
      </c>
      <c r="R96" s="2">
        <v>2903.19</v>
      </c>
      <c r="S96" s="2">
        <v>435.27</v>
      </c>
      <c r="T96" s="2">
        <v>1062.8699999999999</v>
      </c>
      <c r="U96" s="2">
        <v>2210.0700000000002</v>
      </c>
      <c r="V96" s="2">
        <v>2508.44</v>
      </c>
      <c r="W96" s="2">
        <v>2487.36</v>
      </c>
      <c r="X96" s="2">
        <v>437.69</v>
      </c>
      <c r="AA96" s="1" t="s">
        <v>19</v>
      </c>
      <c r="AB96" s="2">
        <v>9444.09</v>
      </c>
      <c r="AC96" s="2">
        <v>11484.93</v>
      </c>
      <c r="AD96" s="2">
        <v>15585.29</v>
      </c>
      <c r="AE96" s="2">
        <v>14573.61</v>
      </c>
      <c r="AF96" s="2">
        <v>2038.33</v>
      </c>
      <c r="AG96" s="2">
        <v>5203.9399999999996</v>
      </c>
      <c r="AH96" s="2">
        <v>11029.31</v>
      </c>
      <c r="AI96" s="2">
        <v>12292.36</v>
      </c>
      <c r="AJ96" s="2">
        <v>12161.34</v>
      </c>
      <c r="AK96" s="2">
        <v>2050.62</v>
      </c>
      <c r="AN96" s="1" t="s">
        <v>19</v>
      </c>
      <c r="AO96" s="2">
        <v>2.85</v>
      </c>
      <c r="AP96" s="2">
        <v>1.88</v>
      </c>
      <c r="AQ96" s="2">
        <v>1.51</v>
      </c>
      <c r="AR96" s="2">
        <v>3.55</v>
      </c>
      <c r="AS96" s="2">
        <v>2.86</v>
      </c>
      <c r="AT96" s="2">
        <v>2.1</v>
      </c>
      <c r="AU96" s="2">
        <v>1.41</v>
      </c>
      <c r="AV96" s="2">
        <v>0.8</v>
      </c>
      <c r="AW96" s="2">
        <v>0.83</v>
      </c>
      <c r="AX96" s="2">
        <v>0.92</v>
      </c>
    </row>
    <row r="97" spans="2:50" x14ac:dyDescent="0.3">
      <c r="B97" s="1" t="s">
        <v>20</v>
      </c>
      <c r="C97" s="2">
        <v>817.26</v>
      </c>
      <c r="D97" s="2">
        <v>847.32</v>
      </c>
      <c r="E97" s="2">
        <v>1067.79</v>
      </c>
      <c r="F97" s="2">
        <v>1231.5999999999999</v>
      </c>
      <c r="G97" s="2">
        <v>477.49</v>
      </c>
      <c r="H97" s="2">
        <v>408.41</v>
      </c>
      <c r="I97" s="2">
        <v>216.05</v>
      </c>
      <c r="J97" s="2">
        <v>138.34</v>
      </c>
      <c r="K97" s="2">
        <v>647.72</v>
      </c>
      <c r="L97" s="2">
        <v>596.42999999999995</v>
      </c>
      <c r="N97" s="1" t="s">
        <v>20</v>
      </c>
      <c r="O97" s="2">
        <v>6772.75</v>
      </c>
      <c r="P97" s="2">
        <v>8617.4599999999991</v>
      </c>
      <c r="Q97" s="2">
        <v>10712.06</v>
      </c>
      <c r="R97" s="2">
        <v>10674.32</v>
      </c>
      <c r="S97" s="2">
        <v>3315.28</v>
      </c>
      <c r="T97" s="2">
        <v>7797.49</v>
      </c>
      <c r="U97" s="2">
        <v>9286.6</v>
      </c>
      <c r="V97" s="2">
        <v>12820.06</v>
      </c>
      <c r="W97" s="2">
        <v>13276.27</v>
      </c>
      <c r="X97" s="2">
        <v>3223.71</v>
      </c>
      <c r="AA97" s="1" t="s">
        <v>20</v>
      </c>
      <c r="AB97" s="2">
        <v>34301.25</v>
      </c>
      <c r="AC97" s="2">
        <v>43670.04</v>
      </c>
      <c r="AD97" s="2">
        <v>52427.94</v>
      </c>
      <c r="AE97" s="2">
        <v>52223.68</v>
      </c>
      <c r="AF97" s="2">
        <v>15396.72</v>
      </c>
      <c r="AG97" s="2">
        <v>37973.51</v>
      </c>
      <c r="AH97" s="2">
        <v>45263.4</v>
      </c>
      <c r="AI97" s="2">
        <v>61939.94</v>
      </c>
      <c r="AJ97" s="2">
        <v>64191.23</v>
      </c>
      <c r="AK97" s="2">
        <v>14969.2</v>
      </c>
      <c r="AN97" s="1" t="s">
        <v>20</v>
      </c>
      <c r="AO97" s="2">
        <v>3.08</v>
      </c>
      <c r="AP97" s="2">
        <v>2.78</v>
      </c>
      <c r="AQ97" s="2">
        <v>2.25</v>
      </c>
      <c r="AR97" s="2">
        <v>2.63</v>
      </c>
      <c r="AS97" s="2">
        <v>2.0099999999999998</v>
      </c>
      <c r="AT97" s="2">
        <v>1.87</v>
      </c>
      <c r="AU97" s="2">
        <v>1.26</v>
      </c>
      <c r="AV97" s="2">
        <v>0.66</v>
      </c>
      <c r="AW97" s="2">
        <v>1.1399999999999999</v>
      </c>
      <c r="AX97" s="2">
        <v>1.18</v>
      </c>
    </row>
    <row r="98" spans="2:50" x14ac:dyDescent="0.3">
      <c r="B98" s="1" t="s">
        <v>21</v>
      </c>
      <c r="C98" s="2">
        <v>177.26</v>
      </c>
      <c r="D98" s="2">
        <v>144.74</v>
      </c>
      <c r="E98" s="2">
        <v>209.06</v>
      </c>
      <c r="F98" s="2">
        <v>129.68</v>
      </c>
      <c r="G98" s="2">
        <v>100.36</v>
      </c>
      <c r="H98" s="2">
        <v>149.84</v>
      </c>
      <c r="I98" s="2">
        <v>42.74</v>
      </c>
      <c r="J98" s="2">
        <v>31.46</v>
      </c>
      <c r="K98" s="2">
        <v>118.06</v>
      </c>
      <c r="L98" s="2">
        <v>54.02</v>
      </c>
      <c r="N98" s="1" t="s">
        <v>21</v>
      </c>
      <c r="O98" s="2">
        <v>2327.94</v>
      </c>
      <c r="P98" s="2">
        <v>2764.48</v>
      </c>
      <c r="Q98" s="2">
        <v>3894.15</v>
      </c>
      <c r="R98" s="2">
        <v>3636.7</v>
      </c>
      <c r="S98" s="2">
        <v>868.32</v>
      </c>
      <c r="T98" s="2">
        <v>2211.2800000000002</v>
      </c>
      <c r="U98" s="2">
        <v>3709.33</v>
      </c>
      <c r="V98" s="2">
        <v>4952.1899999999996</v>
      </c>
      <c r="W98" s="2">
        <v>5710.19</v>
      </c>
      <c r="X98" s="2">
        <v>617.35</v>
      </c>
      <c r="AA98" s="1" t="s">
        <v>21</v>
      </c>
      <c r="AB98" s="2">
        <v>9384.4</v>
      </c>
      <c r="AC98" s="2">
        <v>11139.95</v>
      </c>
      <c r="AD98" s="2">
        <v>15470.39</v>
      </c>
      <c r="AE98" s="2">
        <v>14183.3</v>
      </c>
      <c r="AF98" s="2">
        <v>3158.68</v>
      </c>
      <c r="AG98" s="2">
        <v>8517.91</v>
      </c>
      <c r="AH98" s="2">
        <v>14690.67</v>
      </c>
      <c r="AI98" s="2">
        <v>20485.419999999998</v>
      </c>
      <c r="AJ98" s="2">
        <v>23393.67</v>
      </c>
      <c r="AK98" s="2">
        <v>2236.42</v>
      </c>
      <c r="AN98" s="1" t="s">
        <v>21</v>
      </c>
      <c r="AO98" s="2">
        <v>2.65</v>
      </c>
      <c r="AP98" s="2">
        <v>2.62</v>
      </c>
      <c r="AQ98" s="2">
        <v>1.79</v>
      </c>
      <c r="AR98" s="2">
        <v>1.33</v>
      </c>
      <c r="AS98" s="2">
        <v>1.89</v>
      </c>
      <c r="AT98" s="2">
        <v>2.79</v>
      </c>
      <c r="AU98" s="2">
        <v>1.06</v>
      </c>
      <c r="AV98" s="2">
        <v>0.8</v>
      </c>
      <c r="AW98" s="2">
        <v>1.04</v>
      </c>
      <c r="AX98" s="2">
        <v>1.1000000000000001</v>
      </c>
    </row>
    <row r="99" spans="2:50" x14ac:dyDescent="0.3">
      <c r="B99" s="1" t="s">
        <v>22</v>
      </c>
      <c r="C99" s="2">
        <v>630.02</v>
      </c>
      <c r="D99" s="2">
        <v>631.25</v>
      </c>
      <c r="E99" s="2">
        <v>690.79</v>
      </c>
      <c r="F99" s="2">
        <v>602.05999999999995</v>
      </c>
      <c r="G99" s="2">
        <v>329.12</v>
      </c>
      <c r="H99" s="2">
        <v>294.35000000000002</v>
      </c>
      <c r="I99" s="2">
        <v>214.33</v>
      </c>
      <c r="J99" s="2">
        <v>71.25</v>
      </c>
      <c r="K99" s="2">
        <v>247.94</v>
      </c>
      <c r="L99" s="2">
        <v>257.14999999999998</v>
      </c>
      <c r="N99" s="1" t="s">
        <v>22</v>
      </c>
      <c r="O99" s="2">
        <v>7872.33</v>
      </c>
      <c r="P99" s="2">
        <v>7130.95</v>
      </c>
      <c r="Q99" s="2">
        <v>11039.85</v>
      </c>
      <c r="R99" s="2">
        <v>10465.82</v>
      </c>
      <c r="S99" s="2">
        <v>1599.76</v>
      </c>
      <c r="T99" s="2">
        <v>7882.54</v>
      </c>
      <c r="U99" s="2">
        <v>9026</v>
      </c>
      <c r="V99" s="2">
        <v>12367.74</v>
      </c>
      <c r="W99" s="2">
        <v>12391.68</v>
      </c>
      <c r="X99" s="2">
        <v>1979</v>
      </c>
      <c r="AA99" s="1" t="s">
        <v>22</v>
      </c>
      <c r="AB99" s="2">
        <v>32268.95</v>
      </c>
      <c r="AC99" s="2">
        <v>28636.92</v>
      </c>
      <c r="AD99" s="2">
        <v>43988.99</v>
      </c>
      <c r="AE99" s="2">
        <v>41190.639999999999</v>
      </c>
      <c r="AF99" s="2">
        <v>5780.48</v>
      </c>
      <c r="AG99" s="2">
        <v>30971.66</v>
      </c>
      <c r="AH99" s="2">
        <v>35351.5</v>
      </c>
      <c r="AI99" s="2">
        <v>49250.82</v>
      </c>
      <c r="AJ99" s="2">
        <v>50031.24</v>
      </c>
      <c r="AK99" s="2">
        <v>7164.88</v>
      </c>
      <c r="AN99" s="1" t="s">
        <v>22</v>
      </c>
      <c r="AO99" s="2">
        <v>3.39</v>
      </c>
      <c r="AP99" s="2">
        <v>3.15</v>
      </c>
      <c r="AQ99" s="2">
        <v>2.67</v>
      </c>
      <c r="AR99" s="2">
        <v>1.79</v>
      </c>
      <c r="AS99" s="2">
        <v>2.11</v>
      </c>
      <c r="AT99" s="2">
        <v>2.29</v>
      </c>
      <c r="AU99" s="2">
        <v>1.6</v>
      </c>
      <c r="AV99" s="2">
        <v>0.66</v>
      </c>
      <c r="AW99" s="2">
        <v>1.28</v>
      </c>
      <c r="AX99" s="2">
        <v>1.1399999999999999</v>
      </c>
    </row>
    <row r="100" spans="2:50" x14ac:dyDescent="0.3">
      <c r="B100" s="1" t="s">
        <v>23</v>
      </c>
      <c r="C100" s="2">
        <v>122.45</v>
      </c>
      <c r="D100" s="2">
        <v>116.93</v>
      </c>
      <c r="E100" s="2">
        <v>297.92</v>
      </c>
      <c r="F100" s="2">
        <v>96.74</v>
      </c>
      <c r="G100" s="2">
        <v>157.9</v>
      </c>
      <c r="H100" s="2">
        <v>128.24</v>
      </c>
      <c r="I100" s="2">
        <v>116.01</v>
      </c>
      <c r="J100" s="2">
        <v>186.72</v>
      </c>
      <c r="K100" s="2">
        <v>143.24</v>
      </c>
      <c r="L100" s="2">
        <v>205.83</v>
      </c>
      <c r="N100" s="1" t="s">
        <v>23</v>
      </c>
      <c r="O100" s="2">
        <v>3632.88</v>
      </c>
      <c r="P100" s="2">
        <v>3340.74</v>
      </c>
      <c r="Q100" s="2">
        <v>3747.27</v>
      </c>
      <c r="R100" s="2">
        <v>3509.4</v>
      </c>
      <c r="S100" s="2">
        <v>1353.49</v>
      </c>
      <c r="T100" s="2">
        <v>4897.47</v>
      </c>
      <c r="U100" s="2">
        <v>3697.19</v>
      </c>
      <c r="V100" s="2">
        <v>4636.2</v>
      </c>
      <c r="W100" s="2">
        <v>1187.76</v>
      </c>
      <c r="X100" s="2">
        <v>1567.4</v>
      </c>
      <c r="AA100" s="1" t="s">
        <v>23</v>
      </c>
      <c r="AB100" s="2">
        <v>14365.32</v>
      </c>
      <c r="AC100" s="2">
        <v>13136.76</v>
      </c>
      <c r="AD100" s="2">
        <v>14094.33</v>
      </c>
      <c r="AE100" s="2">
        <v>13310.7</v>
      </c>
      <c r="AF100" s="2">
        <v>4881.71</v>
      </c>
      <c r="AG100" s="2">
        <v>18598.53</v>
      </c>
      <c r="AH100" s="2">
        <v>16462.810000000001</v>
      </c>
      <c r="AI100" s="2">
        <v>17254.2</v>
      </c>
      <c r="AJ100" s="2">
        <v>23126.639999999999</v>
      </c>
      <c r="AK100" s="2">
        <v>5657.95</v>
      </c>
      <c r="AN100" s="1" t="s">
        <v>23</v>
      </c>
      <c r="AO100" s="2">
        <v>1.1000000000000001</v>
      </c>
      <c r="AP100" s="2">
        <v>0.95</v>
      </c>
      <c r="AQ100" s="2">
        <v>1.49</v>
      </c>
      <c r="AR100" s="2">
        <v>0.5</v>
      </c>
      <c r="AS100" s="2">
        <v>1.86</v>
      </c>
      <c r="AT100" s="2">
        <v>1.66</v>
      </c>
      <c r="AU100" s="2">
        <v>1.65</v>
      </c>
      <c r="AV100" s="2">
        <v>2.97</v>
      </c>
      <c r="AW100" s="2">
        <v>0.56999999999999995</v>
      </c>
      <c r="AX100" s="2">
        <v>0.91</v>
      </c>
    </row>
    <row r="103" spans="2:50" x14ac:dyDescent="0.3">
      <c r="B103" t="s">
        <v>48</v>
      </c>
      <c r="N103" t="s">
        <v>49</v>
      </c>
      <c r="AA103" t="s">
        <v>50</v>
      </c>
      <c r="AN103" t="s">
        <v>51</v>
      </c>
    </row>
    <row r="104" spans="2:50" x14ac:dyDescent="0.3">
      <c r="B104" s="1" t="s">
        <v>11</v>
      </c>
      <c r="C104" s="1" t="s">
        <v>12</v>
      </c>
      <c r="D104" s="1" t="s">
        <v>13</v>
      </c>
      <c r="E104" s="1" t="s">
        <v>12</v>
      </c>
      <c r="F104" s="1" t="s">
        <v>13</v>
      </c>
      <c r="G104" s="1" t="s">
        <v>12</v>
      </c>
      <c r="H104" s="1" t="s">
        <v>13</v>
      </c>
      <c r="I104" s="1" t="s">
        <v>12</v>
      </c>
      <c r="J104" s="1" t="s">
        <v>13</v>
      </c>
      <c r="K104" s="1" t="s">
        <v>12</v>
      </c>
      <c r="L104" s="1" t="s">
        <v>13</v>
      </c>
      <c r="N104" s="1" t="s">
        <v>11</v>
      </c>
      <c r="O104" s="1" t="s">
        <v>12</v>
      </c>
      <c r="P104" s="1" t="s">
        <v>13</v>
      </c>
      <c r="Q104" s="1" t="s">
        <v>12</v>
      </c>
      <c r="R104" s="1" t="s">
        <v>13</v>
      </c>
      <c r="S104" s="1" t="s">
        <v>12</v>
      </c>
      <c r="T104" s="1" t="s">
        <v>13</v>
      </c>
      <c r="U104" s="1" t="s">
        <v>12</v>
      </c>
      <c r="V104" s="1" t="s">
        <v>13</v>
      </c>
      <c r="W104" s="1" t="s">
        <v>12</v>
      </c>
      <c r="X104" s="1" t="s">
        <v>13</v>
      </c>
      <c r="AA104" s="1" t="s">
        <v>11</v>
      </c>
      <c r="AB104" s="1" t="s">
        <v>12</v>
      </c>
      <c r="AC104" s="1" t="s">
        <v>13</v>
      </c>
      <c r="AD104" s="1" t="s">
        <v>12</v>
      </c>
      <c r="AE104" s="1" t="s">
        <v>13</v>
      </c>
      <c r="AF104" s="1" t="s">
        <v>12</v>
      </c>
      <c r="AG104" s="1" t="s">
        <v>13</v>
      </c>
      <c r="AH104" s="1" t="s">
        <v>12</v>
      </c>
      <c r="AI104" s="1" t="s">
        <v>13</v>
      </c>
      <c r="AJ104" s="1" t="s">
        <v>12</v>
      </c>
      <c r="AK104" s="1" t="s">
        <v>13</v>
      </c>
      <c r="AN104" s="1" t="s">
        <v>11</v>
      </c>
      <c r="AO104" s="1" t="s">
        <v>12</v>
      </c>
      <c r="AP104" s="1" t="s">
        <v>13</v>
      </c>
      <c r="AQ104" s="1" t="s">
        <v>12</v>
      </c>
      <c r="AR104" s="1" t="s">
        <v>13</v>
      </c>
      <c r="AS104" s="1" t="s">
        <v>12</v>
      </c>
      <c r="AT104" s="1" t="s">
        <v>13</v>
      </c>
      <c r="AU104" s="1" t="s">
        <v>12</v>
      </c>
      <c r="AV104" s="1" t="s">
        <v>13</v>
      </c>
      <c r="AW104" s="1" t="s">
        <v>12</v>
      </c>
      <c r="AX104" s="1" t="s">
        <v>13</v>
      </c>
    </row>
    <row r="105" spans="2:50" x14ac:dyDescent="0.3">
      <c r="B105" s="1" t="s">
        <v>14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N105" s="1" t="s">
        <v>14</v>
      </c>
      <c r="O105" s="1" t="s">
        <v>1</v>
      </c>
      <c r="P105" s="1" t="s">
        <v>1</v>
      </c>
      <c r="Q105" s="1" t="s">
        <v>2</v>
      </c>
      <c r="R105" s="1" t="s">
        <v>2</v>
      </c>
      <c r="S105" s="1" t="s">
        <v>3</v>
      </c>
      <c r="T105" s="1" t="s">
        <v>3</v>
      </c>
      <c r="U105" s="1" t="s">
        <v>4</v>
      </c>
      <c r="V105" s="1" t="s">
        <v>4</v>
      </c>
      <c r="W105" s="1" t="s">
        <v>5</v>
      </c>
      <c r="X105" s="1" t="s">
        <v>5</v>
      </c>
      <c r="AA105" s="1" t="s">
        <v>14</v>
      </c>
      <c r="AB105" s="1" t="s">
        <v>1</v>
      </c>
      <c r="AC105" s="1" t="s">
        <v>1</v>
      </c>
      <c r="AD105" s="1" t="s">
        <v>2</v>
      </c>
      <c r="AE105" s="1" t="s">
        <v>2</v>
      </c>
      <c r="AF105" s="1" t="s">
        <v>3</v>
      </c>
      <c r="AG105" s="1" t="s">
        <v>3</v>
      </c>
      <c r="AH105" s="1" t="s">
        <v>4</v>
      </c>
      <c r="AI105" s="1" t="s">
        <v>4</v>
      </c>
      <c r="AJ105" s="1" t="s">
        <v>5</v>
      </c>
      <c r="AK105" s="1" t="s">
        <v>5</v>
      </c>
      <c r="AN105" s="1" t="s">
        <v>14</v>
      </c>
      <c r="AO105" s="1" t="s">
        <v>1</v>
      </c>
      <c r="AP105" s="1" t="s">
        <v>1</v>
      </c>
      <c r="AQ105" s="1" t="s">
        <v>2</v>
      </c>
      <c r="AR105" s="1" t="s">
        <v>2</v>
      </c>
      <c r="AS105" s="1" t="s">
        <v>3</v>
      </c>
      <c r="AT105" s="1" t="s">
        <v>3</v>
      </c>
      <c r="AU105" s="1" t="s">
        <v>4</v>
      </c>
      <c r="AV105" s="1" t="s">
        <v>4</v>
      </c>
      <c r="AW105" s="1" t="s">
        <v>5</v>
      </c>
      <c r="AX105" s="1" t="s">
        <v>5</v>
      </c>
    </row>
    <row r="106" spans="2:50" x14ac:dyDescent="0.3">
      <c r="B106" s="1" t="s">
        <v>15</v>
      </c>
      <c r="N106" s="1" t="s">
        <v>15</v>
      </c>
      <c r="AA106" s="1" t="s">
        <v>15</v>
      </c>
      <c r="AN106" s="1" t="s">
        <v>15</v>
      </c>
    </row>
    <row r="107" spans="2:50" x14ac:dyDescent="0.3">
      <c r="B107" s="1" t="s">
        <v>16</v>
      </c>
      <c r="C107" s="2">
        <v>8.1322615081513751E-3</v>
      </c>
      <c r="D107" s="2">
        <v>1.1330733069900531E-2</v>
      </c>
      <c r="E107" s="2">
        <v>1.6323169617799629E-2</v>
      </c>
      <c r="F107" s="2">
        <v>9.6915206131130503E-3</v>
      </c>
      <c r="G107" s="2">
        <v>6.9223899896493366E-3</v>
      </c>
      <c r="H107" s="2">
        <v>7.6543721687459794E-3</v>
      </c>
      <c r="I107" s="2">
        <v>1.2274605676980299E-2</v>
      </c>
      <c r="J107" s="2">
        <v>2.1741727052453159E-2</v>
      </c>
      <c r="K107" s="2">
        <v>2.2123823298686021E-2</v>
      </c>
      <c r="L107" s="2">
        <v>1.5721683678462911E-2</v>
      </c>
      <c r="N107" s="1" t="s">
        <v>16</v>
      </c>
      <c r="O107" s="2">
        <v>594.91999999999996</v>
      </c>
      <c r="P107" s="2">
        <v>577.94000000000005</v>
      </c>
      <c r="Q107" s="2">
        <v>640.05999999999995</v>
      </c>
      <c r="R107" s="2">
        <v>385.01</v>
      </c>
      <c r="S107" s="2">
        <v>460.7</v>
      </c>
      <c r="T107" s="2">
        <v>382.94</v>
      </c>
      <c r="U107" s="2">
        <v>452.3</v>
      </c>
      <c r="V107" s="2">
        <v>271.64</v>
      </c>
      <c r="W107" s="2">
        <v>1203.44</v>
      </c>
      <c r="X107" s="2">
        <v>777.76</v>
      </c>
      <c r="AA107" s="1" t="s">
        <v>16</v>
      </c>
      <c r="AB107" s="2">
        <v>9184.08</v>
      </c>
      <c r="AC107" s="2">
        <v>8921.06</v>
      </c>
      <c r="AD107" s="2">
        <v>9880.94</v>
      </c>
      <c r="AE107" s="2">
        <v>5942.99</v>
      </c>
      <c r="AF107" s="2">
        <v>8142.3</v>
      </c>
      <c r="AG107" s="2">
        <v>6792.06</v>
      </c>
      <c r="AH107" s="2">
        <v>6981.7</v>
      </c>
      <c r="AI107" s="2">
        <v>5055.3599999999997</v>
      </c>
      <c r="AJ107" s="2">
        <v>10864.56</v>
      </c>
      <c r="AK107" s="2">
        <v>7069.24</v>
      </c>
      <c r="AN107" s="1" t="s">
        <v>16</v>
      </c>
      <c r="AO107" s="2">
        <v>1.32</v>
      </c>
      <c r="AP107" s="2">
        <v>1.32</v>
      </c>
      <c r="AQ107" s="2">
        <v>1.5</v>
      </c>
      <c r="AR107" s="2">
        <v>1.5</v>
      </c>
      <c r="AS107" s="2">
        <v>1.68</v>
      </c>
      <c r="AT107" s="2">
        <v>1.68</v>
      </c>
      <c r="AU107" s="2">
        <v>1.98</v>
      </c>
      <c r="AV107" s="2">
        <v>1.98</v>
      </c>
      <c r="AW107" s="2">
        <v>0.48</v>
      </c>
      <c r="AX107" s="2">
        <v>0.48</v>
      </c>
    </row>
    <row r="108" spans="2:50" x14ac:dyDescent="0.3">
      <c r="B108" s="1" t="s">
        <v>17</v>
      </c>
      <c r="C108" s="2">
        <v>4.3765560968948528E-2</v>
      </c>
      <c r="D108" s="2">
        <v>1.861762714606895E-2</v>
      </c>
      <c r="E108" s="2">
        <v>3.2026272929621513E-2</v>
      </c>
      <c r="F108" s="2">
        <v>5.3333797917201678E-2</v>
      </c>
      <c r="G108" s="2">
        <v>4.7467542838538858E-2</v>
      </c>
      <c r="H108" s="2">
        <v>3.1539228147553167E-2</v>
      </c>
      <c r="I108" s="2">
        <v>8.2911401743567745E-2</v>
      </c>
      <c r="J108" s="2">
        <v>3.924957625672585E-2</v>
      </c>
      <c r="K108" s="2">
        <v>7.4245562855461855E-2</v>
      </c>
      <c r="L108" s="2">
        <v>3.9217754616892031E-2</v>
      </c>
      <c r="N108" s="1" t="s">
        <v>17</v>
      </c>
      <c r="O108" s="2">
        <v>855.7</v>
      </c>
      <c r="P108" s="2">
        <v>514.84</v>
      </c>
      <c r="Q108" s="2">
        <v>967.78</v>
      </c>
      <c r="R108" s="2">
        <v>473.13</v>
      </c>
      <c r="S108" s="2">
        <v>1124.0999999999999</v>
      </c>
      <c r="T108" s="2">
        <v>516.48</v>
      </c>
      <c r="U108" s="2">
        <v>1017.85</v>
      </c>
      <c r="V108" s="2">
        <v>133.56</v>
      </c>
      <c r="W108" s="2">
        <v>1016.47</v>
      </c>
      <c r="X108" s="2">
        <v>708.64</v>
      </c>
      <c r="AA108" s="1" t="s">
        <v>17</v>
      </c>
      <c r="AB108" s="2">
        <v>4422.3</v>
      </c>
      <c r="AC108" s="2">
        <v>2525.16</v>
      </c>
      <c r="AD108" s="2">
        <v>5023.22</v>
      </c>
      <c r="AE108" s="2">
        <v>2323.21</v>
      </c>
      <c r="AF108" s="2">
        <v>5670.9</v>
      </c>
      <c r="AG108" s="2">
        <v>2492.52</v>
      </c>
      <c r="AH108" s="2">
        <v>5138.1499999999996</v>
      </c>
      <c r="AI108" s="2">
        <v>2600.44</v>
      </c>
      <c r="AJ108" s="2">
        <v>4798.83</v>
      </c>
      <c r="AK108" s="2">
        <v>3326.36</v>
      </c>
      <c r="AN108" s="1" t="s">
        <v>17</v>
      </c>
      <c r="AO108" s="2">
        <v>6.88</v>
      </c>
      <c r="AP108" s="2">
        <v>3.27</v>
      </c>
      <c r="AQ108" s="2">
        <v>3.03</v>
      </c>
      <c r="AR108" s="2">
        <v>11.67</v>
      </c>
      <c r="AS108" s="2">
        <v>5.88</v>
      </c>
      <c r="AT108" s="2">
        <v>6.29</v>
      </c>
      <c r="AU108" s="2">
        <v>7.7</v>
      </c>
      <c r="AV108" s="2">
        <v>8.91</v>
      </c>
      <c r="AW108" s="2">
        <v>3.01</v>
      </c>
      <c r="AX108" s="2">
        <v>2.27</v>
      </c>
    </row>
    <row r="109" spans="2:50" x14ac:dyDescent="0.3">
      <c r="B109" s="1" t="s">
        <v>18</v>
      </c>
      <c r="C109" s="2">
        <v>0.31056779385566269</v>
      </c>
      <c r="D109" s="2">
        <v>0.13875224613366949</v>
      </c>
      <c r="E109" s="2">
        <v>0.2370063408471646</v>
      </c>
      <c r="F109" s="2">
        <v>0.33846870575967852</v>
      </c>
      <c r="G109" s="2">
        <v>0.40563350973484491</v>
      </c>
      <c r="H109" s="2">
        <v>0.1921704445509651</v>
      </c>
      <c r="I109" s="2">
        <v>0.46304991561368208</v>
      </c>
      <c r="J109" s="2">
        <v>0.26854303411559938</v>
      </c>
      <c r="K109" s="2">
        <v>0.14115819278289859</v>
      </c>
      <c r="L109" s="2">
        <v>0.22584981045241301</v>
      </c>
      <c r="N109" s="1" t="s">
        <v>18</v>
      </c>
      <c r="O109" s="2">
        <v>3799.95</v>
      </c>
      <c r="P109" s="2">
        <v>1444.24</v>
      </c>
      <c r="Q109" s="2">
        <v>3399.94</v>
      </c>
      <c r="R109" s="2">
        <v>2836.1</v>
      </c>
      <c r="S109" s="2">
        <v>4026.18</v>
      </c>
      <c r="T109" s="2">
        <v>2667.87</v>
      </c>
      <c r="U109" s="2">
        <v>3419.99</v>
      </c>
      <c r="V109" s="2">
        <v>2318.87</v>
      </c>
      <c r="W109" s="2">
        <v>1999.83</v>
      </c>
      <c r="X109" s="2">
        <v>2441.1999999999998</v>
      </c>
      <c r="AA109" s="1" t="s">
        <v>18</v>
      </c>
      <c r="AB109" s="2">
        <v>14614.14</v>
      </c>
      <c r="AC109" s="2">
        <v>7080.71</v>
      </c>
      <c r="AD109" s="2">
        <v>18095.060000000001</v>
      </c>
      <c r="AE109" s="2">
        <v>8255.65</v>
      </c>
      <c r="AF109" s="2">
        <v>19698.23</v>
      </c>
      <c r="AG109" s="2">
        <v>13184.46</v>
      </c>
      <c r="AH109" s="2">
        <v>17838.62</v>
      </c>
      <c r="AI109" s="2">
        <v>11475.95</v>
      </c>
      <c r="AJ109" s="2">
        <v>9385.17</v>
      </c>
      <c r="AK109" s="2">
        <v>9486.7999999999993</v>
      </c>
      <c r="AN109" s="1" t="s">
        <v>18</v>
      </c>
      <c r="AO109" s="2">
        <v>10.56</v>
      </c>
      <c r="AP109" s="2">
        <v>8.5</v>
      </c>
      <c r="AQ109" s="2">
        <v>6.13</v>
      </c>
      <c r="AR109" s="2">
        <v>12</v>
      </c>
      <c r="AS109" s="2">
        <v>13.44</v>
      </c>
      <c r="AT109" s="2">
        <v>7.22</v>
      </c>
      <c r="AU109" s="2">
        <v>12.11</v>
      </c>
      <c r="AV109" s="2">
        <v>3.79</v>
      </c>
      <c r="AW109" s="2">
        <v>2.8</v>
      </c>
      <c r="AX109" s="2">
        <v>3.84</v>
      </c>
    </row>
    <row r="110" spans="2:50" x14ac:dyDescent="0.3">
      <c r="B110" s="1" t="s">
        <v>19</v>
      </c>
      <c r="C110" s="2">
        <v>5.7301642637325928E-2</v>
      </c>
      <c r="D110" s="2">
        <v>3.1277145217332068E-2</v>
      </c>
      <c r="E110" s="2">
        <v>5.024579130339759E-2</v>
      </c>
      <c r="F110" s="2">
        <v>9.4127272750736554E-2</v>
      </c>
      <c r="G110" s="2">
        <v>7.3451508524707984E-2</v>
      </c>
      <c r="H110" s="2">
        <v>5.8562124808610713E-2</v>
      </c>
      <c r="I110" s="2">
        <v>4.4924222561961803E-2</v>
      </c>
      <c r="J110" s="2">
        <v>5.4303838147132757E-2</v>
      </c>
      <c r="K110" s="2">
        <v>3.7821754265542268E-2</v>
      </c>
      <c r="L110" s="2">
        <v>3.819498063199929E-2</v>
      </c>
      <c r="N110" s="1" t="s">
        <v>19</v>
      </c>
      <c r="O110" s="2">
        <v>831.23</v>
      </c>
      <c r="P110" s="2">
        <v>483.12</v>
      </c>
      <c r="Q110" s="2">
        <v>887.03</v>
      </c>
      <c r="R110" s="2">
        <v>884.03</v>
      </c>
      <c r="S110" s="2">
        <v>1097.83</v>
      </c>
      <c r="T110" s="2">
        <v>895.87</v>
      </c>
      <c r="U110" s="2">
        <v>879.75</v>
      </c>
      <c r="V110" s="2">
        <v>753.75</v>
      </c>
      <c r="W110" s="2">
        <v>544.09</v>
      </c>
      <c r="X110" s="2">
        <v>547.12</v>
      </c>
      <c r="AA110" s="1" t="s">
        <v>19</v>
      </c>
      <c r="AB110" s="2">
        <v>4292.7700000000004</v>
      </c>
      <c r="AC110" s="2">
        <v>2365.4299999999998</v>
      </c>
      <c r="AD110" s="2">
        <v>4593.97</v>
      </c>
      <c r="AE110" s="2">
        <v>4411.72</v>
      </c>
      <c r="AF110" s="2">
        <v>5566.17</v>
      </c>
      <c r="AG110" s="2">
        <v>4390.13</v>
      </c>
      <c r="AH110" s="2">
        <v>4416.25</v>
      </c>
      <c r="AI110" s="2">
        <v>3685.25</v>
      </c>
      <c r="AJ110" s="2">
        <v>2547.91</v>
      </c>
      <c r="AK110" s="2">
        <v>2563.2800000000002</v>
      </c>
      <c r="AN110" s="1" t="s">
        <v>19</v>
      </c>
      <c r="AO110" s="2">
        <v>8.56</v>
      </c>
      <c r="AP110" s="2">
        <v>5.65</v>
      </c>
      <c r="AQ110" s="2">
        <v>4.5199999999999996</v>
      </c>
      <c r="AR110" s="2">
        <v>10.65</v>
      </c>
      <c r="AS110" s="2">
        <v>8.57</v>
      </c>
      <c r="AT110" s="2">
        <v>6.31</v>
      </c>
      <c r="AU110" s="2">
        <v>4.24</v>
      </c>
      <c r="AV110" s="2">
        <v>2.4</v>
      </c>
      <c r="AW110" s="2">
        <v>2.5</v>
      </c>
      <c r="AX110" s="2">
        <v>2.77</v>
      </c>
    </row>
    <row r="111" spans="2:50" x14ac:dyDescent="0.3">
      <c r="B111" s="1" t="s">
        <v>20</v>
      </c>
      <c r="C111" s="2">
        <v>0.22027342611098971</v>
      </c>
      <c r="D111" s="2">
        <v>0.31876628713039928</v>
      </c>
      <c r="E111" s="2">
        <v>0.28411178744115989</v>
      </c>
      <c r="F111" s="2">
        <v>0.27429827402791201</v>
      </c>
      <c r="G111" s="2">
        <v>0.1785362718569459</v>
      </c>
      <c r="H111" s="2">
        <v>0.24383583728827221</v>
      </c>
      <c r="I111" s="2">
        <v>0.14040220550764021</v>
      </c>
      <c r="J111" s="2">
        <v>0.2273695496376853</v>
      </c>
      <c r="K111" s="2">
        <v>0.38323813492841741</v>
      </c>
      <c r="L111" s="2">
        <v>0.33671503048203588</v>
      </c>
      <c r="N111" s="1" t="s">
        <v>20</v>
      </c>
      <c r="O111" s="2">
        <v>3078.52</v>
      </c>
      <c r="P111" s="2">
        <v>3544.32</v>
      </c>
      <c r="Q111" s="2">
        <v>3446.98</v>
      </c>
      <c r="R111" s="2">
        <v>3714.64</v>
      </c>
      <c r="S111" s="2">
        <v>3825.73</v>
      </c>
      <c r="T111" s="2">
        <v>4578.59</v>
      </c>
      <c r="U111" s="2">
        <v>3234.64</v>
      </c>
      <c r="V111" s="2">
        <v>4023.11</v>
      </c>
      <c r="W111" s="2">
        <v>4144.1000000000004</v>
      </c>
      <c r="X111" s="2">
        <v>4029.63</v>
      </c>
      <c r="AA111" s="1" t="s">
        <v>20</v>
      </c>
      <c r="AB111" s="2">
        <v>15591.48</v>
      </c>
      <c r="AC111" s="2">
        <v>17260.68</v>
      </c>
      <c r="AD111" s="2">
        <v>17468.02</v>
      </c>
      <c r="AE111" s="2">
        <v>18105.36</v>
      </c>
      <c r="AF111" s="2">
        <v>18724.27</v>
      </c>
      <c r="AG111" s="2">
        <v>22121.41</v>
      </c>
      <c r="AH111" s="2">
        <v>15825.36</v>
      </c>
      <c r="AI111" s="2">
        <v>19451.89</v>
      </c>
      <c r="AJ111" s="2">
        <v>19245.900000000001</v>
      </c>
      <c r="AK111" s="2">
        <v>18711.5</v>
      </c>
      <c r="AN111" s="1" t="s">
        <v>20</v>
      </c>
      <c r="AO111" s="2">
        <v>9.24</v>
      </c>
      <c r="AP111" s="2">
        <v>8.33</v>
      </c>
      <c r="AQ111" s="2">
        <v>6.75</v>
      </c>
      <c r="AR111" s="2">
        <v>7.89</v>
      </c>
      <c r="AS111" s="2">
        <v>6.04</v>
      </c>
      <c r="AT111" s="2">
        <v>5.61</v>
      </c>
      <c r="AU111" s="2">
        <v>3.78</v>
      </c>
      <c r="AV111" s="2">
        <v>1.99</v>
      </c>
      <c r="AW111" s="2">
        <v>3.41</v>
      </c>
      <c r="AX111" s="2">
        <v>3.53</v>
      </c>
    </row>
    <row r="112" spans="2:50" x14ac:dyDescent="0.3">
      <c r="B112" s="1" t="s">
        <v>21</v>
      </c>
      <c r="C112" s="2">
        <v>6.2074608207347837E-2</v>
      </c>
      <c r="D112" s="2">
        <v>7.942850269110234E-2</v>
      </c>
      <c r="E112" s="2">
        <v>6.6917489512407682E-2</v>
      </c>
      <c r="F112" s="2">
        <v>4.8989723662934082E-2</v>
      </c>
      <c r="G112" s="2">
        <v>5.816258834152889E-2</v>
      </c>
      <c r="H112" s="2">
        <v>0.13117633821361041</v>
      </c>
      <c r="I112" s="2">
        <v>3.7975545560099293E-2</v>
      </c>
      <c r="J112" s="2">
        <v>0.1087662245327448</v>
      </c>
      <c r="K112" s="2">
        <v>8.4677755442243582E-2</v>
      </c>
      <c r="L112" s="2">
        <v>5.3192403306806087E-2</v>
      </c>
      <c r="N112" s="1" t="s">
        <v>21</v>
      </c>
      <c r="O112" s="2">
        <v>1058.1500000000001</v>
      </c>
      <c r="P112" s="2">
        <v>1005.13</v>
      </c>
      <c r="Q112" s="2">
        <v>1105.79</v>
      </c>
      <c r="R112" s="2">
        <v>1483.73</v>
      </c>
      <c r="S112" s="2">
        <v>1390.77</v>
      </c>
      <c r="T112" s="2">
        <v>1768.64</v>
      </c>
      <c r="U112" s="2">
        <v>1102.03</v>
      </c>
      <c r="V112" s="2">
        <v>1730.36</v>
      </c>
      <c r="W112" s="2">
        <v>1085.4000000000001</v>
      </c>
      <c r="X112" s="2">
        <v>771.68</v>
      </c>
      <c r="AA112" s="1" t="s">
        <v>21</v>
      </c>
      <c r="AB112" s="2">
        <v>4265.6400000000003</v>
      </c>
      <c r="AC112" s="2">
        <v>3871.78</v>
      </c>
      <c r="AD112" s="2">
        <v>4455.9799999999996</v>
      </c>
      <c r="AE112" s="2">
        <v>5876.27</v>
      </c>
      <c r="AF112" s="2">
        <v>5525.14</v>
      </c>
      <c r="AG112" s="2">
        <v>7316.22</v>
      </c>
      <c r="AH112" s="2">
        <v>4297.97</v>
      </c>
      <c r="AI112" s="2">
        <v>7088.99</v>
      </c>
      <c r="AJ112" s="2">
        <v>3948.36</v>
      </c>
      <c r="AK112" s="2">
        <v>2795.52</v>
      </c>
      <c r="AN112" s="1" t="s">
        <v>21</v>
      </c>
      <c r="AO112" s="2">
        <v>7.96</v>
      </c>
      <c r="AP112" s="2">
        <v>7.87</v>
      </c>
      <c r="AQ112" s="2">
        <v>5.37</v>
      </c>
      <c r="AR112" s="2">
        <v>4</v>
      </c>
      <c r="AS112" s="2">
        <v>5.67</v>
      </c>
      <c r="AT112" s="2">
        <v>8.3800000000000008</v>
      </c>
      <c r="AU112" s="2">
        <v>3.18</v>
      </c>
      <c r="AV112" s="2">
        <v>2.41</v>
      </c>
      <c r="AW112" s="2">
        <v>3.12</v>
      </c>
      <c r="AX112" s="2">
        <v>3.31</v>
      </c>
    </row>
    <row r="113" spans="2:50" x14ac:dyDescent="0.3">
      <c r="B113" s="1" t="s">
        <v>22</v>
      </c>
      <c r="C113" s="2">
        <v>0.25878237266370308</v>
      </c>
      <c r="D113" s="2">
        <v>0.34021393624812651</v>
      </c>
      <c r="E113" s="2">
        <v>0.2461828806508958</v>
      </c>
      <c r="F113" s="2">
        <v>0.16235248924466841</v>
      </c>
      <c r="G113" s="2">
        <v>0.1760939222870973</v>
      </c>
      <c r="H113" s="2">
        <v>0.262739893373792</v>
      </c>
      <c r="I113" s="2">
        <v>0.16297143123054211</v>
      </c>
      <c r="J113" s="2">
        <v>0.18972678512518909</v>
      </c>
      <c r="K113" s="2">
        <v>0.1849553834085115</v>
      </c>
      <c r="L113" s="2">
        <v>0.17865865992139701</v>
      </c>
      <c r="N113" s="1" t="s">
        <v>22</v>
      </c>
      <c r="O113" s="2">
        <v>3578.33</v>
      </c>
      <c r="P113" s="2">
        <v>3582.97</v>
      </c>
      <c r="Q113" s="2">
        <v>2852.38</v>
      </c>
      <c r="R113" s="2">
        <v>3610.4</v>
      </c>
      <c r="S113" s="2">
        <v>3942.8</v>
      </c>
      <c r="T113" s="2">
        <v>4417.05</v>
      </c>
      <c r="U113" s="2">
        <v>3171.46</v>
      </c>
      <c r="V113" s="2">
        <v>3755.05</v>
      </c>
      <c r="W113" s="2">
        <v>1999.7</v>
      </c>
      <c r="X113" s="2">
        <v>2473.75</v>
      </c>
      <c r="AA113" s="1" t="s">
        <v>22</v>
      </c>
      <c r="AB113" s="2">
        <v>14667.71</v>
      </c>
      <c r="AC113" s="2">
        <v>14078.03</v>
      </c>
      <c r="AD113" s="2">
        <v>11454.77</v>
      </c>
      <c r="AE113" s="2">
        <v>14140.6</v>
      </c>
      <c r="AF113" s="2">
        <v>15710.35</v>
      </c>
      <c r="AG113" s="2">
        <v>17589.580000000002</v>
      </c>
      <c r="AH113" s="2">
        <v>12482.01</v>
      </c>
      <c r="AI113" s="2">
        <v>15160.98</v>
      </c>
      <c r="AJ113" s="2">
        <v>7225.6</v>
      </c>
      <c r="AK113" s="2">
        <v>8956.1</v>
      </c>
      <c r="AN113" s="1" t="s">
        <v>22</v>
      </c>
      <c r="AO113" s="2">
        <v>10.18</v>
      </c>
      <c r="AP113" s="2">
        <v>9.4499999999999993</v>
      </c>
      <c r="AQ113" s="2">
        <v>8</v>
      </c>
      <c r="AR113" s="2">
        <v>5.37</v>
      </c>
      <c r="AS113" s="2">
        <v>6.34</v>
      </c>
      <c r="AT113" s="2">
        <v>6.87</v>
      </c>
      <c r="AU113" s="2">
        <v>4.8</v>
      </c>
      <c r="AV113" s="2">
        <v>1.98</v>
      </c>
      <c r="AW113" s="2">
        <v>3.83</v>
      </c>
      <c r="AX113" s="2">
        <v>3.42</v>
      </c>
    </row>
    <row r="114" spans="2:50" x14ac:dyDescent="0.3">
      <c r="B114" s="1" t="s">
        <v>23</v>
      </c>
      <c r="C114" s="2">
        <v>3.9102334047870772E-2</v>
      </c>
      <c r="D114" s="2">
        <v>6.1613522363401022E-2</v>
      </c>
      <c r="E114" s="2">
        <v>6.7186267697553342E-2</v>
      </c>
      <c r="F114" s="2">
        <v>1.8738216023755722E-2</v>
      </c>
      <c r="G114" s="2">
        <v>5.3732266426686902E-2</v>
      </c>
      <c r="H114" s="2">
        <v>7.2321761448450483E-2</v>
      </c>
      <c r="I114" s="2">
        <v>5.5490672105526599E-2</v>
      </c>
      <c r="J114" s="2">
        <v>9.0299265132469539E-2</v>
      </c>
      <c r="K114" s="2">
        <v>7.177939301823888E-2</v>
      </c>
      <c r="L114" s="2">
        <v>0.1124496769099937</v>
      </c>
      <c r="N114" s="1" t="s">
        <v>23</v>
      </c>
      <c r="O114" s="2">
        <v>1651.31</v>
      </c>
      <c r="P114" s="2">
        <v>2226.12</v>
      </c>
      <c r="Q114" s="2">
        <v>1336.29</v>
      </c>
      <c r="R114" s="2">
        <v>1478.88</v>
      </c>
      <c r="S114" s="2">
        <v>1338.31</v>
      </c>
      <c r="T114" s="2">
        <v>1655.79</v>
      </c>
      <c r="U114" s="2">
        <v>1063.45</v>
      </c>
      <c r="V114" s="2">
        <v>359.93</v>
      </c>
      <c r="W114" s="2">
        <v>1691.86</v>
      </c>
      <c r="X114" s="2">
        <v>1959.25</v>
      </c>
      <c r="AA114" s="1" t="s">
        <v>23</v>
      </c>
      <c r="AB114" s="2">
        <v>6529.69</v>
      </c>
      <c r="AC114" s="2">
        <v>8453.8799999999992</v>
      </c>
      <c r="AD114" s="2">
        <v>5254.71</v>
      </c>
      <c r="AE114" s="2">
        <v>6585.12</v>
      </c>
      <c r="AF114" s="2">
        <v>5033.6899999999996</v>
      </c>
      <c r="AG114" s="2">
        <v>6162.21</v>
      </c>
      <c r="AH114" s="2">
        <v>4033.55</v>
      </c>
      <c r="AI114" s="2">
        <v>7008.07</v>
      </c>
      <c r="AJ114" s="2">
        <v>6102.14</v>
      </c>
      <c r="AK114" s="2">
        <v>7072.44</v>
      </c>
      <c r="AN114" s="1" t="s">
        <v>23</v>
      </c>
      <c r="AO114" s="2">
        <v>3.31</v>
      </c>
      <c r="AP114" s="2">
        <v>2.85</v>
      </c>
      <c r="AQ114" s="2">
        <v>4.47</v>
      </c>
      <c r="AR114" s="2">
        <v>1.5</v>
      </c>
      <c r="AS114" s="2">
        <v>5.59</v>
      </c>
      <c r="AT114" s="2">
        <v>4.97</v>
      </c>
      <c r="AU114" s="2">
        <v>4.9400000000000004</v>
      </c>
      <c r="AV114" s="2">
        <v>8.91</v>
      </c>
      <c r="AW114" s="2">
        <v>1.7</v>
      </c>
      <c r="AX114" s="2">
        <v>2.72</v>
      </c>
    </row>
    <row r="117" spans="2:50" x14ac:dyDescent="0.3">
      <c r="N117" t="s">
        <v>52</v>
      </c>
      <c r="AA117" t="s">
        <v>53</v>
      </c>
      <c r="AN117" t="s">
        <v>54</v>
      </c>
    </row>
    <row r="118" spans="2:50" x14ac:dyDescent="0.3">
      <c r="N118" s="1" t="s">
        <v>11</v>
      </c>
      <c r="O118" s="3" t="s">
        <v>12</v>
      </c>
      <c r="P118" s="3"/>
      <c r="Q118" s="3"/>
      <c r="R118" s="3"/>
      <c r="S118" s="3"/>
      <c r="T118" s="3" t="s">
        <v>13</v>
      </c>
      <c r="U118" s="3"/>
      <c r="V118" s="3"/>
      <c r="W118" s="3"/>
      <c r="X118" s="3"/>
      <c r="AA118" s="1" t="s">
        <v>11</v>
      </c>
      <c r="AB118" s="3" t="s">
        <v>12</v>
      </c>
      <c r="AC118" s="3"/>
      <c r="AD118" s="3"/>
      <c r="AE118" s="3"/>
      <c r="AF118" s="3"/>
      <c r="AG118" s="3" t="s">
        <v>13</v>
      </c>
      <c r="AH118" s="3"/>
      <c r="AI118" s="3"/>
      <c r="AJ118" s="3"/>
      <c r="AK118" s="3"/>
      <c r="AN118" s="1" t="s">
        <v>11</v>
      </c>
      <c r="AO118" s="1" t="s">
        <v>12</v>
      </c>
      <c r="AP118" s="1" t="s">
        <v>13</v>
      </c>
      <c r="AQ118" s="1" t="s">
        <v>12</v>
      </c>
      <c r="AR118" s="1" t="s">
        <v>13</v>
      </c>
      <c r="AS118" s="1" t="s">
        <v>12</v>
      </c>
      <c r="AT118" s="1" t="s">
        <v>13</v>
      </c>
      <c r="AU118" s="1" t="s">
        <v>12</v>
      </c>
      <c r="AV118" s="1" t="s">
        <v>13</v>
      </c>
      <c r="AW118" s="1" t="s">
        <v>12</v>
      </c>
      <c r="AX118" s="1" t="s">
        <v>13</v>
      </c>
    </row>
    <row r="119" spans="2:50" x14ac:dyDescent="0.3">
      <c r="N119" s="1" t="s">
        <v>14</v>
      </c>
      <c r="O119" s="1" t="s">
        <v>1</v>
      </c>
      <c r="P119" s="1" t="s">
        <v>2</v>
      </c>
      <c r="Q119" s="1" t="s">
        <v>3</v>
      </c>
      <c r="R119" s="1" t="s">
        <v>4</v>
      </c>
      <c r="S119" s="1" t="s">
        <v>5</v>
      </c>
      <c r="T119" s="1" t="s">
        <v>1</v>
      </c>
      <c r="U119" s="1" t="s">
        <v>2</v>
      </c>
      <c r="V119" s="1" t="s">
        <v>3</v>
      </c>
      <c r="W119" s="1" t="s">
        <v>4</v>
      </c>
      <c r="X119" s="1" t="s">
        <v>5</v>
      </c>
      <c r="AA119" s="1" t="s">
        <v>14</v>
      </c>
      <c r="AB119" s="1" t="s">
        <v>1</v>
      </c>
      <c r="AC119" s="1" t="s">
        <v>2</v>
      </c>
      <c r="AD119" s="1" t="s">
        <v>3</v>
      </c>
      <c r="AE119" s="1" t="s">
        <v>4</v>
      </c>
      <c r="AF119" s="1" t="s">
        <v>5</v>
      </c>
      <c r="AG119" s="1" t="s">
        <v>1</v>
      </c>
      <c r="AH119" s="1" t="s">
        <v>2</v>
      </c>
      <c r="AI119" s="1" t="s">
        <v>3</v>
      </c>
      <c r="AJ119" s="1" t="s">
        <v>4</v>
      </c>
      <c r="AK119" s="1" t="s">
        <v>5</v>
      </c>
      <c r="AN119" s="1" t="s">
        <v>14</v>
      </c>
      <c r="AO119" s="1" t="s">
        <v>1</v>
      </c>
      <c r="AP119" s="1" t="s">
        <v>1</v>
      </c>
      <c r="AQ119" s="1" t="s">
        <v>2</v>
      </c>
      <c r="AR119" s="1" t="s">
        <v>2</v>
      </c>
      <c r="AS119" s="1" t="s">
        <v>3</v>
      </c>
      <c r="AT119" s="1" t="s">
        <v>3</v>
      </c>
      <c r="AU119" s="1" t="s">
        <v>4</v>
      </c>
      <c r="AV119" s="1" t="s">
        <v>4</v>
      </c>
      <c r="AW119" s="1" t="s">
        <v>5</v>
      </c>
      <c r="AX119" s="1" t="s">
        <v>5</v>
      </c>
    </row>
    <row r="120" spans="2:50" x14ac:dyDescent="0.3">
      <c r="N120" s="1" t="s">
        <v>15</v>
      </c>
      <c r="AA120" s="1" t="s">
        <v>15</v>
      </c>
      <c r="AN120" s="1" t="s">
        <v>15</v>
      </c>
    </row>
    <row r="121" spans="2:50" x14ac:dyDescent="0.3">
      <c r="N121" s="1" t="s">
        <v>16</v>
      </c>
      <c r="O121" s="2">
        <v>34.659999999999997</v>
      </c>
      <c r="P121" s="2">
        <v>48.97</v>
      </c>
      <c r="Q121" s="2">
        <v>31.49</v>
      </c>
      <c r="R121" s="2">
        <v>33.729999999999997</v>
      </c>
      <c r="S121" s="2">
        <v>29.68</v>
      </c>
      <c r="T121" s="2">
        <v>36.54</v>
      </c>
      <c r="U121" s="2">
        <v>55.37</v>
      </c>
      <c r="V121" s="2">
        <v>31.38</v>
      </c>
      <c r="W121" s="2">
        <v>37.69</v>
      </c>
      <c r="X121" s="2">
        <v>35.58</v>
      </c>
      <c r="AA121" s="1" t="s">
        <v>16</v>
      </c>
      <c r="AB121" s="2">
        <v>535.14</v>
      </c>
      <c r="AC121" s="2">
        <v>756.03</v>
      </c>
      <c r="AD121" s="2">
        <v>556.51</v>
      </c>
      <c r="AE121" s="2">
        <v>520.66999999999996</v>
      </c>
      <c r="AF121" s="2">
        <v>267.12</v>
      </c>
      <c r="AG121" s="2">
        <v>564.05999999999995</v>
      </c>
      <c r="AH121" s="2">
        <v>854.63</v>
      </c>
      <c r="AI121" s="2">
        <v>556.62</v>
      </c>
      <c r="AJ121" s="2">
        <v>701.51</v>
      </c>
      <c r="AK121" s="2">
        <v>328.42</v>
      </c>
      <c r="AN121" s="1" t="s">
        <v>16</v>
      </c>
      <c r="AO121" s="2">
        <v>25362.47</v>
      </c>
      <c r="AP121" s="2">
        <v>26437.91</v>
      </c>
      <c r="AQ121" s="2">
        <v>36511.879999999997</v>
      </c>
      <c r="AR121" s="2">
        <v>176501.05</v>
      </c>
      <c r="AS121" s="2">
        <v>131.96</v>
      </c>
      <c r="AT121" s="2">
        <v>131.97999999999999</v>
      </c>
      <c r="AU121" s="2">
        <v>1252502.58</v>
      </c>
      <c r="AV121" s="2">
        <v>3103637.92</v>
      </c>
      <c r="AW121" s="2">
        <v>881.84</v>
      </c>
      <c r="AX121" s="2">
        <v>3005.31</v>
      </c>
    </row>
    <row r="122" spans="2:50" x14ac:dyDescent="0.3">
      <c r="N122" s="1" t="s">
        <v>17</v>
      </c>
      <c r="O122" s="2">
        <v>54</v>
      </c>
      <c r="P122" s="2">
        <v>73.27</v>
      </c>
      <c r="Q122" s="2">
        <v>57.23</v>
      </c>
      <c r="R122" s="2">
        <v>59.21</v>
      </c>
      <c r="S122" s="2">
        <v>24.61</v>
      </c>
      <c r="T122" s="2">
        <v>44.37</v>
      </c>
      <c r="U122" s="2">
        <v>48.07</v>
      </c>
      <c r="V122" s="2">
        <v>51.96</v>
      </c>
      <c r="W122" s="2">
        <v>16.600000000000001</v>
      </c>
      <c r="X122" s="2">
        <v>22.92</v>
      </c>
      <c r="AA122" s="1" t="s">
        <v>17</v>
      </c>
      <c r="AB122" s="2">
        <v>278.2</v>
      </c>
      <c r="AC122" s="2">
        <v>379.23</v>
      </c>
      <c r="AD122" s="2">
        <v>287.17</v>
      </c>
      <c r="AE122" s="2">
        <v>297.19</v>
      </c>
      <c r="AF122" s="2">
        <v>115.96</v>
      </c>
      <c r="AG122" s="2">
        <v>217.43</v>
      </c>
      <c r="AH122" s="2">
        <v>235.53</v>
      </c>
      <c r="AI122" s="2">
        <v>250.44</v>
      </c>
      <c r="AJ122" s="2">
        <v>323.3</v>
      </c>
      <c r="AK122" s="2">
        <v>107.48</v>
      </c>
      <c r="AN122" s="1" t="s">
        <v>17</v>
      </c>
      <c r="AO122" s="2">
        <v>275.61</v>
      </c>
      <c r="AP122" s="2">
        <v>1622.28</v>
      </c>
      <c r="AQ122" s="2">
        <v>725.37</v>
      </c>
      <c r="AR122" s="2">
        <v>230.15</v>
      </c>
      <c r="AS122" s="2">
        <v>214.99</v>
      </c>
      <c r="AT122" s="2">
        <v>317.27999999999997</v>
      </c>
      <c r="AU122" s="2">
        <v>336.06</v>
      </c>
      <c r="AV122" s="2">
        <v>111486</v>
      </c>
      <c r="AW122" s="2">
        <v>207.32</v>
      </c>
      <c r="AX122" s="2">
        <v>316.61</v>
      </c>
    </row>
    <row r="123" spans="2:50" x14ac:dyDescent="0.3">
      <c r="N123" s="1" t="s">
        <v>18</v>
      </c>
      <c r="O123" s="2">
        <v>327.58999999999997</v>
      </c>
      <c r="P123" s="2">
        <v>330.51</v>
      </c>
      <c r="Q123" s="2">
        <v>338.47</v>
      </c>
      <c r="R123" s="2">
        <v>388.49</v>
      </c>
      <c r="S123" s="2">
        <v>62.02</v>
      </c>
      <c r="T123" s="2">
        <v>144.19999999999999</v>
      </c>
      <c r="U123" s="2">
        <v>331.4</v>
      </c>
      <c r="V123" s="2">
        <v>348.57</v>
      </c>
      <c r="W123" s="2">
        <v>423.33</v>
      </c>
      <c r="X123" s="2">
        <v>83.57</v>
      </c>
      <c r="AA123" s="1" t="s">
        <v>18</v>
      </c>
      <c r="AB123" s="2">
        <v>1254.98</v>
      </c>
      <c r="AC123" s="2">
        <v>1746.99</v>
      </c>
      <c r="AD123" s="2">
        <v>1642.95</v>
      </c>
      <c r="AE123" s="2">
        <v>2004.16</v>
      </c>
      <c r="AF123" s="2">
        <v>290.77999999999997</v>
      </c>
      <c r="AG123" s="2">
        <v>705.88</v>
      </c>
      <c r="AH123" s="2">
        <v>962.35</v>
      </c>
      <c r="AI123" s="2">
        <v>1714.73</v>
      </c>
      <c r="AJ123" s="2">
        <v>2087.58</v>
      </c>
      <c r="AK123" s="2">
        <v>324.43</v>
      </c>
      <c r="AN123" s="1" t="s">
        <v>18</v>
      </c>
      <c r="AO123" s="2">
        <v>222.51</v>
      </c>
      <c r="AP123" s="2">
        <v>1263.8499999999999</v>
      </c>
      <c r="AQ123" s="2">
        <v>480.5</v>
      </c>
      <c r="AR123" s="2">
        <v>175.91</v>
      </c>
      <c r="AS123" s="2">
        <v>190.17</v>
      </c>
      <c r="AT123" s="2">
        <v>338.83</v>
      </c>
      <c r="AU123" s="2">
        <v>339.66</v>
      </c>
      <c r="AV123" s="2">
        <v>3125.16</v>
      </c>
      <c r="AW123" s="2">
        <v>650.41</v>
      </c>
      <c r="AX123" s="2">
        <v>264.54000000000002</v>
      </c>
    </row>
    <row r="124" spans="2:50" x14ac:dyDescent="0.3">
      <c r="N124" s="1" t="s">
        <v>19</v>
      </c>
      <c r="O124" s="2">
        <v>81.260000000000005</v>
      </c>
      <c r="P124" s="2">
        <v>114.37</v>
      </c>
      <c r="Q124" s="2">
        <v>115.01</v>
      </c>
      <c r="R124" s="2">
        <v>157.75</v>
      </c>
      <c r="S124" s="2">
        <v>22.39</v>
      </c>
      <c r="T124" s="2">
        <v>42.95</v>
      </c>
      <c r="U124" s="2">
        <v>119.53</v>
      </c>
      <c r="V124" s="2">
        <v>121.36</v>
      </c>
      <c r="W124" s="2">
        <v>102.17</v>
      </c>
      <c r="X124" s="2">
        <v>23.68</v>
      </c>
      <c r="AA124" s="1" t="s">
        <v>19</v>
      </c>
      <c r="AB124" s="2">
        <v>418.14</v>
      </c>
      <c r="AC124" s="2">
        <v>590.63</v>
      </c>
      <c r="AD124" s="2">
        <v>579.39</v>
      </c>
      <c r="AE124" s="2">
        <v>789.35</v>
      </c>
      <c r="AF124" s="2">
        <v>104.81</v>
      </c>
      <c r="AG124" s="2">
        <v>210.05</v>
      </c>
      <c r="AH124" s="2">
        <v>593.47</v>
      </c>
      <c r="AI124" s="2">
        <v>592.64</v>
      </c>
      <c r="AJ124" s="2">
        <v>498.43</v>
      </c>
      <c r="AK124" s="2">
        <v>110.85</v>
      </c>
      <c r="AN124" s="1" t="s">
        <v>19</v>
      </c>
      <c r="AO124" s="2">
        <v>219.17</v>
      </c>
      <c r="AP124" s="2">
        <v>515.24</v>
      </c>
      <c r="AQ124" s="2">
        <v>406.42</v>
      </c>
      <c r="AR124" s="2">
        <v>189.58</v>
      </c>
      <c r="AS124" s="2">
        <v>183.62</v>
      </c>
      <c r="AT124" s="2">
        <v>224.41</v>
      </c>
      <c r="AU124" s="2">
        <v>714.84</v>
      </c>
      <c r="AV124" s="2">
        <v>2402.16</v>
      </c>
      <c r="AW124" s="2">
        <v>337.19</v>
      </c>
      <c r="AX124" s="2">
        <v>292.67</v>
      </c>
    </row>
    <row r="125" spans="2:50" x14ac:dyDescent="0.3">
      <c r="N125" s="1" t="s">
        <v>20</v>
      </c>
      <c r="O125" s="2">
        <v>239.9</v>
      </c>
      <c r="P125" s="2">
        <v>412.76</v>
      </c>
      <c r="Q125" s="2">
        <v>356.99</v>
      </c>
      <c r="R125" s="2">
        <v>400.98</v>
      </c>
      <c r="S125" s="2">
        <v>157.52000000000001</v>
      </c>
      <c r="T125" s="2">
        <v>259.2</v>
      </c>
      <c r="U125" s="2">
        <v>411.69</v>
      </c>
      <c r="V125" s="2">
        <v>416.48</v>
      </c>
      <c r="W125" s="2">
        <v>461.81</v>
      </c>
      <c r="X125" s="2">
        <v>142.57</v>
      </c>
      <c r="AA125" s="1" t="s">
        <v>20</v>
      </c>
      <c r="AB125" s="2">
        <v>1212.0999999999999</v>
      </c>
      <c r="AC125" s="2">
        <v>2087.2399999999998</v>
      </c>
      <c r="AD125" s="2">
        <v>1743.01</v>
      </c>
      <c r="AE125" s="2">
        <v>1958.52</v>
      </c>
      <c r="AF125" s="2">
        <v>730.48</v>
      </c>
      <c r="AG125" s="2">
        <v>1258.8</v>
      </c>
      <c r="AH125" s="2">
        <v>2000.81</v>
      </c>
      <c r="AI125" s="2">
        <v>2005.52</v>
      </c>
      <c r="AJ125" s="2">
        <v>2227.69</v>
      </c>
      <c r="AK125" s="2">
        <v>661.06</v>
      </c>
      <c r="AN125" s="1" t="s">
        <v>20</v>
      </c>
      <c r="AO125" s="2">
        <v>236.3</v>
      </c>
      <c r="AP125" s="2">
        <v>245.52</v>
      </c>
      <c r="AQ125" s="2">
        <v>341.66</v>
      </c>
      <c r="AR125" s="2">
        <v>274.25</v>
      </c>
      <c r="AS125" s="2">
        <v>261.5</v>
      </c>
      <c r="AT125" s="2">
        <v>239.22</v>
      </c>
      <c r="AU125" s="2">
        <v>1882.29</v>
      </c>
      <c r="AV125" s="2">
        <v>2892.96</v>
      </c>
      <c r="AW125" s="2">
        <v>196.71</v>
      </c>
      <c r="AX125" s="2">
        <v>196.14</v>
      </c>
    </row>
    <row r="126" spans="2:50" x14ac:dyDescent="0.3">
      <c r="N126" s="1" t="s">
        <v>21</v>
      </c>
      <c r="O126" s="2">
        <v>57.39</v>
      </c>
      <c r="P126" s="2">
        <v>81.38</v>
      </c>
      <c r="Q126" s="2">
        <v>114.84</v>
      </c>
      <c r="R126" s="2">
        <v>106.02</v>
      </c>
      <c r="S126" s="2">
        <v>25.56</v>
      </c>
      <c r="T126" s="2">
        <v>49.62</v>
      </c>
      <c r="U126" s="2">
        <v>67.36</v>
      </c>
      <c r="V126" s="2">
        <v>104.12</v>
      </c>
      <c r="W126" s="2">
        <v>99.86</v>
      </c>
      <c r="X126" s="2">
        <v>11.17</v>
      </c>
      <c r="AA126" s="1" t="s">
        <v>21</v>
      </c>
      <c r="AB126" s="2">
        <v>230.4</v>
      </c>
      <c r="AC126" s="2">
        <v>326.81</v>
      </c>
      <c r="AD126" s="2">
        <v>453.44</v>
      </c>
      <c r="AE126" s="2">
        <v>412.08</v>
      </c>
      <c r="AF126" s="2">
        <v>92.83</v>
      </c>
      <c r="AG126" s="2">
        <v>190.39</v>
      </c>
      <c r="AH126" s="2">
        <v>265.14</v>
      </c>
      <c r="AI126" s="2">
        <v>424.68</v>
      </c>
      <c r="AJ126" s="2">
        <v>404.88</v>
      </c>
      <c r="AK126" s="2">
        <v>40.42</v>
      </c>
      <c r="AN126" s="1" t="s">
        <v>21</v>
      </c>
      <c r="AO126" s="2">
        <v>194.73</v>
      </c>
      <c r="AP126" s="2">
        <v>205.8</v>
      </c>
      <c r="AQ126" s="2">
        <v>267.39999999999998</v>
      </c>
      <c r="AR126" s="2">
        <v>245.01</v>
      </c>
      <c r="AS126" s="2">
        <v>168.05</v>
      </c>
      <c r="AT126" s="2">
        <v>138.62</v>
      </c>
      <c r="AU126" s="2">
        <v>676.57</v>
      </c>
      <c r="AV126" s="2">
        <v>329.62</v>
      </c>
      <c r="AW126" s="2">
        <v>176.32</v>
      </c>
      <c r="AX126" s="2">
        <v>206.95</v>
      </c>
    </row>
    <row r="127" spans="2:50" x14ac:dyDescent="0.3">
      <c r="N127" s="1" t="s">
        <v>22</v>
      </c>
      <c r="O127" s="2">
        <v>147.31</v>
      </c>
      <c r="P127" s="2">
        <v>170.74</v>
      </c>
      <c r="Q127" s="2">
        <v>182.42</v>
      </c>
      <c r="R127" s="2">
        <v>260.49</v>
      </c>
      <c r="S127" s="2">
        <v>39.51</v>
      </c>
      <c r="T127" s="2">
        <v>169.61</v>
      </c>
      <c r="U127" s="2">
        <v>180.76</v>
      </c>
      <c r="V127" s="2">
        <v>182.74</v>
      </c>
      <c r="W127" s="2">
        <v>148.65</v>
      </c>
      <c r="X127" s="2">
        <v>39.46</v>
      </c>
      <c r="AA127" s="1" t="s">
        <v>22</v>
      </c>
      <c r="AB127" s="2">
        <v>599.74</v>
      </c>
      <c r="AC127" s="2">
        <v>683.14</v>
      </c>
      <c r="AD127" s="2">
        <v>721.83</v>
      </c>
      <c r="AE127" s="2">
        <v>1020.42</v>
      </c>
      <c r="AF127" s="2">
        <v>142.65</v>
      </c>
      <c r="AG127" s="2">
        <v>661.99</v>
      </c>
      <c r="AH127" s="2">
        <v>704.24</v>
      </c>
      <c r="AI127" s="2">
        <v>720.84</v>
      </c>
      <c r="AJ127" s="2">
        <v>594.94000000000005</v>
      </c>
      <c r="AK127" s="2">
        <v>142.69999999999999</v>
      </c>
      <c r="AN127" s="1" t="s">
        <v>22</v>
      </c>
      <c r="AO127" s="2">
        <v>315.10000000000002</v>
      </c>
      <c r="AP127" s="2">
        <v>335.84</v>
      </c>
      <c r="AQ127" s="2">
        <v>448.1</v>
      </c>
      <c r="AR127" s="2">
        <v>492.85</v>
      </c>
      <c r="AS127" s="2">
        <v>253.9</v>
      </c>
      <c r="AT127" s="2">
        <v>227.69</v>
      </c>
      <c r="AU127" s="2">
        <v>1166.9100000000001</v>
      </c>
      <c r="AV127" s="2">
        <v>1829.52</v>
      </c>
      <c r="AW127" s="2">
        <v>354.78</v>
      </c>
      <c r="AX127" s="2">
        <v>355.31</v>
      </c>
    </row>
    <row r="128" spans="2:50" x14ac:dyDescent="0.3">
      <c r="N128" s="1" t="s">
        <v>23</v>
      </c>
      <c r="O128" s="2">
        <v>67.98</v>
      </c>
      <c r="P128" s="2">
        <v>73.02</v>
      </c>
      <c r="Q128" s="2">
        <v>61.78</v>
      </c>
      <c r="R128" s="2">
        <v>57.86</v>
      </c>
      <c r="S128" s="2">
        <v>29.7</v>
      </c>
      <c r="T128" s="2">
        <v>53.7</v>
      </c>
      <c r="U128" s="2">
        <v>45.86</v>
      </c>
      <c r="V128" s="2">
        <v>58.75</v>
      </c>
      <c r="W128" s="2">
        <v>4.84</v>
      </c>
      <c r="X128" s="2">
        <v>19.34</v>
      </c>
      <c r="AA128" s="1" t="s">
        <v>23</v>
      </c>
      <c r="AB128" s="2">
        <v>268.62</v>
      </c>
      <c r="AC128" s="2">
        <v>286.98</v>
      </c>
      <c r="AD128" s="2">
        <v>232.22</v>
      </c>
      <c r="AE128" s="2">
        <v>219.34</v>
      </c>
      <c r="AF128" s="2">
        <v>107.1</v>
      </c>
      <c r="AG128" s="2">
        <v>203.7</v>
      </c>
      <c r="AH128" s="2">
        <v>201.64</v>
      </c>
      <c r="AI128" s="2">
        <v>218.45</v>
      </c>
      <c r="AJ128" s="2">
        <v>94.16</v>
      </c>
      <c r="AK128" s="2">
        <v>69.75</v>
      </c>
      <c r="AN128" s="1" t="s">
        <v>23</v>
      </c>
      <c r="AO128" s="2">
        <v>1405.06</v>
      </c>
      <c r="AP128" s="2">
        <v>1211.0999999999999</v>
      </c>
      <c r="AQ128" s="2">
        <v>1089.8699999999999</v>
      </c>
      <c r="AR128" s="2">
        <v>15697.47</v>
      </c>
      <c r="AS128" s="2">
        <v>327.93</v>
      </c>
      <c r="AT128" s="2">
        <v>307.89999999999998</v>
      </c>
      <c r="AU128" s="2">
        <v>2656.36</v>
      </c>
      <c r="AV128" s="2">
        <v>437232.51</v>
      </c>
      <c r="AW128" s="2">
        <v>581.14</v>
      </c>
      <c r="AX128" s="2">
        <v>268.52999999999997</v>
      </c>
    </row>
    <row r="131" spans="14:37" x14ac:dyDescent="0.3">
      <c r="N131" t="s">
        <v>55</v>
      </c>
      <c r="AA131" t="s">
        <v>56</v>
      </c>
    </row>
    <row r="132" spans="14:37" x14ac:dyDescent="0.3">
      <c r="N132" s="1" t="s">
        <v>11</v>
      </c>
      <c r="O132" s="1" t="s">
        <v>12</v>
      </c>
      <c r="P132" s="1" t="s">
        <v>13</v>
      </c>
      <c r="Q132" s="1" t="s">
        <v>12</v>
      </c>
      <c r="R132" s="1" t="s">
        <v>13</v>
      </c>
      <c r="S132" s="1" t="s">
        <v>12</v>
      </c>
      <c r="T132" s="1" t="s">
        <v>13</v>
      </c>
      <c r="U132" s="1" t="s">
        <v>12</v>
      </c>
      <c r="V132" s="1" t="s">
        <v>13</v>
      </c>
      <c r="W132" s="1" t="s">
        <v>12</v>
      </c>
      <c r="X132" s="1" t="s">
        <v>13</v>
      </c>
      <c r="AA132" s="1" t="s">
        <v>11</v>
      </c>
      <c r="AB132" s="1" t="s">
        <v>12</v>
      </c>
      <c r="AC132" s="1" t="s">
        <v>13</v>
      </c>
      <c r="AD132" s="1" t="s">
        <v>12</v>
      </c>
      <c r="AE132" s="1" t="s">
        <v>13</v>
      </c>
      <c r="AF132" s="1" t="s">
        <v>12</v>
      </c>
      <c r="AG132" s="1" t="s">
        <v>13</v>
      </c>
      <c r="AH132" s="1" t="s">
        <v>12</v>
      </c>
      <c r="AI132" s="1" t="s">
        <v>13</v>
      </c>
      <c r="AJ132" s="1" t="s">
        <v>12</v>
      </c>
      <c r="AK132" s="1" t="s">
        <v>13</v>
      </c>
    </row>
    <row r="133" spans="14:37" x14ac:dyDescent="0.3">
      <c r="N133" s="1" t="s">
        <v>14</v>
      </c>
      <c r="O133" s="1" t="s">
        <v>1</v>
      </c>
      <c r="P133" s="1" t="s">
        <v>1</v>
      </c>
      <c r="Q133" s="1" t="s">
        <v>2</v>
      </c>
      <c r="R133" s="1" t="s">
        <v>2</v>
      </c>
      <c r="S133" s="1" t="s">
        <v>3</v>
      </c>
      <c r="T133" s="1" t="s">
        <v>3</v>
      </c>
      <c r="U133" s="1" t="s">
        <v>4</v>
      </c>
      <c r="V133" s="1" t="s">
        <v>4</v>
      </c>
      <c r="W133" s="1" t="s">
        <v>5</v>
      </c>
      <c r="X133" s="1" t="s">
        <v>5</v>
      </c>
      <c r="AA133" s="1" t="s">
        <v>14</v>
      </c>
      <c r="AB133" s="1" t="s">
        <v>1</v>
      </c>
      <c r="AC133" s="1" t="s">
        <v>1</v>
      </c>
      <c r="AD133" s="1" t="s">
        <v>2</v>
      </c>
      <c r="AE133" s="1" t="s">
        <v>2</v>
      </c>
      <c r="AF133" s="1" t="s">
        <v>3</v>
      </c>
      <c r="AG133" s="1" t="s">
        <v>3</v>
      </c>
      <c r="AH133" s="1" t="s">
        <v>4</v>
      </c>
      <c r="AI133" s="1" t="s">
        <v>4</v>
      </c>
      <c r="AJ133" s="1" t="s">
        <v>5</v>
      </c>
      <c r="AK133" s="1" t="s">
        <v>5</v>
      </c>
    </row>
    <row r="134" spans="14:37" x14ac:dyDescent="0.3">
      <c r="N134" s="1" t="s">
        <v>15</v>
      </c>
      <c r="AA134" s="1" t="s">
        <v>15</v>
      </c>
    </row>
    <row r="135" spans="14:37" x14ac:dyDescent="0.3">
      <c r="N135" s="1" t="s">
        <v>16</v>
      </c>
      <c r="O135" s="2">
        <v>15.76</v>
      </c>
      <c r="P135" s="2">
        <v>16.61</v>
      </c>
      <c r="Q135" s="2">
        <v>19.59</v>
      </c>
      <c r="R135" s="2">
        <v>22.15</v>
      </c>
      <c r="S135" s="2">
        <v>11.25</v>
      </c>
      <c r="T135" s="2">
        <v>11.21</v>
      </c>
      <c r="U135" s="2">
        <v>10.220000000000001</v>
      </c>
      <c r="V135" s="2">
        <v>11.42</v>
      </c>
      <c r="W135" s="2">
        <v>37.090000000000003</v>
      </c>
      <c r="X135" s="2">
        <v>44.47</v>
      </c>
      <c r="AA135" s="1" t="s">
        <v>16</v>
      </c>
      <c r="AB135" s="2">
        <v>243.24</v>
      </c>
      <c r="AC135" s="2">
        <v>256.39</v>
      </c>
      <c r="AD135" s="2">
        <v>302.41000000000003</v>
      </c>
      <c r="AE135" s="2">
        <v>341.85</v>
      </c>
      <c r="AF135" s="2">
        <v>198.75</v>
      </c>
      <c r="AG135" s="2">
        <v>198.79</v>
      </c>
      <c r="AH135" s="2">
        <v>157.78</v>
      </c>
      <c r="AI135" s="2">
        <v>212.58</v>
      </c>
      <c r="AJ135" s="2">
        <v>333.91</v>
      </c>
      <c r="AK135" s="2">
        <v>410.53</v>
      </c>
    </row>
    <row r="136" spans="14:37" x14ac:dyDescent="0.3">
      <c r="N136" s="1" t="s">
        <v>17</v>
      </c>
      <c r="O136" s="2">
        <v>24.55</v>
      </c>
      <c r="P136" s="2">
        <v>20.170000000000002</v>
      </c>
      <c r="Q136" s="2">
        <v>29.31</v>
      </c>
      <c r="R136" s="2">
        <v>19.23</v>
      </c>
      <c r="S136" s="2">
        <v>20.440000000000001</v>
      </c>
      <c r="T136" s="2">
        <v>18.559999999999999</v>
      </c>
      <c r="U136" s="2">
        <v>17.940000000000001</v>
      </c>
      <c r="V136" s="2">
        <v>5.03</v>
      </c>
      <c r="W136" s="2">
        <v>30.76</v>
      </c>
      <c r="X136" s="2">
        <v>28.65</v>
      </c>
      <c r="AA136" s="1" t="s">
        <v>17</v>
      </c>
      <c r="AB136" s="2">
        <v>126.45</v>
      </c>
      <c r="AC136" s="2">
        <v>98.83</v>
      </c>
      <c r="AD136" s="2">
        <v>151.69</v>
      </c>
      <c r="AE136" s="2">
        <v>94.21</v>
      </c>
      <c r="AF136" s="2">
        <v>102.56</v>
      </c>
      <c r="AG136" s="2">
        <v>89.44</v>
      </c>
      <c r="AH136" s="2">
        <v>90.06</v>
      </c>
      <c r="AI136" s="2">
        <v>97.97</v>
      </c>
      <c r="AJ136" s="2">
        <v>144.94999999999999</v>
      </c>
      <c r="AK136" s="2">
        <v>134.35</v>
      </c>
    </row>
    <row r="137" spans="14:37" x14ac:dyDescent="0.3">
      <c r="N137" s="1" t="s">
        <v>18</v>
      </c>
      <c r="O137" s="2">
        <v>148.91</v>
      </c>
      <c r="P137" s="2">
        <v>65.540000000000006</v>
      </c>
      <c r="Q137" s="2">
        <v>132.19999999999999</v>
      </c>
      <c r="R137" s="2">
        <v>132.56</v>
      </c>
      <c r="S137" s="2">
        <v>120.88</v>
      </c>
      <c r="T137" s="2">
        <v>124.49</v>
      </c>
      <c r="U137" s="2">
        <v>117.72</v>
      </c>
      <c r="V137" s="2">
        <v>128.28</v>
      </c>
      <c r="W137" s="2">
        <v>77.52</v>
      </c>
      <c r="X137" s="2">
        <v>104.46</v>
      </c>
      <c r="AA137" s="1" t="s">
        <v>18</v>
      </c>
      <c r="AB137" s="2">
        <v>570.45000000000005</v>
      </c>
      <c r="AC137" s="2">
        <v>320.86</v>
      </c>
      <c r="AD137" s="2">
        <v>698.8</v>
      </c>
      <c r="AE137" s="2">
        <v>384.94</v>
      </c>
      <c r="AF137" s="2">
        <v>586.77</v>
      </c>
      <c r="AG137" s="2">
        <v>612.4</v>
      </c>
      <c r="AH137" s="2">
        <v>607.32000000000005</v>
      </c>
      <c r="AI137" s="2">
        <v>632.6</v>
      </c>
      <c r="AJ137" s="2">
        <v>363.48</v>
      </c>
      <c r="AK137" s="2">
        <v>405.54</v>
      </c>
    </row>
    <row r="138" spans="14:37" x14ac:dyDescent="0.3">
      <c r="N138" s="1" t="s">
        <v>19</v>
      </c>
      <c r="O138" s="2">
        <v>36.94</v>
      </c>
      <c r="P138" s="2">
        <v>19.52</v>
      </c>
      <c r="Q138" s="2">
        <v>45.75</v>
      </c>
      <c r="R138" s="2">
        <v>47.81</v>
      </c>
      <c r="S138" s="2">
        <v>41.07</v>
      </c>
      <c r="T138" s="2">
        <v>43.34</v>
      </c>
      <c r="U138" s="2">
        <v>47.8</v>
      </c>
      <c r="V138" s="2">
        <v>30.96</v>
      </c>
      <c r="W138" s="2">
        <v>27.99</v>
      </c>
      <c r="X138" s="2">
        <v>29.59</v>
      </c>
      <c r="AA138" s="1" t="s">
        <v>19</v>
      </c>
      <c r="AB138" s="2">
        <v>190.06</v>
      </c>
      <c r="AC138" s="2">
        <v>95.48</v>
      </c>
      <c r="AD138" s="2">
        <v>236.25</v>
      </c>
      <c r="AE138" s="2">
        <v>237.39</v>
      </c>
      <c r="AF138" s="2">
        <v>206.93</v>
      </c>
      <c r="AG138" s="2">
        <v>211.66</v>
      </c>
      <c r="AH138" s="2">
        <v>239.2</v>
      </c>
      <c r="AI138" s="2">
        <v>151.04</v>
      </c>
      <c r="AJ138" s="2">
        <v>131.01</v>
      </c>
      <c r="AK138" s="2">
        <v>138.56</v>
      </c>
    </row>
    <row r="139" spans="14:37" x14ac:dyDescent="0.3">
      <c r="N139" s="1" t="s">
        <v>20</v>
      </c>
      <c r="O139" s="2">
        <v>109.05</v>
      </c>
      <c r="P139" s="2">
        <v>117.82</v>
      </c>
      <c r="Q139" s="2">
        <v>165.11</v>
      </c>
      <c r="R139" s="2">
        <v>164.67</v>
      </c>
      <c r="S139" s="2">
        <v>127.5</v>
      </c>
      <c r="T139" s="2">
        <v>148.74</v>
      </c>
      <c r="U139" s="2">
        <v>121.51</v>
      </c>
      <c r="V139" s="2">
        <v>139.94</v>
      </c>
      <c r="W139" s="2">
        <v>196.9</v>
      </c>
      <c r="X139" s="2">
        <v>178.21</v>
      </c>
      <c r="AA139" s="1" t="s">
        <v>20</v>
      </c>
      <c r="AB139" s="2">
        <v>550.95000000000005</v>
      </c>
      <c r="AC139" s="2">
        <v>572.17999999999995</v>
      </c>
      <c r="AD139" s="2">
        <v>834.89</v>
      </c>
      <c r="AE139" s="2">
        <v>800.33</v>
      </c>
      <c r="AF139" s="2">
        <v>622.5</v>
      </c>
      <c r="AG139" s="2">
        <v>716.26</v>
      </c>
      <c r="AH139" s="2">
        <v>593.49</v>
      </c>
      <c r="AI139" s="2">
        <v>675.06</v>
      </c>
      <c r="AJ139" s="2">
        <v>913.1</v>
      </c>
      <c r="AK139" s="2">
        <v>826.32</v>
      </c>
    </row>
    <row r="140" spans="14:37" x14ac:dyDescent="0.3">
      <c r="N140" s="1" t="s">
        <v>21</v>
      </c>
      <c r="O140" s="2">
        <v>26.09</v>
      </c>
      <c r="P140" s="2">
        <v>22.55</v>
      </c>
      <c r="Q140" s="2">
        <v>32.549999999999997</v>
      </c>
      <c r="R140" s="2">
        <v>26.94</v>
      </c>
      <c r="S140" s="2">
        <v>41.01</v>
      </c>
      <c r="T140" s="2">
        <v>37.19</v>
      </c>
      <c r="U140" s="2">
        <v>32.130000000000003</v>
      </c>
      <c r="V140" s="2">
        <v>30.26</v>
      </c>
      <c r="W140" s="2">
        <v>31.95</v>
      </c>
      <c r="X140" s="2">
        <v>13.96</v>
      </c>
      <c r="AA140" s="1" t="s">
        <v>21</v>
      </c>
      <c r="AB140" s="2">
        <v>104.73</v>
      </c>
      <c r="AC140" s="2">
        <v>86.54</v>
      </c>
      <c r="AD140" s="2">
        <v>130.72</v>
      </c>
      <c r="AE140" s="2">
        <v>106.06</v>
      </c>
      <c r="AF140" s="2">
        <v>161.94</v>
      </c>
      <c r="AG140" s="2">
        <v>151.66999999999999</v>
      </c>
      <c r="AH140" s="2">
        <v>124.87</v>
      </c>
      <c r="AI140" s="2">
        <v>122.69</v>
      </c>
      <c r="AJ140" s="2">
        <v>116.04</v>
      </c>
      <c r="AK140" s="2">
        <v>50.53</v>
      </c>
    </row>
    <row r="141" spans="14:37" x14ac:dyDescent="0.3">
      <c r="N141" s="1" t="s">
        <v>22</v>
      </c>
      <c r="O141" s="2">
        <v>66.959999999999994</v>
      </c>
      <c r="P141" s="2">
        <v>77.099999999999994</v>
      </c>
      <c r="Q141" s="2">
        <v>68.290000000000006</v>
      </c>
      <c r="R141" s="2">
        <v>72.3</v>
      </c>
      <c r="S141" s="2">
        <v>65.150000000000006</v>
      </c>
      <c r="T141" s="2">
        <v>65.260000000000005</v>
      </c>
      <c r="U141" s="2">
        <v>78.94</v>
      </c>
      <c r="V141" s="2">
        <v>45.04</v>
      </c>
      <c r="W141" s="2">
        <v>49.39</v>
      </c>
      <c r="X141" s="2">
        <v>49.33</v>
      </c>
      <c r="AA141" s="1" t="s">
        <v>22</v>
      </c>
      <c r="AB141" s="2">
        <v>272.61</v>
      </c>
      <c r="AC141" s="2">
        <v>300.89999999999998</v>
      </c>
      <c r="AD141" s="2">
        <v>273.26</v>
      </c>
      <c r="AE141" s="2">
        <v>281.7</v>
      </c>
      <c r="AF141" s="2">
        <v>257.8</v>
      </c>
      <c r="AG141" s="2">
        <v>257.44</v>
      </c>
      <c r="AH141" s="2">
        <v>309.22000000000003</v>
      </c>
      <c r="AI141" s="2">
        <v>180.28</v>
      </c>
      <c r="AJ141" s="2">
        <v>178.31</v>
      </c>
      <c r="AK141" s="2">
        <v>178.37</v>
      </c>
    </row>
    <row r="142" spans="14:37" x14ac:dyDescent="0.3">
      <c r="N142" s="1" t="s">
        <v>23</v>
      </c>
      <c r="O142" s="2">
        <v>30.9</v>
      </c>
      <c r="P142" s="2">
        <v>24.41</v>
      </c>
      <c r="Q142" s="2">
        <v>29.21</v>
      </c>
      <c r="R142" s="2">
        <v>18.34</v>
      </c>
      <c r="S142" s="2">
        <v>22.06</v>
      </c>
      <c r="T142" s="2">
        <v>20.98</v>
      </c>
      <c r="U142" s="2">
        <v>17.53</v>
      </c>
      <c r="V142" s="2">
        <v>1.47</v>
      </c>
      <c r="W142" s="2">
        <v>37.130000000000003</v>
      </c>
      <c r="X142" s="2">
        <v>24.17</v>
      </c>
      <c r="AA142" s="1" t="s">
        <v>23</v>
      </c>
      <c r="AB142" s="2">
        <v>122.1</v>
      </c>
      <c r="AC142" s="2">
        <v>92.59</v>
      </c>
      <c r="AD142" s="2">
        <v>114.79</v>
      </c>
      <c r="AE142" s="2">
        <v>80.66</v>
      </c>
      <c r="AF142" s="2">
        <v>82.94</v>
      </c>
      <c r="AG142" s="2">
        <v>78.02</v>
      </c>
      <c r="AH142" s="2">
        <v>66.47</v>
      </c>
      <c r="AI142" s="2">
        <v>28.53</v>
      </c>
      <c r="AJ142" s="2">
        <v>133.87</v>
      </c>
      <c r="AK142" s="2">
        <v>87.19</v>
      </c>
    </row>
    <row r="145" spans="14:37" x14ac:dyDescent="0.3">
      <c r="N145" t="s">
        <v>57</v>
      </c>
      <c r="AA145" t="s">
        <v>58</v>
      </c>
    </row>
    <row r="146" spans="14:37" x14ac:dyDescent="0.3">
      <c r="N146" s="1" t="s">
        <v>11</v>
      </c>
      <c r="O146" s="3" t="s">
        <v>12</v>
      </c>
      <c r="P146" s="3"/>
      <c r="Q146" s="3"/>
      <c r="R146" s="3"/>
      <c r="S146" s="3"/>
      <c r="T146" s="3" t="s">
        <v>13</v>
      </c>
      <c r="U146" s="3"/>
      <c r="V146" s="3"/>
      <c r="W146" s="3"/>
      <c r="X146" s="3"/>
      <c r="AA146" s="1" t="s">
        <v>11</v>
      </c>
      <c r="AB146" s="3" t="s">
        <v>12</v>
      </c>
      <c r="AC146" s="3"/>
      <c r="AD146" s="3"/>
      <c r="AE146" s="3"/>
      <c r="AF146" s="3"/>
      <c r="AG146" s="3" t="s">
        <v>13</v>
      </c>
      <c r="AH146" s="3"/>
      <c r="AI146" s="3"/>
      <c r="AJ146" s="3"/>
      <c r="AK146" s="3"/>
    </row>
    <row r="147" spans="14:37" x14ac:dyDescent="0.3">
      <c r="N147" s="1" t="s">
        <v>14</v>
      </c>
      <c r="O147" s="1" t="s">
        <v>1</v>
      </c>
      <c r="P147" s="1" t="s">
        <v>2</v>
      </c>
      <c r="Q147" s="1" t="s">
        <v>3</v>
      </c>
      <c r="R147" s="1" t="s">
        <v>4</v>
      </c>
      <c r="S147" s="1" t="s">
        <v>5</v>
      </c>
      <c r="T147" s="1" t="s">
        <v>1</v>
      </c>
      <c r="U147" s="1" t="s">
        <v>2</v>
      </c>
      <c r="V147" s="1" t="s">
        <v>3</v>
      </c>
      <c r="W147" s="1" t="s">
        <v>4</v>
      </c>
      <c r="X147" s="1" t="s">
        <v>5</v>
      </c>
      <c r="AA147" s="1" t="s">
        <v>14</v>
      </c>
      <c r="AB147" s="1" t="s">
        <v>1</v>
      </c>
      <c r="AC147" s="1" t="s">
        <v>2</v>
      </c>
      <c r="AD147" s="1" t="s">
        <v>3</v>
      </c>
      <c r="AE147" s="1" t="s">
        <v>4</v>
      </c>
      <c r="AF147" s="1" t="s">
        <v>5</v>
      </c>
      <c r="AG147" s="1" t="s">
        <v>1</v>
      </c>
      <c r="AH147" s="1" t="s">
        <v>2</v>
      </c>
      <c r="AI147" s="1" t="s">
        <v>3</v>
      </c>
      <c r="AJ147" s="1" t="s">
        <v>4</v>
      </c>
      <c r="AK147" s="1" t="s">
        <v>5</v>
      </c>
    </row>
    <row r="148" spans="14:37" x14ac:dyDescent="0.3">
      <c r="N148" s="1" t="s">
        <v>15</v>
      </c>
      <c r="AA148" s="1" t="s">
        <v>15</v>
      </c>
    </row>
    <row r="149" spans="14:37" x14ac:dyDescent="0.3">
      <c r="N149" s="1" t="s">
        <v>16</v>
      </c>
      <c r="O149" s="2">
        <v>9.3699999999999992</v>
      </c>
      <c r="P149" s="2">
        <v>4.26</v>
      </c>
      <c r="Q149" s="2">
        <v>7.35</v>
      </c>
      <c r="R149" s="2">
        <v>7.03</v>
      </c>
      <c r="S149" s="2">
        <v>2.77</v>
      </c>
      <c r="T149" s="2">
        <v>14.99</v>
      </c>
      <c r="U149" s="2">
        <v>8.52</v>
      </c>
      <c r="V149" s="2">
        <v>11.51</v>
      </c>
      <c r="W149" s="2">
        <v>3.53</v>
      </c>
      <c r="X149" s="2">
        <v>5.44</v>
      </c>
      <c r="AA149" s="1" t="s">
        <v>16</v>
      </c>
      <c r="AB149" s="2">
        <v>144.63</v>
      </c>
      <c r="AC149" s="2">
        <v>65.739999999999995</v>
      </c>
      <c r="AD149" s="2">
        <v>129.85</v>
      </c>
      <c r="AE149" s="2">
        <v>108.47</v>
      </c>
      <c r="AF149" s="2">
        <v>25.23</v>
      </c>
      <c r="AG149" s="2">
        <v>231.41</v>
      </c>
      <c r="AH149" s="2">
        <v>131.47999999999999</v>
      </c>
      <c r="AI149" s="2">
        <v>204.09</v>
      </c>
      <c r="AJ149" s="2">
        <v>65.77</v>
      </c>
      <c r="AK149" s="2">
        <v>50.56</v>
      </c>
    </row>
    <row r="150" spans="14:37" x14ac:dyDescent="0.3">
      <c r="N150" s="1" t="s">
        <v>17</v>
      </c>
      <c r="O150" s="2">
        <v>28.26</v>
      </c>
      <c r="P150" s="2">
        <v>29.96</v>
      </c>
      <c r="Q150" s="2">
        <v>44.2</v>
      </c>
      <c r="R150" s="2">
        <v>47.7</v>
      </c>
      <c r="S150" s="2">
        <v>10.09</v>
      </c>
      <c r="T150" s="2">
        <v>19.760000000000002</v>
      </c>
      <c r="U150" s="2">
        <v>45.27</v>
      </c>
      <c r="V150" s="2">
        <v>28.87</v>
      </c>
      <c r="W150" s="2">
        <v>9.0299999999999994</v>
      </c>
      <c r="X150" s="2">
        <v>21.79</v>
      </c>
      <c r="AA150" s="1" t="s">
        <v>17</v>
      </c>
      <c r="AB150" s="2">
        <v>145.54</v>
      </c>
      <c r="AC150" s="2">
        <v>155.04</v>
      </c>
      <c r="AD150" s="2">
        <v>221.8</v>
      </c>
      <c r="AE150" s="2">
        <v>239.4</v>
      </c>
      <c r="AF150" s="2">
        <v>47.54</v>
      </c>
      <c r="AG150" s="2">
        <v>96.84</v>
      </c>
      <c r="AH150" s="2">
        <v>221.79</v>
      </c>
      <c r="AI150" s="2">
        <v>139.13</v>
      </c>
      <c r="AJ150" s="2">
        <v>175.77</v>
      </c>
      <c r="AK150" s="2">
        <v>102.21</v>
      </c>
    </row>
    <row r="151" spans="14:37" x14ac:dyDescent="0.3">
      <c r="N151" s="1" t="s">
        <v>18</v>
      </c>
      <c r="O151" s="2">
        <v>81.16</v>
      </c>
      <c r="P151" s="2">
        <v>101.47</v>
      </c>
      <c r="Q151" s="2">
        <v>148.04</v>
      </c>
      <c r="R151" s="2">
        <v>135.88</v>
      </c>
      <c r="S151" s="2">
        <v>18.989999999999998</v>
      </c>
      <c r="T151" s="2">
        <v>50.22</v>
      </c>
      <c r="U151" s="2">
        <v>198.86</v>
      </c>
      <c r="V151" s="2">
        <v>132.56</v>
      </c>
      <c r="W151" s="2">
        <v>132.56</v>
      </c>
      <c r="X151" s="2">
        <v>49.16</v>
      </c>
      <c r="AA151" s="1" t="s">
        <v>18</v>
      </c>
      <c r="AB151" s="2">
        <v>310.79000000000002</v>
      </c>
      <c r="AC151" s="2">
        <v>536.03</v>
      </c>
      <c r="AD151" s="2">
        <v>718.26</v>
      </c>
      <c r="AE151" s="2">
        <v>700.39</v>
      </c>
      <c r="AF151" s="2">
        <v>89.01</v>
      </c>
      <c r="AG151" s="2">
        <v>245.79</v>
      </c>
      <c r="AH151" s="2">
        <v>577.39</v>
      </c>
      <c r="AI151" s="2">
        <v>651.83000000000004</v>
      </c>
      <c r="AJ151" s="2">
        <v>653.38</v>
      </c>
      <c r="AK151" s="2">
        <v>190.84</v>
      </c>
    </row>
    <row r="152" spans="14:37" x14ac:dyDescent="0.3">
      <c r="N152" s="1" t="s">
        <v>19</v>
      </c>
      <c r="O152" s="2">
        <v>22.56</v>
      </c>
      <c r="P152" s="2">
        <v>37.729999999999997</v>
      </c>
      <c r="Q152" s="2">
        <v>50.1</v>
      </c>
      <c r="R152" s="2">
        <v>49.49</v>
      </c>
      <c r="S152" s="2">
        <v>7.32</v>
      </c>
      <c r="T152" s="2">
        <v>16.75</v>
      </c>
      <c r="U152" s="2">
        <v>62.68</v>
      </c>
      <c r="V152" s="2">
        <v>56.65</v>
      </c>
      <c r="W152" s="2">
        <v>48.85</v>
      </c>
      <c r="X152" s="2">
        <v>12.37</v>
      </c>
      <c r="AA152" s="1" t="s">
        <v>19</v>
      </c>
      <c r="AB152" s="2">
        <v>116.04</v>
      </c>
      <c r="AC152" s="2">
        <v>194.77</v>
      </c>
      <c r="AD152" s="2">
        <v>252.3</v>
      </c>
      <c r="AE152" s="2">
        <v>247.51</v>
      </c>
      <c r="AF152" s="2">
        <v>34.28</v>
      </c>
      <c r="AG152" s="2">
        <v>81.92</v>
      </c>
      <c r="AH152" s="2">
        <v>311.07</v>
      </c>
      <c r="AI152" s="2">
        <v>276.55</v>
      </c>
      <c r="AJ152" s="2">
        <v>238.25</v>
      </c>
      <c r="AK152" s="2">
        <v>57.93</v>
      </c>
    </row>
    <row r="153" spans="14:37" x14ac:dyDescent="0.3">
      <c r="N153" s="1" t="s">
        <v>20</v>
      </c>
      <c r="O153" s="2">
        <v>65.44</v>
      </c>
      <c r="P153" s="2">
        <v>134.18</v>
      </c>
      <c r="Q153" s="2">
        <v>161.86000000000001</v>
      </c>
      <c r="R153" s="2">
        <v>173.87</v>
      </c>
      <c r="S153" s="2">
        <v>51.09</v>
      </c>
      <c r="T153" s="2">
        <v>80.78</v>
      </c>
      <c r="U153" s="2">
        <v>145.08000000000001</v>
      </c>
      <c r="V153" s="2">
        <v>178.18</v>
      </c>
      <c r="W153" s="2">
        <v>175.68</v>
      </c>
      <c r="X153" s="2">
        <v>50.21</v>
      </c>
      <c r="AA153" s="1" t="s">
        <v>20</v>
      </c>
      <c r="AB153" s="2">
        <v>330.56</v>
      </c>
      <c r="AC153" s="2">
        <v>678.32</v>
      </c>
      <c r="AD153" s="2">
        <v>790.14</v>
      </c>
      <c r="AE153" s="2">
        <v>849.13</v>
      </c>
      <c r="AF153" s="2">
        <v>236.91</v>
      </c>
      <c r="AG153" s="2">
        <v>392.22</v>
      </c>
      <c r="AH153" s="2">
        <v>704.92</v>
      </c>
      <c r="AI153" s="2">
        <v>857.82</v>
      </c>
      <c r="AJ153" s="2">
        <v>847.32</v>
      </c>
      <c r="AK153" s="2">
        <v>232.76</v>
      </c>
    </row>
    <row r="154" spans="14:37" x14ac:dyDescent="0.3">
      <c r="N154" s="1" t="s">
        <v>21</v>
      </c>
      <c r="O154" s="2">
        <v>19.3</v>
      </c>
      <c r="P154" s="2">
        <v>28.52</v>
      </c>
      <c r="Q154" s="2">
        <v>34.770000000000003</v>
      </c>
      <c r="R154" s="2">
        <v>27.69</v>
      </c>
      <c r="S154" s="2">
        <v>8.8000000000000007</v>
      </c>
      <c r="T154" s="2">
        <v>6.71</v>
      </c>
      <c r="U154" s="2">
        <v>37.479999999999997</v>
      </c>
      <c r="V154" s="2">
        <v>22.22</v>
      </c>
      <c r="W154" s="2">
        <v>45.06</v>
      </c>
      <c r="X154" s="2">
        <v>6.22</v>
      </c>
      <c r="AA154" s="1" t="s">
        <v>21</v>
      </c>
      <c r="AB154" s="2">
        <v>77.459999999999994</v>
      </c>
      <c r="AC154" s="2">
        <v>114.48</v>
      </c>
      <c r="AD154" s="2">
        <v>137.25</v>
      </c>
      <c r="AE154" s="2">
        <v>107.61</v>
      </c>
      <c r="AF154" s="2">
        <v>31.95</v>
      </c>
      <c r="AG154" s="2">
        <v>25.73</v>
      </c>
      <c r="AH154" s="2">
        <v>147.52000000000001</v>
      </c>
      <c r="AI154" s="2">
        <v>90.56</v>
      </c>
      <c r="AJ154" s="2">
        <v>182.64</v>
      </c>
      <c r="AK154" s="2">
        <v>22.52</v>
      </c>
    </row>
    <row r="155" spans="14:37" x14ac:dyDescent="0.3">
      <c r="N155" s="1" t="s">
        <v>22</v>
      </c>
      <c r="O155" s="2">
        <v>32.28</v>
      </c>
      <c r="P155" s="2">
        <v>25.87</v>
      </c>
      <c r="Q155" s="2">
        <v>42.57</v>
      </c>
      <c r="R155" s="2">
        <v>51.26</v>
      </c>
      <c r="S155" s="2">
        <v>5.39</v>
      </c>
      <c r="T155" s="2">
        <v>32.32</v>
      </c>
      <c r="U155" s="2">
        <v>42.9</v>
      </c>
      <c r="V155" s="2">
        <v>39.04</v>
      </c>
      <c r="W155" s="2">
        <v>49.56</v>
      </c>
      <c r="X155" s="2">
        <v>9.57</v>
      </c>
      <c r="AA155" s="1" t="s">
        <v>22</v>
      </c>
      <c r="AB155" s="2">
        <v>131.36000000000001</v>
      </c>
      <c r="AC155" s="2">
        <v>103.5</v>
      </c>
      <c r="AD155" s="2">
        <v>168.42</v>
      </c>
      <c r="AE155" s="2">
        <v>200.73</v>
      </c>
      <c r="AF155" s="2">
        <v>19.45</v>
      </c>
      <c r="AG155" s="2">
        <v>126.08</v>
      </c>
      <c r="AH155" s="2">
        <v>167.1</v>
      </c>
      <c r="AI155" s="2">
        <v>153.94999999999999</v>
      </c>
      <c r="AJ155" s="2">
        <v>198.3</v>
      </c>
      <c r="AK155" s="2">
        <v>34.590000000000003</v>
      </c>
    </row>
    <row r="156" spans="14:37" x14ac:dyDescent="0.3">
      <c r="N156" s="1" t="s">
        <v>23</v>
      </c>
      <c r="O156" s="2">
        <v>6.66</v>
      </c>
      <c r="P156" s="2">
        <v>7.61</v>
      </c>
      <c r="Q156" s="2">
        <v>12.36</v>
      </c>
      <c r="R156" s="2">
        <v>2.0699999999999998</v>
      </c>
      <c r="S156" s="2">
        <v>3.13</v>
      </c>
      <c r="T156" s="2">
        <v>12.39</v>
      </c>
      <c r="U156" s="2">
        <v>12.51</v>
      </c>
      <c r="V156" s="2">
        <v>21.36</v>
      </c>
      <c r="W156" s="2">
        <v>0.48</v>
      </c>
      <c r="X156" s="2">
        <v>4.96</v>
      </c>
      <c r="AA156" s="1" t="s">
        <v>23</v>
      </c>
      <c r="AB156" s="2">
        <v>26.34</v>
      </c>
      <c r="AC156" s="2">
        <v>29.89</v>
      </c>
      <c r="AD156" s="2">
        <v>46.44</v>
      </c>
      <c r="AE156" s="2">
        <v>7.83</v>
      </c>
      <c r="AF156" s="2">
        <v>11.27</v>
      </c>
      <c r="AG156" s="2">
        <v>47.01</v>
      </c>
      <c r="AH156" s="2">
        <v>54.99</v>
      </c>
      <c r="AI156" s="2">
        <v>79.44</v>
      </c>
      <c r="AJ156" s="2">
        <v>9.42</v>
      </c>
      <c r="AK156" s="2">
        <v>17.89</v>
      </c>
    </row>
    <row r="159" spans="14:37" x14ac:dyDescent="0.3">
      <c r="N159" t="s">
        <v>59</v>
      </c>
      <c r="AA159" t="s">
        <v>60</v>
      </c>
    </row>
    <row r="160" spans="14:37" x14ac:dyDescent="0.3">
      <c r="N160" s="1" t="s">
        <v>11</v>
      </c>
      <c r="O160" s="1" t="s">
        <v>12</v>
      </c>
      <c r="P160" s="1" t="s">
        <v>13</v>
      </c>
      <c r="Q160" s="1" t="s">
        <v>12</v>
      </c>
      <c r="R160" s="1" t="s">
        <v>13</v>
      </c>
      <c r="S160" s="1" t="s">
        <v>12</v>
      </c>
      <c r="T160" s="1" t="s">
        <v>13</v>
      </c>
      <c r="U160" s="1" t="s">
        <v>12</v>
      </c>
      <c r="V160" s="1" t="s">
        <v>13</v>
      </c>
      <c r="W160" s="1" t="s">
        <v>12</v>
      </c>
      <c r="X160" s="1" t="s">
        <v>13</v>
      </c>
      <c r="AA160" s="1" t="s">
        <v>11</v>
      </c>
      <c r="AB160" s="1" t="s">
        <v>12</v>
      </c>
      <c r="AC160" s="1" t="s">
        <v>13</v>
      </c>
      <c r="AD160" s="1" t="s">
        <v>12</v>
      </c>
      <c r="AE160" s="1" t="s">
        <v>13</v>
      </c>
      <c r="AF160" s="1" t="s">
        <v>12</v>
      </c>
      <c r="AG160" s="1" t="s">
        <v>13</v>
      </c>
      <c r="AH160" s="1" t="s">
        <v>12</v>
      </c>
      <c r="AI160" s="1" t="s">
        <v>13</v>
      </c>
      <c r="AJ160" s="1" t="s">
        <v>12</v>
      </c>
      <c r="AK160" s="1" t="s">
        <v>13</v>
      </c>
    </row>
    <row r="161" spans="14:37" x14ac:dyDescent="0.3">
      <c r="N161" s="1" t="s">
        <v>14</v>
      </c>
      <c r="O161" s="1" t="s">
        <v>1</v>
      </c>
      <c r="P161" s="1" t="s">
        <v>1</v>
      </c>
      <c r="Q161" s="1" t="s">
        <v>2</v>
      </c>
      <c r="R161" s="1" t="s">
        <v>2</v>
      </c>
      <c r="S161" s="1" t="s">
        <v>3</v>
      </c>
      <c r="T161" s="1" t="s">
        <v>3</v>
      </c>
      <c r="U161" s="1" t="s">
        <v>4</v>
      </c>
      <c r="V161" s="1" t="s">
        <v>4</v>
      </c>
      <c r="W161" s="1" t="s">
        <v>5</v>
      </c>
      <c r="X161" s="1" t="s">
        <v>5</v>
      </c>
      <c r="AA161" s="1" t="s">
        <v>14</v>
      </c>
      <c r="AB161" s="1" t="s">
        <v>1</v>
      </c>
      <c r="AC161" s="1" t="s">
        <v>1</v>
      </c>
      <c r="AD161" s="1" t="s">
        <v>2</v>
      </c>
      <c r="AE161" s="1" t="s">
        <v>2</v>
      </c>
      <c r="AF161" s="1" t="s">
        <v>3</v>
      </c>
      <c r="AG161" s="1" t="s">
        <v>3</v>
      </c>
      <c r="AH161" s="1" t="s">
        <v>4</v>
      </c>
      <c r="AI161" s="1" t="s">
        <v>4</v>
      </c>
      <c r="AJ161" s="1" t="s">
        <v>5</v>
      </c>
      <c r="AK161" s="1" t="s">
        <v>5</v>
      </c>
    </row>
    <row r="162" spans="14:37" x14ac:dyDescent="0.3">
      <c r="N162" s="1" t="s">
        <v>15</v>
      </c>
      <c r="AA162" s="1" t="s">
        <v>15</v>
      </c>
    </row>
    <row r="163" spans="14:37" x14ac:dyDescent="0.3">
      <c r="N163" s="1" t="s">
        <v>16</v>
      </c>
      <c r="O163" s="2">
        <v>4.26</v>
      </c>
      <c r="P163" s="2">
        <v>6.81</v>
      </c>
      <c r="Q163" s="2">
        <v>1.7</v>
      </c>
      <c r="R163" s="2">
        <v>3.41</v>
      </c>
      <c r="S163" s="2">
        <v>2.62</v>
      </c>
      <c r="T163" s="2">
        <v>4.1100000000000003</v>
      </c>
      <c r="U163" s="2">
        <v>2.13</v>
      </c>
      <c r="V163" s="2">
        <v>1.07</v>
      </c>
      <c r="W163" s="2">
        <v>3.46</v>
      </c>
      <c r="X163" s="2">
        <v>6.81</v>
      </c>
      <c r="AA163" s="1" t="s">
        <v>16</v>
      </c>
      <c r="AB163" s="2">
        <v>65.739999999999995</v>
      </c>
      <c r="AC163" s="2">
        <v>105.19</v>
      </c>
      <c r="AD163" s="2">
        <v>26.3</v>
      </c>
      <c r="AE163" s="2">
        <v>52.59</v>
      </c>
      <c r="AF163" s="2">
        <v>46.38</v>
      </c>
      <c r="AG163" s="2">
        <v>72.89</v>
      </c>
      <c r="AH163" s="2">
        <v>32.869999999999997</v>
      </c>
      <c r="AI163" s="2">
        <v>19.93</v>
      </c>
      <c r="AJ163" s="2">
        <v>31.54</v>
      </c>
      <c r="AK163" s="2">
        <v>63.19</v>
      </c>
    </row>
    <row r="164" spans="14:37" x14ac:dyDescent="0.3">
      <c r="N164" s="1" t="s">
        <v>17</v>
      </c>
      <c r="O164" s="2">
        <v>12.84</v>
      </c>
      <c r="P164" s="2">
        <v>8.98</v>
      </c>
      <c r="Q164" s="2">
        <v>11.98</v>
      </c>
      <c r="R164" s="2">
        <v>18.11</v>
      </c>
      <c r="S164" s="2">
        <v>15.79</v>
      </c>
      <c r="T164" s="2">
        <v>10.31</v>
      </c>
      <c r="U164" s="2">
        <v>14.45</v>
      </c>
      <c r="V164" s="2">
        <v>2.74</v>
      </c>
      <c r="W164" s="2">
        <v>12.61</v>
      </c>
      <c r="X164" s="2">
        <v>27.24</v>
      </c>
      <c r="AA164" s="1" t="s">
        <v>17</v>
      </c>
      <c r="AB164" s="2">
        <v>66.16</v>
      </c>
      <c r="AC164" s="2">
        <v>44.02</v>
      </c>
      <c r="AD164" s="2">
        <v>62.02</v>
      </c>
      <c r="AE164" s="2">
        <v>88.72</v>
      </c>
      <c r="AF164" s="2">
        <v>79.209999999999994</v>
      </c>
      <c r="AG164" s="2">
        <v>49.69</v>
      </c>
      <c r="AH164" s="2">
        <v>72.55</v>
      </c>
      <c r="AI164" s="2">
        <v>53.26</v>
      </c>
      <c r="AJ164" s="2">
        <v>59.43</v>
      </c>
      <c r="AK164" s="2">
        <v>127.76</v>
      </c>
    </row>
    <row r="165" spans="14:37" x14ac:dyDescent="0.3">
      <c r="N165" s="1" t="s">
        <v>18</v>
      </c>
      <c r="O165" s="2">
        <v>36.89</v>
      </c>
      <c r="P165" s="2">
        <v>22.83</v>
      </c>
      <c r="Q165" s="2">
        <v>40.590000000000003</v>
      </c>
      <c r="R165" s="2">
        <v>79.55</v>
      </c>
      <c r="S165" s="2">
        <v>52.87</v>
      </c>
      <c r="T165" s="2">
        <v>47.34</v>
      </c>
      <c r="U165" s="2">
        <v>41.17</v>
      </c>
      <c r="V165" s="2">
        <v>40.17</v>
      </c>
      <c r="W165" s="2">
        <v>23.73</v>
      </c>
      <c r="X165" s="2">
        <v>61.45</v>
      </c>
      <c r="AA165" s="1" t="s">
        <v>18</v>
      </c>
      <c r="AB165" s="2">
        <v>141.27000000000001</v>
      </c>
      <c r="AC165" s="2">
        <v>111.72</v>
      </c>
      <c r="AD165" s="2">
        <v>214.41</v>
      </c>
      <c r="AE165" s="2">
        <v>230.95</v>
      </c>
      <c r="AF165" s="2">
        <v>256.52</v>
      </c>
      <c r="AG165" s="2">
        <v>232.8</v>
      </c>
      <c r="AH165" s="2">
        <v>212.24</v>
      </c>
      <c r="AI165" s="2">
        <v>197.99</v>
      </c>
      <c r="AJ165" s="2">
        <v>111.27</v>
      </c>
      <c r="AK165" s="2">
        <v>238.55</v>
      </c>
    </row>
    <row r="166" spans="14:37" x14ac:dyDescent="0.3">
      <c r="N166" s="1" t="s">
        <v>19</v>
      </c>
      <c r="O166" s="2">
        <v>10.25</v>
      </c>
      <c r="P166" s="2">
        <v>7.61</v>
      </c>
      <c r="Q166" s="2">
        <v>15.09</v>
      </c>
      <c r="R166" s="2">
        <v>25.07</v>
      </c>
      <c r="S166" s="2">
        <v>17.89</v>
      </c>
      <c r="T166" s="2">
        <v>20.23</v>
      </c>
      <c r="U166" s="2">
        <v>15</v>
      </c>
      <c r="V166" s="2">
        <v>14.8</v>
      </c>
      <c r="W166" s="2">
        <v>9.15</v>
      </c>
      <c r="X166" s="2">
        <v>15.47</v>
      </c>
      <c r="AA166" s="1" t="s">
        <v>19</v>
      </c>
      <c r="AB166" s="2">
        <v>52.75</v>
      </c>
      <c r="AC166" s="2">
        <v>37.24</v>
      </c>
      <c r="AD166" s="2">
        <v>77.91</v>
      </c>
      <c r="AE166" s="2">
        <v>124.43</v>
      </c>
      <c r="AF166" s="2">
        <v>90.11</v>
      </c>
      <c r="AG166" s="2">
        <v>98.77</v>
      </c>
      <c r="AH166" s="2">
        <v>75</v>
      </c>
      <c r="AI166" s="2">
        <v>72.2</v>
      </c>
      <c r="AJ166" s="2">
        <v>42.85</v>
      </c>
      <c r="AK166" s="2">
        <v>72.41</v>
      </c>
    </row>
    <row r="167" spans="14:37" x14ac:dyDescent="0.3">
      <c r="N167" s="1" t="s">
        <v>20</v>
      </c>
      <c r="O167" s="2">
        <v>29.74</v>
      </c>
      <c r="P167" s="2">
        <v>36.72</v>
      </c>
      <c r="Q167" s="2">
        <v>53.67</v>
      </c>
      <c r="R167" s="2">
        <v>58.03</v>
      </c>
      <c r="S167" s="2">
        <v>57.81</v>
      </c>
      <c r="T167" s="2">
        <v>63.63</v>
      </c>
      <c r="U167" s="2">
        <v>52.69</v>
      </c>
      <c r="V167" s="2">
        <v>53.24</v>
      </c>
      <c r="W167" s="2">
        <v>63.87</v>
      </c>
      <c r="X167" s="2">
        <v>62.76</v>
      </c>
      <c r="AA167" s="1" t="s">
        <v>20</v>
      </c>
      <c r="AB167" s="2">
        <v>150.26</v>
      </c>
      <c r="AC167" s="2">
        <v>178.28</v>
      </c>
      <c r="AD167" s="2">
        <v>271.33</v>
      </c>
      <c r="AE167" s="2">
        <v>281.97000000000003</v>
      </c>
      <c r="AF167" s="2">
        <v>282.19</v>
      </c>
      <c r="AG167" s="2">
        <v>306.37</v>
      </c>
      <c r="AH167" s="2">
        <v>257.31</v>
      </c>
      <c r="AI167" s="2">
        <v>256.76</v>
      </c>
      <c r="AJ167" s="2">
        <v>296.13</v>
      </c>
      <c r="AK167" s="2">
        <v>290.95</v>
      </c>
    </row>
    <row r="168" spans="14:37" x14ac:dyDescent="0.3">
      <c r="N168" s="1" t="s">
        <v>21</v>
      </c>
      <c r="O168" s="2">
        <v>8.77</v>
      </c>
      <c r="P168" s="2">
        <v>3.05</v>
      </c>
      <c r="Q168" s="2">
        <v>11.41</v>
      </c>
      <c r="R168" s="2">
        <v>14.99</v>
      </c>
      <c r="S168" s="2">
        <v>12.42</v>
      </c>
      <c r="T168" s="2">
        <v>7.94</v>
      </c>
      <c r="U168" s="2">
        <v>8.39</v>
      </c>
      <c r="V168" s="2">
        <v>13.65</v>
      </c>
      <c r="W168" s="2">
        <v>11</v>
      </c>
      <c r="X168" s="2">
        <v>7.78</v>
      </c>
      <c r="AA168" s="1" t="s">
        <v>21</v>
      </c>
      <c r="AB168" s="2">
        <v>35.21</v>
      </c>
      <c r="AC168" s="2">
        <v>11.69</v>
      </c>
      <c r="AD168" s="2">
        <v>45.79</v>
      </c>
      <c r="AE168" s="2">
        <v>59.01</v>
      </c>
      <c r="AF168" s="2">
        <v>49.02</v>
      </c>
      <c r="AG168" s="2">
        <v>32.340000000000003</v>
      </c>
      <c r="AH168" s="2">
        <v>32.61</v>
      </c>
      <c r="AI168" s="2">
        <v>55.35</v>
      </c>
      <c r="AJ168" s="2">
        <v>39.94</v>
      </c>
      <c r="AK168" s="2">
        <v>28.15</v>
      </c>
    </row>
    <row r="169" spans="14:37" x14ac:dyDescent="0.3">
      <c r="N169" s="1" t="s">
        <v>22</v>
      </c>
      <c r="O169" s="2">
        <v>14.67</v>
      </c>
      <c r="P169" s="2">
        <v>14.69</v>
      </c>
      <c r="Q169" s="2">
        <v>10.35</v>
      </c>
      <c r="R169" s="2">
        <v>17.16</v>
      </c>
      <c r="S169" s="2">
        <v>15.21</v>
      </c>
      <c r="T169" s="2">
        <v>13.94</v>
      </c>
      <c r="U169" s="2">
        <v>15.53</v>
      </c>
      <c r="V169" s="2">
        <v>15.02</v>
      </c>
      <c r="W169" s="2">
        <v>6.74</v>
      </c>
      <c r="X169" s="2">
        <v>11.96</v>
      </c>
      <c r="AA169" s="1" t="s">
        <v>22</v>
      </c>
      <c r="AB169" s="2">
        <v>59.71</v>
      </c>
      <c r="AC169" s="2">
        <v>57.31</v>
      </c>
      <c r="AD169" s="2">
        <v>41.4</v>
      </c>
      <c r="AE169" s="2">
        <v>66.84</v>
      </c>
      <c r="AF169" s="2">
        <v>60.15</v>
      </c>
      <c r="AG169" s="2">
        <v>54.98</v>
      </c>
      <c r="AH169" s="2">
        <v>60.83</v>
      </c>
      <c r="AI169" s="2">
        <v>60.09</v>
      </c>
      <c r="AJ169" s="2">
        <v>24.31</v>
      </c>
      <c r="AK169" s="2">
        <v>43.24</v>
      </c>
    </row>
    <row r="170" spans="14:37" x14ac:dyDescent="0.3">
      <c r="N170" s="1" t="s">
        <v>23</v>
      </c>
      <c r="O170" s="2">
        <v>3.03</v>
      </c>
      <c r="P170" s="2">
        <v>5.63</v>
      </c>
      <c r="Q170" s="2">
        <v>3.04</v>
      </c>
      <c r="R170" s="2">
        <v>5</v>
      </c>
      <c r="S170" s="2">
        <v>4.41</v>
      </c>
      <c r="T170" s="2">
        <v>7.63</v>
      </c>
      <c r="U170" s="2">
        <v>0.63</v>
      </c>
      <c r="V170" s="2">
        <v>0.15</v>
      </c>
      <c r="W170" s="2">
        <v>3.91</v>
      </c>
      <c r="X170" s="2">
        <v>6.2</v>
      </c>
      <c r="AA170" s="1" t="s">
        <v>23</v>
      </c>
      <c r="AB170" s="2">
        <v>11.97</v>
      </c>
      <c r="AC170" s="2">
        <v>21.37</v>
      </c>
      <c r="AD170" s="2">
        <v>11.96</v>
      </c>
      <c r="AE170" s="2">
        <v>22</v>
      </c>
      <c r="AF170" s="2">
        <v>16.59</v>
      </c>
      <c r="AG170" s="2">
        <v>28.37</v>
      </c>
      <c r="AH170" s="2">
        <v>2.37</v>
      </c>
      <c r="AI170" s="2">
        <v>2.85</v>
      </c>
      <c r="AJ170" s="2">
        <v>14.09</v>
      </c>
      <c r="AK170" s="2">
        <v>22.36</v>
      </c>
    </row>
    <row r="173" spans="14:37" x14ac:dyDescent="0.3">
      <c r="N173" t="s">
        <v>61</v>
      </c>
      <c r="AA173" t="s">
        <v>62</v>
      </c>
    </row>
    <row r="174" spans="14:37" x14ac:dyDescent="0.3">
      <c r="N174" s="1" t="s">
        <v>11</v>
      </c>
      <c r="O174" s="3" t="s">
        <v>12</v>
      </c>
      <c r="P174" s="3"/>
      <c r="Q174" s="3"/>
      <c r="R174" s="3"/>
      <c r="S174" s="3"/>
      <c r="T174" s="3" t="s">
        <v>13</v>
      </c>
      <c r="U174" s="3"/>
      <c r="V174" s="3"/>
      <c r="W174" s="3"/>
      <c r="X174" s="3"/>
      <c r="AA174" s="1" t="s">
        <v>11</v>
      </c>
      <c r="AB174" s="3" t="s">
        <v>12</v>
      </c>
      <c r="AC174" s="3"/>
      <c r="AD174" s="3"/>
      <c r="AE174" s="3"/>
      <c r="AF174" s="3"/>
      <c r="AG174" s="3" t="s">
        <v>13</v>
      </c>
      <c r="AH174" s="3"/>
      <c r="AI174" s="3"/>
      <c r="AJ174" s="3"/>
      <c r="AK174" s="3"/>
    </row>
    <row r="175" spans="14:37" x14ac:dyDescent="0.3">
      <c r="N175" s="1" t="s">
        <v>14</v>
      </c>
      <c r="O175" s="1" t="s">
        <v>1</v>
      </c>
      <c r="P175" s="1" t="s">
        <v>2</v>
      </c>
      <c r="Q175" s="1" t="s">
        <v>3</v>
      </c>
      <c r="R175" s="1" t="s">
        <v>4</v>
      </c>
      <c r="S175" s="1" t="s">
        <v>5</v>
      </c>
      <c r="T175" s="1" t="s">
        <v>1</v>
      </c>
      <c r="U175" s="1" t="s">
        <v>2</v>
      </c>
      <c r="V175" s="1" t="s">
        <v>3</v>
      </c>
      <c r="W175" s="1" t="s">
        <v>4</v>
      </c>
      <c r="X175" s="1" t="s">
        <v>5</v>
      </c>
      <c r="AA175" s="1" t="s">
        <v>14</v>
      </c>
      <c r="AB175" s="1" t="s">
        <v>1</v>
      </c>
      <c r="AC175" s="1" t="s">
        <v>2</v>
      </c>
      <c r="AD175" s="1" t="s">
        <v>3</v>
      </c>
      <c r="AE175" s="1" t="s">
        <v>4</v>
      </c>
      <c r="AF175" s="1" t="s">
        <v>5</v>
      </c>
      <c r="AG175" s="1" t="s">
        <v>1</v>
      </c>
      <c r="AH175" s="1" t="s">
        <v>2</v>
      </c>
      <c r="AI175" s="1" t="s">
        <v>3</v>
      </c>
      <c r="AJ175" s="1" t="s">
        <v>4</v>
      </c>
      <c r="AK175" s="1" t="s">
        <v>5</v>
      </c>
    </row>
    <row r="176" spans="14:37" x14ac:dyDescent="0.3">
      <c r="N176" s="1" t="s">
        <v>15</v>
      </c>
      <c r="AA176" s="1" t="s">
        <v>15</v>
      </c>
    </row>
    <row r="177" spans="14:37" x14ac:dyDescent="0.3">
      <c r="N177" s="1" t="s">
        <v>16</v>
      </c>
      <c r="O177" s="2">
        <v>232.35</v>
      </c>
      <c r="P177" s="2">
        <v>399.24</v>
      </c>
      <c r="Q177" s="2">
        <v>132.19999999999999</v>
      </c>
      <c r="R177" s="2">
        <v>182.71</v>
      </c>
      <c r="S177" s="2">
        <v>248.28</v>
      </c>
      <c r="T177" s="2">
        <v>234.24</v>
      </c>
      <c r="U177" s="2">
        <v>366.27</v>
      </c>
      <c r="V177" s="2">
        <v>131.46</v>
      </c>
      <c r="W177" s="2">
        <v>169.62</v>
      </c>
      <c r="X177" s="2">
        <v>233.48</v>
      </c>
      <c r="AA177" s="1" t="s">
        <v>16</v>
      </c>
      <c r="AB177" s="2">
        <v>3586.85</v>
      </c>
      <c r="AC177" s="2">
        <v>6163.26</v>
      </c>
      <c r="AD177" s="2">
        <v>2415.8000000000002</v>
      </c>
      <c r="AE177" s="2">
        <v>2820.29</v>
      </c>
      <c r="AF177" s="2">
        <v>2243.7199999999998</v>
      </c>
      <c r="AG177" s="2">
        <v>3615.76</v>
      </c>
      <c r="AH177" s="2">
        <v>5653.73</v>
      </c>
      <c r="AI177" s="2">
        <v>2357.7399999999998</v>
      </c>
      <c r="AJ177" s="2">
        <v>3156.78</v>
      </c>
      <c r="AK177" s="2">
        <v>2124.12</v>
      </c>
    </row>
    <row r="178" spans="14:37" x14ac:dyDescent="0.3">
      <c r="N178" s="1" t="s">
        <v>17</v>
      </c>
      <c r="O178" s="2">
        <v>26.32</v>
      </c>
      <c r="P178" s="2">
        <v>47.6</v>
      </c>
      <c r="Q178" s="2">
        <v>25.97</v>
      </c>
      <c r="R178" s="2">
        <v>26.16</v>
      </c>
      <c r="S178" s="2">
        <v>15.88</v>
      </c>
      <c r="T178" s="2">
        <v>28.42</v>
      </c>
      <c r="U178" s="2">
        <v>43.4</v>
      </c>
      <c r="V178" s="2">
        <v>22.02</v>
      </c>
      <c r="W178" s="2">
        <v>31.92</v>
      </c>
      <c r="X178" s="2">
        <v>20.76</v>
      </c>
      <c r="AA178" s="1" t="s">
        <v>17</v>
      </c>
      <c r="AB178" s="2">
        <v>539.08000000000004</v>
      </c>
      <c r="AC178" s="2">
        <v>974.9</v>
      </c>
      <c r="AD178" s="2">
        <v>514.42999999999995</v>
      </c>
      <c r="AE178" s="2">
        <v>518.34</v>
      </c>
      <c r="AF178" s="2">
        <v>301.81</v>
      </c>
      <c r="AG178" s="2">
        <v>561.17999999999995</v>
      </c>
      <c r="AH178" s="2">
        <v>857.05</v>
      </c>
      <c r="AI178" s="2">
        <v>428.78</v>
      </c>
      <c r="AJ178" s="2">
        <v>621.48</v>
      </c>
      <c r="AK178" s="2">
        <v>394.44</v>
      </c>
    </row>
    <row r="179" spans="14:37" x14ac:dyDescent="0.3">
      <c r="N179" s="1" t="s">
        <v>18</v>
      </c>
      <c r="O179" s="2">
        <v>206.6</v>
      </c>
      <c r="P179" s="2">
        <v>239.15</v>
      </c>
      <c r="Q179" s="2">
        <v>157.97</v>
      </c>
      <c r="R179" s="2">
        <v>161.29</v>
      </c>
      <c r="S179" s="2">
        <v>43.68</v>
      </c>
      <c r="T179" s="2">
        <v>96.22</v>
      </c>
      <c r="U179" s="2">
        <v>384.75</v>
      </c>
      <c r="V179" s="2">
        <v>133.28</v>
      </c>
      <c r="W179" s="2">
        <v>184.98</v>
      </c>
      <c r="X179" s="2">
        <v>81.63</v>
      </c>
      <c r="AA179" s="1" t="s">
        <v>18</v>
      </c>
      <c r="AB179" s="2">
        <v>2988.14</v>
      </c>
      <c r="AC179" s="2">
        <v>4898.3500000000004</v>
      </c>
      <c r="AD179" s="2">
        <v>3095.25</v>
      </c>
      <c r="AE179" s="2">
        <v>3195.39</v>
      </c>
      <c r="AF179" s="2">
        <v>829.92</v>
      </c>
      <c r="AG179" s="2">
        <v>1899.95</v>
      </c>
      <c r="AH179" s="2">
        <v>4057.12</v>
      </c>
      <c r="AI179" s="2">
        <v>2595.0500000000002</v>
      </c>
      <c r="AJ179" s="2">
        <v>3601.79</v>
      </c>
      <c r="AK179" s="2">
        <v>1238.3699999999999</v>
      </c>
    </row>
    <row r="180" spans="14:37" x14ac:dyDescent="0.3">
      <c r="N180" s="1" t="s">
        <v>19</v>
      </c>
      <c r="O180" s="2">
        <v>61.34</v>
      </c>
      <c r="P180" s="2">
        <v>116.38</v>
      </c>
      <c r="Q180" s="2">
        <v>61.08</v>
      </c>
      <c r="R180" s="2">
        <v>57.88</v>
      </c>
      <c r="S180" s="2">
        <v>22.56</v>
      </c>
      <c r="T180" s="2">
        <v>43.29</v>
      </c>
      <c r="U180" s="2">
        <v>107.95</v>
      </c>
      <c r="V180" s="2">
        <v>69.489999999999995</v>
      </c>
      <c r="W180" s="2">
        <v>68.83</v>
      </c>
      <c r="X180" s="2">
        <v>21.05</v>
      </c>
      <c r="AA180" s="1" t="s">
        <v>19</v>
      </c>
      <c r="AB180" s="2">
        <v>1256.46</v>
      </c>
      <c r="AC180" s="2">
        <v>2383.62</v>
      </c>
      <c r="AD180" s="2">
        <v>1210.1199999999999</v>
      </c>
      <c r="AE180" s="2">
        <v>1146.6199999999999</v>
      </c>
      <c r="AF180" s="2">
        <v>428.64</v>
      </c>
      <c r="AG180" s="2">
        <v>854.86</v>
      </c>
      <c r="AH180" s="2">
        <v>2131.67</v>
      </c>
      <c r="AI180" s="2">
        <v>1352.91</v>
      </c>
      <c r="AJ180" s="2">
        <v>1340.27</v>
      </c>
      <c r="AK180" s="2">
        <v>399.89</v>
      </c>
    </row>
    <row r="181" spans="14:37" x14ac:dyDescent="0.3">
      <c r="N181" s="1" t="s">
        <v>20</v>
      </c>
      <c r="O181" s="2">
        <v>194.58</v>
      </c>
      <c r="P181" s="2">
        <v>395.68</v>
      </c>
      <c r="Q181" s="2">
        <v>221.32</v>
      </c>
      <c r="R181" s="2">
        <v>188.69</v>
      </c>
      <c r="S181" s="2">
        <v>151.80000000000001</v>
      </c>
      <c r="T181" s="2">
        <v>223.74</v>
      </c>
      <c r="U181" s="2">
        <v>390.42</v>
      </c>
      <c r="V181" s="2">
        <v>203.8</v>
      </c>
      <c r="W181" s="2">
        <v>228.91</v>
      </c>
      <c r="X181" s="2">
        <v>135.07</v>
      </c>
      <c r="AA181" s="1" t="s">
        <v>20</v>
      </c>
      <c r="AB181" s="2">
        <v>3985.42</v>
      </c>
      <c r="AC181" s="2">
        <v>8104.32</v>
      </c>
      <c r="AD181" s="2">
        <v>4384.68</v>
      </c>
      <c r="AE181" s="2">
        <v>3738.31</v>
      </c>
      <c r="AF181" s="2">
        <v>2884.2</v>
      </c>
      <c r="AG181" s="2">
        <v>4418.26</v>
      </c>
      <c r="AH181" s="2">
        <v>7709.58</v>
      </c>
      <c r="AI181" s="2">
        <v>3968.2</v>
      </c>
      <c r="AJ181" s="2">
        <v>4457.09</v>
      </c>
      <c r="AK181" s="2">
        <v>2566.3200000000002</v>
      </c>
    </row>
    <row r="182" spans="14:37" x14ac:dyDescent="0.3">
      <c r="N182" s="1" t="s">
        <v>21</v>
      </c>
      <c r="O182" s="2">
        <v>48.97</v>
      </c>
      <c r="P182" s="2">
        <v>97.31</v>
      </c>
      <c r="Q182" s="2">
        <v>49.59</v>
      </c>
      <c r="R182" s="2">
        <v>44.4</v>
      </c>
      <c r="S182" s="2">
        <v>30.25</v>
      </c>
      <c r="T182" s="2">
        <v>40.44</v>
      </c>
      <c r="U182" s="2">
        <v>80.98</v>
      </c>
      <c r="V182" s="2">
        <v>50.07</v>
      </c>
      <c r="W182" s="2">
        <v>43.01</v>
      </c>
      <c r="X182" s="2">
        <v>13.05</v>
      </c>
      <c r="AA182" s="1" t="s">
        <v>21</v>
      </c>
      <c r="AB182" s="2">
        <v>1002.94</v>
      </c>
      <c r="AC182" s="2">
        <v>1993.04</v>
      </c>
      <c r="AD182" s="2">
        <v>982.53</v>
      </c>
      <c r="AE182" s="2">
        <v>879.6</v>
      </c>
      <c r="AF182" s="2">
        <v>574.79999999999995</v>
      </c>
      <c r="AG182" s="2">
        <v>798.52</v>
      </c>
      <c r="AH182" s="2">
        <v>1599.02</v>
      </c>
      <c r="AI182" s="2">
        <v>974.95</v>
      </c>
      <c r="AJ182" s="2">
        <v>837.43</v>
      </c>
      <c r="AK182" s="2">
        <v>247.86</v>
      </c>
    </row>
    <row r="183" spans="14:37" x14ac:dyDescent="0.3">
      <c r="N183" s="1" t="s">
        <v>22</v>
      </c>
      <c r="O183" s="2">
        <v>136.12</v>
      </c>
      <c r="P183" s="2">
        <v>216</v>
      </c>
      <c r="Q183" s="2">
        <v>145.31</v>
      </c>
      <c r="R183" s="2">
        <v>147.31</v>
      </c>
      <c r="S183" s="2">
        <v>51.75</v>
      </c>
      <c r="T183" s="2">
        <v>146.97</v>
      </c>
      <c r="U183" s="2">
        <v>280.16000000000003</v>
      </c>
      <c r="V183" s="2">
        <v>119.99</v>
      </c>
      <c r="W183" s="2">
        <v>118.75</v>
      </c>
      <c r="X183" s="2">
        <v>60.17</v>
      </c>
      <c r="AA183" s="1" t="s">
        <v>22</v>
      </c>
      <c r="AB183" s="2">
        <v>2788.03</v>
      </c>
      <c r="AC183" s="2">
        <v>4424.25</v>
      </c>
      <c r="AD183" s="2">
        <v>2878.91</v>
      </c>
      <c r="AE183" s="2">
        <v>2918.48</v>
      </c>
      <c r="AF183" s="2">
        <v>983.25</v>
      </c>
      <c r="AG183" s="2">
        <v>2902.23</v>
      </c>
      <c r="AH183" s="2">
        <v>5532.34</v>
      </c>
      <c r="AI183" s="2">
        <v>2336.33</v>
      </c>
      <c r="AJ183" s="2">
        <v>2312.1999999999998</v>
      </c>
      <c r="AK183" s="2">
        <v>1143.19</v>
      </c>
    </row>
    <row r="184" spans="14:37" x14ac:dyDescent="0.3">
      <c r="N184" s="1" t="s">
        <v>23</v>
      </c>
      <c r="O184" s="2">
        <v>81.42</v>
      </c>
      <c r="P184" s="2">
        <v>166.5</v>
      </c>
      <c r="Q184" s="2">
        <v>79.11</v>
      </c>
      <c r="R184" s="2">
        <v>77.55</v>
      </c>
      <c r="S184" s="2">
        <v>67.44</v>
      </c>
      <c r="T184" s="2">
        <v>90.35</v>
      </c>
      <c r="U184" s="2">
        <v>161.22999999999999</v>
      </c>
      <c r="V184" s="2">
        <v>72.22</v>
      </c>
      <c r="W184" s="2">
        <v>69.16</v>
      </c>
      <c r="X184" s="2">
        <v>60.43</v>
      </c>
      <c r="AA184" s="1" t="s">
        <v>23</v>
      </c>
      <c r="AB184" s="2">
        <v>1667.58</v>
      </c>
      <c r="AC184" s="2">
        <v>3396</v>
      </c>
      <c r="AD184" s="2">
        <v>1550.49</v>
      </c>
      <c r="AE184" s="2">
        <v>1536.15</v>
      </c>
      <c r="AF184" s="2">
        <v>1281.3599999999999</v>
      </c>
      <c r="AG184" s="2">
        <v>1784.05</v>
      </c>
      <c r="AH184" s="2">
        <v>3183.77</v>
      </c>
      <c r="AI184" s="2">
        <v>1406.18</v>
      </c>
      <c r="AJ184" s="2">
        <v>1346.54</v>
      </c>
      <c r="AK184" s="2">
        <v>1147.98</v>
      </c>
    </row>
    <row r="187" spans="14:37" x14ac:dyDescent="0.3">
      <c r="N187" t="s">
        <v>63</v>
      </c>
      <c r="AA187" t="s">
        <v>64</v>
      </c>
    </row>
    <row r="188" spans="14:37" x14ac:dyDescent="0.3">
      <c r="N188" s="1" t="s">
        <v>11</v>
      </c>
      <c r="O188" s="1" t="s">
        <v>12</v>
      </c>
      <c r="P188" s="1" t="s">
        <v>13</v>
      </c>
      <c r="Q188" s="1" t="s">
        <v>12</v>
      </c>
      <c r="R188" s="1" t="s">
        <v>13</v>
      </c>
      <c r="S188" s="1" t="s">
        <v>12</v>
      </c>
      <c r="T188" s="1" t="s">
        <v>13</v>
      </c>
      <c r="U188" s="1" t="s">
        <v>12</v>
      </c>
      <c r="V188" s="1" t="s">
        <v>13</v>
      </c>
      <c r="W188" s="1" t="s">
        <v>12</v>
      </c>
      <c r="X188" s="1" t="s">
        <v>13</v>
      </c>
      <c r="AA188" s="1" t="s">
        <v>11</v>
      </c>
      <c r="AB188" s="1" t="s">
        <v>12</v>
      </c>
      <c r="AC188" s="1" t="s">
        <v>13</v>
      </c>
      <c r="AD188" s="1" t="s">
        <v>12</v>
      </c>
      <c r="AE188" s="1" t="s">
        <v>13</v>
      </c>
      <c r="AF188" s="1" t="s">
        <v>12</v>
      </c>
      <c r="AG188" s="1" t="s">
        <v>13</v>
      </c>
      <c r="AH188" s="1" t="s">
        <v>12</v>
      </c>
      <c r="AI188" s="1" t="s">
        <v>13</v>
      </c>
      <c r="AJ188" s="1" t="s">
        <v>12</v>
      </c>
      <c r="AK188" s="1" t="s">
        <v>13</v>
      </c>
    </row>
    <row r="189" spans="14:37" x14ac:dyDescent="0.3">
      <c r="N189" s="1" t="s">
        <v>14</v>
      </c>
      <c r="O189" s="1" t="s">
        <v>1</v>
      </c>
      <c r="P189" s="1" t="s">
        <v>1</v>
      </c>
      <c r="Q189" s="1" t="s">
        <v>2</v>
      </c>
      <c r="R189" s="1" t="s">
        <v>2</v>
      </c>
      <c r="S189" s="1" t="s">
        <v>3</v>
      </c>
      <c r="T189" s="1" t="s">
        <v>3</v>
      </c>
      <c r="U189" s="1" t="s">
        <v>4</v>
      </c>
      <c r="V189" s="1" t="s">
        <v>4</v>
      </c>
      <c r="W189" s="1" t="s">
        <v>5</v>
      </c>
      <c r="X189" s="1" t="s">
        <v>5</v>
      </c>
      <c r="AA189" s="1" t="s">
        <v>14</v>
      </c>
      <c r="AB189" s="1" t="s">
        <v>1</v>
      </c>
      <c r="AC189" s="1" t="s">
        <v>1</v>
      </c>
      <c r="AD189" s="1" t="s">
        <v>2</v>
      </c>
      <c r="AE189" s="1" t="s">
        <v>2</v>
      </c>
      <c r="AF189" s="1" t="s">
        <v>3</v>
      </c>
      <c r="AG189" s="1" t="s">
        <v>3</v>
      </c>
      <c r="AH189" s="1" t="s">
        <v>4</v>
      </c>
      <c r="AI189" s="1" t="s">
        <v>4</v>
      </c>
      <c r="AJ189" s="1" t="s">
        <v>5</v>
      </c>
      <c r="AK189" s="1" t="s">
        <v>5</v>
      </c>
    </row>
    <row r="190" spans="14:37" x14ac:dyDescent="0.3">
      <c r="N190" s="1" t="s">
        <v>15</v>
      </c>
      <c r="AA190" s="1" t="s">
        <v>15</v>
      </c>
    </row>
    <row r="191" spans="14:37" x14ac:dyDescent="0.3">
      <c r="N191" s="1" t="s">
        <v>16</v>
      </c>
      <c r="O191" s="2">
        <v>105.61</v>
      </c>
      <c r="P191" s="2">
        <v>106.47</v>
      </c>
      <c r="Q191" s="2">
        <v>159.69999999999999</v>
      </c>
      <c r="R191" s="2">
        <v>146.51</v>
      </c>
      <c r="S191" s="2">
        <v>47.21</v>
      </c>
      <c r="T191" s="2">
        <v>46.95</v>
      </c>
      <c r="U191" s="2">
        <v>55.37</v>
      </c>
      <c r="V191" s="2">
        <v>51.4</v>
      </c>
      <c r="W191" s="2">
        <v>310.35000000000002</v>
      </c>
      <c r="X191" s="2">
        <v>291.85000000000002</v>
      </c>
      <c r="AA191" s="1" t="s">
        <v>16</v>
      </c>
      <c r="AB191" s="2">
        <v>1630.39</v>
      </c>
      <c r="AC191" s="2">
        <v>1643.53</v>
      </c>
      <c r="AD191" s="2">
        <v>2465.3000000000002</v>
      </c>
      <c r="AE191" s="2">
        <v>2261.4899999999998</v>
      </c>
      <c r="AF191" s="2">
        <v>862.79</v>
      </c>
      <c r="AG191" s="2">
        <v>842.05</v>
      </c>
      <c r="AH191" s="2">
        <v>854.63</v>
      </c>
      <c r="AI191" s="2">
        <v>956.6</v>
      </c>
      <c r="AJ191" s="2">
        <v>2804.65</v>
      </c>
      <c r="AK191" s="2">
        <v>2655.15</v>
      </c>
    </row>
    <row r="192" spans="14:37" x14ac:dyDescent="0.3">
      <c r="N192" s="1" t="s">
        <v>17</v>
      </c>
      <c r="O192" s="2">
        <v>11.96</v>
      </c>
      <c r="P192" s="2">
        <v>12.92</v>
      </c>
      <c r="Q192" s="2">
        <v>19.04</v>
      </c>
      <c r="R192" s="2">
        <v>17.36</v>
      </c>
      <c r="S192" s="2">
        <v>9.27</v>
      </c>
      <c r="T192" s="2">
        <v>7.86</v>
      </c>
      <c r="U192" s="2">
        <v>7.93</v>
      </c>
      <c r="V192" s="2">
        <v>9.67</v>
      </c>
      <c r="W192" s="2">
        <v>19.86</v>
      </c>
      <c r="X192" s="2">
        <v>25.95</v>
      </c>
      <c r="AA192" s="1" t="s">
        <v>17</v>
      </c>
      <c r="AB192" s="2">
        <v>245.04</v>
      </c>
      <c r="AC192" s="2">
        <v>255.08</v>
      </c>
      <c r="AD192" s="2">
        <v>389.96</v>
      </c>
      <c r="AE192" s="2">
        <v>342.82</v>
      </c>
      <c r="AF192" s="2">
        <v>183.73</v>
      </c>
      <c r="AG192" s="2">
        <v>153.13999999999999</v>
      </c>
      <c r="AH192" s="2">
        <v>157.07</v>
      </c>
      <c r="AI192" s="2">
        <v>188.33</v>
      </c>
      <c r="AJ192" s="2">
        <v>377.26</v>
      </c>
      <c r="AK192" s="2">
        <v>493.05</v>
      </c>
    </row>
    <row r="193" spans="14:37" x14ac:dyDescent="0.3">
      <c r="N193" s="1" t="s">
        <v>18</v>
      </c>
      <c r="O193" s="2">
        <v>93.91</v>
      </c>
      <c r="P193" s="2">
        <v>43.73</v>
      </c>
      <c r="Q193" s="2">
        <v>95.66</v>
      </c>
      <c r="R193" s="2">
        <v>153.9</v>
      </c>
      <c r="S193" s="2">
        <v>56.42</v>
      </c>
      <c r="T193" s="2">
        <v>47.6</v>
      </c>
      <c r="U193" s="2">
        <v>48.88</v>
      </c>
      <c r="V193" s="2">
        <v>56.06</v>
      </c>
      <c r="W193" s="2">
        <v>54.6</v>
      </c>
      <c r="X193" s="2">
        <v>102.04</v>
      </c>
      <c r="AA193" s="1" t="s">
        <v>18</v>
      </c>
      <c r="AB193" s="2">
        <v>1358.24</v>
      </c>
      <c r="AC193" s="2">
        <v>863.62</v>
      </c>
      <c r="AD193" s="2">
        <v>1959.34</v>
      </c>
      <c r="AE193" s="2">
        <v>1622.85</v>
      </c>
      <c r="AF193" s="2">
        <v>1105.45</v>
      </c>
      <c r="AG193" s="2">
        <v>926.8</v>
      </c>
      <c r="AH193" s="2">
        <v>968.3</v>
      </c>
      <c r="AI193" s="2">
        <v>1091.45</v>
      </c>
      <c r="AJ193" s="2">
        <v>1037.4000000000001</v>
      </c>
      <c r="AK193" s="2">
        <v>1547.96</v>
      </c>
    </row>
    <row r="194" spans="14:37" x14ac:dyDescent="0.3">
      <c r="N194" s="1" t="s">
        <v>19</v>
      </c>
      <c r="O194" s="2">
        <v>27.88</v>
      </c>
      <c r="P194" s="2">
        <v>19.68</v>
      </c>
      <c r="Q194" s="2">
        <v>46.55</v>
      </c>
      <c r="R194" s="2">
        <v>43.18</v>
      </c>
      <c r="S194" s="2">
        <v>21.81</v>
      </c>
      <c r="T194" s="2">
        <v>24.82</v>
      </c>
      <c r="U194" s="2">
        <v>17.54</v>
      </c>
      <c r="V194" s="2">
        <v>20.86</v>
      </c>
      <c r="W194" s="2">
        <v>28.2</v>
      </c>
      <c r="X194" s="2">
        <v>26.31</v>
      </c>
      <c r="AA194" s="1" t="s">
        <v>19</v>
      </c>
      <c r="AB194" s="2">
        <v>571.12</v>
      </c>
      <c r="AC194" s="2">
        <v>388.57</v>
      </c>
      <c r="AD194" s="2">
        <v>953.45</v>
      </c>
      <c r="AE194" s="2">
        <v>852.67</v>
      </c>
      <c r="AF194" s="2">
        <v>432.19</v>
      </c>
      <c r="AG194" s="2">
        <v>483.18</v>
      </c>
      <c r="AH194" s="2">
        <v>347.46</v>
      </c>
      <c r="AI194" s="2">
        <v>406.14</v>
      </c>
      <c r="AJ194" s="2">
        <v>535.79999999999995</v>
      </c>
      <c r="AK194" s="2">
        <v>499.87</v>
      </c>
    </row>
    <row r="195" spans="14:37" x14ac:dyDescent="0.3">
      <c r="N195" s="1" t="s">
        <v>20</v>
      </c>
      <c r="O195" s="2">
        <v>88.45</v>
      </c>
      <c r="P195" s="2">
        <v>101.7</v>
      </c>
      <c r="Q195" s="2">
        <v>158.27000000000001</v>
      </c>
      <c r="R195" s="2">
        <v>156.16999999999999</v>
      </c>
      <c r="S195" s="2">
        <v>79.040000000000006</v>
      </c>
      <c r="T195" s="2">
        <v>72.790000000000006</v>
      </c>
      <c r="U195" s="2">
        <v>57.18</v>
      </c>
      <c r="V195" s="2">
        <v>69.37</v>
      </c>
      <c r="W195" s="2">
        <v>189.75</v>
      </c>
      <c r="X195" s="2">
        <v>168.84</v>
      </c>
      <c r="AA195" s="1" t="s">
        <v>20</v>
      </c>
      <c r="AB195" s="2">
        <v>1811.55</v>
      </c>
      <c r="AC195" s="2">
        <v>2008.3</v>
      </c>
      <c r="AD195" s="2">
        <v>3241.73</v>
      </c>
      <c r="AE195" s="2">
        <v>3083.83</v>
      </c>
      <c r="AF195" s="2">
        <v>1565.96</v>
      </c>
      <c r="AG195" s="2">
        <v>1417.21</v>
      </c>
      <c r="AH195" s="2">
        <v>1132.82</v>
      </c>
      <c r="AI195" s="2">
        <v>1350.63</v>
      </c>
      <c r="AJ195" s="2">
        <v>3605.25</v>
      </c>
      <c r="AK195" s="2">
        <v>3207.9</v>
      </c>
    </row>
    <row r="196" spans="14:37" x14ac:dyDescent="0.3">
      <c r="N196" s="1" t="s">
        <v>21</v>
      </c>
      <c r="O196" s="2">
        <v>22.26</v>
      </c>
      <c r="P196" s="2">
        <v>18.38</v>
      </c>
      <c r="Q196" s="2">
        <v>38.92</v>
      </c>
      <c r="R196" s="2">
        <v>32.39</v>
      </c>
      <c r="S196" s="2">
        <v>17.71</v>
      </c>
      <c r="T196" s="2">
        <v>17.88</v>
      </c>
      <c r="U196" s="2">
        <v>13.45</v>
      </c>
      <c r="V196" s="2">
        <v>13.03</v>
      </c>
      <c r="W196" s="2">
        <v>37.82</v>
      </c>
      <c r="X196" s="2">
        <v>16.309999999999999</v>
      </c>
      <c r="AA196" s="1" t="s">
        <v>21</v>
      </c>
      <c r="AB196" s="2">
        <v>455.88</v>
      </c>
      <c r="AC196" s="2">
        <v>362.96</v>
      </c>
      <c r="AD196" s="2">
        <v>797.21</v>
      </c>
      <c r="AE196" s="2">
        <v>639.61</v>
      </c>
      <c r="AF196" s="2">
        <v>350.9</v>
      </c>
      <c r="AG196" s="2">
        <v>348.2</v>
      </c>
      <c r="AH196" s="2">
        <v>266.55</v>
      </c>
      <c r="AI196" s="2">
        <v>253.77</v>
      </c>
      <c r="AJ196" s="2">
        <v>718.5</v>
      </c>
      <c r="AK196" s="2">
        <v>309.83</v>
      </c>
    </row>
    <row r="197" spans="14:37" x14ac:dyDescent="0.3">
      <c r="N197" s="1" t="s">
        <v>22</v>
      </c>
      <c r="O197" s="2">
        <v>61.87</v>
      </c>
      <c r="P197" s="2">
        <v>66.81</v>
      </c>
      <c r="Q197" s="2">
        <v>86.4</v>
      </c>
      <c r="R197" s="2">
        <v>112.07</v>
      </c>
      <c r="S197" s="2">
        <v>51.9</v>
      </c>
      <c r="T197" s="2">
        <v>42.85</v>
      </c>
      <c r="U197" s="2">
        <v>44.64</v>
      </c>
      <c r="V197" s="2">
        <v>35.99</v>
      </c>
      <c r="W197" s="2">
        <v>64.69</v>
      </c>
      <c r="X197" s="2">
        <v>75.22</v>
      </c>
      <c r="AA197" s="1" t="s">
        <v>22</v>
      </c>
      <c r="AB197" s="2">
        <v>1267.29</v>
      </c>
      <c r="AC197" s="2">
        <v>1319.19</v>
      </c>
      <c r="AD197" s="2">
        <v>1769.7</v>
      </c>
      <c r="AE197" s="2">
        <v>2212.9299999999998</v>
      </c>
      <c r="AF197" s="2">
        <v>1028.18</v>
      </c>
      <c r="AG197" s="2">
        <v>834.4</v>
      </c>
      <c r="AH197" s="2">
        <v>884.39</v>
      </c>
      <c r="AI197" s="2">
        <v>700.67</v>
      </c>
      <c r="AJ197" s="2">
        <v>1229.06</v>
      </c>
      <c r="AK197" s="2">
        <v>1428.98</v>
      </c>
    </row>
    <row r="198" spans="14:37" x14ac:dyDescent="0.3">
      <c r="N198" s="1" t="s">
        <v>23</v>
      </c>
      <c r="O198" s="2">
        <v>37.01</v>
      </c>
      <c r="P198" s="2">
        <v>41.07</v>
      </c>
      <c r="Q198" s="2">
        <v>66.599999999999994</v>
      </c>
      <c r="R198" s="2">
        <v>64.489999999999995</v>
      </c>
      <c r="S198" s="2">
        <v>28.25</v>
      </c>
      <c r="T198" s="2">
        <v>25.79</v>
      </c>
      <c r="U198" s="2">
        <v>23.5</v>
      </c>
      <c r="V198" s="2">
        <v>20.96</v>
      </c>
      <c r="W198" s="2">
        <v>84.3</v>
      </c>
      <c r="X198" s="2">
        <v>75.540000000000006</v>
      </c>
      <c r="AA198" s="1" t="s">
        <v>23</v>
      </c>
      <c r="AB198" s="2">
        <v>757.99</v>
      </c>
      <c r="AC198" s="2">
        <v>810.93</v>
      </c>
      <c r="AD198" s="2">
        <v>1358.4</v>
      </c>
      <c r="AE198" s="2">
        <v>1273.51</v>
      </c>
      <c r="AF198" s="2">
        <v>553.75</v>
      </c>
      <c r="AG198" s="2">
        <v>502.21</v>
      </c>
      <c r="AH198" s="2">
        <v>465.5</v>
      </c>
      <c r="AI198" s="2">
        <v>408.04</v>
      </c>
      <c r="AJ198" s="2">
        <v>1601.7</v>
      </c>
      <c r="AK198" s="2">
        <v>1434.97</v>
      </c>
    </row>
    <row r="201" spans="14:37" x14ac:dyDescent="0.3">
      <c r="N201" t="s">
        <v>65</v>
      </c>
      <c r="AA201" t="s">
        <v>66</v>
      </c>
    </row>
    <row r="202" spans="14:37" x14ac:dyDescent="0.3">
      <c r="N202" s="1" t="s">
        <v>11</v>
      </c>
      <c r="O202" s="1" t="s">
        <v>12</v>
      </c>
      <c r="P202" s="1" t="s">
        <v>13</v>
      </c>
      <c r="Q202" s="1" t="s">
        <v>12</v>
      </c>
      <c r="R202" s="1" t="s">
        <v>13</v>
      </c>
      <c r="S202" s="1" t="s">
        <v>12</v>
      </c>
      <c r="T202" s="1" t="s">
        <v>13</v>
      </c>
      <c r="U202" s="1" t="s">
        <v>12</v>
      </c>
      <c r="V202" s="1" t="s">
        <v>13</v>
      </c>
      <c r="W202" s="1" t="s">
        <v>12</v>
      </c>
      <c r="X202" s="1" t="s">
        <v>13</v>
      </c>
      <c r="AA202" s="1" t="s">
        <v>11</v>
      </c>
      <c r="AB202" s="3" t="s">
        <v>12</v>
      </c>
      <c r="AC202" s="3"/>
      <c r="AD202" s="3"/>
      <c r="AE202" s="3"/>
      <c r="AF202" s="3"/>
      <c r="AG202" s="3" t="s">
        <v>13</v>
      </c>
      <c r="AH202" s="3"/>
      <c r="AI202" s="3"/>
      <c r="AJ202" s="3"/>
      <c r="AK202" s="3"/>
    </row>
    <row r="203" spans="14:37" x14ac:dyDescent="0.3">
      <c r="N203" s="1" t="s">
        <v>14</v>
      </c>
      <c r="O203" s="1" t="s">
        <v>1</v>
      </c>
      <c r="P203" s="1" t="s">
        <v>1</v>
      </c>
      <c r="Q203" s="1" t="s">
        <v>2</v>
      </c>
      <c r="R203" s="1" t="s">
        <v>2</v>
      </c>
      <c r="S203" s="1" t="s">
        <v>3</v>
      </c>
      <c r="T203" s="1" t="s">
        <v>3</v>
      </c>
      <c r="U203" s="1" t="s">
        <v>4</v>
      </c>
      <c r="V203" s="1" t="s">
        <v>4</v>
      </c>
      <c r="W203" s="1" t="s">
        <v>5</v>
      </c>
      <c r="X203" s="1" t="s">
        <v>5</v>
      </c>
      <c r="AA203" s="1" t="s">
        <v>14</v>
      </c>
      <c r="AB203" s="1" t="s">
        <v>1</v>
      </c>
      <c r="AC203" s="1" t="s">
        <v>2</v>
      </c>
      <c r="AD203" s="1" t="s">
        <v>3</v>
      </c>
      <c r="AE203" s="1" t="s">
        <v>4</v>
      </c>
      <c r="AF203" s="1" t="s">
        <v>5</v>
      </c>
      <c r="AG203" s="1" t="s">
        <v>1</v>
      </c>
      <c r="AH203" s="1" t="s">
        <v>2</v>
      </c>
      <c r="AI203" s="1" t="s">
        <v>3</v>
      </c>
      <c r="AJ203" s="1" t="s">
        <v>4</v>
      </c>
      <c r="AK203" s="1" t="s">
        <v>5</v>
      </c>
    </row>
    <row r="204" spans="14:37" x14ac:dyDescent="0.3">
      <c r="N204" s="1" t="s">
        <v>15</v>
      </c>
      <c r="AA204" s="1" t="s">
        <v>15</v>
      </c>
    </row>
    <row r="205" spans="14:37" x14ac:dyDescent="0.3">
      <c r="N205" s="1" t="s">
        <v>16</v>
      </c>
      <c r="O205" s="2">
        <v>0.59</v>
      </c>
      <c r="P205" s="2">
        <v>0.59</v>
      </c>
      <c r="Q205" s="2">
        <v>0.59</v>
      </c>
      <c r="R205" s="2">
        <v>0.59</v>
      </c>
      <c r="S205" s="2">
        <v>1</v>
      </c>
      <c r="T205" s="2">
        <v>1</v>
      </c>
      <c r="U205" s="2">
        <v>0.59</v>
      </c>
      <c r="V205" s="2">
        <v>0.59</v>
      </c>
      <c r="W205" s="2">
        <v>0.02</v>
      </c>
      <c r="X205" s="2">
        <v>0.01</v>
      </c>
      <c r="AA205" s="1" t="s">
        <v>16</v>
      </c>
      <c r="AB205" s="2">
        <v>462</v>
      </c>
      <c r="AC205" s="2">
        <v>105</v>
      </c>
      <c r="AD205" s="2">
        <v>254.8</v>
      </c>
      <c r="AE205" s="2">
        <v>92.4</v>
      </c>
      <c r="AF205" s="2">
        <v>39.200000000000003</v>
      </c>
      <c r="AG205" s="2">
        <v>431.2</v>
      </c>
      <c r="AH205" s="2">
        <v>192.5</v>
      </c>
      <c r="AI205" s="2">
        <v>294</v>
      </c>
      <c r="AJ205" s="2">
        <v>161.69999999999999</v>
      </c>
      <c r="AK205" s="2">
        <v>72.8</v>
      </c>
    </row>
    <row r="206" spans="14:37" x14ac:dyDescent="0.3">
      <c r="N206" s="1" t="s">
        <v>17</v>
      </c>
      <c r="O206" s="2">
        <v>0.19</v>
      </c>
      <c r="P206" s="2">
        <v>0.03</v>
      </c>
      <c r="Q206" s="2">
        <v>7.0000000000000007E-2</v>
      </c>
      <c r="R206" s="2">
        <v>0.23</v>
      </c>
      <c r="S206" s="2">
        <v>0.25</v>
      </c>
      <c r="T206" s="2">
        <v>0.17</v>
      </c>
      <c r="U206" s="2">
        <v>0.16</v>
      </c>
      <c r="V206" s="2">
        <v>0.59</v>
      </c>
      <c r="W206" s="2">
        <v>0.25</v>
      </c>
      <c r="X206" s="2">
        <v>0.17</v>
      </c>
      <c r="AA206" s="1" t="s">
        <v>17</v>
      </c>
      <c r="AB206" s="2">
        <v>26.4</v>
      </c>
      <c r="AC206" s="2">
        <v>42.5</v>
      </c>
      <c r="AD206" s="2">
        <v>19.600000000000001</v>
      </c>
      <c r="AE206" s="2">
        <v>23.1</v>
      </c>
      <c r="AF206" s="2">
        <v>13.35</v>
      </c>
      <c r="AG206" s="2">
        <v>30.8</v>
      </c>
      <c r="AH206" s="2">
        <v>23.63</v>
      </c>
      <c r="AI206" s="2">
        <v>36.4</v>
      </c>
      <c r="AJ206" s="2">
        <v>26.4</v>
      </c>
      <c r="AK206" s="2">
        <v>11.2</v>
      </c>
    </row>
    <row r="207" spans="14:37" x14ac:dyDescent="0.3">
      <c r="N207" s="1" t="s">
        <v>18</v>
      </c>
      <c r="O207" s="2">
        <v>0.21</v>
      </c>
      <c r="P207" s="2">
        <v>0.04</v>
      </c>
      <c r="Q207" s="2">
        <v>0.11</v>
      </c>
      <c r="R207" s="2">
        <v>0.24</v>
      </c>
      <c r="S207" s="2">
        <v>0.27</v>
      </c>
      <c r="T207" s="2">
        <v>0.16</v>
      </c>
      <c r="U207" s="2">
        <v>0.16</v>
      </c>
      <c r="V207" s="2">
        <v>0.02</v>
      </c>
      <c r="W207" s="2">
        <v>0.08</v>
      </c>
      <c r="X207" s="2">
        <v>0.18</v>
      </c>
      <c r="AA207" s="1" t="s">
        <v>18</v>
      </c>
      <c r="AB207" s="2">
        <v>73.95</v>
      </c>
      <c r="AC207" s="2">
        <v>105</v>
      </c>
      <c r="AD207" s="2">
        <v>64.510000000000005</v>
      </c>
      <c r="AE207" s="2">
        <v>104.53</v>
      </c>
      <c r="AF207" s="2">
        <v>19.2</v>
      </c>
      <c r="AG207" s="2">
        <v>75.900000000000006</v>
      </c>
      <c r="AH207" s="2">
        <v>103.5</v>
      </c>
      <c r="AI207" s="2">
        <v>110.84</v>
      </c>
      <c r="AJ207" s="2">
        <v>153.1</v>
      </c>
      <c r="AK207" s="2">
        <v>38.4</v>
      </c>
    </row>
    <row r="208" spans="14:37" x14ac:dyDescent="0.3">
      <c r="N208" s="1" t="s">
        <v>19</v>
      </c>
      <c r="O208" s="2">
        <v>0.24</v>
      </c>
      <c r="P208" s="2">
        <v>0.1</v>
      </c>
      <c r="Q208" s="2">
        <v>0.13</v>
      </c>
      <c r="R208" s="2">
        <v>0.28000000000000003</v>
      </c>
      <c r="S208" s="2">
        <v>0.28999999999999998</v>
      </c>
      <c r="T208" s="2">
        <v>0.23</v>
      </c>
      <c r="U208" s="2">
        <v>7.0000000000000007E-2</v>
      </c>
      <c r="V208" s="2">
        <v>0.02</v>
      </c>
      <c r="W208" s="2">
        <v>0.16</v>
      </c>
      <c r="X208" s="2">
        <v>0.18</v>
      </c>
      <c r="AA208" s="1" t="s">
        <v>19</v>
      </c>
      <c r="AB208" s="2">
        <v>39.6</v>
      </c>
      <c r="AC208" s="2">
        <v>40</v>
      </c>
      <c r="AD208" s="2">
        <v>42</v>
      </c>
      <c r="AE208" s="2">
        <v>36.299999999999997</v>
      </c>
      <c r="AF208" s="2">
        <v>7.2</v>
      </c>
      <c r="AG208" s="2">
        <v>27.83</v>
      </c>
      <c r="AH208" s="2">
        <v>34.5</v>
      </c>
      <c r="AI208" s="2">
        <v>58.8</v>
      </c>
      <c r="AJ208" s="2">
        <v>36.299999999999997</v>
      </c>
      <c r="AK208" s="2">
        <v>6.08</v>
      </c>
    </row>
    <row r="209" spans="14:37" x14ac:dyDescent="0.3">
      <c r="N209" s="1" t="s">
        <v>20</v>
      </c>
      <c r="O209" s="2">
        <v>0.22</v>
      </c>
      <c r="P209" s="2">
        <v>0.21</v>
      </c>
      <c r="Q209" s="2">
        <v>0.15</v>
      </c>
      <c r="R209" s="2">
        <v>0.19</v>
      </c>
      <c r="S209" s="2">
        <v>0.2</v>
      </c>
      <c r="T209" s="2">
        <v>0.22</v>
      </c>
      <c r="U209" s="2">
        <v>0.03</v>
      </c>
      <c r="V209" s="2">
        <v>0.02</v>
      </c>
      <c r="W209" s="2">
        <v>0.26</v>
      </c>
      <c r="X209" s="2">
        <v>0.26</v>
      </c>
      <c r="AA209" s="1" t="s">
        <v>20</v>
      </c>
      <c r="AB209" s="2">
        <v>121</v>
      </c>
      <c r="AC209" s="2">
        <v>187.5</v>
      </c>
      <c r="AD209" s="2">
        <v>182</v>
      </c>
      <c r="AE209" s="2">
        <v>148.5</v>
      </c>
      <c r="AF209" s="2">
        <v>68</v>
      </c>
      <c r="AG209" s="2">
        <v>110</v>
      </c>
      <c r="AH209" s="2">
        <v>187.5</v>
      </c>
      <c r="AI209" s="2">
        <v>126</v>
      </c>
      <c r="AJ209" s="2">
        <v>198</v>
      </c>
      <c r="AK209" s="2">
        <v>60.37</v>
      </c>
    </row>
    <row r="210" spans="14:37" x14ac:dyDescent="0.3">
      <c r="N210" s="1" t="s">
        <v>21</v>
      </c>
      <c r="O210" s="2">
        <v>0.26</v>
      </c>
      <c r="P210" s="2">
        <v>0.24</v>
      </c>
      <c r="Q210" s="2">
        <v>0.19</v>
      </c>
      <c r="R210" s="2">
        <v>0.21</v>
      </c>
      <c r="S210" s="2">
        <v>0.3</v>
      </c>
      <c r="T210" s="2">
        <v>0.37</v>
      </c>
      <c r="U210" s="2">
        <v>7.0000000000000007E-2</v>
      </c>
      <c r="V210" s="2">
        <v>0.16</v>
      </c>
      <c r="W210" s="2">
        <v>0.28000000000000003</v>
      </c>
      <c r="X210" s="2">
        <v>0.24</v>
      </c>
      <c r="AA210" s="1" t="s">
        <v>21</v>
      </c>
      <c r="AB210" s="2">
        <v>27.29</v>
      </c>
      <c r="AC210" s="2">
        <v>18.2</v>
      </c>
      <c r="AD210" s="2">
        <v>46.08</v>
      </c>
      <c r="AE210" s="2">
        <v>26.4</v>
      </c>
      <c r="AF210" s="2">
        <v>5.38</v>
      </c>
      <c r="AG210" s="2">
        <v>12.97</v>
      </c>
      <c r="AH210" s="2">
        <v>17.5</v>
      </c>
      <c r="AI210" s="2">
        <v>42.6</v>
      </c>
      <c r="AJ210" s="2">
        <v>22.77</v>
      </c>
      <c r="AK210" s="2">
        <v>2.95</v>
      </c>
    </row>
    <row r="211" spans="14:37" x14ac:dyDescent="0.3">
      <c r="N211" s="1" t="s">
        <v>22</v>
      </c>
      <c r="O211" s="2">
        <v>0.16</v>
      </c>
      <c r="P211" s="2">
        <v>0.15</v>
      </c>
      <c r="Q211" s="2">
        <v>0.11</v>
      </c>
      <c r="R211" s="2">
        <v>0.1</v>
      </c>
      <c r="S211" s="2">
        <v>0.2</v>
      </c>
      <c r="T211" s="2">
        <v>0.22</v>
      </c>
      <c r="U211" s="2">
        <v>0.04</v>
      </c>
      <c r="V211" s="2">
        <v>0.03</v>
      </c>
      <c r="W211" s="2">
        <v>0.14000000000000001</v>
      </c>
      <c r="X211" s="2">
        <v>0.14000000000000001</v>
      </c>
      <c r="AA211" s="1" t="s">
        <v>22</v>
      </c>
      <c r="AB211" s="2">
        <v>99.61</v>
      </c>
      <c r="AC211" s="2">
        <v>94.87</v>
      </c>
      <c r="AD211" s="2">
        <v>130.61000000000001</v>
      </c>
      <c r="AE211" s="2">
        <v>146.99</v>
      </c>
      <c r="AF211" s="2">
        <v>19.32</v>
      </c>
      <c r="AG211" s="2">
        <v>132</v>
      </c>
      <c r="AH211" s="2">
        <v>90</v>
      </c>
      <c r="AI211" s="2">
        <v>114.04</v>
      </c>
      <c r="AJ211" s="2">
        <v>76.27</v>
      </c>
      <c r="AK211" s="2">
        <v>19.32</v>
      </c>
    </row>
    <row r="212" spans="14:37" x14ac:dyDescent="0.3">
      <c r="N212" s="1" t="s">
        <v>23</v>
      </c>
      <c r="O212" s="2">
        <v>0.04</v>
      </c>
      <c r="P212" s="2">
        <v>0.04</v>
      </c>
      <c r="Q212" s="2">
        <v>0.05</v>
      </c>
      <c r="R212" s="2">
        <v>0</v>
      </c>
      <c r="S212" s="2">
        <v>0.15</v>
      </c>
      <c r="T212" s="2">
        <v>0.16</v>
      </c>
      <c r="U212" s="2">
        <v>0.02</v>
      </c>
      <c r="V212" s="2">
        <v>0.59</v>
      </c>
      <c r="W212" s="2">
        <v>0.09</v>
      </c>
      <c r="X212" s="2">
        <v>0.19</v>
      </c>
      <c r="AA212" s="1" t="s">
        <v>23</v>
      </c>
      <c r="AB212" s="2">
        <v>191.4</v>
      </c>
      <c r="AC212" s="2">
        <v>90</v>
      </c>
      <c r="AD212" s="2">
        <v>126</v>
      </c>
      <c r="AE212" s="2">
        <v>49.5</v>
      </c>
      <c r="AF212" s="2">
        <v>33.6</v>
      </c>
      <c r="AG212" s="2">
        <v>151.80000000000001</v>
      </c>
      <c r="AH212" s="2">
        <v>22.5</v>
      </c>
      <c r="AI212" s="2">
        <v>92.4</v>
      </c>
      <c r="AJ212" s="2">
        <v>19.8</v>
      </c>
      <c r="AK212" s="2">
        <v>9.14</v>
      </c>
    </row>
    <row r="215" spans="14:37" x14ac:dyDescent="0.3">
      <c r="N215" t="s">
        <v>67</v>
      </c>
      <c r="AA215" t="s">
        <v>68</v>
      </c>
    </row>
    <row r="216" spans="14:37" x14ac:dyDescent="0.3">
      <c r="N216" s="1" t="s">
        <v>11</v>
      </c>
      <c r="O216" s="1" t="s">
        <v>12</v>
      </c>
      <c r="P216" s="1" t="s">
        <v>13</v>
      </c>
      <c r="Q216" s="1" t="s">
        <v>12</v>
      </c>
      <c r="R216" s="1" t="s">
        <v>13</v>
      </c>
      <c r="S216" s="1" t="s">
        <v>12</v>
      </c>
      <c r="T216" s="1" t="s">
        <v>13</v>
      </c>
      <c r="U216" s="1" t="s">
        <v>12</v>
      </c>
      <c r="V216" s="1" t="s">
        <v>13</v>
      </c>
      <c r="W216" s="1" t="s">
        <v>12</v>
      </c>
      <c r="X216" s="1" t="s">
        <v>13</v>
      </c>
      <c r="AA216" s="1" t="s">
        <v>11</v>
      </c>
      <c r="AB216" s="1" t="s">
        <v>12</v>
      </c>
      <c r="AC216" s="1" t="s">
        <v>13</v>
      </c>
      <c r="AD216" s="1" t="s">
        <v>12</v>
      </c>
      <c r="AE216" s="1" t="s">
        <v>13</v>
      </c>
      <c r="AF216" s="1" t="s">
        <v>12</v>
      </c>
      <c r="AG216" s="1" t="s">
        <v>13</v>
      </c>
      <c r="AH216" s="1" t="s">
        <v>12</v>
      </c>
      <c r="AI216" s="1" t="s">
        <v>13</v>
      </c>
      <c r="AJ216" s="1" t="s">
        <v>12</v>
      </c>
      <c r="AK216" s="1" t="s">
        <v>13</v>
      </c>
    </row>
    <row r="217" spans="14:37" x14ac:dyDescent="0.3">
      <c r="N217" s="1" t="s">
        <v>14</v>
      </c>
      <c r="O217" s="1" t="s">
        <v>1</v>
      </c>
      <c r="P217" s="1" t="s">
        <v>1</v>
      </c>
      <c r="Q217" s="1" t="s">
        <v>2</v>
      </c>
      <c r="R217" s="1" t="s">
        <v>2</v>
      </c>
      <c r="S217" s="1" t="s">
        <v>3</v>
      </c>
      <c r="T217" s="1" t="s">
        <v>3</v>
      </c>
      <c r="U217" s="1" t="s">
        <v>4</v>
      </c>
      <c r="V217" s="1" t="s">
        <v>4</v>
      </c>
      <c r="W217" s="1" t="s">
        <v>5</v>
      </c>
      <c r="X217" s="1" t="s">
        <v>5</v>
      </c>
      <c r="AA217" s="1" t="s">
        <v>14</v>
      </c>
      <c r="AB217" s="1" t="s">
        <v>1</v>
      </c>
      <c r="AC217" s="1" t="s">
        <v>1</v>
      </c>
      <c r="AD217" s="1" t="s">
        <v>2</v>
      </c>
      <c r="AE217" s="1" t="s">
        <v>2</v>
      </c>
      <c r="AF217" s="1" t="s">
        <v>3</v>
      </c>
      <c r="AG217" s="1" t="s">
        <v>3</v>
      </c>
      <c r="AH217" s="1" t="s">
        <v>4</v>
      </c>
      <c r="AI217" s="1" t="s">
        <v>4</v>
      </c>
      <c r="AJ217" s="1" t="s">
        <v>5</v>
      </c>
      <c r="AK217" s="1" t="s">
        <v>5</v>
      </c>
    </row>
    <row r="218" spans="14:37" x14ac:dyDescent="0.3">
      <c r="N218" s="1" t="s">
        <v>15</v>
      </c>
      <c r="AA218" s="1" t="s">
        <v>15</v>
      </c>
    </row>
    <row r="219" spans="14:37" x14ac:dyDescent="0.3">
      <c r="N219" s="1" t="s">
        <v>16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0.01</v>
      </c>
      <c r="X219" s="2">
        <v>0</v>
      </c>
      <c r="AA219" s="1" t="s">
        <v>16</v>
      </c>
      <c r="AB219" s="2">
        <v>210</v>
      </c>
      <c r="AC219" s="2">
        <v>196</v>
      </c>
      <c r="AD219" s="2">
        <v>42</v>
      </c>
      <c r="AE219" s="2">
        <v>77</v>
      </c>
      <c r="AF219" s="2">
        <v>91</v>
      </c>
      <c r="AG219" s="2">
        <v>105</v>
      </c>
      <c r="AH219" s="2">
        <v>28</v>
      </c>
      <c r="AI219" s="2">
        <v>49</v>
      </c>
      <c r="AJ219" s="2">
        <v>49</v>
      </c>
      <c r="AK219" s="2">
        <v>91</v>
      </c>
    </row>
    <row r="220" spans="14:37" x14ac:dyDescent="0.3">
      <c r="N220" s="1" t="s">
        <v>17</v>
      </c>
      <c r="O220" s="2">
        <v>0.35</v>
      </c>
      <c r="P220" s="2">
        <v>0.03</v>
      </c>
      <c r="Q220" s="2">
        <v>0.06</v>
      </c>
      <c r="R220" s="2">
        <v>0.71</v>
      </c>
      <c r="S220" s="2">
        <v>0.21</v>
      </c>
      <c r="T220" s="2">
        <v>0.1</v>
      </c>
      <c r="U220" s="2">
        <v>0.32</v>
      </c>
      <c r="V220" s="2">
        <v>0</v>
      </c>
      <c r="W220" s="2">
        <v>0.2</v>
      </c>
      <c r="X220" s="2">
        <v>0.1</v>
      </c>
      <c r="AA220" s="1" t="s">
        <v>17</v>
      </c>
      <c r="AB220" s="2">
        <v>12</v>
      </c>
      <c r="AC220" s="2">
        <v>14</v>
      </c>
      <c r="AD220" s="2">
        <v>17</v>
      </c>
      <c r="AE220" s="2">
        <v>9.4499999999999993</v>
      </c>
      <c r="AF220" s="2">
        <v>7</v>
      </c>
      <c r="AG220" s="2">
        <v>13</v>
      </c>
      <c r="AH220" s="2">
        <v>7</v>
      </c>
      <c r="AI220" s="2">
        <v>8</v>
      </c>
      <c r="AJ220" s="2">
        <v>16.690000000000001</v>
      </c>
      <c r="AK220" s="2">
        <v>14</v>
      </c>
    </row>
    <row r="221" spans="14:37" x14ac:dyDescent="0.3">
      <c r="N221" s="1" t="s">
        <v>18</v>
      </c>
      <c r="O221" s="2">
        <v>0.68</v>
      </c>
      <c r="P221" s="2">
        <v>0.09</v>
      </c>
      <c r="Q221" s="2">
        <v>0.19</v>
      </c>
      <c r="R221" s="2">
        <v>0.96</v>
      </c>
      <c r="S221" s="2">
        <v>0.83</v>
      </c>
      <c r="T221" s="2">
        <v>0.12</v>
      </c>
      <c r="U221" s="2">
        <v>0.51</v>
      </c>
      <c r="V221" s="2">
        <v>0.02</v>
      </c>
      <c r="W221" s="2">
        <v>0.06</v>
      </c>
      <c r="X221" s="2">
        <v>0.2</v>
      </c>
      <c r="AA221" s="1" t="s">
        <v>18</v>
      </c>
      <c r="AB221" s="2">
        <v>33.61</v>
      </c>
      <c r="AC221" s="2">
        <v>34.5</v>
      </c>
      <c r="AD221" s="2">
        <v>42</v>
      </c>
      <c r="AE221" s="2">
        <v>41.4</v>
      </c>
      <c r="AF221" s="2">
        <v>23.04</v>
      </c>
      <c r="AG221" s="2">
        <v>39.590000000000003</v>
      </c>
      <c r="AH221" s="2">
        <v>31.68</v>
      </c>
      <c r="AI221" s="2">
        <v>46.4</v>
      </c>
      <c r="AJ221" s="2">
        <v>24</v>
      </c>
      <c r="AK221" s="2">
        <v>48</v>
      </c>
    </row>
    <row r="222" spans="14:37" x14ac:dyDescent="0.3">
      <c r="N222" s="1" t="s">
        <v>19</v>
      </c>
      <c r="O222" s="2">
        <v>0.55000000000000004</v>
      </c>
      <c r="P222" s="2">
        <v>0.15</v>
      </c>
      <c r="Q222" s="2">
        <v>0.16</v>
      </c>
      <c r="R222" s="2">
        <v>0.79</v>
      </c>
      <c r="S222" s="2">
        <v>0.48</v>
      </c>
      <c r="T222" s="2">
        <v>0.22</v>
      </c>
      <c r="U222" s="2">
        <v>0.09</v>
      </c>
      <c r="V222" s="2">
        <v>0.01</v>
      </c>
      <c r="W222" s="2">
        <v>0.1</v>
      </c>
      <c r="X222" s="2">
        <v>0.13</v>
      </c>
      <c r="AA222" s="1" t="s">
        <v>19</v>
      </c>
      <c r="AB222" s="2">
        <v>18</v>
      </c>
      <c r="AC222" s="2">
        <v>12.65</v>
      </c>
      <c r="AD222" s="2">
        <v>16</v>
      </c>
      <c r="AE222" s="2">
        <v>13.8</v>
      </c>
      <c r="AF222" s="2">
        <v>15</v>
      </c>
      <c r="AG222" s="2">
        <v>21</v>
      </c>
      <c r="AH222" s="2">
        <v>11</v>
      </c>
      <c r="AI222" s="2">
        <v>11</v>
      </c>
      <c r="AJ222" s="2">
        <v>9</v>
      </c>
      <c r="AK222" s="2">
        <v>7.59</v>
      </c>
    </row>
    <row r="223" spans="14:37" x14ac:dyDescent="0.3">
      <c r="N223" s="1" t="s">
        <v>20</v>
      </c>
      <c r="O223" s="2">
        <v>0.55000000000000004</v>
      </c>
      <c r="P223" s="2">
        <v>0.48</v>
      </c>
      <c r="Q223" s="2">
        <v>0.28000000000000003</v>
      </c>
      <c r="R223" s="2">
        <v>0.4</v>
      </c>
      <c r="S223" s="2">
        <v>0.15</v>
      </c>
      <c r="T223" s="2">
        <v>0.15</v>
      </c>
      <c r="U223" s="2">
        <v>0.03</v>
      </c>
      <c r="V223" s="2">
        <v>0.01</v>
      </c>
      <c r="W223" s="2">
        <v>0.24</v>
      </c>
      <c r="X223" s="2">
        <v>0.25</v>
      </c>
      <c r="AA223" s="1" t="s">
        <v>20</v>
      </c>
      <c r="AB223" s="2">
        <v>55</v>
      </c>
      <c r="AC223" s="2">
        <v>50</v>
      </c>
      <c r="AD223" s="2">
        <v>75</v>
      </c>
      <c r="AE223" s="2">
        <v>75</v>
      </c>
      <c r="AF223" s="2">
        <v>65</v>
      </c>
      <c r="AG223" s="2">
        <v>45</v>
      </c>
      <c r="AH223" s="2">
        <v>45</v>
      </c>
      <c r="AI223" s="2">
        <v>60</v>
      </c>
      <c r="AJ223" s="2">
        <v>85</v>
      </c>
      <c r="AK223" s="2">
        <v>75.459999999999994</v>
      </c>
    </row>
    <row r="224" spans="14:37" x14ac:dyDescent="0.3">
      <c r="N224" s="1" t="s">
        <v>21</v>
      </c>
      <c r="O224" s="2">
        <v>0.57999999999999996</v>
      </c>
      <c r="P224" s="2">
        <v>0.54</v>
      </c>
      <c r="Q224" s="2">
        <v>0.28999999999999998</v>
      </c>
      <c r="R224" s="2">
        <v>0.25</v>
      </c>
      <c r="S224" s="2">
        <v>0.31</v>
      </c>
      <c r="T224" s="2">
        <v>0.74</v>
      </c>
      <c r="U224" s="2">
        <v>7.0000000000000007E-2</v>
      </c>
      <c r="V224" s="2">
        <v>0.17</v>
      </c>
      <c r="W224" s="2">
        <v>0.25</v>
      </c>
      <c r="X224" s="2">
        <v>0.22</v>
      </c>
      <c r="AA224" s="1" t="s">
        <v>21</v>
      </c>
      <c r="AB224" s="2">
        <v>12.4</v>
      </c>
      <c r="AC224" s="2">
        <v>5.9</v>
      </c>
      <c r="AD224" s="2">
        <v>7.28</v>
      </c>
      <c r="AE224" s="2">
        <v>7</v>
      </c>
      <c r="AF224" s="2">
        <v>16.46</v>
      </c>
      <c r="AG224" s="2">
        <v>15.22</v>
      </c>
      <c r="AH224" s="2">
        <v>8</v>
      </c>
      <c r="AI224" s="2">
        <v>6.9</v>
      </c>
      <c r="AJ224" s="2">
        <v>6.73</v>
      </c>
      <c r="AK224" s="2">
        <v>3.69</v>
      </c>
    </row>
    <row r="225" spans="14:37" x14ac:dyDescent="0.3">
      <c r="N225" s="1" t="s">
        <v>22</v>
      </c>
      <c r="O225" s="2">
        <v>0.46</v>
      </c>
      <c r="P225" s="2">
        <v>0.4</v>
      </c>
      <c r="Q225" s="2">
        <v>0.25</v>
      </c>
      <c r="R225" s="2">
        <v>0.16</v>
      </c>
      <c r="S225" s="2">
        <v>0.18</v>
      </c>
      <c r="T225" s="2">
        <v>0.26</v>
      </c>
      <c r="U225" s="2">
        <v>0.06</v>
      </c>
      <c r="V225" s="2">
        <v>0.02</v>
      </c>
      <c r="W225" s="2">
        <v>0.15</v>
      </c>
      <c r="X225" s="2">
        <v>0.13</v>
      </c>
      <c r="AA225" s="1" t="s">
        <v>22</v>
      </c>
      <c r="AB225" s="2">
        <v>45.28</v>
      </c>
      <c r="AC225" s="2">
        <v>60</v>
      </c>
      <c r="AD225" s="2">
        <v>37.950000000000003</v>
      </c>
      <c r="AE225" s="2">
        <v>36</v>
      </c>
      <c r="AF225" s="2">
        <v>46.65</v>
      </c>
      <c r="AG225" s="2">
        <v>40.729999999999997</v>
      </c>
      <c r="AH225" s="2">
        <v>44.54</v>
      </c>
      <c r="AI225" s="2">
        <v>23.11</v>
      </c>
      <c r="AJ225" s="2">
        <v>24.15</v>
      </c>
      <c r="AK225" s="2">
        <v>24.15</v>
      </c>
    </row>
    <row r="226" spans="14:37" x14ac:dyDescent="0.3">
      <c r="N226" s="1" t="s">
        <v>23</v>
      </c>
      <c r="O226" s="2">
        <v>0.03</v>
      </c>
      <c r="P226" s="2">
        <v>0.03</v>
      </c>
      <c r="Q226" s="2">
        <v>0.06</v>
      </c>
      <c r="R226" s="2">
        <v>0</v>
      </c>
      <c r="S226" s="2">
        <v>0.06</v>
      </c>
      <c r="T226" s="2">
        <v>0.05</v>
      </c>
      <c r="U226" s="2">
        <v>0.03</v>
      </c>
      <c r="V226" s="2">
        <v>0</v>
      </c>
      <c r="W226" s="2">
        <v>0.04</v>
      </c>
      <c r="X226" s="2">
        <v>0.14000000000000001</v>
      </c>
      <c r="AA226" s="1" t="s">
        <v>23</v>
      </c>
      <c r="AB226" s="2">
        <v>87</v>
      </c>
      <c r="AC226" s="2">
        <v>69</v>
      </c>
      <c r="AD226" s="2">
        <v>36</v>
      </c>
      <c r="AE226" s="2">
        <v>9</v>
      </c>
      <c r="AF226" s="2">
        <v>45</v>
      </c>
      <c r="AG226" s="2">
        <v>33</v>
      </c>
      <c r="AH226" s="2">
        <v>15</v>
      </c>
      <c r="AI226" s="2">
        <v>6</v>
      </c>
      <c r="AJ226" s="2">
        <v>42</v>
      </c>
      <c r="AK226" s="2">
        <v>11.42</v>
      </c>
    </row>
  </sheetData>
  <mergeCells count="18">
    <mergeCell ref="AG202:AK202"/>
    <mergeCell ref="AG90:AK90"/>
    <mergeCell ref="AB202:AF202"/>
    <mergeCell ref="O146:S146"/>
    <mergeCell ref="AB118:AF118"/>
    <mergeCell ref="AG146:AK146"/>
    <mergeCell ref="O118:S118"/>
    <mergeCell ref="O174:S174"/>
    <mergeCell ref="T90:X90"/>
    <mergeCell ref="AG174:AK174"/>
    <mergeCell ref="AB90:AF90"/>
    <mergeCell ref="T118:X118"/>
    <mergeCell ref="O90:S90"/>
    <mergeCell ref="T146:X146"/>
    <mergeCell ref="AB174:AF174"/>
    <mergeCell ref="AG118:AK118"/>
    <mergeCell ref="T174:X174"/>
    <mergeCell ref="AB146:AF146"/>
  </mergeCells>
  <conditionalFormatting sqref="C9:L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L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X226"/>
  <sheetViews>
    <sheetView tabSelected="1" topLeftCell="AK22" workbookViewId="0">
      <selection activeCell="AV16" sqref="AV9:AV16"/>
    </sheetView>
  </sheetViews>
  <sheetFormatPr defaultRowHeight="14.4" x14ac:dyDescent="0.3"/>
  <sheetData>
    <row r="1" spans="2:50" x14ac:dyDescent="0.3">
      <c r="B1" t="s">
        <v>0</v>
      </c>
    </row>
    <row r="2" spans="2:5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50" x14ac:dyDescent="0.3">
      <c r="B3" s="1" t="s">
        <v>6</v>
      </c>
      <c r="C3">
        <v>2.2000000000000002</v>
      </c>
      <c r="D3">
        <v>2.5</v>
      </c>
      <c r="E3">
        <v>2.8</v>
      </c>
      <c r="F3">
        <v>3.3</v>
      </c>
      <c r="G3">
        <v>0.8</v>
      </c>
    </row>
    <row r="5" spans="2:50" x14ac:dyDescent="0.3">
      <c r="B5" t="s">
        <v>7</v>
      </c>
      <c r="N5" t="s">
        <v>8</v>
      </c>
      <c r="AA5" t="s">
        <v>9</v>
      </c>
      <c r="AN5" t="s">
        <v>10</v>
      </c>
    </row>
    <row r="6" spans="2:50" x14ac:dyDescent="0.3">
      <c r="B6" s="1" t="s">
        <v>11</v>
      </c>
      <c r="C6" s="1" t="s">
        <v>12</v>
      </c>
      <c r="D6" s="1" t="s">
        <v>13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12</v>
      </c>
      <c r="J6" s="1" t="s">
        <v>13</v>
      </c>
      <c r="K6" s="1" t="s">
        <v>12</v>
      </c>
      <c r="L6" s="1" t="s">
        <v>13</v>
      </c>
      <c r="N6" s="1" t="s">
        <v>11</v>
      </c>
      <c r="O6" s="1" t="s">
        <v>12</v>
      </c>
      <c r="P6" s="1" t="s">
        <v>13</v>
      </c>
      <c r="Q6" s="1" t="s">
        <v>12</v>
      </c>
      <c r="R6" s="1" t="s">
        <v>13</v>
      </c>
      <c r="S6" s="1" t="s">
        <v>12</v>
      </c>
      <c r="T6" s="1" t="s">
        <v>13</v>
      </c>
      <c r="U6" s="1" t="s">
        <v>12</v>
      </c>
      <c r="V6" s="1" t="s">
        <v>13</v>
      </c>
      <c r="W6" s="1" t="s">
        <v>12</v>
      </c>
      <c r="X6" s="1" t="s">
        <v>13</v>
      </c>
      <c r="AA6" s="1" t="s">
        <v>11</v>
      </c>
      <c r="AB6" s="1" t="s">
        <v>12</v>
      </c>
      <c r="AC6" s="1" t="s">
        <v>13</v>
      </c>
      <c r="AD6" s="1" t="s">
        <v>12</v>
      </c>
      <c r="AE6" s="1" t="s">
        <v>13</v>
      </c>
      <c r="AF6" s="1" t="s">
        <v>12</v>
      </c>
      <c r="AG6" s="1" t="s">
        <v>13</v>
      </c>
      <c r="AH6" s="1" t="s">
        <v>12</v>
      </c>
      <c r="AI6" s="1" t="s">
        <v>13</v>
      </c>
      <c r="AJ6" s="1" t="s">
        <v>12</v>
      </c>
      <c r="AK6" s="1" t="s">
        <v>13</v>
      </c>
      <c r="AN6" s="1" t="s">
        <v>11</v>
      </c>
      <c r="AO6" s="1" t="s">
        <v>12</v>
      </c>
      <c r="AP6" s="1" t="s">
        <v>13</v>
      </c>
      <c r="AQ6" s="1" t="s">
        <v>12</v>
      </c>
      <c r="AR6" s="1" t="s">
        <v>13</v>
      </c>
      <c r="AS6" s="1" t="s">
        <v>12</v>
      </c>
      <c r="AT6" s="1" t="s">
        <v>13</v>
      </c>
      <c r="AU6" s="1" t="s">
        <v>12</v>
      </c>
      <c r="AV6" s="1" t="s">
        <v>13</v>
      </c>
      <c r="AW6" s="1" t="s">
        <v>12</v>
      </c>
      <c r="AX6" s="1" t="s">
        <v>13</v>
      </c>
    </row>
    <row r="7" spans="2:50" x14ac:dyDescent="0.3">
      <c r="B7" s="1" t="s">
        <v>14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N7" s="1" t="s">
        <v>14</v>
      </c>
      <c r="O7" s="1" t="s">
        <v>1</v>
      </c>
      <c r="P7" s="1" t="s">
        <v>1</v>
      </c>
      <c r="Q7" s="1" t="s">
        <v>2</v>
      </c>
      <c r="R7" s="1" t="s">
        <v>2</v>
      </c>
      <c r="S7" s="1" t="s">
        <v>3</v>
      </c>
      <c r="T7" s="1" t="s">
        <v>3</v>
      </c>
      <c r="U7" s="1" t="s">
        <v>4</v>
      </c>
      <c r="V7" s="1" t="s">
        <v>4</v>
      </c>
      <c r="W7" s="1" t="s">
        <v>5</v>
      </c>
      <c r="X7" s="1" t="s">
        <v>5</v>
      </c>
      <c r="AA7" s="1" t="s">
        <v>14</v>
      </c>
      <c r="AB7" s="1" t="s">
        <v>1</v>
      </c>
      <c r="AC7" s="1" t="s">
        <v>1</v>
      </c>
      <c r="AD7" s="1" t="s">
        <v>2</v>
      </c>
      <c r="AE7" s="1" t="s">
        <v>2</v>
      </c>
      <c r="AF7" s="1" t="s">
        <v>3</v>
      </c>
      <c r="AG7" s="1" t="s">
        <v>3</v>
      </c>
      <c r="AH7" s="1" t="s">
        <v>4</v>
      </c>
      <c r="AI7" s="1" t="s">
        <v>4</v>
      </c>
      <c r="AJ7" s="1" t="s">
        <v>5</v>
      </c>
      <c r="AK7" s="1" t="s">
        <v>5</v>
      </c>
      <c r="AN7" s="1" t="s">
        <v>14</v>
      </c>
      <c r="AO7" s="1" t="s">
        <v>1</v>
      </c>
      <c r="AP7" s="1" t="s">
        <v>1</v>
      </c>
      <c r="AQ7" s="1" t="s">
        <v>2</v>
      </c>
      <c r="AR7" s="1" t="s">
        <v>2</v>
      </c>
      <c r="AS7" s="1" t="s">
        <v>3</v>
      </c>
      <c r="AT7" s="1" t="s">
        <v>3</v>
      </c>
      <c r="AU7" s="1" t="s">
        <v>4</v>
      </c>
      <c r="AV7" s="1" t="s">
        <v>4</v>
      </c>
      <c r="AW7" s="1" t="s">
        <v>5</v>
      </c>
      <c r="AX7" s="1" t="s">
        <v>5</v>
      </c>
    </row>
    <row r="8" spans="2:50" x14ac:dyDescent="0.3">
      <c r="B8" s="1" t="s">
        <v>15</v>
      </c>
      <c r="N8" s="1" t="s">
        <v>15</v>
      </c>
      <c r="AA8" s="1" t="s">
        <v>15</v>
      </c>
      <c r="AN8" s="1" t="s">
        <v>15</v>
      </c>
    </row>
    <row r="9" spans="2:50" x14ac:dyDescent="0.3">
      <c r="B9" s="1" t="s">
        <v>16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N9" s="1" t="s">
        <v>16</v>
      </c>
      <c r="O9" s="2">
        <v>4218.4799999999996</v>
      </c>
      <c r="P9" s="2">
        <v>4156.0600000000004</v>
      </c>
      <c r="Q9" s="2">
        <v>5771.7</v>
      </c>
      <c r="R9" s="2">
        <v>2708.68</v>
      </c>
      <c r="S9" s="2">
        <v>2330.7600000000002</v>
      </c>
      <c r="T9" s="2">
        <v>2069.94</v>
      </c>
      <c r="U9" s="2">
        <v>2620.7199999999998</v>
      </c>
      <c r="V9" s="2">
        <v>1852.56</v>
      </c>
      <c r="W9" s="2">
        <v>1786.25</v>
      </c>
      <c r="X9" s="2">
        <v>1439.49</v>
      </c>
      <c r="AA9" s="1" t="s">
        <v>16</v>
      </c>
      <c r="AB9" s="2">
        <v>39702.32</v>
      </c>
      <c r="AC9" s="2">
        <v>39467.519999999997</v>
      </c>
      <c r="AD9" s="2">
        <v>53058.05</v>
      </c>
      <c r="AE9" s="2">
        <v>42504.32</v>
      </c>
      <c r="AF9" s="2">
        <v>39672.04</v>
      </c>
      <c r="AG9" s="2">
        <v>35305.300000000003</v>
      </c>
      <c r="AH9" s="2">
        <v>40786.49</v>
      </c>
      <c r="AI9" s="2">
        <v>35065.86</v>
      </c>
      <c r="AJ9" s="2">
        <v>16436.150000000001</v>
      </c>
      <c r="AK9" s="2">
        <v>13389.31</v>
      </c>
      <c r="AN9" s="1" t="s">
        <v>16</v>
      </c>
      <c r="AO9" s="2">
        <v>43920.800000000003</v>
      </c>
      <c r="AP9" s="2">
        <v>43623.58</v>
      </c>
      <c r="AQ9" s="2">
        <v>58829.75</v>
      </c>
      <c r="AR9" s="2">
        <v>45213</v>
      </c>
      <c r="AS9" s="2">
        <v>42002.8</v>
      </c>
      <c r="AT9" s="2">
        <v>37375.24</v>
      </c>
      <c r="AU9" s="2">
        <v>43407.21</v>
      </c>
      <c r="AV9" s="2">
        <v>36918.42</v>
      </c>
      <c r="AW9" s="2">
        <v>18222.400000000001</v>
      </c>
      <c r="AX9" s="2">
        <v>14828.8</v>
      </c>
    </row>
    <row r="10" spans="2:50" x14ac:dyDescent="0.3">
      <c r="B10" s="1" t="s">
        <v>17</v>
      </c>
      <c r="C10" s="2">
        <v>1.8</v>
      </c>
      <c r="D10" s="2">
        <v>0.89</v>
      </c>
      <c r="E10" s="2">
        <v>0.82</v>
      </c>
      <c r="F10" s="2">
        <v>1.8</v>
      </c>
      <c r="G10" s="2">
        <v>1.66</v>
      </c>
      <c r="H10" s="2">
        <v>1.44</v>
      </c>
      <c r="I10" s="2">
        <v>1.8</v>
      </c>
      <c r="J10" s="2">
        <v>0.9</v>
      </c>
      <c r="K10" s="2">
        <v>1.8</v>
      </c>
      <c r="L10" s="2">
        <v>1.3</v>
      </c>
      <c r="N10" s="1" t="s">
        <v>17</v>
      </c>
      <c r="O10" s="2">
        <v>2683.06</v>
      </c>
      <c r="P10" s="2">
        <v>1691.17</v>
      </c>
      <c r="Q10" s="2">
        <v>3397</v>
      </c>
      <c r="R10" s="2">
        <v>2022.46</v>
      </c>
      <c r="S10" s="2">
        <v>4120.83</v>
      </c>
      <c r="T10" s="2">
        <v>2115.09</v>
      </c>
      <c r="U10" s="2">
        <v>4559.13</v>
      </c>
      <c r="V10" s="2">
        <v>743.13</v>
      </c>
      <c r="W10" s="2">
        <v>1030.22</v>
      </c>
      <c r="X10" s="2">
        <v>762.68</v>
      </c>
      <c r="AA10" s="1" t="s">
        <v>17</v>
      </c>
      <c r="AB10" s="2">
        <v>14056.39</v>
      </c>
      <c r="AC10" s="2">
        <v>9952.11</v>
      </c>
      <c r="AD10" s="2">
        <v>20750.75</v>
      </c>
      <c r="AE10" s="2">
        <v>9735.11</v>
      </c>
      <c r="AF10" s="2">
        <v>23183.65</v>
      </c>
      <c r="AG10" s="2">
        <v>11572.43</v>
      </c>
      <c r="AH10" s="2">
        <v>24301.7</v>
      </c>
      <c r="AI10" s="2">
        <v>14565.24</v>
      </c>
      <c r="AJ10" s="2">
        <v>5396.98</v>
      </c>
      <c r="AK10" s="2">
        <v>4507.72</v>
      </c>
      <c r="AN10" s="1" t="s">
        <v>17</v>
      </c>
      <c r="AO10" s="2">
        <v>16739.45</v>
      </c>
      <c r="AP10" s="2">
        <v>11643.28</v>
      </c>
      <c r="AQ10" s="2">
        <v>24147.75</v>
      </c>
      <c r="AR10" s="2">
        <v>11757.57</v>
      </c>
      <c r="AS10" s="2">
        <v>27304.48</v>
      </c>
      <c r="AT10" s="2">
        <v>13687.52</v>
      </c>
      <c r="AU10" s="2">
        <v>28860.83</v>
      </c>
      <c r="AV10" s="2">
        <v>15308.37</v>
      </c>
      <c r="AW10" s="2">
        <v>6427.2</v>
      </c>
      <c r="AX10" s="2">
        <v>5270.4</v>
      </c>
    </row>
    <row r="11" spans="2:50" x14ac:dyDescent="0.3">
      <c r="B11" s="1" t="s">
        <v>18</v>
      </c>
      <c r="C11" s="2">
        <v>3.95</v>
      </c>
      <c r="D11" s="2">
        <v>1.8</v>
      </c>
      <c r="E11" s="2">
        <v>1.8</v>
      </c>
      <c r="F11" s="2">
        <v>1.8</v>
      </c>
      <c r="G11" s="2">
        <v>3.72</v>
      </c>
      <c r="H11" s="2">
        <v>1.73</v>
      </c>
      <c r="I11" s="2">
        <v>3.27</v>
      </c>
      <c r="J11" s="2">
        <v>0.71</v>
      </c>
      <c r="K11" s="2">
        <v>1.61</v>
      </c>
      <c r="L11" s="2">
        <v>1.8</v>
      </c>
      <c r="N11" s="1" t="s">
        <v>18</v>
      </c>
      <c r="O11" s="2">
        <v>12148.22</v>
      </c>
      <c r="P11" s="2">
        <v>6015.37</v>
      </c>
      <c r="Q11" s="2">
        <v>12411.5</v>
      </c>
      <c r="R11" s="2">
        <v>13943.54</v>
      </c>
      <c r="S11" s="2">
        <v>17271.98</v>
      </c>
      <c r="T11" s="2">
        <v>10986.03</v>
      </c>
      <c r="U11" s="2">
        <v>14976.19</v>
      </c>
      <c r="V11" s="2">
        <v>11700.32</v>
      </c>
      <c r="W11" s="2">
        <v>1972.33</v>
      </c>
      <c r="X11" s="2">
        <v>2947.95</v>
      </c>
      <c r="AA11" s="1" t="s">
        <v>18</v>
      </c>
      <c r="AB11" s="2">
        <v>54907.78</v>
      </c>
      <c r="AC11" s="2">
        <v>28141.91</v>
      </c>
      <c r="AD11" s="2">
        <v>80899</v>
      </c>
      <c r="AE11" s="2">
        <v>39032.620000000003</v>
      </c>
      <c r="AF11" s="2">
        <v>85619.15</v>
      </c>
      <c r="AG11" s="2">
        <v>63459.03</v>
      </c>
      <c r="AH11" s="2">
        <v>94330.76</v>
      </c>
      <c r="AI11" s="2">
        <v>69755.03</v>
      </c>
      <c r="AJ11" s="2">
        <v>11196.47</v>
      </c>
      <c r="AK11" s="2">
        <v>12613.65</v>
      </c>
      <c r="AN11" s="1" t="s">
        <v>18</v>
      </c>
      <c r="AO11" s="2">
        <v>67056</v>
      </c>
      <c r="AP11" s="2">
        <v>34157.279999999999</v>
      </c>
      <c r="AQ11" s="2">
        <v>93310.5</v>
      </c>
      <c r="AR11" s="2">
        <v>52976.160000000003</v>
      </c>
      <c r="AS11" s="2">
        <v>102891.13</v>
      </c>
      <c r="AT11" s="2">
        <v>74445.06</v>
      </c>
      <c r="AU11" s="2">
        <v>109306.96</v>
      </c>
      <c r="AV11" s="2">
        <v>81455.350000000006</v>
      </c>
      <c r="AW11" s="2">
        <v>13168.8</v>
      </c>
      <c r="AX11" s="2">
        <v>15561.6</v>
      </c>
    </row>
    <row r="12" spans="2:50" x14ac:dyDescent="0.3">
      <c r="B12" s="1" t="s">
        <v>19</v>
      </c>
      <c r="C12" s="2">
        <v>1.8</v>
      </c>
      <c r="D12" s="2">
        <v>1.79</v>
      </c>
      <c r="E12" s="2">
        <v>1.36</v>
      </c>
      <c r="F12" s="2">
        <v>1.8</v>
      </c>
      <c r="G12" s="2">
        <v>2.29</v>
      </c>
      <c r="H12" s="2">
        <v>1.73</v>
      </c>
      <c r="I12" s="2">
        <v>0.89</v>
      </c>
      <c r="J12" s="2">
        <v>0.44</v>
      </c>
      <c r="K12" s="2">
        <v>1.44</v>
      </c>
      <c r="L12" s="2">
        <v>1.59</v>
      </c>
      <c r="N12" s="1" t="s">
        <v>19</v>
      </c>
      <c r="O12" s="2">
        <v>2959.71</v>
      </c>
      <c r="P12" s="2">
        <v>1644.59</v>
      </c>
      <c r="Q12" s="2">
        <v>3582.77</v>
      </c>
      <c r="R12" s="2">
        <v>3710.07</v>
      </c>
      <c r="S12" s="2">
        <v>4162.8</v>
      </c>
      <c r="T12" s="2">
        <v>3847.94</v>
      </c>
      <c r="U12" s="2">
        <v>4385.13</v>
      </c>
      <c r="V12" s="2">
        <v>3764.36</v>
      </c>
      <c r="W12" s="2">
        <v>591.96</v>
      </c>
      <c r="X12" s="2">
        <v>608.79</v>
      </c>
      <c r="AA12" s="1" t="s">
        <v>19</v>
      </c>
      <c r="AB12" s="2">
        <v>15671.07</v>
      </c>
      <c r="AC12" s="2">
        <v>10497.9</v>
      </c>
      <c r="AD12" s="2">
        <v>25434.98</v>
      </c>
      <c r="AE12" s="2">
        <v>20555.580000000002</v>
      </c>
      <c r="AF12" s="2">
        <v>25237.200000000001</v>
      </c>
      <c r="AG12" s="2">
        <v>23273.42</v>
      </c>
      <c r="AH12" s="2">
        <v>25819.439999999999</v>
      </c>
      <c r="AI12" s="2">
        <v>22462.39</v>
      </c>
      <c r="AJ12" s="2">
        <v>3763.24</v>
      </c>
      <c r="AK12" s="2">
        <v>3775.05</v>
      </c>
      <c r="AN12" s="1" t="s">
        <v>19</v>
      </c>
      <c r="AO12" s="2">
        <v>18630.78</v>
      </c>
      <c r="AP12" s="2">
        <v>12142.48</v>
      </c>
      <c r="AQ12" s="2">
        <v>29017.75</v>
      </c>
      <c r="AR12" s="2">
        <v>24265.65</v>
      </c>
      <c r="AS12" s="2">
        <v>29400</v>
      </c>
      <c r="AT12" s="2">
        <v>27121.360000000001</v>
      </c>
      <c r="AU12" s="2">
        <v>30204.57</v>
      </c>
      <c r="AV12" s="2">
        <v>26226.75</v>
      </c>
      <c r="AW12" s="2">
        <v>4355.2</v>
      </c>
      <c r="AX12" s="2">
        <v>4383.84</v>
      </c>
    </row>
    <row r="13" spans="2:50" x14ac:dyDescent="0.3">
      <c r="B13" s="1" t="s">
        <v>20</v>
      </c>
      <c r="C13" s="2">
        <v>1.8</v>
      </c>
      <c r="D13" s="2">
        <v>1.8</v>
      </c>
      <c r="E13" s="2">
        <v>1.8</v>
      </c>
      <c r="F13" s="2">
        <v>1.8</v>
      </c>
      <c r="G13" s="2">
        <v>1.5</v>
      </c>
      <c r="H13" s="2">
        <v>1.44</v>
      </c>
      <c r="I13" s="2">
        <v>0.69</v>
      </c>
      <c r="J13" s="2">
        <v>0.37</v>
      </c>
      <c r="K13" s="2">
        <v>1.8</v>
      </c>
      <c r="L13" s="2">
        <v>1.8</v>
      </c>
      <c r="N13" s="1" t="s">
        <v>20</v>
      </c>
      <c r="O13" s="2">
        <v>11019.89</v>
      </c>
      <c r="P13" s="2">
        <v>12302.52</v>
      </c>
      <c r="Q13" s="2">
        <v>15249.7</v>
      </c>
      <c r="R13" s="2">
        <v>16469.84</v>
      </c>
      <c r="S13" s="2">
        <v>15469.36</v>
      </c>
      <c r="T13" s="2">
        <v>18053.7</v>
      </c>
      <c r="U13" s="2">
        <v>15582.85</v>
      </c>
      <c r="V13" s="2">
        <v>18963.64</v>
      </c>
      <c r="W13" s="2">
        <v>4672.8999999999996</v>
      </c>
      <c r="X13" s="2">
        <v>5331.59</v>
      </c>
      <c r="AA13" s="1" t="s">
        <v>20</v>
      </c>
      <c r="AB13" s="2">
        <v>52911.55</v>
      </c>
      <c r="AC13" s="2">
        <v>59875.78</v>
      </c>
      <c r="AD13" s="2">
        <v>90902.8</v>
      </c>
      <c r="AE13" s="2">
        <v>86881.7</v>
      </c>
      <c r="AF13" s="2">
        <v>89519.44</v>
      </c>
      <c r="AG13" s="2">
        <v>100711.1</v>
      </c>
      <c r="AH13" s="2">
        <v>87722</v>
      </c>
      <c r="AI13" s="2">
        <v>106134.41</v>
      </c>
      <c r="AJ13" s="2">
        <v>26879.1</v>
      </c>
      <c r="AK13" s="2">
        <v>25864.12</v>
      </c>
      <c r="AN13" s="1" t="s">
        <v>20</v>
      </c>
      <c r="AO13" s="2">
        <v>63931.44</v>
      </c>
      <c r="AP13" s="2">
        <v>72178.3</v>
      </c>
      <c r="AQ13" s="2">
        <v>106152.5</v>
      </c>
      <c r="AR13" s="2">
        <v>103351.54</v>
      </c>
      <c r="AS13" s="2">
        <v>104988.8</v>
      </c>
      <c r="AT13" s="2">
        <v>118764.8</v>
      </c>
      <c r="AU13" s="2">
        <v>103304.85</v>
      </c>
      <c r="AV13" s="2">
        <v>125098.05</v>
      </c>
      <c r="AW13" s="2">
        <v>31552</v>
      </c>
      <c r="AX13" s="2">
        <v>31195.71</v>
      </c>
    </row>
    <row r="14" spans="2:50" x14ac:dyDescent="0.3">
      <c r="B14" s="1" t="s">
        <v>21</v>
      </c>
      <c r="C14" s="2">
        <v>1.8</v>
      </c>
      <c r="D14" s="2">
        <v>1.8</v>
      </c>
      <c r="E14" s="2">
        <v>1.8</v>
      </c>
      <c r="F14" s="2">
        <v>1.58</v>
      </c>
      <c r="G14" s="2">
        <v>1.78</v>
      </c>
      <c r="H14" s="2">
        <v>1.71</v>
      </c>
      <c r="I14" s="2">
        <v>0.7</v>
      </c>
      <c r="J14" s="2">
        <v>0.97</v>
      </c>
      <c r="K14" s="2">
        <v>1.8</v>
      </c>
      <c r="L14" s="2">
        <v>1.8</v>
      </c>
      <c r="N14" s="1" t="s">
        <v>21</v>
      </c>
      <c r="O14" s="2">
        <v>2838.84</v>
      </c>
      <c r="P14" s="2">
        <v>2600.9899999999998</v>
      </c>
      <c r="Q14" s="2">
        <v>4023.86</v>
      </c>
      <c r="R14" s="2">
        <v>4835.95</v>
      </c>
      <c r="S14" s="2">
        <v>5018.2</v>
      </c>
      <c r="T14" s="2">
        <v>5395.59</v>
      </c>
      <c r="U14" s="2">
        <v>4913.3999999999996</v>
      </c>
      <c r="V14" s="2">
        <v>6772.12</v>
      </c>
      <c r="W14" s="2">
        <v>1209.05</v>
      </c>
      <c r="X14" s="2">
        <v>877.86</v>
      </c>
      <c r="AA14" s="1" t="s">
        <v>21</v>
      </c>
      <c r="AB14" s="2">
        <v>13738.33</v>
      </c>
      <c r="AC14" s="2">
        <v>11916.11</v>
      </c>
      <c r="AD14" s="2">
        <v>22226.14</v>
      </c>
      <c r="AE14" s="2">
        <v>25255.62</v>
      </c>
      <c r="AF14" s="2">
        <v>24381.8</v>
      </c>
      <c r="AG14" s="2">
        <v>26068.61</v>
      </c>
      <c r="AH14" s="2">
        <v>22505.31</v>
      </c>
      <c r="AI14" s="2">
        <v>34433.230000000003</v>
      </c>
      <c r="AJ14" s="2">
        <v>5383.75</v>
      </c>
      <c r="AK14" s="2">
        <v>3230.55</v>
      </c>
      <c r="AN14" s="1" t="s">
        <v>21</v>
      </c>
      <c r="AO14" s="2">
        <v>16577.169999999998</v>
      </c>
      <c r="AP14" s="2">
        <v>14517.1</v>
      </c>
      <c r="AQ14" s="2">
        <v>26250</v>
      </c>
      <c r="AR14" s="2">
        <v>30091.57</v>
      </c>
      <c r="AS14" s="2">
        <v>29400</v>
      </c>
      <c r="AT14" s="2">
        <v>31464.21</v>
      </c>
      <c r="AU14" s="2">
        <v>27418.71</v>
      </c>
      <c r="AV14" s="2">
        <v>41205.35</v>
      </c>
      <c r="AW14" s="2">
        <v>6592.8</v>
      </c>
      <c r="AX14" s="2">
        <v>4108.41</v>
      </c>
    </row>
    <row r="15" spans="2:50" x14ac:dyDescent="0.3">
      <c r="B15" s="1" t="s">
        <v>22</v>
      </c>
      <c r="C15" s="2">
        <v>1.8</v>
      </c>
      <c r="D15" s="2">
        <v>1.8</v>
      </c>
      <c r="E15" s="2">
        <v>1.8</v>
      </c>
      <c r="F15" s="2">
        <v>1.63</v>
      </c>
      <c r="G15" s="2">
        <v>1.79</v>
      </c>
      <c r="H15" s="2">
        <v>1.8</v>
      </c>
      <c r="I15" s="2">
        <v>0.99</v>
      </c>
      <c r="J15" s="2">
        <v>0.44</v>
      </c>
      <c r="K15" s="2">
        <v>1.8</v>
      </c>
      <c r="L15" s="2">
        <v>2</v>
      </c>
      <c r="N15" s="1" t="s">
        <v>22</v>
      </c>
      <c r="O15" s="2">
        <v>14524.27</v>
      </c>
      <c r="P15" s="2">
        <v>14105.24</v>
      </c>
      <c r="Q15" s="2">
        <v>11631.62</v>
      </c>
      <c r="R15" s="2">
        <v>12245.04</v>
      </c>
      <c r="S15" s="2">
        <v>13938.32</v>
      </c>
      <c r="T15" s="2">
        <v>16460.66</v>
      </c>
      <c r="U15" s="2">
        <v>13879.43</v>
      </c>
      <c r="V15" s="2">
        <v>15641.17</v>
      </c>
      <c r="W15" s="2">
        <v>2223.96</v>
      </c>
      <c r="X15" s="2">
        <v>2303.83</v>
      </c>
      <c r="AA15" s="1" t="s">
        <v>22</v>
      </c>
      <c r="AB15" s="2">
        <v>47927.37</v>
      </c>
      <c r="AC15" s="2">
        <v>47655.58</v>
      </c>
      <c r="AD15" s="2">
        <v>51995.01</v>
      </c>
      <c r="AE15" s="2">
        <v>66351.210000000006</v>
      </c>
      <c r="AF15" s="2">
        <v>68248.259999999995</v>
      </c>
      <c r="AG15" s="2">
        <v>71519.490000000005</v>
      </c>
      <c r="AH15" s="2">
        <v>65955</v>
      </c>
      <c r="AI15" s="2">
        <v>72701.37</v>
      </c>
      <c r="AJ15" s="2">
        <v>8940.24</v>
      </c>
      <c r="AK15" s="2">
        <v>11187.05</v>
      </c>
      <c r="AN15" s="1" t="s">
        <v>22</v>
      </c>
      <c r="AO15" s="2">
        <v>62451.65</v>
      </c>
      <c r="AP15" s="2">
        <v>61760.82</v>
      </c>
      <c r="AQ15" s="2">
        <v>63626.63</v>
      </c>
      <c r="AR15" s="2">
        <v>78596.25</v>
      </c>
      <c r="AS15" s="2">
        <v>82186.570000000007</v>
      </c>
      <c r="AT15" s="2">
        <v>87980.14</v>
      </c>
      <c r="AU15" s="2">
        <v>79834.429999999993</v>
      </c>
      <c r="AV15" s="2">
        <v>88342.54</v>
      </c>
      <c r="AW15" s="2">
        <v>11164.2</v>
      </c>
      <c r="AX15" s="2">
        <v>13490.88</v>
      </c>
    </row>
    <row r="16" spans="2:50" x14ac:dyDescent="0.3">
      <c r="B16" s="1" t="s">
        <v>23</v>
      </c>
      <c r="C16" s="2">
        <v>0.92</v>
      </c>
      <c r="D16" s="2">
        <v>0.81</v>
      </c>
      <c r="E16" s="2">
        <v>1.1200000000000001</v>
      </c>
      <c r="F16" s="2">
        <v>0.27</v>
      </c>
      <c r="G16" s="2">
        <v>1.23</v>
      </c>
      <c r="H16" s="2">
        <v>1.08</v>
      </c>
      <c r="I16" s="2">
        <v>0.89</v>
      </c>
      <c r="J16" s="2">
        <v>1.35</v>
      </c>
      <c r="K16" s="2">
        <v>0.99</v>
      </c>
      <c r="L16" s="2">
        <v>1.73</v>
      </c>
      <c r="N16" s="1" t="s">
        <v>23</v>
      </c>
      <c r="O16" s="2">
        <v>4920.78</v>
      </c>
      <c r="P16" s="2">
        <v>6419.78</v>
      </c>
      <c r="Q16" s="2">
        <v>4893.78</v>
      </c>
      <c r="R16" s="2">
        <v>5857.5</v>
      </c>
      <c r="S16" s="2">
        <v>5055</v>
      </c>
      <c r="T16" s="2">
        <v>6151.03</v>
      </c>
      <c r="U16" s="2">
        <v>4748.66</v>
      </c>
      <c r="V16" s="2">
        <v>1709.58</v>
      </c>
      <c r="W16" s="2">
        <v>1654.18</v>
      </c>
      <c r="X16" s="2">
        <v>1877.62</v>
      </c>
      <c r="AA16" s="1" t="s">
        <v>23</v>
      </c>
      <c r="AB16" s="2">
        <v>25050.48</v>
      </c>
      <c r="AC16" s="2">
        <v>30282.16</v>
      </c>
      <c r="AD16" s="2">
        <v>29524.47</v>
      </c>
      <c r="AE16" s="2">
        <v>31662.75</v>
      </c>
      <c r="AF16" s="2">
        <v>24224.04</v>
      </c>
      <c r="AG16" s="2">
        <v>27450.65</v>
      </c>
      <c r="AH16" s="2">
        <v>22718.89</v>
      </c>
      <c r="AI16" s="2">
        <v>33358.199999999997</v>
      </c>
      <c r="AJ16" s="2">
        <v>9181.82</v>
      </c>
      <c r="AK16" s="2">
        <v>9690.2900000000009</v>
      </c>
      <c r="AN16" s="1" t="s">
        <v>23</v>
      </c>
      <c r="AO16" s="2">
        <v>29971.26</v>
      </c>
      <c r="AP16" s="2">
        <v>36701.94</v>
      </c>
      <c r="AQ16" s="2">
        <v>34418.25</v>
      </c>
      <c r="AR16" s="2">
        <v>37520.25</v>
      </c>
      <c r="AS16" s="2">
        <v>29279.040000000001</v>
      </c>
      <c r="AT16" s="2">
        <v>33601.68</v>
      </c>
      <c r="AU16" s="2">
        <v>27467.55</v>
      </c>
      <c r="AV16" s="2">
        <v>35067.78</v>
      </c>
      <c r="AW16" s="2">
        <v>10836</v>
      </c>
      <c r="AX16" s="2">
        <v>11567.91</v>
      </c>
    </row>
    <row r="19" spans="2:50" x14ac:dyDescent="0.3">
      <c r="B19" t="s">
        <v>24</v>
      </c>
      <c r="N19" t="s">
        <v>25</v>
      </c>
      <c r="AA19" t="s">
        <v>26</v>
      </c>
      <c r="AN19" t="s">
        <v>27</v>
      </c>
    </row>
    <row r="20" spans="2:50" x14ac:dyDescent="0.3">
      <c r="B20" s="1" t="s">
        <v>11</v>
      </c>
      <c r="C20" s="1" t="s">
        <v>12</v>
      </c>
      <c r="D20" s="1" t="s">
        <v>13</v>
      </c>
      <c r="E20" s="1" t="s">
        <v>12</v>
      </c>
      <c r="F20" s="1" t="s">
        <v>13</v>
      </c>
      <c r="G20" s="1" t="s">
        <v>12</v>
      </c>
      <c r="H20" s="1" t="s">
        <v>13</v>
      </c>
      <c r="I20" s="1" t="s">
        <v>12</v>
      </c>
      <c r="J20" s="1" t="s">
        <v>13</v>
      </c>
      <c r="K20" s="1" t="s">
        <v>12</v>
      </c>
      <c r="L20" s="1" t="s">
        <v>13</v>
      </c>
      <c r="N20" s="1" t="s">
        <v>11</v>
      </c>
      <c r="O20" s="1" t="s">
        <v>12</v>
      </c>
      <c r="P20" s="1" t="s">
        <v>13</v>
      </c>
      <c r="Q20" s="1" t="s">
        <v>12</v>
      </c>
      <c r="R20" s="1" t="s">
        <v>13</v>
      </c>
      <c r="S20" s="1" t="s">
        <v>12</v>
      </c>
      <c r="T20" s="1" t="s">
        <v>13</v>
      </c>
      <c r="U20" s="1" t="s">
        <v>12</v>
      </c>
      <c r="V20" s="1" t="s">
        <v>13</v>
      </c>
      <c r="W20" s="1" t="s">
        <v>12</v>
      </c>
      <c r="X20" s="1" t="s">
        <v>13</v>
      </c>
      <c r="AA20" s="1" t="s">
        <v>11</v>
      </c>
      <c r="AB20" s="1" t="s">
        <v>12</v>
      </c>
      <c r="AC20" s="1" t="s">
        <v>13</v>
      </c>
      <c r="AD20" s="1" t="s">
        <v>12</v>
      </c>
      <c r="AE20" s="1" t="s">
        <v>13</v>
      </c>
      <c r="AF20" s="1" t="s">
        <v>12</v>
      </c>
      <c r="AG20" s="1" t="s">
        <v>13</v>
      </c>
      <c r="AH20" s="1" t="s">
        <v>12</v>
      </c>
      <c r="AI20" s="1" t="s">
        <v>13</v>
      </c>
      <c r="AJ20" s="1" t="s">
        <v>12</v>
      </c>
      <c r="AK20" s="1" t="s">
        <v>13</v>
      </c>
      <c r="AN20" s="1" t="s">
        <v>11</v>
      </c>
      <c r="AO20" s="1" t="s">
        <v>12</v>
      </c>
      <c r="AP20" s="1" t="s">
        <v>13</v>
      </c>
      <c r="AQ20" s="1" t="s">
        <v>12</v>
      </c>
      <c r="AR20" s="1" t="s">
        <v>13</v>
      </c>
      <c r="AS20" s="1" t="s">
        <v>12</v>
      </c>
      <c r="AT20" s="1" t="s">
        <v>13</v>
      </c>
      <c r="AU20" s="1" t="s">
        <v>12</v>
      </c>
      <c r="AV20" s="1" t="s">
        <v>13</v>
      </c>
      <c r="AW20" s="1" t="s">
        <v>12</v>
      </c>
      <c r="AX20" s="1" t="s">
        <v>13</v>
      </c>
    </row>
    <row r="21" spans="2:50" x14ac:dyDescent="0.3">
      <c r="B21" s="1" t="s">
        <v>14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N21" s="1" t="s">
        <v>14</v>
      </c>
      <c r="O21" s="1" t="s">
        <v>1</v>
      </c>
      <c r="P21" s="1" t="s">
        <v>1</v>
      </c>
      <c r="Q21" s="1" t="s">
        <v>2</v>
      </c>
      <c r="R21" s="1" t="s">
        <v>2</v>
      </c>
      <c r="S21" s="1" t="s">
        <v>3</v>
      </c>
      <c r="T21" s="1" t="s">
        <v>3</v>
      </c>
      <c r="U21" s="1" t="s">
        <v>4</v>
      </c>
      <c r="V21" s="1" t="s">
        <v>4</v>
      </c>
      <c r="W21" s="1" t="s">
        <v>5</v>
      </c>
      <c r="X21" s="1" t="s">
        <v>5</v>
      </c>
      <c r="AA21" s="1" t="s">
        <v>14</v>
      </c>
      <c r="AB21" s="1" t="s">
        <v>1</v>
      </c>
      <c r="AC21" s="1" t="s">
        <v>1</v>
      </c>
      <c r="AD21" s="1" t="s">
        <v>2</v>
      </c>
      <c r="AE21" s="1" t="s">
        <v>2</v>
      </c>
      <c r="AF21" s="1" t="s">
        <v>3</v>
      </c>
      <c r="AG21" s="1" t="s">
        <v>3</v>
      </c>
      <c r="AH21" s="1" t="s">
        <v>4</v>
      </c>
      <c r="AI21" s="1" t="s">
        <v>4</v>
      </c>
      <c r="AJ21" s="1" t="s">
        <v>5</v>
      </c>
      <c r="AK21" s="1" t="s">
        <v>5</v>
      </c>
      <c r="AN21" s="1" t="s">
        <v>14</v>
      </c>
      <c r="AO21" s="1" t="s">
        <v>1</v>
      </c>
      <c r="AP21" s="1" t="s">
        <v>1</v>
      </c>
      <c r="AQ21" s="1" t="s">
        <v>2</v>
      </c>
      <c r="AR21" s="1" t="s">
        <v>2</v>
      </c>
      <c r="AS21" s="1" t="s">
        <v>3</v>
      </c>
      <c r="AT21" s="1" t="s">
        <v>3</v>
      </c>
      <c r="AU21" s="1" t="s">
        <v>4</v>
      </c>
      <c r="AV21" s="1" t="s">
        <v>4</v>
      </c>
      <c r="AW21" s="1" t="s">
        <v>5</v>
      </c>
      <c r="AX21" s="1" t="s">
        <v>5</v>
      </c>
    </row>
    <row r="22" spans="2:50" x14ac:dyDescent="0.3">
      <c r="B22" s="1" t="s">
        <v>15</v>
      </c>
      <c r="N22" s="1" t="s">
        <v>15</v>
      </c>
      <c r="AA22" s="1" t="s">
        <v>15</v>
      </c>
      <c r="AN22" s="1" t="s">
        <v>15</v>
      </c>
    </row>
    <row r="23" spans="2:50" x14ac:dyDescent="0.3">
      <c r="B23" s="1" t="s">
        <v>16</v>
      </c>
      <c r="C23" s="2">
        <v>0.1</v>
      </c>
      <c r="D23" s="2">
        <v>0.1</v>
      </c>
      <c r="E23" s="2">
        <v>0.1</v>
      </c>
      <c r="F23" s="2">
        <v>0.06</v>
      </c>
      <c r="G23" s="2">
        <v>0.06</v>
      </c>
      <c r="H23" s="2">
        <v>0.06</v>
      </c>
      <c r="I23" s="2">
        <v>0.06</v>
      </c>
      <c r="J23" s="2">
        <v>0.05</v>
      </c>
      <c r="K23" s="2">
        <v>0.1</v>
      </c>
      <c r="L23" s="2">
        <v>0.1</v>
      </c>
      <c r="N23" s="1" t="s">
        <v>16</v>
      </c>
      <c r="O23" s="2">
        <v>1917.49</v>
      </c>
      <c r="P23" s="2">
        <v>1889.12</v>
      </c>
      <c r="Q23" s="2">
        <v>2308.6799999999998</v>
      </c>
      <c r="R23" s="2">
        <v>1083.47</v>
      </c>
      <c r="S23" s="2">
        <v>832.41</v>
      </c>
      <c r="T23" s="2">
        <v>739.27</v>
      </c>
      <c r="U23" s="2">
        <v>794.16</v>
      </c>
      <c r="V23" s="2">
        <v>561.38</v>
      </c>
      <c r="W23" s="2">
        <v>2232.8200000000002</v>
      </c>
      <c r="X23" s="2">
        <v>1799.37</v>
      </c>
      <c r="AA23" s="1" t="s">
        <v>16</v>
      </c>
      <c r="AB23" s="2">
        <v>18046.509999999998</v>
      </c>
      <c r="AC23" s="2">
        <v>17939.78</v>
      </c>
      <c r="AD23" s="2">
        <v>21223.22</v>
      </c>
      <c r="AE23" s="2">
        <v>17001.73</v>
      </c>
      <c r="AF23" s="2">
        <v>14168.59</v>
      </c>
      <c r="AG23" s="2">
        <v>12609.03</v>
      </c>
      <c r="AH23" s="2">
        <v>12359.54</v>
      </c>
      <c r="AI23" s="2">
        <v>10626.02</v>
      </c>
      <c r="AJ23" s="2">
        <v>20545.18</v>
      </c>
      <c r="AK23" s="2">
        <v>16736.63</v>
      </c>
      <c r="AN23" s="1" t="s">
        <v>16</v>
      </c>
      <c r="AO23" s="2">
        <v>19964</v>
      </c>
      <c r="AP23" s="2">
        <v>19828.900000000001</v>
      </c>
      <c r="AQ23" s="2">
        <v>23531.9</v>
      </c>
      <c r="AR23" s="2">
        <v>18085.2</v>
      </c>
      <c r="AS23" s="2">
        <v>15001</v>
      </c>
      <c r="AT23" s="2">
        <v>13348.3</v>
      </c>
      <c r="AU23" s="2">
        <v>13153.7</v>
      </c>
      <c r="AV23" s="2">
        <v>11187.4</v>
      </c>
      <c r="AW23" s="2">
        <v>22778</v>
      </c>
      <c r="AX23" s="2">
        <v>18536</v>
      </c>
    </row>
    <row r="24" spans="2:50" x14ac:dyDescent="0.3">
      <c r="B24" s="1" t="s">
        <v>17</v>
      </c>
      <c r="C24" s="2">
        <v>0.18</v>
      </c>
      <c r="D24" s="2">
        <v>0.17</v>
      </c>
      <c r="E24" s="2">
        <v>0.16</v>
      </c>
      <c r="F24" s="2">
        <v>0.21</v>
      </c>
      <c r="G24" s="2">
        <v>0.16</v>
      </c>
      <c r="H24" s="2">
        <v>0.17</v>
      </c>
      <c r="I24" s="2">
        <v>0.17</v>
      </c>
      <c r="J24" s="2">
        <v>0.05</v>
      </c>
      <c r="K24" s="2">
        <v>0.18</v>
      </c>
      <c r="L24" s="2">
        <v>0.18</v>
      </c>
      <c r="N24" s="1" t="s">
        <v>17</v>
      </c>
      <c r="O24" s="2">
        <v>1219.57</v>
      </c>
      <c r="P24" s="2">
        <v>768.72</v>
      </c>
      <c r="Q24" s="2">
        <v>1358.8</v>
      </c>
      <c r="R24" s="2">
        <v>808.98</v>
      </c>
      <c r="S24" s="2">
        <v>1471.73</v>
      </c>
      <c r="T24" s="2">
        <v>755.39</v>
      </c>
      <c r="U24" s="2">
        <v>1381.56</v>
      </c>
      <c r="V24" s="2">
        <v>225.19</v>
      </c>
      <c r="W24" s="2">
        <v>1287.78</v>
      </c>
      <c r="X24" s="2">
        <v>953.35</v>
      </c>
      <c r="AA24" s="1" t="s">
        <v>17</v>
      </c>
      <c r="AB24" s="2">
        <v>6389.27</v>
      </c>
      <c r="AC24" s="2">
        <v>4523.68</v>
      </c>
      <c r="AD24" s="2">
        <v>8300.2999999999993</v>
      </c>
      <c r="AE24" s="2">
        <v>3894.04</v>
      </c>
      <c r="AF24" s="2">
        <v>8279.8700000000008</v>
      </c>
      <c r="AG24" s="2">
        <v>4133.01</v>
      </c>
      <c r="AH24" s="2">
        <v>7364.15</v>
      </c>
      <c r="AI24" s="2">
        <v>4413.71</v>
      </c>
      <c r="AJ24" s="2">
        <v>6746.22</v>
      </c>
      <c r="AK24" s="2">
        <v>5634.65</v>
      </c>
      <c r="AN24" s="1" t="s">
        <v>17</v>
      </c>
      <c r="AO24" s="2">
        <v>7608.84</v>
      </c>
      <c r="AP24" s="2">
        <v>5292.4</v>
      </c>
      <c r="AQ24" s="2">
        <v>9659.1</v>
      </c>
      <c r="AR24" s="2">
        <v>4703.03</v>
      </c>
      <c r="AS24" s="2">
        <v>9751.6</v>
      </c>
      <c r="AT24" s="2">
        <v>4888.3999999999996</v>
      </c>
      <c r="AU24" s="2">
        <v>8745.7099999999991</v>
      </c>
      <c r="AV24" s="2">
        <v>4638.8999999999996</v>
      </c>
      <c r="AW24" s="2">
        <v>8034</v>
      </c>
      <c r="AX24" s="2">
        <v>6588</v>
      </c>
    </row>
    <row r="25" spans="2:50" x14ac:dyDescent="0.3">
      <c r="B25" s="1" t="s">
        <v>18</v>
      </c>
      <c r="C25" s="2">
        <v>0.21</v>
      </c>
      <c r="D25" s="2">
        <v>0.21</v>
      </c>
      <c r="E25" s="2">
        <v>0.15</v>
      </c>
      <c r="F25" s="2">
        <v>0.28999999999999998</v>
      </c>
      <c r="G25" s="2">
        <v>0.18</v>
      </c>
      <c r="H25" s="2">
        <v>0.16</v>
      </c>
      <c r="I25" s="2">
        <v>0.15</v>
      </c>
      <c r="J25" s="2">
        <v>0.16</v>
      </c>
      <c r="K25" s="2">
        <v>0.18</v>
      </c>
      <c r="L25" s="2">
        <v>0.23</v>
      </c>
      <c r="N25" s="1" t="s">
        <v>18</v>
      </c>
      <c r="O25" s="2">
        <v>5521.92</v>
      </c>
      <c r="P25" s="2">
        <v>2734.26</v>
      </c>
      <c r="Q25" s="2">
        <v>4964.6000000000004</v>
      </c>
      <c r="R25" s="2">
        <v>5577.42</v>
      </c>
      <c r="S25" s="2">
        <v>6168.56</v>
      </c>
      <c r="T25" s="2">
        <v>3923.58</v>
      </c>
      <c r="U25" s="2">
        <v>4538.24</v>
      </c>
      <c r="V25" s="2">
        <v>3545.55</v>
      </c>
      <c r="W25" s="2">
        <v>2465.41</v>
      </c>
      <c r="X25" s="2">
        <v>3684.93</v>
      </c>
      <c r="AA25" s="1" t="s">
        <v>18</v>
      </c>
      <c r="AB25" s="2">
        <v>24958.080000000002</v>
      </c>
      <c r="AC25" s="2">
        <v>12791.78</v>
      </c>
      <c r="AD25" s="2">
        <v>32359.599999999999</v>
      </c>
      <c r="AE25" s="2">
        <v>15613.05</v>
      </c>
      <c r="AF25" s="2">
        <v>30578.27</v>
      </c>
      <c r="AG25" s="2">
        <v>22663.94</v>
      </c>
      <c r="AH25" s="2">
        <v>28585.08</v>
      </c>
      <c r="AI25" s="2">
        <v>21137.89</v>
      </c>
      <c r="AJ25" s="2">
        <v>13995.59</v>
      </c>
      <c r="AK25" s="2">
        <v>15767.07</v>
      </c>
      <c r="AN25" s="1" t="s">
        <v>18</v>
      </c>
      <c r="AO25" s="2">
        <v>30480</v>
      </c>
      <c r="AP25" s="2">
        <v>15526.03</v>
      </c>
      <c r="AQ25" s="2">
        <v>37324.199999999997</v>
      </c>
      <c r="AR25" s="2">
        <v>21190.46</v>
      </c>
      <c r="AS25" s="2">
        <v>36746.83</v>
      </c>
      <c r="AT25" s="2">
        <v>26587.52</v>
      </c>
      <c r="AU25" s="2">
        <v>33123.32</v>
      </c>
      <c r="AV25" s="2">
        <v>24683.439999999999</v>
      </c>
      <c r="AW25" s="2">
        <v>16461</v>
      </c>
      <c r="AX25" s="2">
        <v>19452</v>
      </c>
    </row>
    <row r="26" spans="2:50" x14ac:dyDescent="0.3">
      <c r="B26" s="1" t="s">
        <v>19</v>
      </c>
      <c r="C26" s="2">
        <v>0.19</v>
      </c>
      <c r="D26" s="2">
        <v>0.17</v>
      </c>
      <c r="E26" s="2">
        <v>0.16</v>
      </c>
      <c r="F26" s="2">
        <v>0.19</v>
      </c>
      <c r="G26" s="2">
        <v>0.16</v>
      </c>
      <c r="H26" s="2">
        <v>0.17</v>
      </c>
      <c r="I26" s="2">
        <v>0.16</v>
      </c>
      <c r="J26" s="2">
        <v>0.17</v>
      </c>
      <c r="K26" s="2">
        <v>0.18</v>
      </c>
      <c r="L26" s="2">
        <v>0.18</v>
      </c>
      <c r="N26" s="1" t="s">
        <v>19</v>
      </c>
      <c r="O26" s="2">
        <v>1345.32</v>
      </c>
      <c r="P26" s="2">
        <v>747.54</v>
      </c>
      <c r="Q26" s="2">
        <v>1433.11</v>
      </c>
      <c r="R26" s="2">
        <v>1484.03</v>
      </c>
      <c r="S26" s="2">
        <v>1486.71</v>
      </c>
      <c r="T26" s="2">
        <v>1374.26</v>
      </c>
      <c r="U26" s="2">
        <v>1328.83</v>
      </c>
      <c r="V26" s="2">
        <v>1140.72</v>
      </c>
      <c r="W26" s="2">
        <v>739.95</v>
      </c>
      <c r="X26" s="2">
        <v>760.99</v>
      </c>
      <c r="AA26" s="1" t="s">
        <v>19</v>
      </c>
      <c r="AB26" s="2">
        <v>7123.21</v>
      </c>
      <c r="AC26" s="2">
        <v>4771.7700000000004</v>
      </c>
      <c r="AD26" s="2">
        <v>10173.99</v>
      </c>
      <c r="AE26" s="2">
        <v>8222.23</v>
      </c>
      <c r="AF26" s="2">
        <v>9013.2900000000009</v>
      </c>
      <c r="AG26" s="2">
        <v>8311.94</v>
      </c>
      <c r="AH26" s="2">
        <v>7824.07</v>
      </c>
      <c r="AI26" s="2">
        <v>6806.78</v>
      </c>
      <c r="AJ26" s="2">
        <v>4704.05</v>
      </c>
      <c r="AK26" s="2">
        <v>4718.8100000000004</v>
      </c>
      <c r="AN26" s="1" t="s">
        <v>19</v>
      </c>
      <c r="AO26" s="2">
        <v>8468.5300000000007</v>
      </c>
      <c r="AP26" s="2">
        <v>5519.31</v>
      </c>
      <c r="AQ26" s="2">
        <v>11607.1</v>
      </c>
      <c r="AR26" s="2">
        <v>9706.26</v>
      </c>
      <c r="AS26" s="2">
        <v>10500</v>
      </c>
      <c r="AT26" s="2">
        <v>9686.2000000000007</v>
      </c>
      <c r="AU26" s="2">
        <v>9152.9</v>
      </c>
      <c r="AV26" s="2">
        <v>7947.5</v>
      </c>
      <c r="AW26" s="2">
        <v>5444</v>
      </c>
      <c r="AX26" s="2">
        <v>5479.8</v>
      </c>
    </row>
    <row r="27" spans="2:50" x14ac:dyDescent="0.3">
      <c r="B27" s="1" t="s">
        <v>20</v>
      </c>
      <c r="C27" s="2">
        <v>0.2</v>
      </c>
      <c r="D27" s="2">
        <v>0.2</v>
      </c>
      <c r="E27" s="2">
        <v>0.18</v>
      </c>
      <c r="F27" s="2">
        <v>0.2</v>
      </c>
      <c r="G27" s="2">
        <v>0.17</v>
      </c>
      <c r="H27" s="2">
        <v>0.17</v>
      </c>
      <c r="I27" s="2">
        <v>0.17</v>
      </c>
      <c r="J27" s="2">
        <v>0.17</v>
      </c>
      <c r="K27" s="2">
        <v>0.19</v>
      </c>
      <c r="L27" s="2">
        <v>0.21</v>
      </c>
      <c r="N27" s="1" t="s">
        <v>20</v>
      </c>
      <c r="O27" s="2">
        <v>5009.04</v>
      </c>
      <c r="P27" s="2">
        <v>5592.06</v>
      </c>
      <c r="Q27" s="2">
        <v>6099.88</v>
      </c>
      <c r="R27" s="2">
        <v>6587.94</v>
      </c>
      <c r="S27" s="2">
        <v>5524.77</v>
      </c>
      <c r="T27" s="2">
        <v>6447.75</v>
      </c>
      <c r="U27" s="2">
        <v>4722.07</v>
      </c>
      <c r="V27" s="2">
        <v>5746.56</v>
      </c>
      <c r="W27" s="2">
        <v>5841.13</v>
      </c>
      <c r="X27" s="2">
        <v>6664.49</v>
      </c>
      <c r="AA27" s="1" t="s">
        <v>20</v>
      </c>
      <c r="AB27" s="2">
        <v>24050.71</v>
      </c>
      <c r="AC27" s="2">
        <v>27216.26</v>
      </c>
      <c r="AD27" s="2">
        <v>36361.120000000003</v>
      </c>
      <c r="AE27" s="2">
        <v>34752.68</v>
      </c>
      <c r="AF27" s="2">
        <v>31971.23</v>
      </c>
      <c r="AG27" s="2">
        <v>35968.25</v>
      </c>
      <c r="AH27" s="2">
        <v>26582.43</v>
      </c>
      <c r="AI27" s="2">
        <v>32161.94</v>
      </c>
      <c r="AJ27" s="2">
        <v>33598.870000000003</v>
      </c>
      <c r="AK27" s="2">
        <v>32330.16</v>
      </c>
      <c r="AN27" s="1" t="s">
        <v>20</v>
      </c>
      <c r="AO27" s="2">
        <v>29059.75</v>
      </c>
      <c r="AP27" s="2">
        <v>32808.32</v>
      </c>
      <c r="AQ27" s="2">
        <v>42461</v>
      </c>
      <c r="AR27" s="2">
        <v>41340.61</v>
      </c>
      <c r="AS27" s="2">
        <v>37496</v>
      </c>
      <c r="AT27" s="2">
        <v>42416</v>
      </c>
      <c r="AU27" s="2">
        <v>31304.5</v>
      </c>
      <c r="AV27" s="2">
        <v>37908.5</v>
      </c>
      <c r="AW27" s="2">
        <v>39440</v>
      </c>
      <c r="AX27" s="2">
        <v>38994.639999999999</v>
      </c>
    </row>
    <row r="28" spans="2:50" x14ac:dyDescent="0.3">
      <c r="B28" s="1" t="s">
        <v>21</v>
      </c>
      <c r="C28" s="2">
        <v>0.2</v>
      </c>
      <c r="D28" s="2">
        <v>0.21</v>
      </c>
      <c r="E28" s="2">
        <v>0.2</v>
      </c>
      <c r="F28" s="2">
        <v>0.19</v>
      </c>
      <c r="G28" s="2">
        <v>0.19</v>
      </c>
      <c r="H28" s="2">
        <v>0.19</v>
      </c>
      <c r="I28" s="2">
        <v>0.2</v>
      </c>
      <c r="J28" s="2">
        <v>0.17</v>
      </c>
      <c r="K28" s="2">
        <v>0.24</v>
      </c>
      <c r="L28" s="2">
        <v>0.25</v>
      </c>
      <c r="N28" s="1" t="s">
        <v>21</v>
      </c>
      <c r="O28" s="2">
        <v>1290.3800000000001</v>
      </c>
      <c r="P28" s="2">
        <v>1182.27</v>
      </c>
      <c r="Q28" s="2">
        <v>1609.55</v>
      </c>
      <c r="R28" s="2">
        <v>1934.38</v>
      </c>
      <c r="S28" s="2">
        <v>1792.21</v>
      </c>
      <c r="T28" s="2">
        <v>1927</v>
      </c>
      <c r="U28" s="2">
        <v>1488.91</v>
      </c>
      <c r="V28" s="2">
        <v>2052.16</v>
      </c>
      <c r="W28" s="2">
        <v>1511.31</v>
      </c>
      <c r="X28" s="2">
        <v>1097.33</v>
      </c>
      <c r="AA28" s="1" t="s">
        <v>21</v>
      </c>
      <c r="AB28" s="2">
        <v>6244.69</v>
      </c>
      <c r="AC28" s="2">
        <v>5416.41</v>
      </c>
      <c r="AD28" s="2">
        <v>8890.4500000000007</v>
      </c>
      <c r="AE28" s="2">
        <v>10102.25</v>
      </c>
      <c r="AF28" s="2">
        <v>8707.7900000000009</v>
      </c>
      <c r="AG28" s="2">
        <v>9310.2199999999993</v>
      </c>
      <c r="AH28" s="2">
        <v>6819.79</v>
      </c>
      <c r="AI28" s="2">
        <v>10434.31</v>
      </c>
      <c r="AJ28" s="2">
        <v>6729.69</v>
      </c>
      <c r="AK28" s="2">
        <v>4038.18</v>
      </c>
      <c r="AN28" s="1" t="s">
        <v>21</v>
      </c>
      <c r="AO28" s="2">
        <v>7535.08</v>
      </c>
      <c r="AP28" s="2">
        <v>6598.68</v>
      </c>
      <c r="AQ28" s="2">
        <v>10500</v>
      </c>
      <c r="AR28" s="2">
        <v>12036.63</v>
      </c>
      <c r="AS28" s="2">
        <v>10500</v>
      </c>
      <c r="AT28" s="2">
        <v>11237.22</v>
      </c>
      <c r="AU28" s="2">
        <v>8308.7000000000007</v>
      </c>
      <c r="AV28" s="2">
        <v>12486.47</v>
      </c>
      <c r="AW28" s="2">
        <v>8241</v>
      </c>
      <c r="AX28" s="2">
        <v>5135.51</v>
      </c>
    </row>
    <row r="29" spans="2:50" x14ac:dyDescent="0.3">
      <c r="B29" s="1" t="s">
        <v>22</v>
      </c>
      <c r="C29" s="2">
        <v>0.27</v>
      </c>
      <c r="D29" s="2">
        <v>0.27</v>
      </c>
      <c r="E29" s="2">
        <v>0.23</v>
      </c>
      <c r="F29" s="2">
        <v>0.2</v>
      </c>
      <c r="G29" s="2">
        <v>0.19</v>
      </c>
      <c r="H29" s="2">
        <v>0.2</v>
      </c>
      <c r="I29" s="2">
        <v>0.2</v>
      </c>
      <c r="J29" s="2">
        <v>0.19</v>
      </c>
      <c r="K29" s="2">
        <v>0.25</v>
      </c>
      <c r="L29" s="2">
        <v>0.22</v>
      </c>
      <c r="N29" s="1" t="s">
        <v>22</v>
      </c>
      <c r="O29" s="2">
        <v>6601.94</v>
      </c>
      <c r="P29" s="2">
        <v>6411.47</v>
      </c>
      <c r="Q29" s="2">
        <v>4652.6499999999996</v>
      </c>
      <c r="R29" s="2">
        <v>4898.0200000000004</v>
      </c>
      <c r="S29" s="2">
        <v>4977.97</v>
      </c>
      <c r="T29" s="2">
        <v>5878.81</v>
      </c>
      <c r="U29" s="2">
        <v>4205.8900000000003</v>
      </c>
      <c r="V29" s="2">
        <v>4739.75</v>
      </c>
      <c r="W29" s="2">
        <v>2779.95</v>
      </c>
      <c r="X29" s="2">
        <v>2879.78</v>
      </c>
      <c r="AA29" s="1" t="s">
        <v>22</v>
      </c>
      <c r="AB29" s="2">
        <v>21785.17</v>
      </c>
      <c r="AC29" s="2">
        <v>21661.63</v>
      </c>
      <c r="AD29" s="2">
        <v>20798</v>
      </c>
      <c r="AE29" s="2">
        <v>26540.48</v>
      </c>
      <c r="AF29" s="2">
        <v>24374.38</v>
      </c>
      <c r="AG29" s="2">
        <v>25542.67</v>
      </c>
      <c r="AH29" s="2">
        <v>19986.36</v>
      </c>
      <c r="AI29" s="2">
        <v>22030.720000000001</v>
      </c>
      <c r="AJ29" s="2">
        <v>11175.3</v>
      </c>
      <c r="AK29" s="2">
        <v>13983.82</v>
      </c>
      <c r="AN29" s="1" t="s">
        <v>22</v>
      </c>
      <c r="AO29" s="2">
        <v>28387.11</v>
      </c>
      <c r="AP29" s="2">
        <v>28073.1</v>
      </c>
      <c r="AQ29" s="2">
        <v>25450.65</v>
      </c>
      <c r="AR29" s="2">
        <v>31438.5</v>
      </c>
      <c r="AS29" s="2">
        <v>29352.35</v>
      </c>
      <c r="AT29" s="2">
        <v>31421.48</v>
      </c>
      <c r="AU29" s="2">
        <v>24192.25</v>
      </c>
      <c r="AV29" s="2">
        <v>26770.47</v>
      </c>
      <c r="AW29" s="2">
        <v>13955.25</v>
      </c>
      <c r="AX29" s="2">
        <v>16863.599999999999</v>
      </c>
    </row>
    <row r="30" spans="2:50" x14ac:dyDescent="0.3">
      <c r="B30" s="1" t="s">
        <v>23</v>
      </c>
      <c r="C30" s="2">
        <v>0.2</v>
      </c>
      <c r="D30" s="2">
        <v>0.21</v>
      </c>
      <c r="E30" s="2">
        <v>0.2</v>
      </c>
      <c r="F30" s="2">
        <v>0.21</v>
      </c>
      <c r="G30" s="2">
        <v>0.21</v>
      </c>
      <c r="H30" s="2">
        <v>0.21</v>
      </c>
      <c r="I30" s="2">
        <v>0.21</v>
      </c>
      <c r="J30" s="2">
        <v>0.05</v>
      </c>
      <c r="K30" s="2">
        <v>0.22</v>
      </c>
      <c r="L30" s="2">
        <v>0.22</v>
      </c>
      <c r="N30" s="1" t="s">
        <v>23</v>
      </c>
      <c r="O30" s="2">
        <v>2236.7199999999998</v>
      </c>
      <c r="P30" s="2">
        <v>2918.08</v>
      </c>
      <c r="Q30" s="2">
        <v>1957.51</v>
      </c>
      <c r="R30" s="2">
        <v>2343</v>
      </c>
      <c r="S30" s="2">
        <v>1805.36</v>
      </c>
      <c r="T30" s="2">
        <v>2196.8000000000002</v>
      </c>
      <c r="U30" s="2">
        <v>1438.99</v>
      </c>
      <c r="V30" s="2">
        <v>518.05999999999995</v>
      </c>
      <c r="W30" s="2">
        <v>2067.73</v>
      </c>
      <c r="X30" s="2">
        <v>2347.0300000000002</v>
      </c>
      <c r="AA30" s="1" t="s">
        <v>23</v>
      </c>
      <c r="AB30" s="2">
        <v>11386.58</v>
      </c>
      <c r="AC30" s="2">
        <v>13764.62</v>
      </c>
      <c r="AD30" s="2">
        <v>11809.79</v>
      </c>
      <c r="AE30" s="2">
        <v>12665.1</v>
      </c>
      <c r="AF30" s="2">
        <v>8651.44</v>
      </c>
      <c r="AG30" s="2">
        <v>9803.7999999999993</v>
      </c>
      <c r="AH30" s="2">
        <v>6884.51</v>
      </c>
      <c r="AI30" s="2">
        <v>10108.540000000001</v>
      </c>
      <c r="AJ30" s="2">
        <v>11477.27</v>
      </c>
      <c r="AK30" s="2">
        <v>12112.86</v>
      </c>
      <c r="AN30" s="1" t="s">
        <v>23</v>
      </c>
      <c r="AO30" s="2">
        <v>13623.3</v>
      </c>
      <c r="AP30" s="2">
        <v>16682.7</v>
      </c>
      <c r="AQ30" s="2">
        <v>13767.3</v>
      </c>
      <c r="AR30" s="2">
        <v>15008.1</v>
      </c>
      <c r="AS30" s="2">
        <v>10456.799999999999</v>
      </c>
      <c r="AT30" s="2">
        <v>12000.6</v>
      </c>
      <c r="AU30" s="2">
        <v>8323.5</v>
      </c>
      <c r="AV30" s="2">
        <v>10626.6</v>
      </c>
      <c r="AW30" s="2">
        <v>13545</v>
      </c>
      <c r="AX30" s="2">
        <v>14459.89</v>
      </c>
    </row>
    <row r="33" spans="2:50" x14ac:dyDescent="0.3">
      <c r="B33" t="s">
        <v>28</v>
      </c>
      <c r="N33" t="s">
        <v>29</v>
      </c>
      <c r="AA33" t="s">
        <v>30</v>
      </c>
      <c r="AN33" t="s">
        <v>31</v>
      </c>
    </row>
    <row r="34" spans="2:50" x14ac:dyDescent="0.3">
      <c r="B34" s="1" t="s">
        <v>11</v>
      </c>
      <c r="C34" s="1" t="s">
        <v>12</v>
      </c>
      <c r="D34" s="1" t="s">
        <v>13</v>
      </c>
      <c r="E34" s="1" t="s">
        <v>12</v>
      </c>
      <c r="F34" s="1" t="s">
        <v>13</v>
      </c>
      <c r="G34" s="1" t="s">
        <v>12</v>
      </c>
      <c r="H34" s="1" t="s">
        <v>13</v>
      </c>
      <c r="I34" s="1" t="s">
        <v>12</v>
      </c>
      <c r="J34" s="1" t="s">
        <v>13</v>
      </c>
      <c r="K34" s="1" t="s">
        <v>12</v>
      </c>
      <c r="L34" s="1" t="s">
        <v>13</v>
      </c>
      <c r="N34" s="1" t="s">
        <v>11</v>
      </c>
      <c r="O34" s="1" t="s">
        <v>12</v>
      </c>
      <c r="P34" s="1" t="s">
        <v>13</v>
      </c>
      <c r="Q34" s="1" t="s">
        <v>12</v>
      </c>
      <c r="R34" s="1" t="s">
        <v>13</v>
      </c>
      <c r="S34" s="1" t="s">
        <v>12</v>
      </c>
      <c r="T34" s="1" t="s">
        <v>13</v>
      </c>
      <c r="U34" s="1" t="s">
        <v>12</v>
      </c>
      <c r="V34" s="1" t="s">
        <v>13</v>
      </c>
      <c r="W34" s="1" t="s">
        <v>12</v>
      </c>
      <c r="X34" s="1" t="s">
        <v>13</v>
      </c>
      <c r="AA34" s="1" t="s">
        <v>11</v>
      </c>
      <c r="AB34" s="1" t="s">
        <v>12</v>
      </c>
      <c r="AC34" s="1" t="s">
        <v>13</v>
      </c>
      <c r="AD34" s="1" t="s">
        <v>12</v>
      </c>
      <c r="AE34" s="1" t="s">
        <v>13</v>
      </c>
      <c r="AF34" s="1" t="s">
        <v>12</v>
      </c>
      <c r="AG34" s="1" t="s">
        <v>13</v>
      </c>
      <c r="AH34" s="1" t="s">
        <v>12</v>
      </c>
      <c r="AI34" s="1" t="s">
        <v>13</v>
      </c>
      <c r="AJ34" s="1" t="s">
        <v>12</v>
      </c>
      <c r="AK34" s="1" t="s">
        <v>13</v>
      </c>
      <c r="AN34" s="1" t="s">
        <v>11</v>
      </c>
      <c r="AO34" s="1" t="s">
        <v>12</v>
      </c>
      <c r="AP34" s="1" t="s">
        <v>13</v>
      </c>
      <c r="AQ34" s="1" t="s">
        <v>12</v>
      </c>
      <c r="AR34" s="1" t="s">
        <v>13</v>
      </c>
      <c r="AS34" s="1" t="s">
        <v>12</v>
      </c>
      <c r="AT34" s="1" t="s">
        <v>13</v>
      </c>
      <c r="AU34" s="1" t="s">
        <v>12</v>
      </c>
      <c r="AV34" s="1" t="s">
        <v>13</v>
      </c>
      <c r="AW34" s="1" t="s">
        <v>12</v>
      </c>
      <c r="AX34" s="1" t="s">
        <v>13</v>
      </c>
    </row>
    <row r="35" spans="2:50" x14ac:dyDescent="0.3">
      <c r="B35" s="1" t="s">
        <v>14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N35" s="1" t="s">
        <v>14</v>
      </c>
      <c r="O35" s="1" t="s">
        <v>1</v>
      </c>
      <c r="P35" s="1" t="s">
        <v>1</v>
      </c>
      <c r="Q35" s="1" t="s">
        <v>2</v>
      </c>
      <c r="R35" s="1" t="s">
        <v>2</v>
      </c>
      <c r="S35" s="1" t="s">
        <v>3</v>
      </c>
      <c r="T35" s="1" t="s">
        <v>3</v>
      </c>
      <c r="U35" s="1" t="s">
        <v>4</v>
      </c>
      <c r="V35" s="1" t="s">
        <v>4</v>
      </c>
      <c r="W35" s="1" t="s">
        <v>5</v>
      </c>
      <c r="X35" s="1" t="s">
        <v>5</v>
      </c>
      <c r="AA35" s="1" t="s">
        <v>14</v>
      </c>
      <c r="AB35" s="1" t="s">
        <v>1</v>
      </c>
      <c r="AC35" s="1" t="s">
        <v>1</v>
      </c>
      <c r="AD35" s="1" t="s">
        <v>2</v>
      </c>
      <c r="AE35" s="1" t="s">
        <v>2</v>
      </c>
      <c r="AF35" s="1" t="s">
        <v>3</v>
      </c>
      <c r="AG35" s="1" t="s">
        <v>3</v>
      </c>
      <c r="AH35" s="1" t="s">
        <v>4</v>
      </c>
      <c r="AI35" s="1" t="s">
        <v>4</v>
      </c>
      <c r="AJ35" s="1" t="s">
        <v>5</v>
      </c>
      <c r="AK35" s="1" t="s">
        <v>5</v>
      </c>
      <c r="AN35" s="1" t="s">
        <v>14</v>
      </c>
      <c r="AO35" s="1" t="s">
        <v>1</v>
      </c>
      <c r="AP35" s="1" t="s">
        <v>1</v>
      </c>
      <c r="AQ35" s="1" t="s">
        <v>2</v>
      </c>
      <c r="AR35" s="1" t="s">
        <v>2</v>
      </c>
      <c r="AS35" s="1" t="s">
        <v>3</v>
      </c>
      <c r="AT35" s="1" t="s">
        <v>3</v>
      </c>
      <c r="AU35" s="1" t="s">
        <v>4</v>
      </c>
      <c r="AV35" s="1" t="s">
        <v>4</v>
      </c>
      <c r="AW35" s="1" t="s">
        <v>5</v>
      </c>
      <c r="AX35" s="1" t="s">
        <v>5</v>
      </c>
    </row>
    <row r="36" spans="2:50" x14ac:dyDescent="0.3">
      <c r="B36" s="1" t="s">
        <v>15</v>
      </c>
      <c r="N36" s="1" t="s">
        <v>15</v>
      </c>
      <c r="AA36" s="1" t="s">
        <v>15</v>
      </c>
      <c r="AN36" s="1" t="s">
        <v>15</v>
      </c>
    </row>
    <row r="37" spans="2:50" x14ac:dyDescent="0.3">
      <c r="B37" s="1" t="s">
        <v>16</v>
      </c>
      <c r="C37" s="2">
        <v>843.7</v>
      </c>
      <c r="D37" s="2">
        <v>831.21</v>
      </c>
      <c r="E37" s="2">
        <v>1154.3399999999999</v>
      </c>
      <c r="F37" s="2">
        <v>541.74</v>
      </c>
      <c r="G37" s="2">
        <v>466.15</v>
      </c>
      <c r="H37" s="2">
        <v>413.99</v>
      </c>
      <c r="I37" s="2">
        <v>524.14</v>
      </c>
      <c r="J37" s="2">
        <v>370.51</v>
      </c>
      <c r="K37" s="2">
        <v>357.25</v>
      </c>
      <c r="L37" s="2">
        <v>287.89999999999998</v>
      </c>
      <c r="N37" s="1" t="s">
        <v>16</v>
      </c>
      <c r="O37" s="2">
        <v>273.93</v>
      </c>
      <c r="P37" s="2">
        <v>269.87</v>
      </c>
      <c r="Q37" s="2">
        <v>329.81</v>
      </c>
      <c r="R37" s="2">
        <v>154.78</v>
      </c>
      <c r="S37" s="2">
        <v>118.92</v>
      </c>
      <c r="T37" s="2">
        <v>105.61</v>
      </c>
      <c r="U37" s="2">
        <v>113.45</v>
      </c>
      <c r="V37" s="2">
        <v>80.2</v>
      </c>
      <c r="W37" s="2">
        <v>318.97000000000003</v>
      </c>
      <c r="X37" s="2">
        <v>257.05</v>
      </c>
      <c r="AA37" s="1" t="s">
        <v>16</v>
      </c>
      <c r="AB37" s="2">
        <v>2578.0700000000002</v>
      </c>
      <c r="AC37" s="2">
        <v>2562.83</v>
      </c>
      <c r="AD37" s="2">
        <v>3031.89</v>
      </c>
      <c r="AE37" s="2">
        <v>2428.8200000000002</v>
      </c>
      <c r="AF37" s="2">
        <v>2024.08</v>
      </c>
      <c r="AG37" s="2">
        <v>1801.29</v>
      </c>
      <c r="AH37" s="2">
        <v>1765.65</v>
      </c>
      <c r="AI37" s="2">
        <v>1518</v>
      </c>
      <c r="AJ37" s="2">
        <v>2935.03</v>
      </c>
      <c r="AK37" s="2">
        <v>2390.9499999999998</v>
      </c>
      <c r="AN37" s="1" t="s">
        <v>16</v>
      </c>
      <c r="AO37" s="2">
        <v>2852</v>
      </c>
      <c r="AP37" s="2">
        <v>2832.7</v>
      </c>
      <c r="AQ37" s="2">
        <v>3361.7</v>
      </c>
      <c r="AR37" s="2">
        <v>2583.6</v>
      </c>
      <c r="AS37" s="2">
        <v>2143</v>
      </c>
      <c r="AT37" s="2">
        <v>1906.9</v>
      </c>
      <c r="AU37" s="2">
        <v>1879.1</v>
      </c>
      <c r="AV37" s="2">
        <v>1598.2</v>
      </c>
      <c r="AW37" s="2">
        <v>3254</v>
      </c>
      <c r="AX37" s="2">
        <v>2648</v>
      </c>
    </row>
    <row r="38" spans="2:50" x14ac:dyDescent="0.3">
      <c r="B38" s="1" t="s">
        <v>17</v>
      </c>
      <c r="C38" s="2">
        <v>4829.51</v>
      </c>
      <c r="D38" s="2">
        <v>1508.83</v>
      </c>
      <c r="E38" s="2">
        <v>2787.44</v>
      </c>
      <c r="F38" s="2">
        <v>3640.43</v>
      </c>
      <c r="G38" s="2">
        <v>6856.87</v>
      </c>
      <c r="H38" s="2">
        <v>3039.03</v>
      </c>
      <c r="I38" s="2">
        <v>8206.44</v>
      </c>
      <c r="J38" s="2">
        <v>668.82</v>
      </c>
      <c r="K38" s="2">
        <v>1854.4</v>
      </c>
      <c r="L38" s="2">
        <v>993.41</v>
      </c>
      <c r="N38" s="1" t="s">
        <v>17</v>
      </c>
      <c r="O38" s="2">
        <v>1219.57</v>
      </c>
      <c r="P38" s="2">
        <v>768.72</v>
      </c>
      <c r="Q38" s="2">
        <v>1358.8</v>
      </c>
      <c r="R38" s="2">
        <v>808.98</v>
      </c>
      <c r="S38" s="2">
        <v>1471.73</v>
      </c>
      <c r="T38" s="2">
        <v>755.39</v>
      </c>
      <c r="U38" s="2">
        <v>1381.56</v>
      </c>
      <c r="V38" s="2">
        <v>225.19</v>
      </c>
      <c r="W38" s="2">
        <v>1287.78</v>
      </c>
      <c r="X38" s="2">
        <v>953.35</v>
      </c>
      <c r="AA38" s="1" t="s">
        <v>17</v>
      </c>
      <c r="AB38" s="2">
        <v>6389.27</v>
      </c>
      <c r="AC38" s="2">
        <v>4523.68</v>
      </c>
      <c r="AD38" s="2">
        <v>8300.2999999999993</v>
      </c>
      <c r="AE38" s="2">
        <v>3894.04</v>
      </c>
      <c r="AF38" s="2">
        <v>8279.8700000000008</v>
      </c>
      <c r="AG38" s="2">
        <v>4133.01</v>
      </c>
      <c r="AH38" s="2">
        <v>7364.15</v>
      </c>
      <c r="AI38" s="2">
        <v>4413.71</v>
      </c>
      <c r="AJ38" s="2">
        <v>6746.22</v>
      </c>
      <c r="AK38" s="2">
        <v>5634.65</v>
      </c>
      <c r="AN38" s="1" t="s">
        <v>17</v>
      </c>
      <c r="AO38" s="2">
        <v>7608.84</v>
      </c>
      <c r="AP38" s="2">
        <v>5292.4</v>
      </c>
      <c r="AQ38" s="2">
        <v>9659.1</v>
      </c>
      <c r="AR38" s="2">
        <v>4703.03</v>
      </c>
      <c r="AS38" s="2">
        <v>9751.6</v>
      </c>
      <c r="AT38" s="2">
        <v>4888.3999999999996</v>
      </c>
      <c r="AU38" s="2">
        <v>8745.7099999999991</v>
      </c>
      <c r="AV38" s="2">
        <v>4638.8999999999996</v>
      </c>
      <c r="AW38" s="2">
        <v>8034</v>
      </c>
      <c r="AX38" s="2">
        <v>6588</v>
      </c>
    </row>
    <row r="39" spans="2:50" x14ac:dyDescent="0.3">
      <c r="B39" s="1" t="s">
        <v>18</v>
      </c>
      <c r="C39" s="2">
        <v>48002.51</v>
      </c>
      <c r="D39" s="2">
        <v>10827.66</v>
      </c>
      <c r="E39" s="2">
        <v>22340.68</v>
      </c>
      <c r="F39" s="2">
        <v>25098.37</v>
      </c>
      <c r="G39" s="2">
        <v>64186.32</v>
      </c>
      <c r="H39" s="2">
        <v>19017.3</v>
      </c>
      <c r="I39" s="2">
        <v>49041.25</v>
      </c>
      <c r="J39" s="2">
        <v>8251.83</v>
      </c>
      <c r="K39" s="2">
        <v>3172.02</v>
      </c>
      <c r="L39" s="2">
        <v>5306.27</v>
      </c>
      <c r="N39" s="1" t="s">
        <v>18</v>
      </c>
      <c r="O39" s="2">
        <v>1840.64</v>
      </c>
      <c r="P39" s="2">
        <v>911.42</v>
      </c>
      <c r="Q39" s="2">
        <v>1654.87</v>
      </c>
      <c r="R39" s="2">
        <v>1859.14</v>
      </c>
      <c r="S39" s="2">
        <v>2056.19</v>
      </c>
      <c r="T39" s="2">
        <v>1307.8599999999999</v>
      </c>
      <c r="U39" s="2">
        <v>1512.75</v>
      </c>
      <c r="V39" s="2">
        <v>1181.8499999999999</v>
      </c>
      <c r="W39" s="2">
        <v>821.8</v>
      </c>
      <c r="X39" s="2">
        <v>1228.31</v>
      </c>
      <c r="AA39" s="1" t="s">
        <v>18</v>
      </c>
      <c r="AB39" s="2">
        <v>8319.36</v>
      </c>
      <c r="AC39" s="2">
        <v>4263.93</v>
      </c>
      <c r="AD39" s="2">
        <v>10786.53</v>
      </c>
      <c r="AE39" s="2">
        <v>5204.3500000000004</v>
      </c>
      <c r="AF39" s="2">
        <v>10192.76</v>
      </c>
      <c r="AG39" s="2">
        <v>7554.65</v>
      </c>
      <c r="AH39" s="2">
        <v>9528.36</v>
      </c>
      <c r="AI39" s="2">
        <v>7045.96</v>
      </c>
      <c r="AJ39" s="2">
        <v>4665.2</v>
      </c>
      <c r="AK39" s="2">
        <v>5255.69</v>
      </c>
      <c r="AN39" s="1" t="s">
        <v>18</v>
      </c>
      <c r="AO39" s="2">
        <v>10160</v>
      </c>
      <c r="AP39" s="2">
        <v>5175.34</v>
      </c>
      <c r="AQ39" s="2">
        <v>12441.4</v>
      </c>
      <c r="AR39" s="2">
        <v>7063.49</v>
      </c>
      <c r="AS39" s="2">
        <v>12248.94</v>
      </c>
      <c r="AT39" s="2">
        <v>8862.51</v>
      </c>
      <c r="AU39" s="2">
        <v>11041.11</v>
      </c>
      <c r="AV39" s="2">
        <v>8227.81</v>
      </c>
      <c r="AW39" s="2">
        <v>5487</v>
      </c>
      <c r="AX39" s="2">
        <v>6484</v>
      </c>
    </row>
    <row r="40" spans="2:50" x14ac:dyDescent="0.3">
      <c r="B40" s="1" t="s">
        <v>19</v>
      </c>
      <c r="C40" s="2">
        <v>5327.48</v>
      </c>
      <c r="D40" s="2">
        <v>2949.67</v>
      </c>
      <c r="E40" s="2">
        <v>4876.72</v>
      </c>
      <c r="F40" s="2">
        <v>6678.12</v>
      </c>
      <c r="G40" s="2">
        <v>9528.7199999999993</v>
      </c>
      <c r="H40" s="2">
        <v>6653.53</v>
      </c>
      <c r="I40" s="2">
        <v>3922.36</v>
      </c>
      <c r="J40" s="2">
        <v>1667.06</v>
      </c>
      <c r="K40" s="2">
        <v>849.79</v>
      </c>
      <c r="L40" s="2">
        <v>967.28</v>
      </c>
      <c r="N40" s="1" t="s">
        <v>19</v>
      </c>
      <c r="O40" s="2">
        <v>1345.32</v>
      </c>
      <c r="P40" s="2">
        <v>747.54</v>
      </c>
      <c r="Q40" s="2">
        <v>1433.11</v>
      </c>
      <c r="R40" s="2">
        <v>1484.03</v>
      </c>
      <c r="S40" s="2">
        <v>1486.71</v>
      </c>
      <c r="T40" s="2">
        <v>1374.26</v>
      </c>
      <c r="U40" s="2">
        <v>1328.83</v>
      </c>
      <c r="V40" s="2">
        <v>1140.72</v>
      </c>
      <c r="W40" s="2">
        <v>739.95</v>
      </c>
      <c r="X40" s="2">
        <v>760.99</v>
      </c>
      <c r="AA40" s="1" t="s">
        <v>19</v>
      </c>
      <c r="AB40" s="2">
        <v>7123.21</v>
      </c>
      <c r="AC40" s="2">
        <v>4771.7700000000004</v>
      </c>
      <c r="AD40" s="2">
        <v>10173.99</v>
      </c>
      <c r="AE40" s="2">
        <v>8222.23</v>
      </c>
      <c r="AF40" s="2">
        <v>9013.2900000000009</v>
      </c>
      <c r="AG40" s="2">
        <v>8311.94</v>
      </c>
      <c r="AH40" s="2">
        <v>7824.07</v>
      </c>
      <c r="AI40" s="2">
        <v>6806.78</v>
      </c>
      <c r="AJ40" s="2">
        <v>4704.05</v>
      </c>
      <c r="AK40" s="2">
        <v>4718.8100000000004</v>
      </c>
      <c r="AN40" s="1" t="s">
        <v>19</v>
      </c>
      <c r="AO40" s="2">
        <v>8468.5300000000007</v>
      </c>
      <c r="AP40" s="2">
        <v>5519.31</v>
      </c>
      <c r="AQ40" s="2">
        <v>11607.1</v>
      </c>
      <c r="AR40" s="2">
        <v>9706.26</v>
      </c>
      <c r="AS40" s="2">
        <v>10500</v>
      </c>
      <c r="AT40" s="2">
        <v>9686.2000000000007</v>
      </c>
      <c r="AU40" s="2">
        <v>9152.9</v>
      </c>
      <c r="AV40" s="2">
        <v>7947.5</v>
      </c>
      <c r="AW40" s="2">
        <v>5444</v>
      </c>
      <c r="AX40" s="2">
        <v>5479.8</v>
      </c>
    </row>
    <row r="41" spans="2:50" x14ac:dyDescent="0.3">
      <c r="B41" s="1" t="s">
        <v>20</v>
      </c>
      <c r="C41" s="2">
        <v>19835.8</v>
      </c>
      <c r="D41" s="2">
        <v>22144.48</v>
      </c>
      <c r="E41" s="2">
        <v>27449.46</v>
      </c>
      <c r="F41" s="2">
        <v>29645.71</v>
      </c>
      <c r="G41" s="2">
        <v>23137.66</v>
      </c>
      <c r="H41" s="2">
        <v>26017.79</v>
      </c>
      <c r="I41" s="2">
        <v>10809.97</v>
      </c>
      <c r="J41" s="2">
        <v>6964.67</v>
      </c>
      <c r="K41" s="2">
        <v>8411.2199999999993</v>
      </c>
      <c r="L41" s="2">
        <v>9596.86</v>
      </c>
      <c r="N41" s="1" t="s">
        <v>20</v>
      </c>
      <c r="O41" s="2">
        <v>1001.81</v>
      </c>
      <c r="P41" s="2">
        <v>1118.4100000000001</v>
      </c>
      <c r="Q41" s="2">
        <v>1219.98</v>
      </c>
      <c r="R41" s="2">
        <v>1317.59</v>
      </c>
      <c r="S41" s="2">
        <v>1104.95</v>
      </c>
      <c r="T41" s="2">
        <v>1289.55</v>
      </c>
      <c r="U41" s="2">
        <v>944.41</v>
      </c>
      <c r="V41" s="2">
        <v>1149.31</v>
      </c>
      <c r="W41" s="2">
        <v>1168.23</v>
      </c>
      <c r="X41" s="2">
        <v>1332.9</v>
      </c>
      <c r="AA41" s="1" t="s">
        <v>20</v>
      </c>
      <c r="AB41" s="2">
        <v>4810.1400000000003</v>
      </c>
      <c r="AC41" s="2">
        <v>5443.25</v>
      </c>
      <c r="AD41" s="2">
        <v>7272.22</v>
      </c>
      <c r="AE41" s="2">
        <v>6950.54</v>
      </c>
      <c r="AF41" s="2">
        <v>6394.25</v>
      </c>
      <c r="AG41" s="2">
        <v>7193.65</v>
      </c>
      <c r="AH41" s="2">
        <v>5316.49</v>
      </c>
      <c r="AI41" s="2">
        <v>6432.39</v>
      </c>
      <c r="AJ41" s="2">
        <v>6719.77</v>
      </c>
      <c r="AK41" s="2">
        <v>6466.03</v>
      </c>
      <c r="AN41" s="1" t="s">
        <v>20</v>
      </c>
      <c r="AO41" s="2">
        <v>5811.95</v>
      </c>
      <c r="AP41" s="2">
        <v>6561.66</v>
      </c>
      <c r="AQ41" s="2">
        <v>8492.2000000000007</v>
      </c>
      <c r="AR41" s="2">
        <v>8268.1200000000008</v>
      </c>
      <c r="AS41" s="2">
        <v>7499.2</v>
      </c>
      <c r="AT41" s="2">
        <v>8483.2000000000007</v>
      </c>
      <c r="AU41" s="2">
        <v>6260.9</v>
      </c>
      <c r="AV41" s="2">
        <v>7581.7</v>
      </c>
      <c r="AW41" s="2">
        <v>7888</v>
      </c>
      <c r="AX41" s="2">
        <v>7798.93</v>
      </c>
    </row>
    <row r="42" spans="2:50" x14ac:dyDescent="0.3">
      <c r="B42" s="1" t="s">
        <v>21</v>
      </c>
      <c r="C42" s="2">
        <v>5109.92</v>
      </c>
      <c r="D42" s="2">
        <v>4681.78</v>
      </c>
      <c r="E42" s="2">
        <v>7242.94</v>
      </c>
      <c r="F42" s="2">
        <v>7658.71</v>
      </c>
      <c r="G42" s="2">
        <v>8918.1</v>
      </c>
      <c r="H42" s="2">
        <v>9200.44</v>
      </c>
      <c r="I42" s="2">
        <v>3457.56</v>
      </c>
      <c r="J42" s="2">
        <v>6601.94</v>
      </c>
      <c r="K42" s="2">
        <v>2176.2800000000002</v>
      </c>
      <c r="L42" s="2">
        <v>1580.15</v>
      </c>
      <c r="N42" s="1" t="s">
        <v>21</v>
      </c>
      <c r="O42" s="2">
        <v>1290.3800000000001</v>
      </c>
      <c r="P42" s="2">
        <v>1182.27</v>
      </c>
      <c r="Q42" s="2">
        <v>1609.55</v>
      </c>
      <c r="R42" s="2">
        <v>1934.38</v>
      </c>
      <c r="S42" s="2">
        <v>1792.21</v>
      </c>
      <c r="T42" s="2">
        <v>1927</v>
      </c>
      <c r="U42" s="2">
        <v>1488.91</v>
      </c>
      <c r="V42" s="2">
        <v>2052.16</v>
      </c>
      <c r="W42" s="2">
        <v>1511.31</v>
      </c>
      <c r="X42" s="2">
        <v>1097.33</v>
      </c>
      <c r="AA42" s="1" t="s">
        <v>21</v>
      </c>
      <c r="AB42" s="2">
        <v>6244.69</v>
      </c>
      <c r="AC42" s="2">
        <v>5416.41</v>
      </c>
      <c r="AD42" s="2">
        <v>8890.4500000000007</v>
      </c>
      <c r="AE42" s="2">
        <v>10102.25</v>
      </c>
      <c r="AF42" s="2">
        <v>8707.7900000000009</v>
      </c>
      <c r="AG42" s="2">
        <v>9310.2199999999993</v>
      </c>
      <c r="AH42" s="2">
        <v>6819.79</v>
      </c>
      <c r="AI42" s="2">
        <v>10434.31</v>
      </c>
      <c r="AJ42" s="2">
        <v>6729.69</v>
      </c>
      <c r="AK42" s="2">
        <v>4038.18</v>
      </c>
      <c r="AN42" s="1" t="s">
        <v>21</v>
      </c>
      <c r="AO42" s="2">
        <v>7535.08</v>
      </c>
      <c r="AP42" s="2">
        <v>6598.68</v>
      </c>
      <c r="AQ42" s="2">
        <v>10500</v>
      </c>
      <c r="AR42" s="2">
        <v>12036.63</v>
      </c>
      <c r="AS42" s="2">
        <v>10500</v>
      </c>
      <c r="AT42" s="2">
        <v>11237.22</v>
      </c>
      <c r="AU42" s="2">
        <v>8308.7000000000007</v>
      </c>
      <c r="AV42" s="2">
        <v>12486.47</v>
      </c>
      <c r="AW42" s="2">
        <v>8241</v>
      </c>
      <c r="AX42" s="2">
        <v>5135.51</v>
      </c>
    </row>
    <row r="43" spans="2:50" x14ac:dyDescent="0.3">
      <c r="B43" s="1" t="s">
        <v>22</v>
      </c>
      <c r="C43" s="2">
        <v>26143.61</v>
      </c>
      <c r="D43" s="2">
        <v>25389.41</v>
      </c>
      <c r="E43" s="2">
        <v>20936.91</v>
      </c>
      <c r="F43" s="2">
        <v>20012.259999999998</v>
      </c>
      <c r="G43" s="2">
        <v>24996.400000000001</v>
      </c>
      <c r="H43" s="2">
        <v>29629.18</v>
      </c>
      <c r="I43" s="2">
        <v>13807.66</v>
      </c>
      <c r="J43" s="2">
        <v>6819.38</v>
      </c>
      <c r="K43" s="2">
        <v>4003.12</v>
      </c>
      <c r="L43" s="2">
        <v>4597.32</v>
      </c>
      <c r="N43" s="1" t="s">
        <v>22</v>
      </c>
      <c r="O43" s="2">
        <v>2200.65</v>
      </c>
      <c r="P43" s="2">
        <v>2137.16</v>
      </c>
      <c r="Q43" s="2">
        <v>1550.88</v>
      </c>
      <c r="R43" s="2">
        <v>1632.67</v>
      </c>
      <c r="S43" s="2">
        <v>1659.32</v>
      </c>
      <c r="T43" s="2">
        <v>1959.6</v>
      </c>
      <c r="U43" s="2">
        <v>1401.96</v>
      </c>
      <c r="V43" s="2">
        <v>1579.92</v>
      </c>
      <c r="W43" s="2">
        <v>926.65</v>
      </c>
      <c r="X43" s="2">
        <v>959.93</v>
      </c>
      <c r="AA43" s="1" t="s">
        <v>22</v>
      </c>
      <c r="AB43" s="2">
        <v>7261.72</v>
      </c>
      <c r="AC43" s="2">
        <v>7220.54</v>
      </c>
      <c r="AD43" s="2">
        <v>6932.67</v>
      </c>
      <c r="AE43" s="2">
        <v>8846.83</v>
      </c>
      <c r="AF43" s="2">
        <v>8124.79</v>
      </c>
      <c r="AG43" s="2">
        <v>8514.2199999999993</v>
      </c>
      <c r="AH43" s="2">
        <v>6662.12</v>
      </c>
      <c r="AI43" s="2">
        <v>7343.57</v>
      </c>
      <c r="AJ43" s="2">
        <v>3725.1</v>
      </c>
      <c r="AK43" s="2">
        <v>4661.2700000000004</v>
      </c>
      <c r="AN43" s="1" t="s">
        <v>22</v>
      </c>
      <c r="AO43" s="2">
        <v>9462.3700000000008</v>
      </c>
      <c r="AP43" s="2">
        <v>9357.7000000000007</v>
      </c>
      <c r="AQ43" s="2">
        <v>8483.5499999999993</v>
      </c>
      <c r="AR43" s="2">
        <v>10479.5</v>
      </c>
      <c r="AS43" s="2">
        <v>9784.1200000000008</v>
      </c>
      <c r="AT43" s="2">
        <v>10473.83</v>
      </c>
      <c r="AU43" s="2">
        <v>8064.08</v>
      </c>
      <c r="AV43" s="2">
        <v>8923.49</v>
      </c>
      <c r="AW43" s="2">
        <v>4651.75</v>
      </c>
      <c r="AX43" s="2">
        <v>5621.2</v>
      </c>
    </row>
    <row r="44" spans="2:50" x14ac:dyDescent="0.3">
      <c r="B44" s="1" t="s">
        <v>23</v>
      </c>
      <c r="C44" s="2">
        <v>4537.66</v>
      </c>
      <c r="D44" s="2">
        <v>5192.18</v>
      </c>
      <c r="E44" s="2">
        <v>5499.88</v>
      </c>
      <c r="F44" s="2">
        <v>1560.86</v>
      </c>
      <c r="G44" s="2">
        <v>6239.49</v>
      </c>
      <c r="H44" s="2">
        <v>6633.32</v>
      </c>
      <c r="I44" s="2">
        <v>4220.75</v>
      </c>
      <c r="J44" s="2">
        <v>2307.94</v>
      </c>
      <c r="K44" s="2">
        <v>1638.17</v>
      </c>
      <c r="L44" s="2">
        <v>3241.9</v>
      </c>
      <c r="N44" s="1" t="s">
        <v>23</v>
      </c>
      <c r="O44" s="2">
        <v>745.57</v>
      </c>
      <c r="P44" s="2">
        <v>972.69</v>
      </c>
      <c r="Q44" s="2">
        <v>652.5</v>
      </c>
      <c r="R44" s="2">
        <v>781</v>
      </c>
      <c r="S44" s="2">
        <v>601.79</v>
      </c>
      <c r="T44" s="2">
        <v>732.27</v>
      </c>
      <c r="U44" s="2">
        <v>479.66</v>
      </c>
      <c r="V44" s="2">
        <v>172.69</v>
      </c>
      <c r="W44" s="2">
        <v>689.24</v>
      </c>
      <c r="X44" s="2">
        <v>782.34</v>
      </c>
      <c r="AA44" s="1" t="s">
        <v>23</v>
      </c>
      <c r="AB44" s="2">
        <v>3795.53</v>
      </c>
      <c r="AC44" s="2">
        <v>4588.21</v>
      </c>
      <c r="AD44" s="2">
        <v>3936.6</v>
      </c>
      <c r="AE44" s="2">
        <v>4221.7</v>
      </c>
      <c r="AF44" s="2">
        <v>2883.81</v>
      </c>
      <c r="AG44" s="2">
        <v>3267.93</v>
      </c>
      <c r="AH44" s="2">
        <v>2294.84</v>
      </c>
      <c r="AI44" s="2">
        <v>3369.51</v>
      </c>
      <c r="AJ44" s="2">
        <v>3825.76</v>
      </c>
      <c r="AK44" s="2">
        <v>4037.62</v>
      </c>
      <c r="AN44" s="1" t="s">
        <v>23</v>
      </c>
      <c r="AO44" s="2">
        <v>4541.1000000000004</v>
      </c>
      <c r="AP44" s="2">
        <v>5560.9</v>
      </c>
      <c r="AQ44" s="2">
        <v>4589.1000000000004</v>
      </c>
      <c r="AR44" s="2">
        <v>5002.7</v>
      </c>
      <c r="AS44" s="2">
        <v>3485.6</v>
      </c>
      <c r="AT44" s="2">
        <v>4000.2</v>
      </c>
      <c r="AU44" s="2">
        <v>2774.5</v>
      </c>
      <c r="AV44" s="2">
        <v>3542.2</v>
      </c>
      <c r="AW44" s="2">
        <v>4515</v>
      </c>
      <c r="AX44" s="2">
        <v>4819.96</v>
      </c>
    </row>
    <row r="47" spans="2:50" x14ac:dyDescent="0.3">
      <c r="B47" t="s">
        <v>32</v>
      </c>
      <c r="N47" t="s">
        <v>33</v>
      </c>
      <c r="AA47" t="s">
        <v>34</v>
      </c>
      <c r="AN47" t="s">
        <v>35</v>
      </c>
    </row>
    <row r="48" spans="2:50" x14ac:dyDescent="0.3">
      <c r="B48" s="1" t="s">
        <v>11</v>
      </c>
      <c r="C48" s="1" t="s">
        <v>12</v>
      </c>
      <c r="D48" s="1" t="s">
        <v>13</v>
      </c>
      <c r="E48" s="1" t="s">
        <v>12</v>
      </c>
      <c r="F48" s="1" t="s">
        <v>13</v>
      </c>
      <c r="G48" s="1" t="s">
        <v>12</v>
      </c>
      <c r="H48" s="1" t="s">
        <v>13</v>
      </c>
      <c r="I48" s="1" t="s">
        <v>12</v>
      </c>
      <c r="J48" s="1" t="s">
        <v>13</v>
      </c>
      <c r="K48" s="1" t="s">
        <v>12</v>
      </c>
      <c r="L48" s="1" t="s">
        <v>13</v>
      </c>
      <c r="N48" s="1" t="s">
        <v>11</v>
      </c>
      <c r="O48" s="1" t="s">
        <v>12</v>
      </c>
      <c r="P48" s="1" t="s">
        <v>13</v>
      </c>
      <c r="Q48" s="1" t="s">
        <v>12</v>
      </c>
      <c r="R48" s="1" t="s">
        <v>13</v>
      </c>
      <c r="S48" s="1" t="s">
        <v>12</v>
      </c>
      <c r="T48" s="1" t="s">
        <v>13</v>
      </c>
      <c r="U48" s="1" t="s">
        <v>12</v>
      </c>
      <c r="V48" s="1" t="s">
        <v>13</v>
      </c>
      <c r="W48" s="1" t="s">
        <v>12</v>
      </c>
      <c r="X48" s="1" t="s">
        <v>13</v>
      </c>
      <c r="AA48" s="1" t="s">
        <v>11</v>
      </c>
      <c r="AB48" s="1" t="s">
        <v>12</v>
      </c>
      <c r="AC48" s="1" t="s">
        <v>13</v>
      </c>
      <c r="AD48" s="1" t="s">
        <v>12</v>
      </c>
      <c r="AE48" s="1" t="s">
        <v>13</v>
      </c>
      <c r="AF48" s="1" t="s">
        <v>12</v>
      </c>
      <c r="AG48" s="1" t="s">
        <v>13</v>
      </c>
      <c r="AH48" s="1" t="s">
        <v>12</v>
      </c>
      <c r="AI48" s="1" t="s">
        <v>13</v>
      </c>
      <c r="AJ48" s="1" t="s">
        <v>12</v>
      </c>
      <c r="AK48" s="1" t="s">
        <v>13</v>
      </c>
      <c r="AN48" s="1" t="s">
        <v>11</v>
      </c>
      <c r="AO48" s="1" t="s">
        <v>12</v>
      </c>
      <c r="AP48" s="1" t="s">
        <v>13</v>
      </c>
      <c r="AQ48" s="1" t="s">
        <v>12</v>
      </c>
      <c r="AR48" s="1" t="s">
        <v>13</v>
      </c>
      <c r="AS48" s="1" t="s">
        <v>12</v>
      </c>
      <c r="AT48" s="1" t="s">
        <v>13</v>
      </c>
      <c r="AU48" s="1" t="s">
        <v>12</v>
      </c>
      <c r="AV48" s="1" t="s">
        <v>13</v>
      </c>
      <c r="AW48" s="1" t="s">
        <v>12</v>
      </c>
      <c r="AX48" s="1" t="s">
        <v>13</v>
      </c>
    </row>
    <row r="49" spans="2:50" x14ac:dyDescent="0.3">
      <c r="B49" s="1" t="s">
        <v>14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N49" s="1" t="s">
        <v>14</v>
      </c>
      <c r="O49" s="1" t="s">
        <v>1</v>
      </c>
      <c r="P49" s="1" t="s">
        <v>1</v>
      </c>
      <c r="Q49" s="1" t="s">
        <v>2</v>
      </c>
      <c r="R49" s="1" t="s">
        <v>2</v>
      </c>
      <c r="S49" s="1" t="s">
        <v>3</v>
      </c>
      <c r="T49" s="1" t="s">
        <v>3</v>
      </c>
      <c r="U49" s="1" t="s">
        <v>4</v>
      </c>
      <c r="V49" s="1" t="s">
        <v>4</v>
      </c>
      <c r="W49" s="1" t="s">
        <v>5</v>
      </c>
      <c r="X49" s="1" t="s">
        <v>5</v>
      </c>
      <c r="AA49" s="1" t="s">
        <v>14</v>
      </c>
      <c r="AB49" s="1" t="s">
        <v>1</v>
      </c>
      <c r="AC49" s="1" t="s">
        <v>1</v>
      </c>
      <c r="AD49" s="1" t="s">
        <v>2</v>
      </c>
      <c r="AE49" s="1" t="s">
        <v>2</v>
      </c>
      <c r="AF49" s="1" t="s">
        <v>3</v>
      </c>
      <c r="AG49" s="1" t="s">
        <v>3</v>
      </c>
      <c r="AH49" s="1" t="s">
        <v>4</v>
      </c>
      <c r="AI49" s="1" t="s">
        <v>4</v>
      </c>
      <c r="AJ49" s="1" t="s">
        <v>5</v>
      </c>
      <c r="AK49" s="1" t="s">
        <v>5</v>
      </c>
      <c r="AN49" s="1" t="s">
        <v>14</v>
      </c>
      <c r="AO49" s="1" t="s">
        <v>1</v>
      </c>
      <c r="AP49" s="1" t="s">
        <v>1</v>
      </c>
      <c r="AQ49" s="1" t="s">
        <v>2</v>
      </c>
      <c r="AR49" s="1" t="s">
        <v>2</v>
      </c>
      <c r="AS49" s="1" t="s">
        <v>3</v>
      </c>
      <c r="AT49" s="1" t="s">
        <v>3</v>
      </c>
      <c r="AU49" s="1" t="s">
        <v>4</v>
      </c>
      <c r="AV49" s="1" t="s">
        <v>4</v>
      </c>
      <c r="AW49" s="1" t="s">
        <v>5</v>
      </c>
      <c r="AX49" s="1" t="s">
        <v>5</v>
      </c>
    </row>
    <row r="50" spans="2:50" x14ac:dyDescent="0.3">
      <c r="B50" s="1" t="s">
        <v>15</v>
      </c>
      <c r="N50" s="1" t="s">
        <v>15</v>
      </c>
      <c r="AA50" s="1" t="s">
        <v>15</v>
      </c>
      <c r="AN50" s="1" t="s">
        <v>15</v>
      </c>
    </row>
    <row r="51" spans="2:50" x14ac:dyDescent="0.3">
      <c r="B51" s="1" t="s">
        <v>16</v>
      </c>
      <c r="C51" s="2">
        <v>516.47</v>
      </c>
      <c r="D51" s="2">
        <v>502.5</v>
      </c>
      <c r="E51" s="2">
        <v>632.48</v>
      </c>
      <c r="F51" s="2">
        <v>231.45</v>
      </c>
      <c r="G51" s="2">
        <v>341.86</v>
      </c>
      <c r="H51" s="2">
        <v>288.10000000000002</v>
      </c>
      <c r="I51" s="2">
        <v>361.65</v>
      </c>
      <c r="J51" s="2">
        <v>217.21</v>
      </c>
      <c r="K51" s="2">
        <v>190.93</v>
      </c>
      <c r="L51" s="2">
        <v>123.95</v>
      </c>
      <c r="N51" s="1" t="s">
        <v>16</v>
      </c>
      <c r="O51" s="2">
        <v>0.08</v>
      </c>
      <c r="P51" s="2">
        <v>7.0000000000000007E-2</v>
      </c>
      <c r="Q51" s="2">
        <v>0.09</v>
      </c>
      <c r="R51" s="2">
        <v>0.04</v>
      </c>
      <c r="S51" s="2">
        <v>0.03</v>
      </c>
      <c r="T51" s="2">
        <v>0.03</v>
      </c>
      <c r="U51" s="2">
        <v>0.03</v>
      </c>
      <c r="V51" s="2">
        <v>0.02</v>
      </c>
      <c r="W51" s="2">
        <v>0.09</v>
      </c>
      <c r="X51" s="2">
        <v>7.0000000000000007E-2</v>
      </c>
      <c r="AA51" s="1" t="s">
        <v>16</v>
      </c>
      <c r="AB51" s="2">
        <v>0.32</v>
      </c>
      <c r="AC51" s="2">
        <v>0.32</v>
      </c>
      <c r="AD51" s="2">
        <v>0.3</v>
      </c>
      <c r="AE51" s="2">
        <v>0.24</v>
      </c>
      <c r="AF51" s="2">
        <v>0.2</v>
      </c>
      <c r="AG51" s="2">
        <v>0.18</v>
      </c>
      <c r="AH51" s="2">
        <v>0.18</v>
      </c>
      <c r="AI51" s="2">
        <v>0.15</v>
      </c>
      <c r="AJ51" s="2">
        <v>0.49</v>
      </c>
      <c r="AK51" s="2">
        <v>0.4</v>
      </c>
      <c r="AN51" s="1" t="s">
        <v>16</v>
      </c>
      <c r="AO51" s="2">
        <v>0.36</v>
      </c>
      <c r="AP51" s="2">
        <v>0.35</v>
      </c>
      <c r="AQ51" s="2">
        <v>0.34</v>
      </c>
      <c r="AR51" s="2">
        <v>0.26</v>
      </c>
      <c r="AS51" s="2">
        <v>0.21</v>
      </c>
      <c r="AT51" s="2">
        <v>0.19</v>
      </c>
      <c r="AU51" s="2">
        <v>0.19</v>
      </c>
      <c r="AV51" s="2">
        <v>0.16</v>
      </c>
      <c r="AW51" s="2">
        <v>0.54</v>
      </c>
      <c r="AX51" s="2">
        <v>0.44</v>
      </c>
    </row>
    <row r="52" spans="2:50" x14ac:dyDescent="0.3">
      <c r="B52" s="1" t="s">
        <v>17</v>
      </c>
      <c r="C52" s="2">
        <v>4113.7299999999996</v>
      </c>
      <c r="D52" s="2">
        <v>1211.44</v>
      </c>
      <c r="E52" s="2">
        <v>2345.39</v>
      </c>
      <c r="F52" s="2">
        <v>2684.64</v>
      </c>
      <c r="G52" s="2">
        <v>6104.94</v>
      </c>
      <c r="H52" s="2">
        <v>2503.59</v>
      </c>
      <c r="I52" s="2">
        <v>7333.03</v>
      </c>
      <c r="J52" s="2">
        <v>480.57</v>
      </c>
      <c r="K52" s="2">
        <v>1562.34</v>
      </c>
      <c r="L52" s="2">
        <v>737.7</v>
      </c>
      <c r="N52" s="1" t="s">
        <v>17</v>
      </c>
      <c r="O52" s="2">
        <v>0.34</v>
      </c>
      <c r="P52" s="2">
        <v>0.21</v>
      </c>
      <c r="Q52" s="2">
        <v>0.38</v>
      </c>
      <c r="R52" s="2">
        <v>0.22</v>
      </c>
      <c r="S52" s="2">
        <v>0.41</v>
      </c>
      <c r="T52" s="2">
        <v>0.21</v>
      </c>
      <c r="U52" s="2">
        <v>0.38</v>
      </c>
      <c r="V52" s="2">
        <v>0.06</v>
      </c>
      <c r="W52" s="2">
        <v>0.36</v>
      </c>
      <c r="X52" s="2">
        <v>0.26</v>
      </c>
      <c r="AA52" s="1" t="s">
        <v>17</v>
      </c>
      <c r="AB52" s="2">
        <v>0.86</v>
      </c>
      <c r="AC52" s="2">
        <v>0.62</v>
      </c>
      <c r="AD52" s="2">
        <v>0.69</v>
      </c>
      <c r="AE52" s="2">
        <v>0.85</v>
      </c>
      <c r="AF52" s="2">
        <v>0.83</v>
      </c>
      <c r="AG52" s="2">
        <v>0.73</v>
      </c>
      <c r="AH52" s="2">
        <v>0.87</v>
      </c>
      <c r="AI52" s="2">
        <v>0.34</v>
      </c>
      <c r="AJ52" s="2">
        <v>0.86</v>
      </c>
      <c r="AK52" s="2">
        <v>0.75</v>
      </c>
      <c r="AN52" s="1" t="s">
        <v>17</v>
      </c>
      <c r="AO52" s="2">
        <v>1.03</v>
      </c>
      <c r="AP52" s="2">
        <v>0.72</v>
      </c>
      <c r="AQ52" s="2">
        <v>0.8</v>
      </c>
      <c r="AR52" s="2">
        <v>1.03</v>
      </c>
      <c r="AS52" s="2">
        <v>0.98</v>
      </c>
      <c r="AT52" s="2">
        <v>0.86</v>
      </c>
      <c r="AU52" s="2">
        <v>1.03</v>
      </c>
      <c r="AV52" s="2">
        <v>0.36</v>
      </c>
      <c r="AW52" s="2">
        <v>1.03</v>
      </c>
      <c r="AX52" s="2">
        <v>0.88</v>
      </c>
    </row>
    <row r="53" spans="2:50" x14ac:dyDescent="0.3">
      <c r="B53" s="1" t="s">
        <v>18</v>
      </c>
      <c r="C53" s="2">
        <v>39285.410000000003</v>
      </c>
      <c r="D53" s="2">
        <v>8442.7999999999993</v>
      </c>
      <c r="E53" s="2">
        <v>18022.98</v>
      </c>
      <c r="F53" s="2">
        <v>16347.21</v>
      </c>
      <c r="G53" s="2">
        <v>54639.65</v>
      </c>
      <c r="H53" s="2">
        <v>15221.1</v>
      </c>
      <c r="I53" s="2">
        <v>41261.94</v>
      </c>
      <c r="J53" s="2">
        <v>6382.15</v>
      </c>
      <c r="K53" s="2">
        <v>2570.69</v>
      </c>
      <c r="L53" s="2">
        <v>3971.58</v>
      </c>
      <c r="N53" s="1" t="s">
        <v>18</v>
      </c>
      <c r="O53" s="2">
        <v>0.51</v>
      </c>
      <c r="P53" s="2">
        <v>0.25</v>
      </c>
      <c r="Q53" s="2">
        <v>0.46</v>
      </c>
      <c r="R53" s="2">
        <v>0.52</v>
      </c>
      <c r="S53" s="2">
        <v>0.56999999999999995</v>
      </c>
      <c r="T53" s="2">
        <v>0.36</v>
      </c>
      <c r="U53" s="2">
        <v>0.42</v>
      </c>
      <c r="V53" s="2">
        <v>0.33</v>
      </c>
      <c r="W53" s="2">
        <v>0.23</v>
      </c>
      <c r="X53" s="2">
        <v>0.34</v>
      </c>
      <c r="AA53" s="1" t="s">
        <v>18</v>
      </c>
      <c r="AB53" s="2">
        <v>1.04</v>
      </c>
      <c r="AC53" s="2">
        <v>0.73</v>
      </c>
      <c r="AD53" s="2">
        <v>0.83</v>
      </c>
      <c r="AE53" s="2">
        <v>0.94</v>
      </c>
      <c r="AF53" s="2">
        <v>1.02</v>
      </c>
      <c r="AG53" s="2">
        <v>0.76</v>
      </c>
      <c r="AH53" s="2">
        <v>0.95</v>
      </c>
      <c r="AI53" s="2">
        <v>0.54</v>
      </c>
      <c r="AJ53" s="2">
        <v>0.69</v>
      </c>
      <c r="AK53" s="2">
        <v>0.82</v>
      </c>
      <c r="AN53" s="1" t="s">
        <v>18</v>
      </c>
      <c r="AO53" s="2">
        <v>1.27</v>
      </c>
      <c r="AP53" s="2">
        <v>0.88</v>
      </c>
      <c r="AQ53" s="2">
        <v>0.96</v>
      </c>
      <c r="AR53" s="2">
        <v>1.27</v>
      </c>
      <c r="AS53" s="2">
        <v>1.22</v>
      </c>
      <c r="AT53" s="2">
        <v>0.89</v>
      </c>
      <c r="AU53" s="2">
        <v>1.1000000000000001</v>
      </c>
      <c r="AV53" s="2">
        <v>0.63</v>
      </c>
      <c r="AW53" s="2">
        <v>0.81</v>
      </c>
      <c r="AX53" s="2">
        <v>1.01</v>
      </c>
    </row>
    <row r="54" spans="2:50" x14ac:dyDescent="0.3">
      <c r="B54" s="1" t="s">
        <v>19</v>
      </c>
      <c r="C54" s="2">
        <v>4173.87</v>
      </c>
      <c r="D54" s="2">
        <v>2284.19</v>
      </c>
      <c r="E54" s="2">
        <v>3568.25</v>
      </c>
      <c r="F54" s="2">
        <v>4774.05</v>
      </c>
      <c r="G54" s="2">
        <v>7782.25</v>
      </c>
      <c r="H54" s="2">
        <v>5120.7</v>
      </c>
      <c r="I54" s="2">
        <v>3073.55</v>
      </c>
      <c r="J54" s="2">
        <v>1316.06</v>
      </c>
      <c r="K54" s="2">
        <v>624.66</v>
      </c>
      <c r="L54" s="2">
        <v>695.17</v>
      </c>
      <c r="N54" s="1" t="s">
        <v>19</v>
      </c>
      <c r="O54" s="2">
        <v>0.37</v>
      </c>
      <c r="P54" s="2">
        <v>0.21</v>
      </c>
      <c r="Q54" s="2">
        <v>0.4</v>
      </c>
      <c r="R54" s="2">
        <v>0.41</v>
      </c>
      <c r="S54" s="2">
        <v>0.41</v>
      </c>
      <c r="T54" s="2">
        <v>0.38</v>
      </c>
      <c r="U54" s="2">
        <v>0.37</v>
      </c>
      <c r="V54" s="2">
        <v>0.32</v>
      </c>
      <c r="W54" s="2">
        <v>0.21</v>
      </c>
      <c r="X54" s="2">
        <v>0.21</v>
      </c>
      <c r="AA54" s="1" t="s">
        <v>19</v>
      </c>
      <c r="AB54" s="2">
        <v>0.88</v>
      </c>
      <c r="AC54" s="2">
        <v>0.82</v>
      </c>
      <c r="AD54" s="2">
        <v>0.81</v>
      </c>
      <c r="AE54" s="2">
        <v>0.89</v>
      </c>
      <c r="AF54" s="2">
        <v>0.9</v>
      </c>
      <c r="AG54" s="2">
        <v>0.83</v>
      </c>
      <c r="AH54" s="2">
        <v>0.7</v>
      </c>
      <c r="AI54" s="2">
        <v>0.52</v>
      </c>
      <c r="AJ54" s="2">
        <v>0.76</v>
      </c>
      <c r="AK54" s="2">
        <v>0.79</v>
      </c>
      <c r="AN54" s="1" t="s">
        <v>19</v>
      </c>
      <c r="AO54" s="2">
        <v>1.05</v>
      </c>
      <c r="AP54" s="2">
        <v>0.95</v>
      </c>
      <c r="AQ54" s="2">
        <v>0.92</v>
      </c>
      <c r="AR54" s="2">
        <v>1.05</v>
      </c>
      <c r="AS54" s="2">
        <v>1.05</v>
      </c>
      <c r="AT54" s="2">
        <v>0.97</v>
      </c>
      <c r="AU54" s="2">
        <v>0.82</v>
      </c>
      <c r="AV54" s="2">
        <v>0.61</v>
      </c>
      <c r="AW54" s="2">
        <v>0.87</v>
      </c>
      <c r="AX54" s="2">
        <v>0.91</v>
      </c>
    </row>
    <row r="55" spans="2:50" x14ac:dyDescent="0.3">
      <c r="B55" s="1" t="s">
        <v>20</v>
      </c>
      <c r="C55" s="2">
        <v>16140.86</v>
      </c>
      <c r="D55" s="2">
        <v>18116.169999999998</v>
      </c>
      <c r="E55" s="2">
        <v>20590.150000000001</v>
      </c>
      <c r="F55" s="2">
        <v>22577.06</v>
      </c>
      <c r="G55" s="2">
        <v>19143.46</v>
      </c>
      <c r="H55" s="2">
        <v>21889.57</v>
      </c>
      <c r="I55" s="2">
        <v>8895.15</v>
      </c>
      <c r="J55" s="2">
        <v>5819</v>
      </c>
      <c r="K55" s="2">
        <v>6330.72</v>
      </c>
      <c r="L55" s="2">
        <v>7302.03</v>
      </c>
      <c r="N55" s="1" t="s">
        <v>20</v>
      </c>
      <c r="O55" s="2">
        <v>0.28000000000000003</v>
      </c>
      <c r="P55" s="2">
        <v>0.31</v>
      </c>
      <c r="Q55" s="2">
        <v>0.34</v>
      </c>
      <c r="R55" s="2">
        <v>0.37</v>
      </c>
      <c r="S55" s="2">
        <v>0.31</v>
      </c>
      <c r="T55" s="2">
        <v>0.36</v>
      </c>
      <c r="U55" s="2">
        <v>0.26</v>
      </c>
      <c r="V55" s="2">
        <v>0.32</v>
      </c>
      <c r="W55" s="2">
        <v>0.32</v>
      </c>
      <c r="X55" s="2">
        <v>0.37</v>
      </c>
      <c r="AA55" s="1" t="s">
        <v>20</v>
      </c>
      <c r="AB55" s="2">
        <v>0.87</v>
      </c>
      <c r="AC55" s="2">
        <v>0.87</v>
      </c>
      <c r="AD55" s="2">
        <v>0.87</v>
      </c>
      <c r="AE55" s="2">
        <v>0.88</v>
      </c>
      <c r="AF55" s="2">
        <v>0.78</v>
      </c>
      <c r="AG55" s="2">
        <v>0.78</v>
      </c>
      <c r="AH55" s="2">
        <v>0.57999999999999996</v>
      </c>
      <c r="AI55" s="2">
        <v>0.49</v>
      </c>
      <c r="AJ55" s="2">
        <v>0.86</v>
      </c>
      <c r="AK55" s="2">
        <v>0.89</v>
      </c>
      <c r="AN55" s="1" t="s">
        <v>20</v>
      </c>
      <c r="AO55" s="2">
        <v>1.05</v>
      </c>
      <c r="AP55" s="2">
        <v>1.05</v>
      </c>
      <c r="AQ55" s="2">
        <v>1.02</v>
      </c>
      <c r="AR55" s="2">
        <v>1.05</v>
      </c>
      <c r="AS55" s="2">
        <v>0.91</v>
      </c>
      <c r="AT55" s="2">
        <v>0.92</v>
      </c>
      <c r="AU55" s="2">
        <v>0.69</v>
      </c>
      <c r="AV55" s="2">
        <v>0.57999999999999996</v>
      </c>
      <c r="AW55" s="2">
        <v>1.01</v>
      </c>
      <c r="AX55" s="2">
        <v>1.07</v>
      </c>
    </row>
    <row r="56" spans="2:50" x14ac:dyDescent="0.3">
      <c r="B56" s="1" t="s">
        <v>21</v>
      </c>
      <c r="C56" s="2">
        <v>4400.99</v>
      </c>
      <c r="D56" s="2">
        <v>4140.47</v>
      </c>
      <c r="E56" s="2">
        <v>5905.42</v>
      </c>
      <c r="F56" s="2">
        <v>6628.91</v>
      </c>
      <c r="G56" s="2">
        <v>7708.5</v>
      </c>
      <c r="H56" s="2">
        <v>8297.33</v>
      </c>
      <c r="I56" s="2">
        <v>3010.65</v>
      </c>
      <c r="J56" s="2">
        <v>5986.87</v>
      </c>
      <c r="K56" s="2">
        <v>1773.73</v>
      </c>
      <c r="L56" s="2">
        <v>1370.43</v>
      </c>
      <c r="N56" s="1" t="s">
        <v>21</v>
      </c>
      <c r="O56" s="2">
        <v>0.36</v>
      </c>
      <c r="P56" s="2">
        <v>0.33</v>
      </c>
      <c r="Q56" s="2">
        <v>0.45</v>
      </c>
      <c r="R56" s="2">
        <v>0.54</v>
      </c>
      <c r="S56" s="2">
        <v>0.5</v>
      </c>
      <c r="T56" s="2">
        <v>0.54</v>
      </c>
      <c r="U56" s="2">
        <v>0.41</v>
      </c>
      <c r="V56" s="2">
        <v>0.56999999999999995</v>
      </c>
      <c r="W56" s="2">
        <v>0.42</v>
      </c>
      <c r="X56" s="2">
        <v>0.3</v>
      </c>
      <c r="AA56" s="1" t="s">
        <v>21</v>
      </c>
      <c r="AB56" s="2">
        <v>0.87</v>
      </c>
      <c r="AC56" s="2">
        <v>0.86</v>
      </c>
      <c r="AD56" s="2">
        <v>0.89</v>
      </c>
      <c r="AE56" s="2">
        <v>0.88</v>
      </c>
      <c r="AF56" s="2">
        <v>0.87</v>
      </c>
      <c r="AG56" s="2">
        <v>0.87</v>
      </c>
      <c r="AH56" s="2">
        <v>0.68</v>
      </c>
      <c r="AI56" s="2">
        <v>0.8</v>
      </c>
      <c r="AJ56" s="2">
        <v>0.89</v>
      </c>
      <c r="AK56" s="2">
        <v>0.87</v>
      </c>
      <c r="AN56" s="1" t="s">
        <v>21</v>
      </c>
      <c r="AO56" s="2">
        <v>1.05</v>
      </c>
      <c r="AP56" s="2">
        <v>1.05</v>
      </c>
      <c r="AQ56" s="2">
        <v>1.05</v>
      </c>
      <c r="AR56" s="2">
        <v>1.05</v>
      </c>
      <c r="AS56" s="2">
        <v>1.05</v>
      </c>
      <c r="AT56" s="2">
        <v>1.05</v>
      </c>
      <c r="AU56" s="2">
        <v>0.83</v>
      </c>
      <c r="AV56" s="2">
        <v>0.96</v>
      </c>
      <c r="AW56" s="2">
        <v>1.0900000000000001</v>
      </c>
      <c r="AX56" s="2">
        <v>1.1100000000000001</v>
      </c>
    </row>
    <row r="57" spans="2:50" x14ac:dyDescent="0.3">
      <c r="B57" s="1" t="s">
        <v>22</v>
      </c>
      <c r="C57" s="2">
        <v>23193.81</v>
      </c>
      <c r="D57" s="2">
        <v>22297.53</v>
      </c>
      <c r="E57" s="2">
        <v>17763.38</v>
      </c>
      <c r="F57" s="2">
        <v>17082.330000000002</v>
      </c>
      <c r="G57" s="2">
        <v>22652.35</v>
      </c>
      <c r="H57" s="2">
        <v>27365.88</v>
      </c>
      <c r="I57" s="2">
        <v>12181.04</v>
      </c>
      <c r="J57" s="2">
        <v>6326.32</v>
      </c>
      <c r="K57" s="2">
        <v>3365.48</v>
      </c>
      <c r="L57" s="2">
        <v>3943.89</v>
      </c>
      <c r="N57" s="1" t="s">
        <v>22</v>
      </c>
      <c r="O57" s="2">
        <v>0.61</v>
      </c>
      <c r="P57" s="2">
        <v>0.59</v>
      </c>
      <c r="Q57" s="2">
        <v>0.43</v>
      </c>
      <c r="R57" s="2">
        <v>0.45</v>
      </c>
      <c r="S57" s="2">
        <v>0.46</v>
      </c>
      <c r="T57" s="2">
        <v>0.54</v>
      </c>
      <c r="U57" s="2">
        <v>0.39</v>
      </c>
      <c r="V57" s="2">
        <v>0.44</v>
      </c>
      <c r="W57" s="2">
        <v>0.26</v>
      </c>
      <c r="X57" s="2">
        <v>0.27</v>
      </c>
      <c r="AA57" s="1" t="s">
        <v>22</v>
      </c>
      <c r="AB57" s="2">
        <v>0.91</v>
      </c>
      <c r="AC57" s="2">
        <v>0.9</v>
      </c>
      <c r="AD57" s="2">
        <v>0.84</v>
      </c>
      <c r="AE57" s="2">
        <v>0.81</v>
      </c>
      <c r="AF57" s="2">
        <v>0.81</v>
      </c>
      <c r="AG57" s="2">
        <v>0.85</v>
      </c>
      <c r="AH57" s="2">
        <v>0.67</v>
      </c>
      <c r="AI57" s="2">
        <v>0.56000000000000005</v>
      </c>
      <c r="AJ57" s="2">
        <v>0.78</v>
      </c>
      <c r="AK57" s="2">
        <v>0.79</v>
      </c>
      <c r="AN57" s="1" t="s">
        <v>22</v>
      </c>
      <c r="AO57" s="2">
        <v>1.18</v>
      </c>
      <c r="AP57" s="2">
        <v>1.1599999999999999</v>
      </c>
      <c r="AQ57" s="2">
        <v>1.03</v>
      </c>
      <c r="AR57" s="2">
        <v>0.96</v>
      </c>
      <c r="AS57" s="2">
        <v>0.98</v>
      </c>
      <c r="AT57" s="2">
        <v>1.05</v>
      </c>
      <c r="AU57" s="2">
        <v>0.81</v>
      </c>
      <c r="AV57" s="2">
        <v>0.69</v>
      </c>
      <c r="AW57" s="2">
        <v>0.97</v>
      </c>
      <c r="AX57" s="2">
        <v>0.95</v>
      </c>
    </row>
    <row r="58" spans="2:50" x14ac:dyDescent="0.3">
      <c r="B58" s="1" t="s">
        <v>23</v>
      </c>
      <c r="C58" s="2">
        <v>4019.09</v>
      </c>
      <c r="D58" s="2">
        <v>4736.6499999999996</v>
      </c>
      <c r="E58" s="2">
        <v>4501.62</v>
      </c>
      <c r="F58" s="2">
        <v>1342.89</v>
      </c>
      <c r="G58" s="2">
        <v>5558.02</v>
      </c>
      <c r="H58" s="2">
        <v>6037.1</v>
      </c>
      <c r="I58" s="2">
        <v>3776.87</v>
      </c>
      <c r="J58" s="2">
        <v>1942.65</v>
      </c>
      <c r="K58" s="2">
        <v>1340.27</v>
      </c>
      <c r="L58" s="2">
        <v>2789.3</v>
      </c>
      <c r="N58" s="1" t="s">
        <v>23</v>
      </c>
      <c r="O58" s="2">
        <v>0.21</v>
      </c>
      <c r="P58" s="2">
        <v>0.27</v>
      </c>
      <c r="Q58" s="2">
        <v>0.18</v>
      </c>
      <c r="R58" s="2">
        <v>0.22</v>
      </c>
      <c r="S58" s="2">
        <v>0.17</v>
      </c>
      <c r="T58" s="2">
        <v>0.2</v>
      </c>
      <c r="U58" s="2">
        <v>0.13</v>
      </c>
      <c r="V58" s="2">
        <v>0.05</v>
      </c>
      <c r="W58" s="2">
        <v>0.19</v>
      </c>
      <c r="X58" s="2">
        <v>0.22</v>
      </c>
      <c r="AA58" s="1" t="s">
        <v>23</v>
      </c>
      <c r="AB58" s="2">
        <v>0.63</v>
      </c>
      <c r="AC58" s="2">
        <v>0.63</v>
      </c>
      <c r="AD58" s="2">
        <v>0.68</v>
      </c>
      <c r="AE58" s="2">
        <v>0.36</v>
      </c>
      <c r="AF58" s="2">
        <v>0.67</v>
      </c>
      <c r="AG58" s="2">
        <v>0.64</v>
      </c>
      <c r="AH58" s="2">
        <v>0.56999999999999995</v>
      </c>
      <c r="AI58" s="2">
        <v>0.27</v>
      </c>
      <c r="AJ58" s="2">
        <v>0.65</v>
      </c>
      <c r="AK58" s="2">
        <v>0.82</v>
      </c>
      <c r="AN58" s="1" t="s">
        <v>23</v>
      </c>
      <c r="AO58" s="2">
        <v>0.76</v>
      </c>
      <c r="AP58" s="2">
        <v>0.77</v>
      </c>
      <c r="AQ58" s="2">
        <v>0.79</v>
      </c>
      <c r="AR58" s="2">
        <v>0.42</v>
      </c>
      <c r="AS58" s="2">
        <v>0.81</v>
      </c>
      <c r="AT58" s="2">
        <v>0.79</v>
      </c>
      <c r="AU58" s="2">
        <v>0.69</v>
      </c>
      <c r="AV58" s="2">
        <v>0.28000000000000003</v>
      </c>
      <c r="AW58" s="2">
        <v>0.76</v>
      </c>
      <c r="AX58" s="2">
        <v>0.98</v>
      </c>
    </row>
    <row r="61" spans="2:50" x14ac:dyDescent="0.3">
      <c r="B61" t="s">
        <v>36</v>
      </c>
      <c r="N61" t="s">
        <v>37</v>
      </c>
      <c r="AA61" t="s">
        <v>38</v>
      </c>
      <c r="AN61" t="s">
        <v>39</v>
      </c>
    </row>
    <row r="62" spans="2:50" x14ac:dyDescent="0.3">
      <c r="B62" s="1" t="s">
        <v>11</v>
      </c>
      <c r="C62" s="1" t="s">
        <v>12</v>
      </c>
      <c r="D62" s="1" t="s">
        <v>13</v>
      </c>
      <c r="E62" s="1" t="s">
        <v>12</v>
      </c>
      <c r="F62" s="1" t="s">
        <v>13</v>
      </c>
      <c r="G62" s="1" t="s">
        <v>12</v>
      </c>
      <c r="H62" s="1" t="s">
        <v>13</v>
      </c>
      <c r="I62" s="1" t="s">
        <v>12</v>
      </c>
      <c r="J62" s="1" t="s">
        <v>13</v>
      </c>
      <c r="K62" s="1" t="s">
        <v>12</v>
      </c>
      <c r="L62" s="1" t="s">
        <v>13</v>
      </c>
      <c r="N62" s="1" t="s">
        <v>11</v>
      </c>
      <c r="O62" s="1" t="s">
        <v>12</v>
      </c>
      <c r="P62" s="1" t="s">
        <v>13</v>
      </c>
      <c r="Q62" s="1" t="s">
        <v>12</v>
      </c>
      <c r="R62" s="1" t="s">
        <v>13</v>
      </c>
      <c r="S62" s="1" t="s">
        <v>12</v>
      </c>
      <c r="T62" s="1" t="s">
        <v>13</v>
      </c>
      <c r="U62" s="1" t="s">
        <v>12</v>
      </c>
      <c r="V62" s="1" t="s">
        <v>13</v>
      </c>
      <c r="W62" s="1" t="s">
        <v>12</v>
      </c>
      <c r="X62" s="1" t="s">
        <v>13</v>
      </c>
      <c r="AA62" s="1" t="s">
        <v>11</v>
      </c>
      <c r="AB62" s="1" t="s">
        <v>12</v>
      </c>
      <c r="AC62" s="1" t="s">
        <v>13</v>
      </c>
      <c r="AD62" s="1" t="s">
        <v>12</v>
      </c>
      <c r="AE62" s="1" t="s">
        <v>13</v>
      </c>
      <c r="AF62" s="1" t="s">
        <v>12</v>
      </c>
      <c r="AG62" s="1" t="s">
        <v>13</v>
      </c>
      <c r="AH62" s="1" t="s">
        <v>12</v>
      </c>
      <c r="AI62" s="1" t="s">
        <v>13</v>
      </c>
      <c r="AJ62" s="1" t="s">
        <v>12</v>
      </c>
      <c r="AK62" s="1" t="s">
        <v>13</v>
      </c>
      <c r="AN62" s="1" t="s">
        <v>11</v>
      </c>
      <c r="AO62" s="1" t="s">
        <v>12</v>
      </c>
      <c r="AP62" s="1" t="s">
        <v>13</v>
      </c>
      <c r="AQ62" s="1" t="s">
        <v>12</v>
      </c>
      <c r="AR62" s="1" t="s">
        <v>13</v>
      </c>
      <c r="AS62" s="1" t="s">
        <v>12</v>
      </c>
      <c r="AT62" s="1" t="s">
        <v>13</v>
      </c>
      <c r="AU62" s="1" t="s">
        <v>12</v>
      </c>
      <c r="AV62" s="1" t="s">
        <v>13</v>
      </c>
      <c r="AW62" s="1" t="s">
        <v>12</v>
      </c>
      <c r="AX62" s="1" t="s">
        <v>13</v>
      </c>
    </row>
    <row r="63" spans="2:50" x14ac:dyDescent="0.3">
      <c r="B63" s="1" t="s">
        <v>14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N63" s="1" t="s">
        <v>14</v>
      </c>
      <c r="O63" s="1" t="s">
        <v>1</v>
      </c>
      <c r="P63" s="1" t="s">
        <v>1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4</v>
      </c>
      <c r="V63" s="1" t="s">
        <v>4</v>
      </c>
      <c r="W63" s="1" t="s">
        <v>5</v>
      </c>
      <c r="X63" s="1" t="s">
        <v>5</v>
      </c>
      <c r="AA63" s="1" t="s">
        <v>14</v>
      </c>
      <c r="AB63" s="1" t="s">
        <v>1</v>
      </c>
      <c r="AC63" s="1" t="s">
        <v>1</v>
      </c>
      <c r="AD63" s="1" t="s">
        <v>2</v>
      </c>
      <c r="AE63" s="1" t="s">
        <v>2</v>
      </c>
      <c r="AF63" s="1" t="s">
        <v>3</v>
      </c>
      <c r="AG63" s="1" t="s">
        <v>3</v>
      </c>
      <c r="AH63" s="1" t="s">
        <v>4</v>
      </c>
      <c r="AI63" s="1" t="s">
        <v>4</v>
      </c>
      <c r="AJ63" s="1" t="s">
        <v>5</v>
      </c>
      <c r="AK63" s="1" t="s">
        <v>5</v>
      </c>
      <c r="AN63" s="1" t="s">
        <v>14</v>
      </c>
      <c r="AO63" s="1" t="s">
        <v>1</v>
      </c>
      <c r="AP63" s="1" t="s">
        <v>1</v>
      </c>
      <c r="AQ63" s="1" t="s">
        <v>2</v>
      </c>
      <c r="AR63" s="1" t="s">
        <v>2</v>
      </c>
      <c r="AS63" s="1" t="s">
        <v>3</v>
      </c>
      <c r="AT63" s="1" t="s">
        <v>3</v>
      </c>
      <c r="AU63" s="1" t="s">
        <v>4</v>
      </c>
      <c r="AV63" s="1" t="s">
        <v>4</v>
      </c>
      <c r="AW63" s="1" t="s">
        <v>5</v>
      </c>
      <c r="AX63" s="1" t="s">
        <v>5</v>
      </c>
    </row>
    <row r="64" spans="2:50" x14ac:dyDescent="0.3">
      <c r="B64" s="1" t="s">
        <v>15</v>
      </c>
      <c r="N64" s="1" t="s">
        <v>15</v>
      </c>
      <c r="AA64" s="1" t="s">
        <v>15</v>
      </c>
      <c r="AN64" s="1" t="s">
        <v>15</v>
      </c>
    </row>
    <row r="65" spans="2:50" x14ac:dyDescent="0.3">
      <c r="B65" s="1" t="s">
        <v>16</v>
      </c>
      <c r="C65" s="2">
        <v>40.659999999999997</v>
      </c>
      <c r="D65" s="2">
        <v>36.96</v>
      </c>
      <c r="E65" s="2">
        <v>44.75</v>
      </c>
      <c r="F65" s="2">
        <v>39.93</v>
      </c>
      <c r="G65" s="2">
        <v>25</v>
      </c>
      <c r="H65" s="2">
        <v>25.26</v>
      </c>
      <c r="I65" s="2">
        <v>24.54</v>
      </c>
      <c r="J65" s="2">
        <v>27.42</v>
      </c>
      <c r="K65" s="2">
        <v>17.329999999999998</v>
      </c>
      <c r="L65" s="2">
        <v>21.39</v>
      </c>
      <c r="N65" s="1" t="s">
        <v>16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U65" s="2">
        <v>60</v>
      </c>
      <c r="V65" s="2">
        <v>60</v>
      </c>
      <c r="W65" s="2">
        <v>60</v>
      </c>
      <c r="X65" s="2">
        <v>60</v>
      </c>
      <c r="AA65" s="1" t="s">
        <v>16</v>
      </c>
      <c r="AB65" s="2">
        <v>59.93</v>
      </c>
      <c r="AC65" s="2">
        <v>59.94</v>
      </c>
      <c r="AD65" s="2">
        <v>59.95</v>
      </c>
      <c r="AE65" s="2">
        <v>59.99</v>
      </c>
      <c r="AF65" s="2">
        <v>55</v>
      </c>
      <c r="AG65" s="2">
        <v>55</v>
      </c>
      <c r="AH65" s="2">
        <v>60</v>
      </c>
      <c r="AI65" s="2">
        <v>60</v>
      </c>
      <c r="AJ65" s="2">
        <v>59.19</v>
      </c>
      <c r="AK65" s="2">
        <v>59.76</v>
      </c>
      <c r="AN65" s="1" t="s">
        <v>16</v>
      </c>
      <c r="AO65" s="2">
        <v>0</v>
      </c>
      <c r="AP65" s="2">
        <v>0</v>
      </c>
      <c r="AQ65" s="2">
        <v>0</v>
      </c>
      <c r="AR65" s="2">
        <v>0</v>
      </c>
      <c r="AS65" s="2">
        <v>-0.25</v>
      </c>
      <c r="AT65" s="2">
        <v>-0.25</v>
      </c>
      <c r="AU65" s="2">
        <v>0</v>
      </c>
      <c r="AV65" s="2">
        <v>0</v>
      </c>
      <c r="AW65" s="2">
        <v>-0.01</v>
      </c>
      <c r="AX65" s="2">
        <v>0</v>
      </c>
    </row>
    <row r="66" spans="2:50" x14ac:dyDescent="0.3">
      <c r="B66" s="1" t="s">
        <v>17</v>
      </c>
      <c r="C66" s="2">
        <v>354.3</v>
      </c>
      <c r="D66" s="2">
        <v>142.5</v>
      </c>
      <c r="E66" s="2">
        <v>213.74</v>
      </c>
      <c r="F66" s="2">
        <v>327.36</v>
      </c>
      <c r="G66" s="2">
        <v>335.61</v>
      </c>
      <c r="H66" s="2">
        <v>270.20999999999998</v>
      </c>
      <c r="I66" s="2">
        <v>389.36</v>
      </c>
      <c r="J66" s="2">
        <v>54.32</v>
      </c>
      <c r="K66" s="2">
        <v>141.85</v>
      </c>
      <c r="L66" s="2">
        <v>89.49</v>
      </c>
      <c r="N66" s="1" t="s">
        <v>17</v>
      </c>
      <c r="O66" s="2">
        <v>59.9</v>
      </c>
      <c r="P66" s="2">
        <v>59.99</v>
      </c>
      <c r="Q66" s="2">
        <v>59.79</v>
      </c>
      <c r="R66" s="2">
        <v>59.99</v>
      </c>
      <c r="S66" s="2">
        <v>59.66</v>
      </c>
      <c r="T66" s="2">
        <v>59.99</v>
      </c>
      <c r="U66" s="2">
        <v>59.77</v>
      </c>
      <c r="V66" s="2">
        <v>60</v>
      </c>
      <c r="W66" s="2">
        <v>59.85</v>
      </c>
      <c r="X66" s="2">
        <v>59.98</v>
      </c>
      <c r="AA66" s="1" t="s">
        <v>17</v>
      </c>
      <c r="AB66" s="2">
        <v>42.29</v>
      </c>
      <c r="AC66" s="2">
        <v>56.84</v>
      </c>
      <c r="AD66" s="2">
        <v>54.24</v>
      </c>
      <c r="AE66" s="2">
        <v>43.33</v>
      </c>
      <c r="AF66" s="2">
        <v>41.6</v>
      </c>
      <c r="AG66" s="2">
        <v>47.91</v>
      </c>
      <c r="AH66" s="2">
        <v>42.09</v>
      </c>
      <c r="AI66" s="2">
        <v>59.91</v>
      </c>
      <c r="AJ66" s="2">
        <v>42.3</v>
      </c>
      <c r="AK66" s="2">
        <v>50.87</v>
      </c>
      <c r="AN66" s="1" t="s">
        <v>17</v>
      </c>
      <c r="AO66" s="2">
        <v>-0.92</v>
      </c>
      <c r="AP66" s="2">
        <v>-0.12</v>
      </c>
      <c r="AQ66" s="2">
        <v>-0.26</v>
      </c>
      <c r="AR66" s="2">
        <v>-0.96</v>
      </c>
      <c r="AS66" s="2">
        <v>-1.22</v>
      </c>
      <c r="AT66" s="2">
        <v>-0.71</v>
      </c>
      <c r="AU66" s="2">
        <v>-1.39</v>
      </c>
      <c r="AV66" s="2">
        <v>-0.01</v>
      </c>
      <c r="AW66" s="2">
        <v>-0.33</v>
      </c>
      <c r="AX66" s="2">
        <v>-0.14000000000000001</v>
      </c>
    </row>
    <row r="67" spans="2:50" x14ac:dyDescent="0.3">
      <c r="B67" s="1" t="s">
        <v>18</v>
      </c>
      <c r="C67" s="2">
        <v>4644.38</v>
      </c>
      <c r="D67" s="2">
        <v>1150.46</v>
      </c>
      <c r="E67" s="2">
        <v>2115.13</v>
      </c>
      <c r="F67" s="2">
        <v>2287.5300000000002</v>
      </c>
      <c r="G67" s="2">
        <v>4975.4399999999996</v>
      </c>
      <c r="H67" s="2">
        <v>2142.2199999999998</v>
      </c>
      <c r="I67" s="2">
        <v>4340.42</v>
      </c>
      <c r="J67" s="2">
        <v>1062.53</v>
      </c>
      <c r="K67" s="2">
        <v>299.04000000000002</v>
      </c>
      <c r="L67" s="2">
        <v>509.85</v>
      </c>
      <c r="N67" s="1" t="s">
        <v>18</v>
      </c>
      <c r="O67" s="2">
        <v>58.63</v>
      </c>
      <c r="P67" s="2">
        <v>59.98</v>
      </c>
      <c r="Q67" s="2">
        <v>59.29</v>
      </c>
      <c r="R67" s="2">
        <v>58.54</v>
      </c>
      <c r="S67" s="2">
        <v>57.31</v>
      </c>
      <c r="T67" s="2">
        <v>59.84</v>
      </c>
      <c r="U67" s="2">
        <v>59.6</v>
      </c>
      <c r="V67" s="2">
        <v>59.91</v>
      </c>
      <c r="W67" s="2">
        <v>59.99</v>
      </c>
      <c r="X67" s="2">
        <v>59.89</v>
      </c>
      <c r="AA67" s="1" t="s">
        <v>18</v>
      </c>
      <c r="AB67" s="2">
        <v>26.49</v>
      </c>
      <c r="AC67" s="2">
        <v>52.39</v>
      </c>
      <c r="AD67" s="2">
        <v>45.24</v>
      </c>
      <c r="AE67" s="2">
        <v>35.9</v>
      </c>
      <c r="AF67" s="2">
        <v>25.93</v>
      </c>
      <c r="AG67" s="2">
        <v>46.38</v>
      </c>
      <c r="AH67" s="2">
        <v>34.32</v>
      </c>
      <c r="AI67" s="2">
        <v>58.52</v>
      </c>
      <c r="AJ67" s="2">
        <v>54.16</v>
      </c>
      <c r="AK67" s="2">
        <v>45.86</v>
      </c>
      <c r="AN67" s="1" t="s">
        <v>18</v>
      </c>
      <c r="AO67" s="2">
        <v>-2.73</v>
      </c>
      <c r="AP67" s="2">
        <v>-0.32</v>
      </c>
      <c r="AQ67" s="2">
        <v>-0.79</v>
      </c>
      <c r="AR67" s="2">
        <v>-1.62</v>
      </c>
      <c r="AS67" s="2">
        <v>-3.55</v>
      </c>
      <c r="AT67" s="2">
        <v>-0.81</v>
      </c>
      <c r="AU67" s="2">
        <v>-2.4500000000000002</v>
      </c>
      <c r="AV67" s="2">
        <v>-0.08</v>
      </c>
      <c r="AW67" s="2">
        <v>-0.09</v>
      </c>
      <c r="AX67" s="2">
        <v>-0.25</v>
      </c>
    </row>
    <row r="68" spans="2:50" x14ac:dyDescent="0.3">
      <c r="B68" s="1" t="s">
        <v>19</v>
      </c>
      <c r="C68" s="2">
        <v>556.46</v>
      </c>
      <c r="D68" s="2">
        <v>277.24</v>
      </c>
      <c r="E68" s="2">
        <v>554.25</v>
      </c>
      <c r="F68" s="2">
        <v>774.39</v>
      </c>
      <c r="G68" s="2">
        <v>880.82</v>
      </c>
      <c r="H68" s="2">
        <v>747.1</v>
      </c>
      <c r="I68" s="2">
        <v>502.88</v>
      </c>
      <c r="J68" s="2">
        <v>162.51</v>
      </c>
      <c r="K68" s="2">
        <v>96.43</v>
      </c>
      <c r="L68" s="2">
        <v>112.83</v>
      </c>
      <c r="N68" s="1" t="s">
        <v>19</v>
      </c>
      <c r="O68" s="2">
        <v>59.81</v>
      </c>
      <c r="P68" s="2">
        <v>60</v>
      </c>
      <c r="Q68" s="2">
        <v>59.71</v>
      </c>
      <c r="R68" s="2">
        <v>59.64</v>
      </c>
      <c r="S68" s="2">
        <v>59.64</v>
      </c>
      <c r="T68" s="2">
        <v>59.78</v>
      </c>
      <c r="U68" s="2">
        <v>59.82</v>
      </c>
      <c r="V68" s="2">
        <v>59.93</v>
      </c>
      <c r="W68" s="2">
        <v>60</v>
      </c>
      <c r="X68" s="2">
        <v>59.99</v>
      </c>
      <c r="AA68" s="1" t="s">
        <v>19</v>
      </c>
      <c r="AB68" s="2">
        <v>40.69</v>
      </c>
      <c r="AC68" s="2">
        <v>46.08</v>
      </c>
      <c r="AD68" s="2">
        <v>46.99</v>
      </c>
      <c r="AE68" s="2">
        <v>40.130000000000003</v>
      </c>
      <c r="AF68" s="2">
        <v>35.799999999999997</v>
      </c>
      <c r="AG68" s="2">
        <v>41.36</v>
      </c>
      <c r="AH68" s="2">
        <v>53.6</v>
      </c>
      <c r="AI68" s="2">
        <v>58.79</v>
      </c>
      <c r="AJ68" s="2">
        <v>50.61</v>
      </c>
      <c r="AK68" s="2">
        <v>48.52</v>
      </c>
      <c r="AN68" s="1" t="s">
        <v>19</v>
      </c>
      <c r="AO68" s="2">
        <v>-1.04</v>
      </c>
      <c r="AP68" s="2">
        <v>-0.66</v>
      </c>
      <c r="AQ68" s="2">
        <v>-0.68</v>
      </c>
      <c r="AR68" s="2">
        <v>-1.22</v>
      </c>
      <c r="AS68" s="2">
        <v>-1.88</v>
      </c>
      <c r="AT68" s="2">
        <v>-1.25</v>
      </c>
      <c r="AU68" s="2">
        <v>-0.38</v>
      </c>
      <c r="AV68" s="2">
        <v>-0.06</v>
      </c>
      <c r="AW68" s="2">
        <v>-0.15</v>
      </c>
      <c r="AX68" s="2">
        <v>-0.19</v>
      </c>
    </row>
    <row r="69" spans="2:50" x14ac:dyDescent="0.3">
      <c r="B69" s="1" t="s">
        <v>20</v>
      </c>
      <c r="C69" s="2">
        <v>1715.4</v>
      </c>
      <c r="D69" s="2">
        <v>1807.16</v>
      </c>
      <c r="E69" s="2">
        <v>2963.85</v>
      </c>
      <c r="F69" s="2">
        <v>3005.3</v>
      </c>
      <c r="G69" s="2">
        <v>1920.03</v>
      </c>
      <c r="H69" s="2">
        <v>2143.1999999999998</v>
      </c>
      <c r="I69" s="2">
        <v>1003.79</v>
      </c>
      <c r="J69" s="2">
        <v>608.59</v>
      </c>
      <c r="K69" s="2">
        <v>902.31</v>
      </c>
      <c r="L69" s="2">
        <v>968.69</v>
      </c>
      <c r="N69" s="1" t="s">
        <v>20</v>
      </c>
      <c r="O69" s="2">
        <v>59.97</v>
      </c>
      <c r="P69" s="2">
        <v>59.94</v>
      </c>
      <c r="Q69" s="2">
        <v>59.9</v>
      </c>
      <c r="R69" s="2">
        <v>59.83</v>
      </c>
      <c r="S69" s="2">
        <v>59.94</v>
      </c>
      <c r="T69" s="2">
        <v>59.85</v>
      </c>
      <c r="U69" s="2">
        <v>59.98</v>
      </c>
      <c r="V69" s="2">
        <v>59.93</v>
      </c>
      <c r="W69" s="2">
        <v>59.92</v>
      </c>
      <c r="X69" s="2">
        <v>59.82</v>
      </c>
      <c r="AA69" s="1" t="s">
        <v>20</v>
      </c>
      <c r="AB69" s="2">
        <v>41.94</v>
      </c>
      <c r="AC69" s="2">
        <v>41.76</v>
      </c>
      <c r="AD69" s="2">
        <v>41.85</v>
      </c>
      <c r="AE69" s="2">
        <v>40.729999999999997</v>
      </c>
      <c r="AF69" s="2">
        <v>45.14</v>
      </c>
      <c r="AG69" s="2">
        <v>44.72</v>
      </c>
      <c r="AH69" s="2">
        <v>57.74</v>
      </c>
      <c r="AI69" s="2">
        <v>59.13</v>
      </c>
      <c r="AJ69" s="2">
        <v>42.59</v>
      </c>
      <c r="AK69" s="2">
        <v>40.340000000000003</v>
      </c>
      <c r="AN69" s="1" t="s">
        <v>20</v>
      </c>
      <c r="AO69" s="2">
        <v>-0.95</v>
      </c>
      <c r="AP69" s="2">
        <v>-0.96</v>
      </c>
      <c r="AQ69" s="2">
        <v>-1.08</v>
      </c>
      <c r="AR69" s="2">
        <v>-1.18</v>
      </c>
      <c r="AS69" s="2">
        <v>-0.92</v>
      </c>
      <c r="AT69" s="2">
        <v>-0.95</v>
      </c>
      <c r="AU69" s="2">
        <v>-0.13</v>
      </c>
      <c r="AV69" s="2">
        <v>-0.04</v>
      </c>
      <c r="AW69" s="2">
        <v>-0.33</v>
      </c>
      <c r="AX69" s="2">
        <v>-0.39</v>
      </c>
    </row>
    <row r="70" spans="2:50" x14ac:dyDescent="0.3">
      <c r="B70" s="1" t="s">
        <v>21</v>
      </c>
      <c r="C70" s="2">
        <v>325.56</v>
      </c>
      <c r="D70" s="2">
        <v>278.91000000000003</v>
      </c>
      <c r="E70" s="2">
        <v>523.76</v>
      </c>
      <c r="F70" s="2">
        <v>364.55</v>
      </c>
      <c r="G70" s="2">
        <v>688.03</v>
      </c>
      <c r="H70" s="2">
        <v>526.97</v>
      </c>
      <c r="I70" s="2">
        <v>264.27999999999997</v>
      </c>
      <c r="J70" s="2">
        <v>318.73</v>
      </c>
      <c r="K70" s="2">
        <v>156.63</v>
      </c>
      <c r="L70" s="2">
        <v>74.39</v>
      </c>
      <c r="N70" s="1" t="s">
        <v>21</v>
      </c>
      <c r="O70" s="2">
        <v>59.85</v>
      </c>
      <c r="P70" s="2">
        <v>59.91</v>
      </c>
      <c r="Q70" s="2">
        <v>59.4</v>
      </c>
      <c r="R70" s="2">
        <v>58.14</v>
      </c>
      <c r="S70" s="2">
        <v>58.84</v>
      </c>
      <c r="T70" s="2">
        <v>58.18</v>
      </c>
      <c r="U70" s="2">
        <v>59.63</v>
      </c>
      <c r="V70" s="2">
        <v>57.34</v>
      </c>
      <c r="W70" s="2">
        <v>59.6</v>
      </c>
      <c r="X70" s="2">
        <v>59.95</v>
      </c>
      <c r="AA70" s="1" t="s">
        <v>21</v>
      </c>
      <c r="AB70" s="2">
        <v>41.84</v>
      </c>
      <c r="AC70" s="2">
        <v>42.56</v>
      </c>
      <c r="AD70" s="2">
        <v>40.17</v>
      </c>
      <c r="AE70" s="2">
        <v>40.86</v>
      </c>
      <c r="AF70" s="2">
        <v>38.299999999999997</v>
      </c>
      <c r="AG70" s="2">
        <v>38.369999999999997</v>
      </c>
      <c r="AH70" s="2">
        <v>54.52</v>
      </c>
      <c r="AI70" s="2">
        <v>47.34</v>
      </c>
      <c r="AJ70" s="2">
        <v>39.880000000000003</v>
      </c>
      <c r="AK70" s="2">
        <v>41.61</v>
      </c>
      <c r="AN70" s="1" t="s">
        <v>21</v>
      </c>
      <c r="AO70" s="2">
        <v>-0.95</v>
      </c>
      <c r="AP70" s="2">
        <v>-0.9</v>
      </c>
      <c r="AQ70" s="2">
        <v>-1.21</v>
      </c>
      <c r="AR70" s="2">
        <v>-1.0900000000000001</v>
      </c>
      <c r="AS70" s="2">
        <v>-1.53</v>
      </c>
      <c r="AT70" s="2">
        <v>-1.49</v>
      </c>
      <c r="AU70" s="2">
        <v>-0.31</v>
      </c>
      <c r="AV70" s="2">
        <v>-0.73</v>
      </c>
      <c r="AW70" s="2">
        <v>-0.4</v>
      </c>
      <c r="AX70" s="2">
        <v>-0.35</v>
      </c>
    </row>
    <row r="71" spans="2:50" x14ac:dyDescent="0.3">
      <c r="B71" s="1" t="s">
        <v>22</v>
      </c>
      <c r="C71" s="2">
        <v>1299.6500000000001</v>
      </c>
      <c r="D71" s="2">
        <v>1437.67</v>
      </c>
      <c r="E71" s="2">
        <v>1276.6500000000001</v>
      </c>
      <c r="F71" s="2">
        <v>1032.95</v>
      </c>
      <c r="G71" s="2">
        <v>1132.69</v>
      </c>
      <c r="H71" s="2">
        <v>1217.72</v>
      </c>
      <c r="I71" s="2">
        <v>913.89</v>
      </c>
      <c r="J71" s="2">
        <v>228.66</v>
      </c>
      <c r="K71" s="2">
        <v>249.35</v>
      </c>
      <c r="L71" s="2">
        <v>236.01</v>
      </c>
      <c r="N71" s="1" t="s">
        <v>22</v>
      </c>
      <c r="O71" s="2">
        <v>55.97</v>
      </c>
      <c r="P71" s="2">
        <v>56.61</v>
      </c>
      <c r="Q71" s="2">
        <v>59.53</v>
      </c>
      <c r="R71" s="2">
        <v>59.35</v>
      </c>
      <c r="S71" s="2">
        <v>59.28</v>
      </c>
      <c r="T71" s="2">
        <v>57.99</v>
      </c>
      <c r="U71" s="2">
        <v>59.75</v>
      </c>
      <c r="V71" s="2">
        <v>59.47</v>
      </c>
      <c r="W71" s="2">
        <v>59.98</v>
      </c>
      <c r="X71" s="2">
        <v>59.98</v>
      </c>
      <c r="AA71" s="1" t="s">
        <v>22</v>
      </c>
      <c r="AB71" s="2">
        <v>38.479999999999997</v>
      </c>
      <c r="AC71" s="2">
        <v>39.479999999999997</v>
      </c>
      <c r="AD71" s="2">
        <v>44.02</v>
      </c>
      <c r="AE71" s="2">
        <v>46.61</v>
      </c>
      <c r="AF71" s="2">
        <v>42.71</v>
      </c>
      <c r="AG71" s="2">
        <v>39.83</v>
      </c>
      <c r="AH71" s="2">
        <v>55.18</v>
      </c>
      <c r="AI71" s="2">
        <v>58.11</v>
      </c>
      <c r="AJ71" s="2">
        <v>49.31</v>
      </c>
      <c r="AK71" s="2">
        <v>48.34</v>
      </c>
      <c r="AN71" s="1" t="s">
        <v>22</v>
      </c>
      <c r="AO71" s="2">
        <v>-1.07</v>
      </c>
      <c r="AP71" s="2">
        <v>-1.01</v>
      </c>
      <c r="AQ71" s="2">
        <v>-0.89</v>
      </c>
      <c r="AR71" s="2">
        <v>-0.69</v>
      </c>
      <c r="AS71" s="2">
        <v>-1.1000000000000001</v>
      </c>
      <c r="AT71" s="2">
        <v>-1.32</v>
      </c>
      <c r="AU71" s="2">
        <v>-0.27</v>
      </c>
      <c r="AV71" s="2">
        <v>-0.08</v>
      </c>
      <c r="AW71" s="2">
        <v>-0.17</v>
      </c>
      <c r="AX71" s="2">
        <v>-0.19</v>
      </c>
    </row>
    <row r="72" spans="2:50" x14ac:dyDescent="0.3">
      <c r="B72" s="1" t="s">
        <v>23</v>
      </c>
      <c r="C72" s="2">
        <v>225.69</v>
      </c>
      <c r="D72" s="2">
        <v>156.01</v>
      </c>
      <c r="E72" s="2">
        <v>295.31</v>
      </c>
      <c r="F72" s="2">
        <v>49.54</v>
      </c>
      <c r="G72" s="2">
        <v>275.08999999999997</v>
      </c>
      <c r="H72" s="2">
        <v>229.85</v>
      </c>
      <c r="I72" s="2">
        <v>186.76</v>
      </c>
      <c r="J72" s="2">
        <v>23.7</v>
      </c>
      <c r="K72" s="2">
        <v>88.25</v>
      </c>
      <c r="L72" s="2">
        <v>103.26</v>
      </c>
      <c r="N72" s="1" t="s">
        <v>23</v>
      </c>
      <c r="O72" s="2">
        <v>60</v>
      </c>
      <c r="P72" s="2">
        <v>59.97</v>
      </c>
      <c r="Q72" s="2">
        <v>60</v>
      </c>
      <c r="R72" s="2">
        <v>59.99</v>
      </c>
      <c r="S72" s="2">
        <v>60</v>
      </c>
      <c r="T72" s="2">
        <v>60</v>
      </c>
      <c r="U72" s="2">
        <v>60</v>
      </c>
      <c r="V72" s="2">
        <v>60</v>
      </c>
      <c r="W72" s="2">
        <v>60</v>
      </c>
      <c r="X72" s="2">
        <v>59.99</v>
      </c>
      <c r="AA72" s="1" t="s">
        <v>23</v>
      </c>
      <c r="AB72" s="2">
        <v>56.34</v>
      </c>
      <c r="AC72" s="2">
        <v>56.32</v>
      </c>
      <c r="AD72" s="2">
        <v>54.57</v>
      </c>
      <c r="AE72" s="2">
        <v>59.87</v>
      </c>
      <c r="AF72" s="2">
        <v>50.44</v>
      </c>
      <c r="AG72" s="2">
        <v>51.35</v>
      </c>
      <c r="AH72" s="2">
        <v>57.93</v>
      </c>
      <c r="AI72" s="2">
        <v>59.98</v>
      </c>
      <c r="AJ72" s="2">
        <v>55.91</v>
      </c>
      <c r="AK72" s="2">
        <v>45.94</v>
      </c>
      <c r="AN72" s="1" t="s">
        <v>23</v>
      </c>
      <c r="AO72" s="2">
        <v>-0.14000000000000001</v>
      </c>
      <c r="AP72" s="2">
        <v>-0.14000000000000001</v>
      </c>
      <c r="AQ72" s="2">
        <v>-0.25</v>
      </c>
      <c r="AR72" s="2">
        <v>0</v>
      </c>
      <c r="AS72" s="2">
        <v>-0.53</v>
      </c>
      <c r="AT72" s="2">
        <v>-0.47</v>
      </c>
      <c r="AU72" s="2">
        <v>-0.12</v>
      </c>
      <c r="AV72" s="2">
        <v>0</v>
      </c>
      <c r="AW72" s="2">
        <v>-0.06</v>
      </c>
      <c r="AX72" s="2">
        <v>-0.24</v>
      </c>
    </row>
    <row r="75" spans="2:50" x14ac:dyDescent="0.3">
      <c r="B75" t="s">
        <v>40</v>
      </c>
      <c r="N75" t="s">
        <v>41</v>
      </c>
      <c r="AA75" t="s">
        <v>42</v>
      </c>
      <c r="AN75" t="s">
        <v>43</v>
      </c>
    </row>
    <row r="76" spans="2:50" x14ac:dyDescent="0.3">
      <c r="B76" s="1" t="s">
        <v>11</v>
      </c>
      <c r="C76" s="1" t="s">
        <v>12</v>
      </c>
      <c r="D76" s="1" t="s">
        <v>13</v>
      </c>
      <c r="E76" s="1" t="s">
        <v>12</v>
      </c>
      <c r="F76" s="1" t="s">
        <v>13</v>
      </c>
      <c r="G76" s="1" t="s">
        <v>12</v>
      </c>
      <c r="H76" s="1" t="s">
        <v>13</v>
      </c>
      <c r="I76" s="1" t="s">
        <v>12</v>
      </c>
      <c r="J76" s="1" t="s">
        <v>13</v>
      </c>
      <c r="K76" s="1" t="s">
        <v>12</v>
      </c>
      <c r="L76" s="1" t="s">
        <v>13</v>
      </c>
      <c r="N76" s="1" t="s">
        <v>11</v>
      </c>
      <c r="O76" s="1" t="s">
        <v>12</v>
      </c>
      <c r="P76" s="1" t="s">
        <v>13</v>
      </c>
      <c r="Q76" s="1" t="s">
        <v>12</v>
      </c>
      <c r="R76" s="1" t="s">
        <v>13</v>
      </c>
      <c r="S76" s="1" t="s">
        <v>12</v>
      </c>
      <c r="T76" s="1" t="s">
        <v>13</v>
      </c>
      <c r="U76" s="1" t="s">
        <v>12</v>
      </c>
      <c r="V76" s="1" t="s">
        <v>13</v>
      </c>
      <c r="W76" s="1" t="s">
        <v>12</v>
      </c>
      <c r="X76" s="1" t="s">
        <v>13</v>
      </c>
      <c r="AA76" s="1" t="s">
        <v>11</v>
      </c>
      <c r="AB76" s="1" t="s">
        <v>12</v>
      </c>
      <c r="AC76" s="1" t="s">
        <v>13</v>
      </c>
      <c r="AD76" s="1" t="s">
        <v>12</v>
      </c>
      <c r="AE76" s="1" t="s">
        <v>13</v>
      </c>
      <c r="AF76" s="1" t="s">
        <v>12</v>
      </c>
      <c r="AG76" s="1" t="s">
        <v>13</v>
      </c>
      <c r="AH76" s="1" t="s">
        <v>12</v>
      </c>
      <c r="AI76" s="1" t="s">
        <v>13</v>
      </c>
      <c r="AJ76" s="1" t="s">
        <v>12</v>
      </c>
      <c r="AK76" s="1" t="s">
        <v>13</v>
      </c>
      <c r="AN76" s="1" t="s">
        <v>11</v>
      </c>
      <c r="AO76" s="1" t="s">
        <v>12</v>
      </c>
      <c r="AP76" s="1" t="s">
        <v>13</v>
      </c>
      <c r="AQ76" s="1" t="s">
        <v>12</v>
      </c>
      <c r="AR76" s="1" t="s">
        <v>13</v>
      </c>
      <c r="AS76" s="1" t="s">
        <v>12</v>
      </c>
      <c r="AT76" s="1" t="s">
        <v>13</v>
      </c>
      <c r="AU76" s="1" t="s">
        <v>12</v>
      </c>
      <c r="AV76" s="1" t="s">
        <v>13</v>
      </c>
      <c r="AW76" s="1" t="s">
        <v>12</v>
      </c>
      <c r="AX76" s="1" t="s">
        <v>13</v>
      </c>
    </row>
    <row r="77" spans="2:50" x14ac:dyDescent="0.3">
      <c r="B77" s="1" t="s">
        <v>14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N77" s="1" t="s">
        <v>14</v>
      </c>
      <c r="O77" s="1" t="s">
        <v>1</v>
      </c>
      <c r="P77" s="1" t="s">
        <v>1</v>
      </c>
      <c r="Q77" s="1" t="s">
        <v>2</v>
      </c>
      <c r="R77" s="1" t="s">
        <v>2</v>
      </c>
      <c r="S77" s="1" t="s">
        <v>3</v>
      </c>
      <c r="T77" s="1" t="s">
        <v>3</v>
      </c>
      <c r="U77" s="1" t="s">
        <v>4</v>
      </c>
      <c r="V77" s="1" t="s">
        <v>4</v>
      </c>
      <c r="W77" s="1" t="s">
        <v>5</v>
      </c>
      <c r="X77" s="1" t="s">
        <v>5</v>
      </c>
      <c r="AA77" s="1" t="s">
        <v>14</v>
      </c>
      <c r="AB77" s="1" t="s">
        <v>1</v>
      </c>
      <c r="AC77" s="1" t="s">
        <v>1</v>
      </c>
      <c r="AD77" s="1" t="s">
        <v>2</v>
      </c>
      <c r="AE77" s="1" t="s">
        <v>2</v>
      </c>
      <c r="AF77" s="1" t="s">
        <v>3</v>
      </c>
      <c r="AG77" s="1" t="s">
        <v>3</v>
      </c>
      <c r="AH77" s="1" t="s">
        <v>4</v>
      </c>
      <c r="AI77" s="1" t="s">
        <v>4</v>
      </c>
      <c r="AJ77" s="1" t="s">
        <v>5</v>
      </c>
      <c r="AK77" s="1" t="s">
        <v>5</v>
      </c>
      <c r="AN77" s="1" t="s">
        <v>14</v>
      </c>
      <c r="AO77" s="1" t="s">
        <v>1</v>
      </c>
      <c r="AP77" s="1" t="s">
        <v>1</v>
      </c>
      <c r="AQ77" s="1" t="s">
        <v>2</v>
      </c>
      <c r="AR77" s="1" t="s">
        <v>2</v>
      </c>
      <c r="AS77" s="1" t="s">
        <v>3</v>
      </c>
      <c r="AT77" s="1" t="s">
        <v>3</v>
      </c>
      <c r="AU77" s="1" t="s">
        <v>4</v>
      </c>
      <c r="AV77" s="1" t="s">
        <v>4</v>
      </c>
      <c r="AW77" s="1" t="s">
        <v>5</v>
      </c>
      <c r="AX77" s="1" t="s">
        <v>5</v>
      </c>
    </row>
    <row r="78" spans="2:50" x14ac:dyDescent="0.3">
      <c r="B78" s="1" t="s">
        <v>15</v>
      </c>
      <c r="N78" s="1" t="s">
        <v>15</v>
      </c>
      <c r="AA78" s="1" t="s">
        <v>15</v>
      </c>
      <c r="AN78" s="1" t="s">
        <v>15</v>
      </c>
    </row>
    <row r="79" spans="2:50" x14ac:dyDescent="0.3">
      <c r="B79" s="1" t="s">
        <v>16</v>
      </c>
      <c r="C79" s="2">
        <v>11.07</v>
      </c>
      <c r="D79" s="2">
        <v>13.99</v>
      </c>
      <c r="E79" s="2">
        <v>3.66</v>
      </c>
      <c r="F79" s="2">
        <v>6.13</v>
      </c>
      <c r="G79" s="2">
        <v>5.85</v>
      </c>
      <c r="H79" s="2">
        <v>9.26</v>
      </c>
      <c r="I79" s="2">
        <v>5.14</v>
      </c>
      <c r="J79" s="2">
        <v>2.54</v>
      </c>
      <c r="K79" s="2">
        <v>1.63</v>
      </c>
      <c r="L79" s="2">
        <v>3.25</v>
      </c>
      <c r="N79" s="1" t="s">
        <v>16</v>
      </c>
      <c r="O79" s="2">
        <v>2.2000000000000002</v>
      </c>
      <c r="P79" s="2">
        <v>2.2000000000000002</v>
      </c>
      <c r="Q79" s="2">
        <v>2.5</v>
      </c>
      <c r="R79" s="2">
        <v>2.5</v>
      </c>
      <c r="S79" s="2">
        <v>2.8</v>
      </c>
      <c r="T79" s="2">
        <v>2.8</v>
      </c>
      <c r="U79" s="2">
        <v>3.3</v>
      </c>
      <c r="V79" s="2">
        <v>3.3</v>
      </c>
      <c r="W79" s="2">
        <v>0.8</v>
      </c>
      <c r="X79" s="2">
        <v>0.8</v>
      </c>
      <c r="AA79" s="1" t="s">
        <v>16</v>
      </c>
      <c r="AB79" s="2">
        <v>2.2000000000000002</v>
      </c>
      <c r="AC79" s="2">
        <v>2.2000000000000002</v>
      </c>
      <c r="AD79" s="2">
        <v>2.5</v>
      </c>
      <c r="AE79" s="2">
        <v>2.5</v>
      </c>
      <c r="AF79" s="2">
        <v>3.05</v>
      </c>
      <c r="AG79" s="2">
        <v>3.05</v>
      </c>
      <c r="AH79" s="2">
        <v>3.3</v>
      </c>
      <c r="AI79" s="2">
        <v>3.3</v>
      </c>
      <c r="AJ79" s="2">
        <v>0.81</v>
      </c>
      <c r="AK79" s="2">
        <v>0.8</v>
      </c>
      <c r="AN79" s="1" t="s">
        <v>16</v>
      </c>
      <c r="AO79" s="2">
        <v>0</v>
      </c>
      <c r="AP79" s="2">
        <v>0</v>
      </c>
      <c r="AQ79" s="2">
        <v>0</v>
      </c>
      <c r="AR79" s="2">
        <v>0</v>
      </c>
      <c r="AS79" s="2">
        <v>-0.08</v>
      </c>
      <c r="AT79" s="2">
        <v>-0.08</v>
      </c>
      <c r="AU79" s="2">
        <v>0</v>
      </c>
      <c r="AV79" s="2">
        <v>0</v>
      </c>
      <c r="AW79" s="2">
        <v>-0.01</v>
      </c>
      <c r="AX79" s="2">
        <v>0</v>
      </c>
    </row>
    <row r="80" spans="2:50" x14ac:dyDescent="0.3">
      <c r="B80" s="1" t="s">
        <v>17</v>
      </c>
      <c r="C80" s="2">
        <v>185.48</v>
      </c>
      <c r="D80" s="2">
        <v>63.44</v>
      </c>
      <c r="E80" s="2">
        <v>87.45</v>
      </c>
      <c r="F80" s="2">
        <v>308.31</v>
      </c>
      <c r="G80" s="2">
        <v>259.3</v>
      </c>
      <c r="H80" s="2">
        <v>150.21</v>
      </c>
      <c r="I80" s="2">
        <v>313.77999999999997</v>
      </c>
      <c r="J80" s="2">
        <v>29.51</v>
      </c>
      <c r="K80" s="2">
        <v>58.16</v>
      </c>
      <c r="L80" s="2">
        <v>85.1</v>
      </c>
      <c r="N80" s="1" t="s">
        <v>17</v>
      </c>
      <c r="O80" s="2">
        <v>2.2000000000000002</v>
      </c>
      <c r="P80" s="2">
        <v>2.2000000000000002</v>
      </c>
      <c r="Q80" s="2">
        <v>2.5099999999999998</v>
      </c>
      <c r="R80" s="2">
        <v>2.5</v>
      </c>
      <c r="S80" s="2">
        <v>2.82</v>
      </c>
      <c r="T80" s="2">
        <v>2.8</v>
      </c>
      <c r="U80" s="2">
        <v>3.31</v>
      </c>
      <c r="V80" s="2">
        <v>3.3</v>
      </c>
      <c r="W80" s="2">
        <v>0.8</v>
      </c>
      <c r="X80" s="2">
        <v>0.8</v>
      </c>
      <c r="AA80" s="1" t="s">
        <v>17</v>
      </c>
      <c r="AB80" s="2">
        <v>3.12</v>
      </c>
      <c r="AC80" s="2">
        <v>2.3199999999999998</v>
      </c>
      <c r="AD80" s="2">
        <v>2.77</v>
      </c>
      <c r="AE80" s="2">
        <v>3.46</v>
      </c>
      <c r="AF80" s="2">
        <v>4.04</v>
      </c>
      <c r="AG80" s="2">
        <v>3.51</v>
      </c>
      <c r="AH80" s="2">
        <v>4.7</v>
      </c>
      <c r="AI80" s="2">
        <v>3.31</v>
      </c>
      <c r="AJ80" s="2">
        <v>1.1299999999999999</v>
      </c>
      <c r="AK80" s="2">
        <v>0.94</v>
      </c>
      <c r="AN80" s="1" t="s">
        <v>17</v>
      </c>
      <c r="AO80" s="2">
        <v>-0.28999999999999998</v>
      </c>
      <c r="AP80" s="2">
        <v>-0.05</v>
      </c>
      <c r="AQ80" s="2">
        <v>-0.09</v>
      </c>
      <c r="AR80" s="2">
        <v>-0.28000000000000003</v>
      </c>
      <c r="AS80" s="2">
        <v>-0.3</v>
      </c>
      <c r="AT80" s="2">
        <v>-0.2</v>
      </c>
      <c r="AU80" s="2">
        <v>-0.3</v>
      </c>
      <c r="AV80" s="2">
        <v>0</v>
      </c>
      <c r="AW80" s="2">
        <v>-0.28999999999999998</v>
      </c>
      <c r="AX80" s="2">
        <v>-0.15</v>
      </c>
    </row>
    <row r="81" spans="2:50" x14ac:dyDescent="0.3">
      <c r="B81" s="1" t="s">
        <v>18</v>
      </c>
      <c r="C81" s="2">
        <v>1150.81</v>
      </c>
      <c r="D81" s="2">
        <v>400.64</v>
      </c>
      <c r="E81" s="2">
        <v>649.85</v>
      </c>
      <c r="F81" s="2">
        <v>1372.77</v>
      </c>
      <c r="G81" s="2">
        <v>2177.52</v>
      </c>
      <c r="H81" s="2">
        <v>815.4</v>
      </c>
      <c r="I81" s="2">
        <v>1519.43</v>
      </c>
      <c r="J81" s="2">
        <v>332.95</v>
      </c>
      <c r="K81" s="2">
        <v>91.55</v>
      </c>
      <c r="L81" s="2">
        <v>299.93</v>
      </c>
      <c r="N81" s="1" t="s">
        <v>18</v>
      </c>
      <c r="O81" s="2">
        <v>2.25</v>
      </c>
      <c r="P81" s="2">
        <v>2.2000000000000002</v>
      </c>
      <c r="Q81" s="2">
        <v>2.5299999999999998</v>
      </c>
      <c r="R81" s="2">
        <v>2.56</v>
      </c>
      <c r="S81" s="2">
        <v>2.93</v>
      </c>
      <c r="T81" s="2">
        <v>2.81</v>
      </c>
      <c r="U81" s="2">
        <v>3.32</v>
      </c>
      <c r="V81" s="2">
        <v>3.3</v>
      </c>
      <c r="W81" s="2">
        <v>0.8</v>
      </c>
      <c r="X81" s="2">
        <v>0.8</v>
      </c>
      <c r="AA81" s="1" t="s">
        <v>18</v>
      </c>
      <c r="AB81" s="2">
        <v>4.9800000000000004</v>
      </c>
      <c r="AC81" s="2">
        <v>2.52</v>
      </c>
      <c r="AD81" s="2">
        <v>3.32</v>
      </c>
      <c r="AE81" s="2">
        <v>4.18</v>
      </c>
      <c r="AF81" s="2">
        <v>6.48</v>
      </c>
      <c r="AG81" s="2">
        <v>3.62</v>
      </c>
      <c r="AH81" s="2">
        <v>5.77</v>
      </c>
      <c r="AI81" s="2">
        <v>3.38</v>
      </c>
      <c r="AJ81" s="2">
        <v>0.89</v>
      </c>
      <c r="AK81" s="2">
        <v>1.05</v>
      </c>
      <c r="AN81" s="1" t="s">
        <v>18</v>
      </c>
      <c r="AO81" s="2">
        <v>-0.55000000000000004</v>
      </c>
      <c r="AP81" s="2">
        <v>-0.13</v>
      </c>
      <c r="AQ81" s="2">
        <v>-0.24</v>
      </c>
      <c r="AR81" s="2">
        <v>-0.39</v>
      </c>
      <c r="AS81" s="2">
        <v>-0.55000000000000004</v>
      </c>
      <c r="AT81" s="2">
        <v>-0.22</v>
      </c>
      <c r="AU81" s="2">
        <v>-0.42</v>
      </c>
      <c r="AV81" s="2">
        <v>-0.02</v>
      </c>
      <c r="AW81" s="2">
        <v>-0.1</v>
      </c>
      <c r="AX81" s="2">
        <v>-0.23</v>
      </c>
    </row>
    <row r="82" spans="2:50" x14ac:dyDescent="0.3">
      <c r="B82" s="1" t="s">
        <v>19</v>
      </c>
      <c r="C82" s="2">
        <v>154.41</v>
      </c>
      <c r="D82" s="2">
        <v>108.19</v>
      </c>
      <c r="E82" s="2">
        <v>182.87</v>
      </c>
      <c r="F82" s="2">
        <v>406.04</v>
      </c>
      <c r="G82" s="2">
        <v>383.77</v>
      </c>
      <c r="H82" s="2">
        <v>349.02</v>
      </c>
      <c r="I82" s="2">
        <v>157.78</v>
      </c>
      <c r="J82" s="2">
        <v>77.7</v>
      </c>
      <c r="K82" s="2">
        <v>31.54</v>
      </c>
      <c r="L82" s="2">
        <v>58.97</v>
      </c>
      <c r="N82" s="1" t="s">
        <v>19</v>
      </c>
      <c r="O82" s="2">
        <v>2.21</v>
      </c>
      <c r="P82" s="2">
        <v>2.2000000000000002</v>
      </c>
      <c r="Q82" s="2">
        <v>2.5099999999999998</v>
      </c>
      <c r="R82" s="2">
        <v>2.52</v>
      </c>
      <c r="S82" s="2">
        <v>2.82</v>
      </c>
      <c r="T82" s="2">
        <v>2.81</v>
      </c>
      <c r="U82" s="2">
        <v>3.31</v>
      </c>
      <c r="V82" s="2">
        <v>3.3</v>
      </c>
      <c r="W82" s="2">
        <v>0.8</v>
      </c>
      <c r="X82" s="2">
        <v>0.8</v>
      </c>
      <c r="AA82" s="1" t="s">
        <v>19</v>
      </c>
      <c r="AB82" s="2">
        <v>3.24</v>
      </c>
      <c r="AC82" s="2">
        <v>2.86</v>
      </c>
      <c r="AD82" s="2">
        <v>3.19</v>
      </c>
      <c r="AE82" s="2">
        <v>3.74</v>
      </c>
      <c r="AF82" s="2">
        <v>4.6900000000000004</v>
      </c>
      <c r="AG82" s="2">
        <v>4.0599999999999996</v>
      </c>
      <c r="AH82" s="2">
        <v>3.69</v>
      </c>
      <c r="AI82" s="2">
        <v>3.37</v>
      </c>
      <c r="AJ82" s="2">
        <v>0.95</v>
      </c>
      <c r="AK82" s="2">
        <v>0.99</v>
      </c>
      <c r="AN82" s="1" t="s">
        <v>19</v>
      </c>
      <c r="AO82" s="2">
        <v>-0.32</v>
      </c>
      <c r="AP82" s="2">
        <v>-0.23</v>
      </c>
      <c r="AQ82" s="2">
        <v>-0.21</v>
      </c>
      <c r="AR82" s="2">
        <v>-0.33</v>
      </c>
      <c r="AS82" s="2">
        <v>-0.4</v>
      </c>
      <c r="AT82" s="2">
        <v>-0.31</v>
      </c>
      <c r="AU82" s="2">
        <v>-0.1</v>
      </c>
      <c r="AV82" s="2">
        <v>-0.02</v>
      </c>
      <c r="AW82" s="2">
        <v>-0.16</v>
      </c>
      <c r="AX82" s="2">
        <v>-0.19</v>
      </c>
    </row>
    <row r="83" spans="2:50" x14ac:dyDescent="0.3">
      <c r="B83" s="1" t="s">
        <v>20</v>
      </c>
      <c r="C83" s="2">
        <v>468.12</v>
      </c>
      <c r="D83" s="2">
        <v>563.29</v>
      </c>
      <c r="E83" s="2">
        <v>964.08</v>
      </c>
      <c r="F83" s="2">
        <v>1059.99</v>
      </c>
      <c r="G83" s="2">
        <v>871</v>
      </c>
      <c r="H83" s="2">
        <v>917.61</v>
      </c>
      <c r="I83" s="2">
        <v>435.34</v>
      </c>
      <c r="J83" s="2">
        <v>231.49</v>
      </c>
      <c r="K83" s="2">
        <v>292.68</v>
      </c>
      <c r="L83" s="2">
        <v>341.12</v>
      </c>
      <c r="N83" s="1" t="s">
        <v>20</v>
      </c>
      <c r="O83" s="2">
        <v>2.2000000000000002</v>
      </c>
      <c r="P83" s="2">
        <v>2.2000000000000002</v>
      </c>
      <c r="Q83" s="2">
        <v>2.5</v>
      </c>
      <c r="R83" s="2">
        <v>2.5099999999999998</v>
      </c>
      <c r="S83" s="2">
        <v>2.8</v>
      </c>
      <c r="T83" s="2">
        <v>2.81</v>
      </c>
      <c r="U83" s="2">
        <v>3.3</v>
      </c>
      <c r="V83" s="2">
        <v>3.3</v>
      </c>
      <c r="W83" s="2">
        <v>0.8</v>
      </c>
      <c r="X83" s="2">
        <v>0.8</v>
      </c>
      <c r="AA83" s="1" t="s">
        <v>20</v>
      </c>
      <c r="AB83" s="2">
        <v>3.15</v>
      </c>
      <c r="AC83" s="2">
        <v>3.16</v>
      </c>
      <c r="AD83" s="2">
        <v>3.58</v>
      </c>
      <c r="AE83" s="2">
        <v>3.68</v>
      </c>
      <c r="AF83" s="2">
        <v>3.72</v>
      </c>
      <c r="AG83" s="2">
        <v>3.76</v>
      </c>
      <c r="AH83" s="2">
        <v>3.43</v>
      </c>
      <c r="AI83" s="2">
        <v>3.35</v>
      </c>
      <c r="AJ83" s="2">
        <v>1.1299999999999999</v>
      </c>
      <c r="AK83" s="2">
        <v>1.19</v>
      </c>
      <c r="AN83" s="1" t="s">
        <v>20</v>
      </c>
      <c r="AO83" s="2">
        <v>-0.3</v>
      </c>
      <c r="AP83" s="2">
        <v>-0.3</v>
      </c>
      <c r="AQ83" s="2">
        <v>-0.3</v>
      </c>
      <c r="AR83" s="2">
        <v>-0.32</v>
      </c>
      <c r="AS83" s="2">
        <v>-0.25</v>
      </c>
      <c r="AT83" s="2">
        <v>-0.25</v>
      </c>
      <c r="AU83" s="2">
        <v>-0.04</v>
      </c>
      <c r="AV83" s="2">
        <v>-0.01</v>
      </c>
      <c r="AW83" s="2">
        <v>-0.28999999999999998</v>
      </c>
      <c r="AX83" s="2">
        <v>-0.33</v>
      </c>
    </row>
    <row r="84" spans="2:50" x14ac:dyDescent="0.3">
      <c r="B84" s="1" t="s">
        <v>21</v>
      </c>
      <c r="C84" s="2">
        <v>109.47</v>
      </c>
      <c r="D84" s="2">
        <v>37.61</v>
      </c>
      <c r="E84" s="2">
        <v>183.45</v>
      </c>
      <c r="F84" s="2">
        <v>202.98</v>
      </c>
      <c r="G84" s="2">
        <v>208.35</v>
      </c>
      <c r="H84" s="2">
        <v>112.47</v>
      </c>
      <c r="I84" s="2">
        <v>69.09</v>
      </c>
      <c r="J84" s="2">
        <v>143.93</v>
      </c>
      <c r="K84" s="2">
        <v>53.91</v>
      </c>
      <c r="L84" s="2">
        <v>41.44</v>
      </c>
      <c r="N84" s="1" t="s">
        <v>21</v>
      </c>
      <c r="O84" s="2">
        <v>2.21</v>
      </c>
      <c r="P84" s="2">
        <v>2.2000000000000002</v>
      </c>
      <c r="Q84" s="2">
        <v>2.5299999999999998</v>
      </c>
      <c r="R84" s="2">
        <v>2.58</v>
      </c>
      <c r="S84" s="2">
        <v>2.86</v>
      </c>
      <c r="T84" s="2">
        <v>2.89</v>
      </c>
      <c r="U84" s="2">
        <v>3.32</v>
      </c>
      <c r="V84" s="2">
        <v>3.45</v>
      </c>
      <c r="W84" s="2">
        <v>0.81</v>
      </c>
      <c r="X84" s="2">
        <v>0.8</v>
      </c>
      <c r="AA84" s="1" t="s">
        <v>21</v>
      </c>
      <c r="AB84" s="2">
        <v>3.16</v>
      </c>
      <c r="AC84" s="2">
        <v>3.1</v>
      </c>
      <c r="AD84" s="2">
        <v>3.73</v>
      </c>
      <c r="AE84" s="2">
        <v>3.67</v>
      </c>
      <c r="AF84" s="2">
        <v>4.3899999999999997</v>
      </c>
      <c r="AG84" s="2">
        <v>4.38</v>
      </c>
      <c r="AH84" s="2">
        <v>3.63</v>
      </c>
      <c r="AI84" s="2">
        <v>4.18</v>
      </c>
      <c r="AJ84" s="2">
        <v>1.2</v>
      </c>
      <c r="AK84" s="2">
        <v>1.1499999999999999</v>
      </c>
      <c r="AN84" s="1" t="s">
        <v>21</v>
      </c>
      <c r="AO84" s="2">
        <v>-0.3</v>
      </c>
      <c r="AP84" s="2">
        <v>-0.28999999999999998</v>
      </c>
      <c r="AQ84" s="2">
        <v>-0.32</v>
      </c>
      <c r="AR84" s="2">
        <v>-0.3</v>
      </c>
      <c r="AS84" s="2">
        <v>-0.35</v>
      </c>
      <c r="AT84" s="2">
        <v>-0.34</v>
      </c>
      <c r="AU84" s="2">
        <v>-0.09</v>
      </c>
      <c r="AV84" s="2">
        <v>-0.17</v>
      </c>
      <c r="AW84" s="2">
        <v>-0.33</v>
      </c>
      <c r="AX84" s="2">
        <v>-0.31</v>
      </c>
    </row>
    <row r="85" spans="2:50" x14ac:dyDescent="0.3">
      <c r="B85" s="1" t="s">
        <v>22</v>
      </c>
      <c r="C85" s="2">
        <v>285.32</v>
      </c>
      <c r="D85" s="2">
        <v>274.31</v>
      </c>
      <c r="E85" s="2">
        <v>193.15</v>
      </c>
      <c r="F85" s="2">
        <v>245.44</v>
      </c>
      <c r="G85" s="2">
        <v>264.10000000000002</v>
      </c>
      <c r="H85" s="2">
        <v>260.63</v>
      </c>
      <c r="I85" s="2">
        <v>180.03</v>
      </c>
      <c r="J85" s="2">
        <v>76.239999999999995</v>
      </c>
      <c r="K85" s="2">
        <v>34</v>
      </c>
      <c r="L85" s="2">
        <v>57.22</v>
      </c>
      <c r="N85" s="1" t="s">
        <v>22</v>
      </c>
      <c r="O85" s="2">
        <v>2.36</v>
      </c>
      <c r="P85" s="2">
        <v>2.33</v>
      </c>
      <c r="Q85" s="2">
        <v>2.52</v>
      </c>
      <c r="R85" s="2">
        <v>2.5299999999999998</v>
      </c>
      <c r="S85" s="2">
        <v>2.83</v>
      </c>
      <c r="T85" s="2">
        <v>2.9</v>
      </c>
      <c r="U85" s="2">
        <v>3.31</v>
      </c>
      <c r="V85" s="2">
        <v>3.33</v>
      </c>
      <c r="W85" s="2">
        <v>0.8</v>
      </c>
      <c r="X85" s="2">
        <v>0.8</v>
      </c>
      <c r="AA85" s="1" t="s">
        <v>22</v>
      </c>
      <c r="AB85" s="2">
        <v>3.43</v>
      </c>
      <c r="AC85" s="2">
        <v>3.34</v>
      </c>
      <c r="AD85" s="2">
        <v>3.41</v>
      </c>
      <c r="AE85" s="2">
        <v>3.22</v>
      </c>
      <c r="AF85" s="2">
        <v>3.93</v>
      </c>
      <c r="AG85" s="2">
        <v>4.22</v>
      </c>
      <c r="AH85" s="2">
        <v>3.59</v>
      </c>
      <c r="AI85" s="2">
        <v>3.41</v>
      </c>
      <c r="AJ85" s="2">
        <v>0.97</v>
      </c>
      <c r="AK85" s="2">
        <v>0.99</v>
      </c>
      <c r="AN85" s="1" t="s">
        <v>22</v>
      </c>
      <c r="AO85" s="2">
        <v>-0.31</v>
      </c>
      <c r="AP85" s="2">
        <v>-0.3</v>
      </c>
      <c r="AQ85" s="2">
        <v>-0.26</v>
      </c>
      <c r="AR85" s="2">
        <v>-0.21</v>
      </c>
      <c r="AS85" s="2">
        <v>-0.28000000000000003</v>
      </c>
      <c r="AT85" s="2">
        <v>-0.31</v>
      </c>
      <c r="AU85" s="2">
        <v>-0.08</v>
      </c>
      <c r="AV85" s="2">
        <v>-0.02</v>
      </c>
      <c r="AW85" s="2">
        <v>-0.18</v>
      </c>
      <c r="AX85" s="2">
        <v>-0.19</v>
      </c>
    </row>
    <row r="86" spans="2:50" x14ac:dyDescent="0.3">
      <c r="B86" s="1" t="s">
        <v>23</v>
      </c>
      <c r="C86" s="2">
        <v>22.09</v>
      </c>
      <c r="D86" s="2">
        <v>35.93</v>
      </c>
      <c r="E86" s="2">
        <v>30.71</v>
      </c>
      <c r="F86" s="2">
        <v>13.48</v>
      </c>
      <c r="G86" s="2">
        <v>55.15</v>
      </c>
      <c r="H86" s="2">
        <v>83.32</v>
      </c>
      <c r="I86" s="2">
        <v>6.61</v>
      </c>
      <c r="J86" s="2">
        <v>2.35</v>
      </c>
      <c r="K86" s="2">
        <v>9.2899999999999991</v>
      </c>
      <c r="L86" s="2">
        <v>26.48</v>
      </c>
      <c r="N86" s="1" t="s">
        <v>23</v>
      </c>
      <c r="O86" s="2">
        <v>2.2000000000000002</v>
      </c>
      <c r="P86" s="2">
        <v>2.2000000000000002</v>
      </c>
      <c r="Q86" s="2">
        <v>2.5</v>
      </c>
      <c r="R86" s="2">
        <v>2.5</v>
      </c>
      <c r="S86" s="2">
        <v>2.8</v>
      </c>
      <c r="T86" s="2">
        <v>2.8</v>
      </c>
      <c r="U86" s="2">
        <v>3.3</v>
      </c>
      <c r="V86" s="2">
        <v>3.3</v>
      </c>
      <c r="W86" s="2">
        <v>0.8</v>
      </c>
      <c r="X86" s="2">
        <v>0.8</v>
      </c>
      <c r="AA86" s="1" t="s">
        <v>23</v>
      </c>
      <c r="AB86" s="2">
        <v>2.34</v>
      </c>
      <c r="AC86" s="2">
        <v>2.34</v>
      </c>
      <c r="AD86" s="2">
        <v>2.75</v>
      </c>
      <c r="AE86" s="2">
        <v>2.5099999999999998</v>
      </c>
      <c r="AF86" s="2">
        <v>3.33</v>
      </c>
      <c r="AG86" s="2">
        <v>3.27</v>
      </c>
      <c r="AH86" s="2">
        <v>3.42</v>
      </c>
      <c r="AI86" s="2">
        <v>3.3</v>
      </c>
      <c r="AJ86" s="2">
        <v>0.86</v>
      </c>
      <c r="AK86" s="2">
        <v>1.04</v>
      </c>
      <c r="AN86" s="1" t="s">
        <v>23</v>
      </c>
      <c r="AO86" s="2">
        <v>-0.06</v>
      </c>
      <c r="AP86" s="2">
        <v>-0.06</v>
      </c>
      <c r="AQ86" s="2">
        <v>-0.09</v>
      </c>
      <c r="AR86" s="2">
        <v>0</v>
      </c>
      <c r="AS86" s="2">
        <v>-0.16</v>
      </c>
      <c r="AT86" s="2">
        <v>-0.14000000000000001</v>
      </c>
      <c r="AU86" s="2">
        <v>-0.03</v>
      </c>
      <c r="AV86" s="2">
        <v>0</v>
      </c>
      <c r="AW86" s="2">
        <v>-7.0000000000000007E-2</v>
      </c>
      <c r="AX86" s="2">
        <v>-0.23</v>
      </c>
    </row>
    <row r="89" spans="2:50" x14ac:dyDescent="0.3">
      <c r="B89" t="s">
        <v>44</v>
      </c>
      <c r="N89" t="s">
        <v>45</v>
      </c>
      <c r="AA89" t="s">
        <v>46</v>
      </c>
      <c r="AN89" t="s">
        <v>47</v>
      </c>
    </row>
    <row r="90" spans="2:50" x14ac:dyDescent="0.3">
      <c r="B90" s="1" t="s">
        <v>11</v>
      </c>
      <c r="C90" s="1" t="s">
        <v>12</v>
      </c>
      <c r="D90" s="1" t="s">
        <v>13</v>
      </c>
      <c r="E90" s="1" t="s">
        <v>12</v>
      </c>
      <c r="F90" s="1" t="s">
        <v>13</v>
      </c>
      <c r="G90" s="1" t="s">
        <v>12</v>
      </c>
      <c r="H90" s="1" t="s">
        <v>13</v>
      </c>
      <c r="I90" s="1" t="s">
        <v>12</v>
      </c>
      <c r="J90" s="1" t="s">
        <v>13</v>
      </c>
      <c r="K90" s="1" t="s">
        <v>12</v>
      </c>
      <c r="L90" s="1" t="s">
        <v>13</v>
      </c>
      <c r="N90" s="1" t="s">
        <v>11</v>
      </c>
      <c r="O90" s="3" t="s">
        <v>12</v>
      </c>
      <c r="P90" s="3"/>
      <c r="Q90" s="3"/>
      <c r="R90" s="3"/>
      <c r="S90" s="3"/>
      <c r="T90" s="3" t="s">
        <v>13</v>
      </c>
      <c r="U90" s="3"/>
      <c r="V90" s="3"/>
      <c r="W90" s="3"/>
      <c r="X90" s="3"/>
      <c r="AA90" s="1" t="s">
        <v>11</v>
      </c>
      <c r="AB90" s="3" t="s">
        <v>12</v>
      </c>
      <c r="AC90" s="3"/>
      <c r="AD90" s="3"/>
      <c r="AE90" s="3"/>
      <c r="AF90" s="3"/>
      <c r="AG90" s="3" t="s">
        <v>13</v>
      </c>
      <c r="AH90" s="3"/>
      <c r="AI90" s="3"/>
      <c r="AJ90" s="3"/>
      <c r="AK90" s="3"/>
      <c r="AN90" s="1" t="s">
        <v>11</v>
      </c>
      <c r="AO90" s="1" t="s">
        <v>12</v>
      </c>
      <c r="AP90" s="1" t="s">
        <v>13</v>
      </c>
      <c r="AQ90" s="1" t="s">
        <v>12</v>
      </c>
      <c r="AR90" s="1" t="s">
        <v>13</v>
      </c>
      <c r="AS90" s="1" t="s">
        <v>12</v>
      </c>
      <c r="AT90" s="1" t="s">
        <v>13</v>
      </c>
      <c r="AU90" s="1" t="s">
        <v>12</v>
      </c>
      <c r="AV90" s="1" t="s">
        <v>13</v>
      </c>
      <c r="AW90" s="1" t="s">
        <v>12</v>
      </c>
      <c r="AX90" s="1" t="s">
        <v>13</v>
      </c>
    </row>
    <row r="91" spans="2:50" x14ac:dyDescent="0.3">
      <c r="B91" s="1" t="s">
        <v>14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N91" s="1" t="s">
        <v>14</v>
      </c>
      <c r="O91" s="1" t="s">
        <v>1</v>
      </c>
      <c r="P91" s="1" t="s">
        <v>2</v>
      </c>
      <c r="Q91" s="1" t="s">
        <v>3</v>
      </c>
      <c r="R91" s="1" t="s">
        <v>4</v>
      </c>
      <c r="S91" s="1" t="s">
        <v>5</v>
      </c>
      <c r="T91" s="1" t="s">
        <v>1</v>
      </c>
      <c r="U91" s="1" t="s">
        <v>2</v>
      </c>
      <c r="V91" s="1" t="s">
        <v>3</v>
      </c>
      <c r="W91" s="1" t="s">
        <v>4</v>
      </c>
      <c r="X91" s="1" t="s">
        <v>5</v>
      </c>
      <c r="AA91" s="1" t="s">
        <v>14</v>
      </c>
      <c r="AB91" s="1" t="s">
        <v>1</v>
      </c>
      <c r="AC91" s="1" t="s">
        <v>2</v>
      </c>
      <c r="AD91" s="1" t="s">
        <v>3</v>
      </c>
      <c r="AE91" s="1" t="s">
        <v>4</v>
      </c>
      <c r="AF91" s="1" t="s">
        <v>5</v>
      </c>
      <c r="AG91" s="1" t="s">
        <v>1</v>
      </c>
      <c r="AH91" s="1" t="s">
        <v>2</v>
      </c>
      <c r="AI91" s="1" t="s">
        <v>3</v>
      </c>
      <c r="AJ91" s="1" t="s">
        <v>4</v>
      </c>
      <c r="AK91" s="1" t="s">
        <v>5</v>
      </c>
      <c r="AN91" s="1" t="s">
        <v>14</v>
      </c>
      <c r="AO91" s="1" t="s">
        <v>1</v>
      </c>
      <c r="AP91" s="1" t="s">
        <v>1</v>
      </c>
      <c r="AQ91" s="1" t="s">
        <v>2</v>
      </c>
      <c r="AR91" s="1" t="s">
        <v>2</v>
      </c>
      <c r="AS91" s="1" t="s">
        <v>3</v>
      </c>
      <c r="AT91" s="1" t="s">
        <v>3</v>
      </c>
      <c r="AU91" s="1" t="s">
        <v>4</v>
      </c>
      <c r="AV91" s="1" t="s">
        <v>4</v>
      </c>
      <c r="AW91" s="1" t="s">
        <v>5</v>
      </c>
      <c r="AX91" s="1" t="s">
        <v>5</v>
      </c>
    </row>
    <row r="92" spans="2:50" x14ac:dyDescent="0.3">
      <c r="B92" s="1" t="s">
        <v>15</v>
      </c>
      <c r="N92" s="1" t="s">
        <v>15</v>
      </c>
      <c r="AA92" s="1" t="s">
        <v>15</v>
      </c>
      <c r="AN92" s="1" t="s">
        <v>15</v>
      </c>
    </row>
    <row r="93" spans="2:50" x14ac:dyDescent="0.3">
      <c r="B93" s="1" t="s">
        <v>16</v>
      </c>
      <c r="C93" s="2">
        <v>275.5</v>
      </c>
      <c r="D93" s="2">
        <v>277.75</v>
      </c>
      <c r="E93" s="2">
        <v>473.45</v>
      </c>
      <c r="F93" s="2">
        <v>264.22000000000003</v>
      </c>
      <c r="G93" s="2">
        <v>93.44</v>
      </c>
      <c r="H93" s="2">
        <v>91.37</v>
      </c>
      <c r="I93" s="2">
        <v>132.81</v>
      </c>
      <c r="J93" s="2">
        <v>123.33</v>
      </c>
      <c r="K93" s="2">
        <v>147.36000000000001</v>
      </c>
      <c r="L93" s="2">
        <v>139.31</v>
      </c>
      <c r="N93" s="1" t="s">
        <v>16</v>
      </c>
      <c r="O93" s="2">
        <v>2582.34</v>
      </c>
      <c r="P93" s="2">
        <v>3162.42</v>
      </c>
      <c r="Q93" s="2">
        <v>1709.28</v>
      </c>
      <c r="R93" s="2">
        <v>1808.23</v>
      </c>
      <c r="S93" s="2">
        <v>954.66</v>
      </c>
      <c r="T93" s="2">
        <v>2512.5100000000002</v>
      </c>
      <c r="U93" s="2">
        <v>1157.26</v>
      </c>
      <c r="V93" s="2">
        <v>1440.52</v>
      </c>
      <c r="W93" s="2">
        <v>1086.07</v>
      </c>
      <c r="X93" s="2">
        <v>619.73</v>
      </c>
      <c r="AA93" s="1" t="s">
        <v>16</v>
      </c>
      <c r="AB93" s="2">
        <v>23283.5</v>
      </c>
      <c r="AC93" s="2">
        <v>28461.82</v>
      </c>
      <c r="AD93" s="2">
        <v>27475.119999999999</v>
      </c>
      <c r="AE93" s="2">
        <v>27912.23</v>
      </c>
      <c r="AF93" s="2">
        <v>8699.74</v>
      </c>
      <c r="AG93" s="2">
        <v>22612.59</v>
      </c>
      <c r="AH93" s="2">
        <v>17863.490000000002</v>
      </c>
      <c r="AI93" s="2">
        <v>22898.76</v>
      </c>
      <c r="AJ93" s="2">
        <v>20212.13</v>
      </c>
      <c r="AK93" s="2">
        <v>5657.87</v>
      </c>
      <c r="AN93" s="1" t="s">
        <v>16</v>
      </c>
      <c r="AO93" s="2">
        <v>0.44</v>
      </c>
      <c r="AP93" s="2">
        <v>0.44</v>
      </c>
      <c r="AQ93" s="2">
        <v>0.5</v>
      </c>
      <c r="AR93" s="2">
        <v>0.5</v>
      </c>
      <c r="AS93" s="2">
        <v>0.56000000000000005</v>
      </c>
      <c r="AT93" s="2">
        <v>0.56000000000000005</v>
      </c>
      <c r="AU93" s="2">
        <v>0.66</v>
      </c>
      <c r="AV93" s="2">
        <v>0.66</v>
      </c>
      <c r="AW93" s="2">
        <v>0.16</v>
      </c>
      <c r="AX93" s="2">
        <v>0.16</v>
      </c>
    </row>
    <row r="94" spans="2:50" x14ac:dyDescent="0.3">
      <c r="B94" s="1" t="s">
        <v>17</v>
      </c>
      <c r="C94" s="2">
        <v>176</v>
      </c>
      <c r="D94" s="2">
        <v>91.45</v>
      </c>
      <c r="E94" s="2">
        <v>140.86000000000001</v>
      </c>
      <c r="F94" s="2">
        <v>320.13</v>
      </c>
      <c r="G94" s="2">
        <v>157.02000000000001</v>
      </c>
      <c r="H94" s="2">
        <v>115.03</v>
      </c>
      <c r="I94" s="2">
        <v>170.26</v>
      </c>
      <c r="J94" s="2">
        <v>104.42</v>
      </c>
      <c r="K94" s="2">
        <v>92.05</v>
      </c>
      <c r="L94" s="2">
        <v>81.12</v>
      </c>
      <c r="N94" s="1" t="s">
        <v>17</v>
      </c>
      <c r="O94" s="2">
        <v>2285.4</v>
      </c>
      <c r="P94" s="2">
        <v>2858.28</v>
      </c>
      <c r="Q94" s="2">
        <v>3668.94</v>
      </c>
      <c r="R94" s="2">
        <v>4073.91</v>
      </c>
      <c r="S94" s="2">
        <v>867.97</v>
      </c>
      <c r="T94" s="2">
        <v>1357.85</v>
      </c>
      <c r="U94" s="2">
        <v>1491.47</v>
      </c>
      <c r="V94" s="2">
        <v>1742.43</v>
      </c>
      <c r="W94" s="2">
        <v>533.97</v>
      </c>
      <c r="X94" s="2">
        <v>566.36</v>
      </c>
      <c r="AA94" s="1" t="s">
        <v>17</v>
      </c>
      <c r="AB94" s="2">
        <v>10755.56</v>
      </c>
      <c r="AC94" s="2">
        <v>15149.22</v>
      </c>
      <c r="AD94" s="2">
        <v>19381.78</v>
      </c>
      <c r="AE94" s="2">
        <v>20408.560000000001</v>
      </c>
      <c r="AF94" s="2">
        <v>3923.84</v>
      </c>
      <c r="AG94" s="2">
        <v>6683.15</v>
      </c>
      <c r="AH94" s="2">
        <v>5708.89</v>
      </c>
      <c r="AI94" s="2">
        <v>8464.9699999999993</v>
      </c>
      <c r="AJ94" s="2">
        <v>10396.620000000001</v>
      </c>
      <c r="AK94" s="2">
        <v>2661.64</v>
      </c>
      <c r="AN94" s="1" t="s">
        <v>17</v>
      </c>
      <c r="AO94" s="2">
        <v>3.96</v>
      </c>
      <c r="AP94" s="2">
        <v>1.96</v>
      </c>
      <c r="AQ94" s="2">
        <v>2.0499999999999998</v>
      </c>
      <c r="AR94" s="2">
        <v>4.5</v>
      </c>
      <c r="AS94" s="2">
        <v>4.66</v>
      </c>
      <c r="AT94" s="2">
        <v>4.0199999999999996</v>
      </c>
      <c r="AU94" s="2">
        <v>5.94</v>
      </c>
      <c r="AV94" s="2">
        <v>2.97</v>
      </c>
      <c r="AW94" s="2">
        <v>1.44</v>
      </c>
      <c r="AX94" s="2">
        <v>1.04</v>
      </c>
    </row>
    <row r="95" spans="2:50" x14ac:dyDescent="0.3">
      <c r="B95" s="1" t="s">
        <v>18</v>
      </c>
      <c r="C95" s="2">
        <v>2921.91</v>
      </c>
      <c r="D95" s="2">
        <v>833.75</v>
      </c>
      <c r="E95" s="2">
        <v>1552.71</v>
      </c>
      <c r="F95" s="2">
        <v>5090.87</v>
      </c>
      <c r="G95" s="2">
        <v>2393.71</v>
      </c>
      <c r="H95" s="2">
        <v>838.57</v>
      </c>
      <c r="I95" s="2">
        <v>1919.46</v>
      </c>
      <c r="J95" s="2">
        <v>474.2</v>
      </c>
      <c r="K95" s="2">
        <v>210.75</v>
      </c>
      <c r="L95" s="2">
        <v>524.91999999999996</v>
      </c>
      <c r="N95" s="1" t="s">
        <v>18</v>
      </c>
      <c r="O95" s="2">
        <v>9942.14</v>
      </c>
      <c r="P95" s="2">
        <v>10012.780000000001</v>
      </c>
      <c r="Q95" s="2">
        <v>14703.05</v>
      </c>
      <c r="R95" s="2">
        <v>12600.55</v>
      </c>
      <c r="S95" s="2">
        <v>1598.43</v>
      </c>
      <c r="T95" s="2">
        <v>4690.45</v>
      </c>
      <c r="U95" s="2">
        <v>9081.7800000000007</v>
      </c>
      <c r="V95" s="2">
        <v>8793.02</v>
      </c>
      <c r="W95" s="2">
        <v>9049.2900000000009</v>
      </c>
      <c r="X95" s="2">
        <v>2206.44</v>
      </c>
      <c r="AA95" s="1" t="s">
        <v>18</v>
      </c>
      <c r="AB95" s="2">
        <v>38360.03</v>
      </c>
      <c r="AC95" s="2">
        <v>54596.72</v>
      </c>
      <c r="AD95" s="2">
        <v>65776.81</v>
      </c>
      <c r="AE95" s="2">
        <v>72391.960000000006</v>
      </c>
      <c r="AF95" s="2">
        <v>7509.57</v>
      </c>
      <c r="AG95" s="2">
        <v>17858.68</v>
      </c>
      <c r="AH95" s="2">
        <v>21796.28</v>
      </c>
      <c r="AI95" s="2">
        <v>44982.37</v>
      </c>
      <c r="AJ95" s="2">
        <v>46102.82</v>
      </c>
      <c r="AK95" s="2">
        <v>7335.96</v>
      </c>
      <c r="AN95" s="1" t="s">
        <v>18</v>
      </c>
      <c r="AO95" s="2">
        <v>8.69</v>
      </c>
      <c r="AP95" s="2">
        <v>3.96</v>
      </c>
      <c r="AQ95" s="2">
        <v>4.5</v>
      </c>
      <c r="AR95" s="2">
        <v>4.5</v>
      </c>
      <c r="AS95" s="2">
        <v>10.41</v>
      </c>
      <c r="AT95" s="2">
        <v>4.8499999999999996</v>
      </c>
      <c r="AU95" s="2">
        <v>10.81</v>
      </c>
      <c r="AV95" s="2">
        <v>2.33</v>
      </c>
      <c r="AW95" s="2">
        <v>1.29</v>
      </c>
      <c r="AX95" s="2">
        <v>1.44</v>
      </c>
    </row>
    <row r="96" spans="2:50" x14ac:dyDescent="0.3">
      <c r="B96" s="1" t="s">
        <v>19</v>
      </c>
      <c r="C96" s="2">
        <v>442.73</v>
      </c>
      <c r="D96" s="2">
        <v>280.05</v>
      </c>
      <c r="E96" s="2">
        <v>571.35</v>
      </c>
      <c r="F96" s="2">
        <v>723.65</v>
      </c>
      <c r="G96" s="2">
        <v>481.89</v>
      </c>
      <c r="H96" s="2">
        <v>436.71</v>
      </c>
      <c r="I96" s="2">
        <v>188.15</v>
      </c>
      <c r="J96" s="2">
        <v>110.79</v>
      </c>
      <c r="K96" s="2">
        <v>97.16</v>
      </c>
      <c r="L96" s="2">
        <v>100.32</v>
      </c>
      <c r="N96" s="1" t="s">
        <v>19</v>
      </c>
      <c r="O96" s="2">
        <v>2318.8200000000002</v>
      </c>
      <c r="P96" s="2">
        <v>2621.47</v>
      </c>
      <c r="Q96" s="2">
        <v>3399.82</v>
      </c>
      <c r="R96" s="2">
        <v>3436.17</v>
      </c>
      <c r="S96" s="2">
        <v>435.14</v>
      </c>
      <c r="T96" s="2">
        <v>1273.55</v>
      </c>
      <c r="U96" s="2">
        <v>2652.25</v>
      </c>
      <c r="V96" s="2">
        <v>2961.46</v>
      </c>
      <c r="W96" s="2">
        <v>2971.78</v>
      </c>
      <c r="X96" s="2">
        <v>437.53</v>
      </c>
      <c r="AA96" s="1" t="s">
        <v>19</v>
      </c>
      <c r="AB96" s="2">
        <v>9850.31</v>
      </c>
      <c r="AC96" s="2">
        <v>13853.28</v>
      </c>
      <c r="AD96" s="2">
        <v>18038.2</v>
      </c>
      <c r="AE96" s="2">
        <v>17737.62</v>
      </c>
      <c r="AF96" s="2">
        <v>2038.46</v>
      </c>
      <c r="AG96" s="2">
        <v>6261.04</v>
      </c>
      <c r="AH96" s="2">
        <v>11122.77</v>
      </c>
      <c r="AI96" s="2">
        <v>14970.3</v>
      </c>
      <c r="AJ96" s="2">
        <v>14775.62</v>
      </c>
      <c r="AK96" s="2">
        <v>2050.79</v>
      </c>
      <c r="AN96" s="1" t="s">
        <v>19</v>
      </c>
      <c r="AO96" s="2">
        <v>3.96</v>
      </c>
      <c r="AP96" s="2">
        <v>3.95</v>
      </c>
      <c r="AQ96" s="2">
        <v>3.4</v>
      </c>
      <c r="AR96" s="2">
        <v>4.5</v>
      </c>
      <c r="AS96" s="2">
        <v>6.41</v>
      </c>
      <c r="AT96" s="2">
        <v>4.84</v>
      </c>
      <c r="AU96" s="2">
        <v>2.95</v>
      </c>
      <c r="AV96" s="2">
        <v>1.46</v>
      </c>
      <c r="AW96" s="2">
        <v>1.1499999999999999</v>
      </c>
      <c r="AX96" s="2">
        <v>1.27</v>
      </c>
    </row>
    <row r="97" spans="2:50" x14ac:dyDescent="0.3">
      <c r="B97" s="1" t="s">
        <v>20</v>
      </c>
      <c r="C97" s="2">
        <v>1511.42</v>
      </c>
      <c r="D97" s="2">
        <v>1657.86</v>
      </c>
      <c r="E97" s="2">
        <v>2931.38</v>
      </c>
      <c r="F97" s="2">
        <v>3003.36</v>
      </c>
      <c r="G97" s="2">
        <v>1203.17</v>
      </c>
      <c r="H97" s="2">
        <v>1067.4000000000001</v>
      </c>
      <c r="I97" s="2">
        <v>475.69</v>
      </c>
      <c r="J97" s="2">
        <v>305.58999999999997</v>
      </c>
      <c r="K97" s="2">
        <v>885.51</v>
      </c>
      <c r="L97" s="2">
        <v>985.02</v>
      </c>
      <c r="N97" s="1" t="s">
        <v>20</v>
      </c>
      <c r="O97" s="2">
        <v>8967.14</v>
      </c>
      <c r="P97" s="2">
        <v>11438.97</v>
      </c>
      <c r="Q97" s="2">
        <v>12798.92</v>
      </c>
      <c r="R97" s="2">
        <v>12822.6</v>
      </c>
      <c r="S97" s="2">
        <v>3517.07</v>
      </c>
      <c r="T97" s="2">
        <v>10064.56</v>
      </c>
      <c r="U97" s="2">
        <v>12542.81</v>
      </c>
      <c r="V97" s="2">
        <v>15189.14</v>
      </c>
      <c r="W97" s="2">
        <v>15844.17</v>
      </c>
      <c r="X97" s="2">
        <v>4056.68</v>
      </c>
      <c r="AA97" s="1" t="s">
        <v>20</v>
      </c>
      <c r="AB97" s="2">
        <v>35150.14</v>
      </c>
      <c r="AC97" s="2">
        <v>51427.28</v>
      </c>
      <c r="AD97" s="2">
        <v>63697.08</v>
      </c>
      <c r="AE97" s="2">
        <v>63381</v>
      </c>
      <c r="AF97" s="2">
        <v>15194.93</v>
      </c>
      <c r="AG97" s="2">
        <v>39991.379999999997</v>
      </c>
      <c r="AH97" s="2">
        <v>50662.37</v>
      </c>
      <c r="AI97" s="2">
        <v>75385.259999999995</v>
      </c>
      <c r="AJ97" s="2">
        <v>78009.48</v>
      </c>
      <c r="AK97" s="2">
        <v>15028.03</v>
      </c>
      <c r="AN97" s="1" t="s">
        <v>20</v>
      </c>
      <c r="AO97" s="2">
        <v>3.96</v>
      </c>
      <c r="AP97" s="2">
        <v>3.96</v>
      </c>
      <c r="AQ97" s="2">
        <v>4.5</v>
      </c>
      <c r="AR97" s="2">
        <v>4.5</v>
      </c>
      <c r="AS97" s="2">
        <v>4.1900000000000004</v>
      </c>
      <c r="AT97" s="2">
        <v>4.04</v>
      </c>
      <c r="AU97" s="2">
        <v>2.29</v>
      </c>
      <c r="AV97" s="2">
        <v>1.21</v>
      </c>
      <c r="AW97" s="2">
        <v>1.44</v>
      </c>
      <c r="AX97" s="2">
        <v>1.44</v>
      </c>
    </row>
    <row r="98" spans="2:50" x14ac:dyDescent="0.3">
      <c r="B98" s="1" t="s">
        <v>21</v>
      </c>
      <c r="C98" s="2">
        <v>273.89999999999998</v>
      </c>
      <c r="D98" s="2">
        <v>224.79</v>
      </c>
      <c r="E98" s="2">
        <v>630.30999999999995</v>
      </c>
      <c r="F98" s="2">
        <v>462.27</v>
      </c>
      <c r="G98" s="2">
        <v>313.22000000000003</v>
      </c>
      <c r="H98" s="2">
        <v>263.68</v>
      </c>
      <c r="I98" s="2">
        <v>113.55</v>
      </c>
      <c r="J98" s="2">
        <v>152.41</v>
      </c>
      <c r="K98" s="2">
        <v>192.01</v>
      </c>
      <c r="L98" s="2">
        <v>93.89</v>
      </c>
      <c r="N98" s="1" t="s">
        <v>21</v>
      </c>
      <c r="O98" s="2">
        <v>2444.9899999999998</v>
      </c>
      <c r="P98" s="2">
        <v>3280.8</v>
      </c>
      <c r="Q98" s="2">
        <v>4337.5600000000004</v>
      </c>
      <c r="R98" s="2">
        <v>4278.3100000000004</v>
      </c>
      <c r="S98" s="2">
        <v>985.41</v>
      </c>
      <c r="T98" s="2">
        <v>2300.2600000000002</v>
      </c>
      <c r="U98" s="2">
        <v>4185.7</v>
      </c>
      <c r="V98" s="2">
        <v>4865.96</v>
      </c>
      <c r="W98" s="2">
        <v>6141.19</v>
      </c>
      <c r="X98" s="2">
        <v>761.35</v>
      </c>
      <c r="AA98" s="1" t="s">
        <v>21</v>
      </c>
      <c r="AB98" s="2">
        <v>9611.65</v>
      </c>
      <c r="AC98" s="2">
        <v>13397.81</v>
      </c>
      <c r="AD98" s="2">
        <v>18600.46</v>
      </c>
      <c r="AE98" s="2">
        <v>17311.28</v>
      </c>
      <c r="AF98" s="2">
        <v>3204.99</v>
      </c>
      <c r="AG98" s="2">
        <v>8744.51</v>
      </c>
      <c r="AH98" s="2">
        <v>17921.61</v>
      </c>
      <c r="AI98" s="2">
        <v>21320.14</v>
      </c>
      <c r="AJ98" s="2">
        <v>29118.91</v>
      </c>
      <c r="AK98" s="2">
        <v>2255.48</v>
      </c>
      <c r="AN98" s="1" t="s">
        <v>21</v>
      </c>
      <c r="AO98" s="2">
        <v>3.96</v>
      </c>
      <c r="AP98" s="2">
        <v>3.96</v>
      </c>
      <c r="AQ98" s="2">
        <v>4.5</v>
      </c>
      <c r="AR98" s="2">
        <v>3.96</v>
      </c>
      <c r="AS98" s="2">
        <v>4.9800000000000004</v>
      </c>
      <c r="AT98" s="2">
        <v>4.7699999999999996</v>
      </c>
      <c r="AU98" s="2">
        <v>2.3199999999999998</v>
      </c>
      <c r="AV98" s="2">
        <v>3.22</v>
      </c>
      <c r="AW98" s="2">
        <v>1.44</v>
      </c>
      <c r="AX98" s="2">
        <v>1.44</v>
      </c>
    </row>
    <row r="99" spans="2:50" x14ac:dyDescent="0.3">
      <c r="B99" s="1" t="s">
        <v>22</v>
      </c>
      <c r="C99" s="2">
        <v>1364.83</v>
      </c>
      <c r="D99" s="2">
        <v>1379.9</v>
      </c>
      <c r="E99" s="2">
        <v>1703.73</v>
      </c>
      <c r="F99" s="2">
        <v>1651.54</v>
      </c>
      <c r="G99" s="2">
        <v>947.25</v>
      </c>
      <c r="H99" s="2">
        <v>784.95</v>
      </c>
      <c r="I99" s="2">
        <v>532.70000000000005</v>
      </c>
      <c r="J99" s="2">
        <v>188.15</v>
      </c>
      <c r="K99" s="2">
        <v>354.28</v>
      </c>
      <c r="L99" s="2">
        <v>360.2</v>
      </c>
      <c r="N99" s="1" t="s">
        <v>22</v>
      </c>
      <c r="O99" s="2">
        <v>12885.49</v>
      </c>
      <c r="P99" s="2">
        <v>9868.5499999999993</v>
      </c>
      <c r="Q99" s="2">
        <v>12631.25</v>
      </c>
      <c r="R99" s="2">
        <v>12244.36</v>
      </c>
      <c r="S99" s="2">
        <v>1869.72</v>
      </c>
      <c r="T99" s="2">
        <v>12387.52</v>
      </c>
      <c r="U99" s="2">
        <v>10452.280000000001</v>
      </c>
      <c r="V99" s="2">
        <v>15203.27</v>
      </c>
      <c r="W99" s="2">
        <v>14510.27</v>
      </c>
      <c r="X99" s="2">
        <v>1976.38</v>
      </c>
      <c r="AA99" s="1" t="s">
        <v>22</v>
      </c>
      <c r="AB99" s="2">
        <v>35376.550000000003</v>
      </c>
      <c r="AC99" s="2">
        <v>33135.699999999997</v>
      </c>
      <c r="AD99" s="2">
        <v>54038.34</v>
      </c>
      <c r="AE99" s="2">
        <v>50338.7</v>
      </c>
      <c r="AF99" s="2">
        <v>5510.52</v>
      </c>
      <c r="AG99" s="2">
        <v>34327.279999999999</v>
      </c>
      <c r="AH99" s="2">
        <v>42903.47</v>
      </c>
      <c r="AI99" s="2">
        <v>59449.58</v>
      </c>
      <c r="AJ99" s="2">
        <v>61116.98</v>
      </c>
      <c r="AK99" s="2">
        <v>7167.5</v>
      </c>
      <c r="AN99" s="1" t="s">
        <v>22</v>
      </c>
      <c r="AO99" s="2">
        <v>3.96</v>
      </c>
      <c r="AP99" s="2">
        <v>3.96</v>
      </c>
      <c r="AQ99" s="2">
        <v>4.5</v>
      </c>
      <c r="AR99" s="2">
        <v>4.09</v>
      </c>
      <c r="AS99" s="2">
        <v>5.0199999999999996</v>
      </c>
      <c r="AT99" s="2">
        <v>5.04</v>
      </c>
      <c r="AU99" s="2">
        <v>3.28</v>
      </c>
      <c r="AV99" s="2">
        <v>1.44</v>
      </c>
      <c r="AW99" s="2">
        <v>1.44</v>
      </c>
      <c r="AX99" s="2">
        <v>1.6</v>
      </c>
    </row>
    <row r="100" spans="2:50" x14ac:dyDescent="0.3">
      <c r="B100" s="1" t="s">
        <v>23</v>
      </c>
      <c r="C100" s="2">
        <v>270.79000000000002</v>
      </c>
      <c r="D100" s="2">
        <v>263.60000000000002</v>
      </c>
      <c r="E100" s="2">
        <v>672.24</v>
      </c>
      <c r="F100" s="2">
        <v>154.96</v>
      </c>
      <c r="G100" s="2">
        <v>351.23</v>
      </c>
      <c r="H100" s="2">
        <v>283.05</v>
      </c>
      <c r="I100" s="2">
        <v>250.52</v>
      </c>
      <c r="J100" s="2">
        <v>339.24</v>
      </c>
      <c r="K100" s="2">
        <v>200.37</v>
      </c>
      <c r="L100" s="2">
        <v>322.86</v>
      </c>
      <c r="N100" s="1" t="s">
        <v>23</v>
      </c>
      <c r="O100" s="2">
        <v>4358.42</v>
      </c>
      <c r="P100" s="2">
        <v>4005.53</v>
      </c>
      <c r="Q100" s="2">
        <v>4502.8999999999996</v>
      </c>
      <c r="R100" s="2">
        <v>4249.26</v>
      </c>
      <c r="S100" s="2">
        <v>1353.37</v>
      </c>
      <c r="T100" s="2">
        <v>5856.55</v>
      </c>
      <c r="U100" s="2">
        <v>5039.51</v>
      </c>
      <c r="V100" s="2">
        <v>5598.16</v>
      </c>
      <c r="W100" s="2">
        <v>1439</v>
      </c>
      <c r="X100" s="2">
        <v>1615.49</v>
      </c>
      <c r="AA100" s="1" t="s">
        <v>23</v>
      </c>
      <c r="AB100" s="2">
        <v>17281</v>
      </c>
      <c r="AC100" s="2">
        <v>15805.72</v>
      </c>
      <c r="AD100" s="2">
        <v>17112.82</v>
      </c>
      <c r="AE100" s="2">
        <v>16128.9</v>
      </c>
      <c r="AF100" s="2">
        <v>4881.83</v>
      </c>
      <c r="AG100" s="2">
        <v>22392.77</v>
      </c>
      <c r="AH100" s="2">
        <v>19198.990000000002</v>
      </c>
      <c r="AI100" s="2">
        <v>20922.32</v>
      </c>
      <c r="AJ100" s="2">
        <v>28018.45</v>
      </c>
      <c r="AK100" s="2">
        <v>5838.03</v>
      </c>
      <c r="AN100" s="1" t="s">
        <v>23</v>
      </c>
      <c r="AO100" s="2">
        <v>2.0299999999999998</v>
      </c>
      <c r="AP100" s="2">
        <v>1.78</v>
      </c>
      <c r="AQ100" s="2">
        <v>2.81</v>
      </c>
      <c r="AR100" s="2">
        <v>0.67</v>
      </c>
      <c r="AS100" s="2">
        <v>3.46</v>
      </c>
      <c r="AT100" s="2">
        <v>3.02</v>
      </c>
      <c r="AU100" s="2">
        <v>2.93</v>
      </c>
      <c r="AV100" s="2">
        <v>4.45</v>
      </c>
      <c r="AW100" s="2">
        <v>0.79</v>
      </c>
      <c r="AX100" s="2">
        <v>1.38</v>
      </c>
    </row>
    <row r="103" spans="2:50" x14ac:dyDescent="0.3">
      <c r="B103" t="s">
        <v>48</v>
      </c>
      <c r="N103" t="s">
        <v>49</v>
      </c>
      <c r="AA103" t="s">
        <v>50</v>
      </c>
      <c r="AN103" t="s">
        <v>51</v>
      </c>
    </row>
    <row r="104" spans="2:50" x14ac:dyDescent="0.3">
      <c r="B104" s="1" t="s">
        <v>11</v>
      </c>
      <c r="C104" s="1" t="s">
        <v>12</v>
      </c>
      <c r="D104" s="1" t="s">
        <v>13</v>
      </c>
      <c r="E104" s="1" t="s">
        <v>12</v>
      </c>
      <c r="F104" s="1" t="s">
        <v>13</v>
      </c>
      <c r="G104" s="1" t="s">
        <v>12</v>
      </c>
      <c r="H104" s="1" t="s">
        <v>13</v>
      </c>
      <c r="I104" s="1" t="s">
        <v>12</v>
      </c>
      <c r="J104" s="1" t="s">
        <v>13</v>
      </c>
      <c r="K104" s="1" t="s">
        <v>12</v>
      </c>
      <c r="L104" s="1" t="s">
        <v>13</v>
      </c>
      <c r="N104" s="1" t="s">
        <v>11</v>
      </c>
      <c r="O104" s="1" t="s">
        <v>12</v>
      </c>
      <c r="P104" s="1" t="s">
        <v>13</v>
      </c>
      <c r="Q104" s="1" t="s">
        <v>12</v>
      </c>
      <c r="R104" s="1" t="s">
        <v>13</v>
      </c>
      <c r="S104" s="1" t="s">
        <v>12</v>
      </c>
      <c r="T104" s="1" t="s">
        <v>13</v>
      </c>
      <c r="U104" s="1" t="s">
        <v>12</v>
      </c>
      <c r="V104" s="1" t="s">
        <v>13</v>
      </c>
      <c r="W104" s="1" t="s">
        <v>12</v>
      </c>
      <c r="X104" s="1" t="s">
        <v>13</v>
      </c>
      <c r="AA104" s="1" t="s">
        <v>11</v>
      </c>
      <c r="AB104" s="1" t="s">
        <v>12</v>
      </c>
      <c r="AC104" s="1" t="s">
        <v>13</v>
      </c>
      <c r="AD104" s="1" t="s">
        <v>12</v>
      </c>
      <c r="AE104" s="1" t="s">
        <v>13</v>
      </c>
      <c r="AF104" s="1" t="s">
        <v>12</v>
      </c>
      <c r="AG104" s="1" t="s">
        <v>13</v>
      </c>
      <c r="AH104" s="1" t="s">
        <v>12</v>
      </c>
      <c r="AI104" s="1" t="s">
        <v>13</v>
      </c>
      <c r="AJ104" s="1" t="s">
        <v>12</v>
      </c>
      <c r="AK104" s="1" t="s">
        <v>13</v>
      </c>
      <c r="AN104" s="1" t="s">
        <v>11</v>
      </c>
      <c r="AO104" s="1" t="s">
        <v>12</v>
      </c>
      <c r="AP104" s="1" t="s">
        <v>13</v>
      </c>
      <c r="AQ104" s="1" t="s">
        <v>12</v>
      </c>
      <c r="AR104" s="1" t="s">
        <v>13</v>
      </c>
      <c r="AS104" s="1" t="s">
        <v>12</v>
      </c>
      <c r="AT104" s="1" t="s">
        <v>13</v>
      </c>
      <c r="AU104" s="1" t="s">
        <v>12</v>
      </c>
      <c r="AV104" s="1" t="s">
        <v>13</v>
      </c>
      <c r="AW104" s="1" t="s">
        <v>12</v>
      </c>
      <c r="AX104" s="1" t="s">
        <v>13</v>
      </c>
    </row>
    <row r="105" spans="2:50" x14ac:dyDescent="0.3">
      <c r="B105" s="1" t="s">
        <v>14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N105" s="1" t="s">
        <v>14</v>
      </c>
      <c r="O105" s="1" t="s">
        <v>1</v>
      </c>
      <c r="P105" s="1" t="s">
        <v>1</v>
      </c>
      <c r="Q105" s="1" t="s">
        <v>2</v>
      </c>
      <c r="R105" s="1" t="s">
        <v>2</v>
      </c>
      <c r="S105" s="1" t="s">
        <v>3</v>
      </c>
      <c r="T105" s="1" t="s">
        <v>3</v>
      </c>
      <c r="U105" s="1" t="s">
        <v>4</v>
      </c>
      <c r="V105" s="1" t="s">
        <v>4</v>
      </c>
      <c r="W105" s="1" t="s">
        <v>5</v>
      </c>
      <c r="X105" s="1" t="s">
        <v>5</v>
      </c>
      <c r="AA105" s="1" t="s">
        <v>14</v>
      </c>
      <c r="AB105" s="1" t="s">
        <v>1</v>
      </c>
      <c r="AC105" s="1" t="s">
        <v>1</v>
      </c>
      <c r="AD105" s="1" t="s">
        <v>2</v>
      </c>
      <c r="AE105" s="1" t="s">
        <v>2</v>
      </c>
      <c r="AF105" s="1" t="s">
        <v>3</v>
      </c>
      <c r="AG105" s="1" t="s">
        <v>3</v>
      </c>
      <c r="AH105" s="1" t="s">
        <v>4</v>
      </c>
      <c r="AI105" s="1" t="s">
        <v>4</v>
      </c>
      <c r="AJ105" s="1" t="s">
        <v>5</v>
      </c>
      <c r="AK105" s="1" t="s">
        <v>5</v>
      </c>
      <c r="AN105" s="1" t="s">
        <v>14</v>
      </c>
      <c r="AO105" s="1" t="s">
        <v>1</v>
      </c>
      <c r="AP105" s="1" t="s">
        <v>1</v>
      </c>
      <c r="AQ105" s="1" t="s">
        <v>2</v>
      </c>
      <c r="AR105" s="1" t="s">
        <v>2</v>
      </c>
      <c r="AS105" s="1" t="s">
        <v>3</v>
      </c>
      <c r="AT105" s="1" t="s">
        <v>3</v>
      </c>
      <c r="AU105" s="1" t="s">
        <v>4</v>
      </c>
      <c r="AV105" s="1" t="s">
        <v>4</v>
      </c>
      <c r="AW105" s="1" t="s">
        <v>5</v>
      </c>
      <c r="AX105" s="1" t="s">
        <v>5</v>
      </c>
    </row>
    <row r="106" spans="2:50" x14ac:dyDescent="0.3">
      <c r="B106" s="1" t="s">
        <v>15</v>
      </c>
      <c r="N106" s="1" t="s">
        <v>15</v>
      </c>
      <c r="AA106" s="1" t="s">
        <v>15</v>
      </c>
      <c r="AN106" s="1" t="s">
        <v>15</v>
      </c>
    </row>
    <row r="107" spans="2:50" x14ac:dyDescent="0.3">
      <c r="B107" s="1" t="s">
        <v>16</v>
      </c>
      <c r="C107" s="2">
        <v>7.3601901907342209E-3</v>
      </c>
      <c r="D107" s="2">
        <v>1.130510048116823E-2</v>
      </c>
      <c r="E107" s="2">
        <v>1.2507968230449839E-2</v>
      </c>
      <c r="F107" s="2">
        <v>5.7123756540224096E-3</v>
      </c>
      <c r="G107" s="2">
        <v>3.229757753964863E-3</v>
      </c>
      <c r="H107" s="2">
        <v>4.1150214035981262E-3</v>
      </c>
      <c r="I107" s="2">
        <v>5.5765429838218116E-3</v>
      </c>
      <c r="J107" s="2">
        <v>1.100999490374315E-2</v>
      </c>
      <c r="K107" s="2">
        <v>1.5904461930572409E-2</v>
      </c>
      <c r="L107" s="2">
        <v>1.08350842965042E-2</v>
      </c>
      <c r="N107" s="1" t="s">
        <v>16</v>
      </c>
      <c r="O107" s="2">
        <v>1173.79</v>
      </c>
      <c r="P107" s="2">
        <v>1142.05</v>
      </c>
      <c r="Q107" s="2">
        <v>1264.97</v>
      </c>
      <c r="R107" s="2">
        <v>462.9</v>
      </c>
      <c r="S107" s="2">
        <v>610.46</v>
      </c>
      <c r="T107" s="2">
        <v>514.47</v>
      </c>
      <c r="U107" s="2">
        <v>547.95000000000005</v>
      </c>
      <c r="V107" s="2">
        <v>329.11</v>
      </c>
      <c r="W107" s="2">
        <v>1193.33</v>
      </c>
      <c r="X107" s="2">
        <v>774.66</v>
      </c>
      <c r="AA107" s="1" t="s">
        <v>16</v>
      </c>
      <c r="AB107" s="2">
        <v>10583.41</v>
      </c>
      <c r="AC107" s="2">
        <v>10278.450000000001</v>
      </c>
      <c r="AD107" s="2">
        <v>11384.73</v>
      </c>
      <c r="AE107" s="2">
        <v>7145.4</v>
      </c>
      <c r="AF107" s="2">
        <v>9812.5400000000009</v>
      </c>
      <c r="AG107" s="2">
        <v>8178.13</v>
      </c>
      <c r="AH107" s="2">
        <v>8458.25</v>
      </c>
      <c r="AI107" s="2">
        <v>6124.89</v>
      </c>
      <c r="AJ107" s="2">
        <v>10874.67</v>
      </c>
      <c r="AK107" s="2">
        <v>7072.34</v>
      </c>
      <c r="AN107" s="1" t="s">
        <v>16</v>
      </c>
      <c r="AO107" s="2">
        <v>1.32</v>
      </c>
      <c r="AP107" s="2">
        <v>1.32</v>
      </c>
      <c r="AQ107" s="2">
        <v>1.5</v>
      </c>
      <c r="AR107" s="2">
        <v>1.5</v>
      </c>
      <c r="AS107" s="2">
        <v>1.68</v>
      </c>
      <c r="AT107" s="2">
        <v>1.68</v>
      </c>
      <c r="AU107" s="2">
        <v>1.98</v>
      </c>
      <c r="AV107" s="2">
        <v>1.98</v>
      </c>
      <c r="AW107" s="2">
        <v>0.48</v>
      </c>
      <c r="AX107" s="2">
        <v>0.48</v>
      </c>
    </row>
    <row r="108" spans="2:50" x14ac:dyDescent="0.3">
      <c r="B108" s="1" t="s">
        <v>17</v>
      </c>
      <c r="C108" s="2">
        <v>4.213122215011595E-2</v>
      </c>
      <c r="D108" s="2">
        <v>2.052125787586899E-2</v>
      </c>
      <c r="E108" s="2">
        <v>3.0203589032940979E-2</v>
      </c>
      <c r="F108" s="2">
        <v>3.8386502200636469E-2</v>
      </c>
      <c r="G108" s="2">
        <v>4.7508375094774319E-2</v>
      </c>
      <c r="H108" s="2">
        <v>3.0207670465897271E-2</v>
      </c>
      <c r="I108" s="2">
        <v>8.7311720922186198E-2</v>
      </c>
      <c r="J108" s="2">
        <v>1.9874510246745011E-2</v>
      </c>
      <c r="K108" s="2">
        <v>8.2556288884684303E-2</v>
      </c>
      <c r="L108" s="2">
        <v>3.7386874230601753E-2</v>
      </c>
      <c r="N108" s="1" t="s">
        <v>17</v>
      </c>
      <c r="O108" s="2">
        <v>1038.82</v>
      </c>
      <c r="P108" s="2">
        <v>617.20000000000005</v>
      </c>
      <c r="Q108" s="2">
        <v>1143.31</v>
      </c>
      <c r="R108" s="2">
        <v>596.59</v>
      </c>
      <c r="S108" s="2">
        <v>1310.3399999999999</v>
      </c>
      <c r="T108" s="2">
        <v>622.29999999999995</v>
      </c>
      <c r="U108" s="2">
        <v>1234.52</v>
      </c>
      <c r="V108" s="2">
        <v>161.81</v>
      </c>
      <c r="W108" s="2">
        <v>1084.96</v>
      </c>
      <c r="X108" s="2">
        <v>707.95</v>
      </c>
      <c r="AA108" s="1" t="s">
        <v>17</v>
      </c>
      <c r="AB108" s="2">
        <v>4888.8900000000003</v>
      </c>
      <c r="AC108" s="2">
        <v>3037.8</v>
      </c>
      <c r="AD108" s="2">
        <v>6059.69</v>
      </c>
      <c r="AE108" s="2">
        <v>2283.56</v>
      </c>
      <c r="AF108" s="2">
        <v>6922.06</v>
      </c>
      <c r="AG108" s="2">
        <v>3023.2</v>
      </c>
      <c r="AH108" s="2">
        <v>6184.41</v>
      </c>
      <c r="AI108" s="2">
        <v>3150.49</v>
      </c>
      <c r="AJ108" s="2">
        <v>4904.8</v>
      </c>
      <c r="AK108" s="2">
        <v>3327.05</v>
      </c>
      <c r="AN108" s="1" t="s">
        <v>17</v>
      </c>
      <c r="AO108" s="2">
        <v>11.88</v>
      </c>
      <c r="AP108" s="2">
        <v>5.89</v>
      </c>
      <c r="AQ108" s="2">
        <v>6.15</v>
      </c>
      <c r="AR108" s="2">
        <v>13.5</v>
      </c>
      <c r="AS108" s="2">
        <v>13.98</v>
      </c>
      <c r="AT108" s="2">
        <v>12.07</v>
      </c>
      <c r="AU108" s="2">
        <v>17.82</v>
      </c>
      <c r="AV108" s="2">
        <v>8.91</v>
      </c>
      <c r="AW108" s="2">
        <v>4.32</v>
      </c>
      <c r="AX108" s="2">
        <v>3.13</v>
      </c>
    </row>
    <row r="109" spans="2:50" x14ac:dyDescent="0.3">
      <c r="B109" s="1" t="s">
        <v>18</v>
      </c>
      <c r="C109" s="2">
        <v>0.41875975255733239</v>
      </c>
      <c r="D109" s="2">
        <v>0.14726457125867831</v>
      </c>
      <c r="E109" s="2">
        <v>0.2420747056210874</v>
      </c>
      <c r="F109" s="2">
        <v>0.2646496801854144</v>
      </c>
      <c r="G109" s="2">
        <v>0.44472007876964492</v>
      </c>
      <c r="H109" s="2">
        <v>0.18903016144990609</v>
      </c>
      <c r="I109" s="2">
        <v>0.52177021140411228</v>
      </c>
      <c r="J109" s="2">
        <v>0.24520959284919391</v>
      </c>
      <c r="K109" s="2">
        <v>0.14121559505392381</v>
      </c>
      <c r="L109" s="2">
        <v>0.19970087790903571</v>
      </c>
      <c r="N109" s="1" t="s">
        <v>18</v>
      </c>
      <c r="O109" s="2">
        <v>4519.16</v>
      </c>
      <c r="P109" s="2">
        <v>2132.02</v>
      </c>
      <c r="Q109" s="2">
        <v>4005.11</v>
      </c>
      <c r="R109" s="2">
        <v>3632.71</v>
      </c>
      <c r="S109" s="2">
        <v>5251.09</v>
      </c>
      <c r="T109" s="2">
        <v>3140.36</v>
      </c>
      <c r="U109" s="2">
        <v>3818.35</v>
      </c>
      <c r="V109" s="2">
        <v>2742.21</v>
      </c>
      <c r="W109" s="2">
        <v>1998.03</v>
      </c>
      <c r="X109" s="2">
        <v>2758.05</v>
      </c>
      <c r="AA109" s="1" t="s">
        <v>18</v>
      </c>
      <c r="AB109" s="2">
        <v>17436.38</v>
      </c>
      <c r="AC109" s="2">
        <v>8117.58</v>
      </c>
      <c r="AD109" s="2">
        <v>21838.69</v>
      </c>
      <c r="AE109" s="2">
        <v>8718.51</v>
      </c>
      <c r="AF109" s="2">
        <v>23491.72</v>
      </c>
      <c r="AG109" s="2">
        <v>16065.13</v>
      </c>
      <c r="AH109" s="2">
        <v>21936.959999999999</v>
      </c>
      <c r="AI109" s="2">
        <v>13970.55</v>
      </c>
      <c r="AJ109" s="2">
        <v>9386.9699999999993</v>
      </c>
      <c r="AK109" s="2">
        <v>9169.9500000000007</v>
      </c>
      <c r="AN109" s="1" t="s">
        <v>18</v>
      </c>
      <c r="AO109" s="2">
        <v>26.08</v>
      </c>
      <c r="AP109" s="2">
        <v>11.88</v>
      </c>
      <c r="AQ109" s="2">
        <v>13.5</v>
      </c>
      <c r="AR109" s="2">
        <v>13.5</v>
      </c>
      <c r="AS109" s="2">
        <v>31.22</v>
      </c>
      <c r="AT109" s="2">
        <v>14.54</v>
      </c>
      <c r="AU109" s="2">
        <v>32.42</v>
      </c>
      <c r="AV109" s="2">
        <v>6.98</v>
      </c>
      <c r="AW109" s="2">
        <v>3.86</v>
      </c>
      <c r="AX109" s="2">
        <v>4.32</v>
      </c>
    </row>
    <row r="110" spans="2:50" x14ac:dyDescent="0.3">
      <c r="B110" s="1" t="s">
        <v>19</v>
      </c>
      <c r="C110" s="2">
        <v>4.6475365695546687E-2</v>
      </c>
      <c r="D110" s="2">
        <v>4.0117799035487407E-2</v>
      </c>
      <c r="E110" s="2">
        <v>5.2842194525702421E-2</v>
      </c>
      <c r="F110" s="2">
        <v>7.0417414447225851E-2</v>
      </c>
      <c r="G110" s="2">
        <v>6.6020502639408063E-2</v>
      </c>
      <c r="H110" s="2">
        <v>6.6135458246533094E-2</v>
      </c>
      <c r="I110" s="2">
        <v>4.1731615862218727E-2</v>
      </c>
      <c r="J110" s="2">
        <v>4.953799385774757E-2</v>
      </c>
      <c r="K110" s="2">
        <v>3.7831917995748421E-2</v>
      </c>
      <c r="L110" s="2">
        <v>3.640347460341295E-2</v>
      </c>
      <c r="N110" s="1" t="s">
        <v>19</v>
      </c>
      <c r="O110" s="2">
        <v>1054.01</v>
      </c>
      <c r="P110" s="2">
        <v>578.89</v>
      </c>
      <c r="Q110" s="2">
        <v>1048.5899999999999</v>
      </c>
      <c r="R110" s="2">
        <v>1060.9000000000001</v>
      </c>
      <c r="S110" s="2">
        <v>1214.22</v>
      </c>
      <c r="T110" s="2">
        <v>1057.6600000000001</v>
      </c>
      <c r="U110" s="2">
        <v>1041.26</v>
      </c>
      <c r="V110" s="2">
        <v>900.54</v>
      </c>
      <c r="W110" s="2">
        <v>543.92999999999995</v>
      </c>
      <c r="X110" s="2">
        <v>546.91</v>
      </c>
      <c r="AA110" s="1" t="s">
        <v>19</v>
      </c>
      <c r="AB110" s="2">
        <v>4477.41</v>
      </c>
      <c r="AC110" s="2">
        <v>2845.93</v>
      </c>
      <c r="AD110" s="2">
        <v>5541.31</v>
      </c>
      <c r="AE110" s="2">
        <v>4449.1099999999997</v>
      </c>
      <c r="AF110" s="2">
        <v>6442.21</v>
      </c>
      <c r="AG110" s="2">
        <v>5346.54</v>
      </c>
      <c r="AH110" s="2">
        <v>5375.04</v>
      </c>
      <c r="AI110" s="2">
        <v>4477.46</v>
      </c>
      <c r="AJ110" s="2">
        <v>2548.0700000000002</v>
      </c>
      <c r="AK110" s="2">
        <v>2563.4899999999998</v>
      </c>
      <c r="AN110" s="1" t="s">
        <v>19</v>
      </c>
      <c r="AO110" s="2">
        <v>11.88</v>
      </c>
      <c r="AP110" s="2">
        <v>11.84</v>
      </c>
      <c r="AQ110" s="2">
        <v>10.210000000000001</v>
      </c>
      <c r="AR110" s="2">
        <v>13.5</v>
      </c>
      <c r="AS110" s="2">
        <v>19.23</v>
      </c>
      <c r="AT110" s="2">
        <v>14.52</v>
      </c>
      <c r="AU110" s="2">
        <v>8.86</v>
      </c>
      <c r="AV110" s="2">
        <v>4.38</v>
      </c>
      <c r="AW110" s="2">
        <v>3.45</v>
      </c>
      <c r="AX110" s="2">
        <v>3.81</v>
      </c>
    </row>
    <row r="111" spans="2:50" x14ac:dyDescent="0.3">
      <c r="B111" s="1" t="s">
        <v>20</v>
      </c>
      <c r="C111" s="2">
        <v>0.17304167427446471</v>
      </c>
      <c r="D111" s="2">
        <v>0.30118209778903082</v>
      </c>
      <c r="E111" s="2">
        <v>0.2974314098298626</v>
      </c>
      <c r="F111" s="2">
        <v>0.31259909190794227</v>
      </c>
      <c r="G111" s="2">
        <v>0.1603111376029232</v>
      </c>
      <c r="H111" s="2">
        <v>0.25861436924641001</v>
      </c>
      <c r="I111" s="2">
        <v>0.1150117570855578</v>
      </c>
      <c r="J111" s="2">
        <v>0.2069606251012194</v>
      </c>
      <c r="K111" s="2">
        <v>0.3744602611047424</v>
      </c>
      <c r="L111" s="2">
        <v>0.36117675262851462</v>
      </c>
      <c r="N111" s="1" t="s">
        <v>20</v>
      </c>
      <c r="O111" s="2">
        <v>4075.97</v>
      </c>
      <c r="P111" s="2">
        <v>4574.8</v>
      </c>
      <c r="Q111" s="2">
        <v>4575.59</v>
      </c>
      <c r="R111" s="2">
        <v>5017.12</v>
      </c>
      <c r="S111" s="2">
        <v>4571.04</v>
      </c>
      <c r="T111" s="2">
        <v>5424.69</v>
      </c>
      <c r="U111" s="2">
        <v>3885.63</v>
      </c>
      <c r="V111" s="2">
        <v>4801.26</v>
      </c>
      <c r="W111" s="2">
        <v>4396.34</v>
      </c>
      <c r="X111" s="2">
        <v>5070.8500000000004</v>
      </c>
      <c r="AA111" s="1" t="s">
        <v>20</v>
      </c>
      <c r="AB111" s="2">
        <v>15977.34</v>
      </c>
      <c r="AC111" s="2">
        <v>18177.900000000001</v>
      </c>
      <c r="AD111" s="2">
        <v>20570.91</v>
      </c>
      <c r="AE111" s="2">
        <v>20264.95</v>
      </c>
      <c r="AF111" s="2">
        <v>22748.959999999999</v>
      </c>
      <c r="AG111" s="2">
        <v>26923.31</v>
      </c>
      <c r="AH111" s="2">
        <v>19206.37</v>
      </c>
      <c r="AI111" s="2">
        <v>23639.24</v>
      </c>
      <c r="AJ111" s="2">
        <v>18993.66</v>
      </c>
      <c r="AK111" s="2">
        <v>18785.04</v>
      </c>
      <c r="AN111" s="1" t="s">
        <v>20</v>
      </c>
      <c r="AO111" s="2">
        <v>11.88</v>
      </c>
      <c r="AP111" s="2">
        <v>11.88</v>
      </c>
      <c r="AQ111" s="2">
        <v>13.5</v>
      </c>
      <c r="AR111" s="2">
        <v>13.5</v>
      </c>
      <c r="AS111" s="2">
        <v>12.56</v>
      </c>
      <c r="AT111" s="2">
        <v>12.11</v>
      </c>
      <c r="AU111" s="2">
        <v>6.87</v>
      </c>
      <c r="AV111" s="2">
        <v>3.64</v>
      </c>
      <c r="AW111" s="2">
        <v>4.32</v>
      </c>
      <c r="AX111" s="2">
        <v>4.32</v>
      </c>
    </row>
    <row r="112" spans="2:50" x14ac:dyDescent="0.3">
      <c r="B112" s="1" t="s">
        <v>21</v>
      </c>
      <c r="C112" s="2">
        <v>4.4577436362968598E-2</v>
      </c>
      <c r="D112" s="2">
        <v>6.3675838032174539E-2</v>
      </c>
      <c r="E112" s="2">
        <v>7.8481611496659859E-2</v>
      </c>
      <c r="F112" s="2">
        <v>8.0757242487573308E-2</v>
      </c>
      <c r="G112" s="2">
        <v>6.1789772874898737E-2</v>
      </c>
      <c r="H112" s="2">
        <v>9.1451502506148322E-2</v>
      </c>
      <c r="I112" s="2">
        <v>3.67864157651447E-2</v>
      </c>
      <c r="J112" s="2">
        <v>0.1961818189922486</v>
      </c>
      <c r="K112" s="2">
        <v>9.6886108916070302E-2</v>
      </c>
      <c r="L112" s="2">
        <v>5.9468768499899703E-2</v>
      </c>
      <c r="N112" s="1" t="s">
        <v>21</v>
      </c>
      <c r="O112" s="2">
        <v>1111.3599999999999</v>
      </c>
      <c r="P112" s="2">
        <v>1045.57</v>
      </c>
      <c r="Q112" s="2">
        <v>1312.32</v>
      </c>
      <c r="R112" s="2">
        <v>1674.28</v>
      </c>
      <c r="S112" s="2">
        <v>1549.13</v>
      </c>
      <c r="T112" s="2">
        <v>1737.84</v>
      </c>
      <c r="U112" s="2">
        <v>1296.46</v>
      </c>
      <c r="V112" s="2">
        <v>1860.97</v>
      </c>
      <c r="W112" s="2">
        <v>1231.76</v>
      </c>
      <c r="X112" s="2">
        <v>951.69</v>
      </c>
      <c r="AA112" s="1" t="s">
        <v>21</v>
      </c>
      <c r="AB112" s="2">
        <v>4368.93</v>
      </c>
      <c r="AC112" s="2">
        <v>3974.78</v>
      </c>
      <c r="AD112" s="2">
        <v>5359.12</v>
      </c>
      <c r="AE112" s="2">
        <v>7168.64</v>
      </c>
      <c r="AF112" s="2">
        <v>6643.02</v>
      </c>
      <c r="AG112" s="2">
        <v>7614.34</v>
      </c>
      <c r="AH112" s="2">
        <v>5245.84</v>
      </c>
      <c r="AI112" s="2">
        <v>8823.91</v>
      </c>
      <c r="AJ112" s="2">
        <v>4006.24</v>
      </c>
      <c r="AK112" s="2">
        <v>2819.35</v>
      </c>
      <c r="AN112" s="1" t="s">
        <v>21</v>
      </c>
      <c r="AO112" s="2">
        <v>11.88</v>
      </c>
      <c r="AP112" s="2">
        <v>11.88</v>
      </c>
      <c r="AQ112" s="2">
        <v>13.5</v>
      </c>
      <c r="AR112" s="2">
        <v>11.88</v>
      </c>
      <c r="AS112" s="2">
        <v>14.93</v>
      </c>
      <c r="AT112" s="2">
        <v>14.32</v>
      </c>
      <c r="AU112" s="2">
        <v>6.97</v>
      </c>
      <c r="AV112" s="2">
        <v>9.65</v>
      </c>
      <c r="AW112" s="2">
        <v>4.32</v>
      </c>
      <c r="AX112" s="2">
        <v>4.32</v>
      </c>
    </row>
    <row r="113" spans="2:50" x14ac:dyDescent="0.3">
      <c r="B113" s="1" t="s">
        <v>22</v>
      </c>
      <c r="C113" s="2">
        <v>0.22806915002060099</v>
      </c>
      <c r="D113" s="2">
        <v>0.34531566175524542</v>
      </c>
      <c r="E113" s="2">
        <v>0.226864013309586</v>
      </c>
      <c r="F113" s="2">
        <v>0.2110192099641276</v>
      </c>
      <c r="G113" s="2">
        <v>0.17318956713763231</v>
      </c>
      <c r="H113" s="2">
        <v>0.29451124392149941</v>
      </c>
      <c r="I113" s="2">
        <v>0.14690542506963231</v>
      </c>
      <c r="J113" s="2">
        <v>0.20264321893251991</v>
      </c>
      <c r="K113" s="2">
        <v>0.1782154503667264</v>
      </c>
      <c r="L113" s="2">
        <v>0.17301962395972459</v>
      </c>
      <c r="N113" s="1" t="s">
        <v>22</v>
      </c>
      <c r="O113" s="2">
        <v>5857.04</v>
      </c>
      <c r="P113" s="2">
        <v>5630.69</v>
      </c>
      <c r="Q113" s="2">
        <v>3947.42</v>
      </c>
      <c r="R113" s="2">
        <v>4180.91</v>
      </c>
      <c r="S113" s="2">
        <v>4511.16</v>
      </c>
      <c r="T113" s="2">
        <v>5429.74</v>
      </c>
      <c r="U113" s="2">
        <v>3710.41</v>
      </c>
      <c r="V113" s="2">
        <v>4397.05</v>
      </c>
      <c r="W113" s="2">
        <v>2337.15</v>
      </c>
      <c r="X113" s="2">
        <v>2470.48</v>
      </c>
      <c r="AA113" s="1" t="s">
        <v>22</v>
      </c>
      <c r="AB113" s="2">
        <v>16080.25</v>
      </c>
      <c r="AC113" s="2">
        <v>15603.31</v>
      </c>
      <c r="AD113" s="2">
        <v>13254.28</v>
      </c>
      <c r="AE113" s="2">
        <v>17161.39</v>
      </c>
      <c r="AF113" s="2">
        <v>19299.41</v>
      </c>
      <c r="AG113" s="2">
        <v>21231.99</v>
      </c>
      <c r="AH113" s="2">
        <v>15254.15</v>
      </c>
      <c r="AI113" s="2">
        <v>18520.3</v>
      </c>
      <c r="AJ113" s="2">
        <v>6888.15</v>
      </c>
      <c r="AK113" s="2">
        <v>8959.3700000000008</v>
      </c>
      <c r="AN113" s="1" t="s">
        <v>22</v>
      </c>
      <c r="AO113" s="2">
        <v>11.88</v>
      </c>
      <c r="AP113" s="2">
        <v>11.88</v>
      </c>
      <c r="AQ113" s="2">
        <v>13.5</v>
      </c>
      <c r="AR113" s="2">
        <v>12.26</v>
      </c>
      <c r="AS113" s="2">
        <v>15.06</v>
      </c>
      <c r="AT113" s="2">
        <v>15.12</v>
      </c>
      <c r="AU113" s="2">
        <v>9.85</v>
      </c>
      <c r="AV113" s="2">
        <v>4.32</v>
      </c>
      <c r="AW113" s="2">
        <v>4.32</v>
      </c>
      <c r="AX113" s="2">
        <v>4.79</v>
      </c>
    </row>
    <row r="114" spans="2:50" x14ac:dyDescent="0.3">
      <c r="B114" s="1" t="s">
        <v>23</v>
      </c>
      <c r="C114" s="2">
        <v>3.9585208748236393E-2</v>
      </c>
      <c r="D114" s="2">
        <v>7.0617673772346415E-2</v>
      </c>
      <c r="E114" s="2">
        <v>5.959450795371074E-2</v>
      </c>
      <c r="F114" s="2">
        <v>1.645848315305759E-2</v>
      </c>
      <c r="G114" s="2">
        <v>4.3230808126753673E-2</v>
      </c>
      <c r="H114" s="2">
        <v>6.5934572760007526E-2</v>
      </c>
      <c r="I114" s="2">
        <v>4.4906310907326108E-2</v>
      </c>
      <c r="J114" s="2">
        <v>6.8582245116582452E-2</v>
      </c>
      <c r="K114" s="2">
        <v>7.2929915747531979E-2</v>
      </c>
      <c r="L114" s="2">
        <v>0.12200854387230629</v>
      </c>
      <c r="N114" s="1" t="s">
        <v>23</v>
      </c>
      <c r="O114" s="2">
        <v>1981.1</v>
      </c>
      <c r="P114" s="2">
        <v>2662.07</v>
      </c>
      <c r="Q114" s="2">
        <v>1602.21</v>
      </c>
      <c r="R114" s="2">
        <v>2015.8</v>
      </c>
      <c r="S114" s="2">
        <v>1608.18</v>
      </c>
      <c r="T114" s="2">
        <v>1999.34</v>
      </c>
      <c r="U114" s="2">
        <v>1287.6500000000001</v>
      </c>
      <c r="V114" s="2">
        <v>436.06</v>
      </c>
      <c r="W114" s="2">
        <v>1691.71</v>
      </c>
      <c r="X114" s="2">
        <v>2019.36</v>
      </c>
      <c r="AA114" s="1" t="s">
        <v>23</v>
      </c>
      <c r="AB114" s="2">
        <v>7855</v>
      </c>
      <c r="AC114" s="2">
        <v>10178.530000000001</v>
      </c>
      <c r="AD114" s="2">
        <v>6322.29</v>
      </c>
      <c r="AE114" s="2">
        <v>7679.6</v>
      </c>
      <c r="AF114" s="2">
        <v>6111.72</v>
      </c>
      <c r="AG114" s="2">
        <v>7472.26</v>
      </c>
      <c r="AH114" s="2">
        <v>4887.55</v>
      </c>
      <c r="AI114" s="2">
        <v>8490.44</v>
      </c>
      <c r="AJ114" s="2">
        <v>6102.29</v>
      </c>
      <c r="AK114" s="2">
        <v>7297.53</v>
      </c>
      <c r="AN114" s="1" t="s">
        <v>23</v>
      </c>
      <c r="AO114" s="2">
        <v>6.09</v>
      </c>
      <c r="AP114" s="2">
        <v>5.34</v>
      </c>
      <c r="AQ114" s="2">
        <v>8.43</v>
      </c>
      <c r="AR114" s="2">
        <v>2</v>
      </c>
      <c r="AS114" s="2">
        <v>10.37</v>
      </c>
      <c r="AT114" s="2">
        <v>9.06</v>
      </c>
      <c r="AU114" s="2">
        <v>8.8000000000000007</v>
      </c>
      <c r="AV114" s="2">
        <v>13.36</v>
      </c>
      <c r="AW114" s="2">
        <v>2.38</v>
      </c>
      <c r="AX114" s="2">
        <v>4.1399999999999997</v>
      </c>
    </row>
    <row r="117" spans="2:50" x14ac:dyDescent="0.3">
      <c r="N117" t="s">
        <v>52</v>
      </c>
      <c r="AA117" t="s">
        <v>53</v>
      </c>
      <c r="AN117" t="s">
        <v>54</v>
      </c>
    </row>
    <row r="118" spans="2:50" x14ac:dyDescent="0.3">
      <c r="N118" s="1" t="s">
        <v>11</v>
      </c>
      <c r="O118" s="3" t="s">
        <v>12</v>
      </c>
      <c r="P118" s="3"/>
      <c r="Q118" s="3"/>
      <c r="R118" s="3"/>
      <c r="S118" s="3"/>
      <c r="T118" s="3" t="s">
        <v>13</v>
      </c>
      <c r="U118" s="3"/>
      <c r="V118" s="3"/>
      <c r="W118" s="3"/>
      <c r="X118" s="3"/>
      <c r="AA118" s="1" t="s">
        <v>11</v>
      </c>
      <c r="AB118" s="3" t="s">
        <v>12</v>
      </c>
      <c r="AC118" s="3"/>
      <c r="AD118" s="3"/>
      <c r="AE118" s="3"/>
      <c r="AF118" s="3"/>
      <c r="AG118" s="3" t="s">
        <v>13</v>
      </c>
      <c r="AH118" s="3"/>
      <c r="AI118" s="3"/>
      <c r="AJ118" s="3"/>
      <c r="AK118" s="3"/>
      <c r="AN118" s="1" t="s">
        <v>11</v>
      </c>
      <c r="AO118" s="1" t="s">
        <v>12</v>
      </c>
      <c r="AP118" s="1" t="s">
        <v>13</v>
      </c>
      <c r="AQ118" s="1" t="s">
        <v>12</v>
      </c>
      <c r="AR118" s="1" t="s">
        <v>13</v>
      </c>
      <c r="AS118" s="1" t="s">
        <v>12</v>
      </c>
      <c r="AT118" s="1" t="s">
        <v>13</v>
      </c>
      <c r="AU118" s="1" t="s">
        <v>12</v>
      </c>
      <c r="AV118" s="1" t="s">
        <v>13</v>
      </c>
      <c r="AW118" s="1" t="s">
        <v>12</v>
      </c>
      <c r="AX118" s="1" t="s">
        <v>13</v>
      </c>
    </row>
    <row r="119" spans="2:50" x14ac:dyDescent="0.3">
      <c r="N119" s="1" t="s">
        <v>14</v>
      </c>
      <c r="O119" s="1" t="s">
        <v>1</v>
      </c>
      <c r="P119" s="1" t="s">
        <v>2</v>
      </c>
      <c r="Q119" s="1" t="s">
        <v>3</v>
      </c>
      <c r="R119" s="1" t="s">
        <v>4</v>
      </c>
      <c r="S119" s="1" t="s">
        <v>5</v>
      </c>
      <c r="T119" s="1" t="s">
        <v>1</v>
      </c>
      <c r="U119" s="1" t="s">
        <v>2</v>
      </c>
      <c r="V119" s="1" t="s">
        <v>3</v>
      </c>
      <c r="W119" s="1" t="s">
        <v>4</v>
      </c>
      <c r="X119" s="1" t="s">
        <v>5</v>
      </c>
      <c r="AA119" s="1" t="s">
        <v>14</v>
      </c>
      <c r="AB119" s="1" t="s">
        <v>1</v>
      </c>
      <c r="AC119" s="1" t="s">
        <v>2</v>
      </c>
      <c r="AD119" s="1" t="s">
        <v>3</v>
      </c>
      <c r="AE119" s="1" t="s">
        <v>4</v>
      </c>
      <c r="AF119" s="1" t="s">
        <v>5</v>
      </c>
      <c r="AG119" s="1" t="s">
        <v>1</v>
      </c>
      <c r="AH119" s="1" t="s">
        <v>2</v>
      </c>
      <c r="AI119" s="1" t="s">
        <v>3</v>
      </c>
      <c r="AJ119" s="1" t="s">
        <v>4</v>
      </c>
      <c r="AK119" s="1" t="s">
        <v>5</v>
      </c>
      <c r="AN119" s="1" t="s">
        <v>14</v>
      </c>
      <c r="AO119" s="1" t="s">
        <v>1</v>
      </c>
      <c r="AP119" s="1" t="s">
        <v>1</v>
      </c>
      <c r="AQ119" s="1" t="s">
        <v>2</v>
      </c>
      <c r="AR119" s="1" t="s">
        <v>2</v>
      </c>
      <c r="AS119" s="1" t="s">
        <v>3</v>
      </c>
      <c r="AT119" s="1" t="s">
        <v>3</v>
      </c>
      <c r="AU119" s="1" t="s">
        <v>4</v>
      </c>
      <c r="AV119" s="1" t="s">
        <v>4</v>
      </c>
      <c r="AW119" s="1" t="s">
        <v>5</v>
      </c>
      <c r="AX119" s="1" t="s">
        <v>5</v>
      </c>
    </row>
    <row r="120" spans="2:50" x14ac:dyDescent="0.3">
      <c r="N120" s="1" t="s">
        <v>15</v>
      </c>
      <c r="AA120" s="1" t="s">
        <v>15</v>
      </c>
      <c r="AN120" s="1" t="s">
        <v>15</v>
      </c>
    </row>
    <row r="121" spans="2:50" x14ac:dyDescent="0.3">
      <c r="N121" s="1" t="s">
        <v>16</v>
      </c>
      <c r="O121" s="2">
        <v>67.77</v>
      </c>
      <c r="P121" s="2">
        <v>74.58</v>
      </c>
      <c r="Q121" s="2">
        <v>41.66</v>
      </c>
      <c r="R121" s="2">
        <v>40.9</v>
      </c>
      <c r="S121" s="2">
        <v>28.88</v>
      </c>
      <c r="T121" s="2">
        <v>61.6</v>
      </c>
      <c r="U121" s="2">
        <v>66.55</v>
      </c>
      <c r="V121" s="2">
        <v>42.1</v>
      </c>
      <c r="W121" s="2">
        <v>45.7</v>
      </c>
      <c r="X121" s="2">
        <v>35.64</v>
      </c>
      <c r="AA121" s="1" t="s">
        <v>16</v>
      </c>
      <c r="AB121" s="2">
        <v>617.53</v>
      </c>
      <c r="AC121" s="2">
        <v>893.17</v>
      </c>
      <c r="AD121" s="2">
        <v>669.82</v>
      </c>
      <c r="AE121" s="2">
        <v>631.30999999999995</v>
      </c>
      <c r="AF121" s="2">
        <v>267.92</v>
      </c>
      <c r="AG121" s="2">
        <v>660.66</v>
      </c>
      <c r="AH121" s="2">
        <v>1027.2</v>
      </c>
      <c r="AI121" s="2">
        <v>669.38</v>
      </c>
      <c r="AJ121" s="2">
        <v>850.58</v>
      </c>
      <c r="AK121" s="2">
        <v>328.36</v>
      </c>
      <c r="AN121" s="1" t="s">
        <v>16</v>
      </c>
      <c r="AO121" s="2">
        <v>10715.34</v>
      </c>
      <c r="AP121" s="2">
        <v>11103.47</v>
      </c>
      <c r="AQ121" s="2">
        <v>15458.24</v>
      </c>
      <c r="AR121" s="2">
        <v>58454.7</v>
      </c>
      <c r="AS121" s="2">
        <v>131.88999999999999</v>
      </c>
      <c r="AT121" s="2">
        <v>131.94999999999999</v>
      </c>
      <c r="AU121" s="2">
        <v>396061.79</v>
      </c>
      <c r="AV121" s="2">
        <v>980727.58</v>
      </c>
      <c r="AW121" s="2">
        <v>875.85</v>
      </c>
      <c r="AX121" s="2">
        <v>2996.94</v>
      </c>
    </row>
    <row r="122" spans="2:50" x14ac:dyDescent="0.3">
      <c r="N122" s="1" t="s">
        <v>17</v>
      </c>
      <c r="O122" s="2">
        <v>65.61</v>
      </c>
      <c r="P122" s="2">
        <v>86.83</v>
      </c>
      <c r="Q122" s="2">
        <v>67.23</v>
      </c>
      <c r="R122" s="2">
        <v>72.099999999999994</v>
      </c>
      <c r="S122" s="2">
        <v>26.27</v>
      </c>
      <c r="T122" s="2">
        <v>53.24</v>
      </c>
      <c r="U122" s="2">
        <v>60.62</v>
      </c>
      <c r="V122" s="2">
        <v>62.69</v>
      </c>
      <c r="W122" s="2">
        <v>20.12</v>
      </c>
      <c r="X122" s="2">
        <v>22.9</v>
      </c>
      <c r="AA122" s="1" t="s">
        <v>17</v>
      </c>
      <c r="AB122" s="2">
        <v>307.38</v>
      </c>
      <c r="AC122" s="2">
        <v>457.17</v>
      </c>
      <c r="AD122" s="2">
        <v>349.97</v>
      </c>
      <c r="AE122" s="2">
        <v>357.26</v>
      </c>
      <c r="AF122" s="2">
        <v>118.52</v>
      </c>
      <c r="AG122" s="2">
        <v>261.58</v>
      </c>
      <c r="AH122" s="2">
        <v>231.53</v>
      </c>
      <c r="AI122" s="2">
        <v>303.55</v>
      </c>
      <c r="AJ122" s="2">
        <v>391.72</v>
      </c>
      <c r="AK122" s="2">
        <v>107.5</v>
      </c>
      <c r="AN122" s="1" t="s">
        <v>17</v>
      </c>
      <c r="AO122" s="2">
        <v>259.07</v>
      </c>
      <c r="AP122" s="2">
        <v>963.64</v>
      </c>
      <c r="AQ122" s="2">
        <v>478.81</v>
      </c>
      <c r="AR122" s="2">
        <v>280.81</v>
      </c>
      <c r="AS122" s="2">
        <v>228.62</v>
      </c>
      <c r="AT122" s="2">
        <v>341.66</v>
      </c>
      <c r="AU122" s="2">
        <v>256.07</v>
      </c>
      <c r="AV122" s="2">
        <v>35257</v>
      </c>
      <c r="AW122" s="2">
        <v>259.52999999999997</v>
      </c>
      <c r="AX122" s="2">
        <v>436.07</v>
      </c>
    </row>
    <row r="123" spans="2:50" x14ac:dyDescent="0.3">
      <c r="N123" s="1" t="s">
        <v>18</v>
      </c>
      <c r="O123" s="2">
        <v>391.79</v>
      </c>
      <c r="P123" s="2">
        <v>391.69</v>
      </c>
      <c r="Q123" s="2">
        <v>446.28</v>
      </c>
      <c r="R123" s="2">
        <v>441.83</v>
      </c>
      <c r="S123" s="2">
        <v>61.98</v>
      </c>
      <c r="T123" s="2">
        <v>213.05</v>
      </c>
      <c r="U123" s="2">
        <v>423.62</v>
      </c>
      <c r="V123" s="2">
        <v>412.51</v>
      </c>
      <c r="W123" s="2">
        <v>502.19</v>
      </c>
      <c r="X123" s="2">
        <v>94.42</v>
      </c>
      <c r="AA123" s="1" t="s">
        <v>18</v>
      </c>
      <c r="AB123" s="2">
        <v>1495.18</v>
      </c>
      <c r="AC123" s="2">
        <v>2105.81</v>
      </c>
      <c r="AD123" s="2">
        <v>1954.46</v>
      </c>
      <c r="AE123" s="2">
        <v>2457.23</v>
      </c>
      <c r="AF123" s="2">
        <v>290.82</v>
      </c>
      <c r="AG123" s="2">
        <v>809.33</v>
      </c>
      <c r="AH123" s="2">
        <v>1016.68</v>
      </c>
      <c r="AI123" s="2">
        <v>2087.3200000000002</v>
      </c>
      <c r="AJ123" s="2">
        <v>2539.4699999999998</v>
      </c>
      <c r="AK123" s="2">
        <v>313.58</v>
      </c>
      <c r="AN123" s="1" t="s">
        <v>18</v>
      </c>
      <c r="AO123" s="2">
        <v>190.99</v>
      </c>
      <c r="AP123" s="2">
        <v>744.43</v>
      </c>
      <c r="AQ123" s="2">
        <v>343.56</v>
      </c>
      <c r="AR123" s="2">
        <v>167.08</v>
      </c>
      <c r="AS123" s="2">
        <v>175.95</v>
      </c>
      <c r="AT123" s="2">
        <v>356.92</v>
      </c>
      <c r="AU123" s="2">
        <v>264.95</v>
      </c>
      <c r="AV123" s="2">
        <v>1769.34</v>
      </c>
      <c r="AW123" s="2">
        <v>895.69</v>
      </c>
      <c r="AX123" s="2">
        <v>352.33</v>
      </c>
    </row>
    <row r="124" spans="2:50" x14ac:dyDescent="0.3">
      <c r="N124" s="1" t="s">
        <v>19</v>
      </c>
      <c r="O124" s="2">
        <v>103.05</v>
      </c>
      <c r="P124" s="2">
        <v>135.72999999999999</v>
      </c>
      <c r="Q124" s="2">
        <v>128.27000000000001</v>
      </c>
      <c r="R124" s="2">
        <v>187.4</v>
      </c>
      <c r="S124" s="2">
        <v>22.39</v>
      </c>
      <c r="T124" s="2">
        <v>51.52</v>
      </c>
      <c r="U124" s="2">
        <v>143.41</v>
      </c>
      <c r="V124" s="2">
        <v>144.02000000000001</v>
      </c>
      <c r="W124" s="2">
        <v>122.32</v>
      </c>
      <c r="X124" s="2">
        <v>23.67</v>
      </c>
      <c r="AA124" s="1" t="s">
        <v>19</v>
      </c>
      <c r="AB124" s="2">
        <v>436.02</v>
      </c>
      <c r="AC124" s="2">
        <v>712.02</v>
      </c>
      <c r="AD124" s="2">
        <v>669.66</v>
      </c>
      <c r="AE124" s="2">
        <v>960.01</v>
      </c>
      <c r="AF124" s="2">
        <v>104.81</v>
      </c>
      <c r="AG124" s="2">
        <v>252.58</v>
      </c>
      <c r="AH124" s="2">
        <v>598.51</v>
      </c>
      <c r="AI124" s="2">
        <v>720.9</v>
      </c>
      <c r="AJ124" s="2">
        <v>605.33000000000004</v>
      </c>
      <c r="AK124" s="2">
        <v>110.86</v>
      </c>
      <c r="AN124" s="1" t="s">
        <v>19</v>
      </c>
      <c r="AO124" s="2">
        <v>229.12</v>
      </c>
      <c r="AP124" s="2">
        <v>356.25</v>
      </c>
      <c r="AQ124" s="2">
        <v>300.11</v>
      </c>
      <c r="AR124" s="2">
        <v>220.79</v>
      </c>
      <c r="AS124" s="2">
        <v>205.07</v>
      </c>
      <c r="AT124" s="2">
        <v>232.12</v>
      </c>
      <c r="AU124" s="2">
        <v>460.73</v>
      </c>
      <c r="AV124" s="2">
        <v>1365.51</v>
      </c>
      <c r="AW124" s="2">
        <v>464.31</v>
      </c>
      <c r="AX124" s="2">
        <v>403.01</v>
      </c>
    </row>
    <row r="125" spans="2:50" x14ac:dyDescent="0.3">
      <c r="N125" s="1" t="s">
        <v>20</v>
      </c>
      <c r="O125" s="2">
        <v>317.67</v>
      </c>
      <c r="P125" s="2">
        <v>548.86</v>
      </c>
      <c r="Q125" s="2">
        <v>427.9</v>
      </c>
      <c r="R125" s="2">
        <v>482.33</v>
      </c>
      <c r="S125" s="2">
        <v>167.1</v>
      </c>
      <c r="T125" s="2">
        <v>334.66</v>
      </c>
      <c r="U125" s="2">
        <v>556.54</v>
      </c>
      <c r="V125" s="2">
        <v>495.72</v>
      </c>
      <c r="W125" s="2">
        <v>552.37</v>
      </c>
      <c r="X125" s="2">
        <v>179.39</v>
      </c>
      <c r="AA125" s="1" t="s">
        <v>20</v>
      </c>
      <c r="AB125" s="2">
        <v>1241.8800000000001</v>
      </c>
      <c r="AC125" s="2">
        <v>2457.39</v>
      </c>
      <c r="AD125" s="2">
        <v>2115.9</v>
      </c>
      <c r="AE125" s="2">
        <v>2375.4699999999998</v>
      </c>
      <c r="AF125" s="2">
        <v>720.9</v>
      </c>
      <c r="AG125" s="2">
        <v>1325.27</v>
      </c>
      <c r="AH125" s="2">
        <v>2238.1799999999998</v>
      </c>
      <c r="AI125" s="2">
        <v>2438.6799999999998</v>
      </c>
      <c r="AJ125" s="2">
        <v>2706.38</v>
      </c>
      <c r="AK125" s="2">
        <v>663.63</v>
      </c>
      <c r="AN125" s="1" t="s">
        <v>20</v>
      </c>
      <c r="AO125" s="2">
        <v>251.06</v>
      </c>
      <c r="AP125" s="2">
        <v>247.87</v>
      </c>
      <c r="AQ125" s="2">
        <v>250</v>
      </c>
      <c r="AR125" s="2">
        <v>229.74</v>
      </c>
      <c r="AS125" s="2">
        <v>273.29000000000002</v>
      </c>
      <c r="AT125" s="2">
        <v>255.01</v>
      </c>
      <c r="AU125" s="2">
        <v>1073.05</v>
      </c>
      <c r="AV125" s="2">
        <v>1635.67</v>
      </c>
      <c r="AW125" s="2">
        <v>265.02</v>
      </c>
      <c r="AX125" s="2">
        <v>222.97</v>
      </c>
    </row>
    <row r="126" spans="2:50" x14ac:dyDescent="0.3">
      <c r="N126" s="1" t="s">
        <v>21</v>
      </c>
      <c r="O126" s="2">
        <v>60.29</v>
      </c>
      <c r="P126" s="2">
        <v>96.99</v>
      </c>
      <c r="Q126" s="2">
        <v>129.05000000000001</v>
      </c>
      <c r="R126" s="2">
        <v>125.19</v>
      </c>
      <c r="S126" s="2">
        <v>29.01</v>
      </c>
      <c r="T126" s="2">
        <v>51.65</v>
      </c>
      <c r="U126" s="2">
        <v>76.73</v>
      </c>
      <c r="V126" s="2">
        <v>103.01</v>
      </c>
      <c r="W126" s="2">
        <v>108.98</v>
      </c>
      <c r="X126" s="2">
        <v>13.78</v>
      </c>
      <c r="AA126" s="1" t="s">
        <v>21</v>
      </c>
      <c r="AB126" s="2">
        <v>236.02</v>
      </c>
      <c r="AC126" s="2">
        <v>392.73</v>
      </c>
      <c r="AD126" s="2">
        <v>544</v>
      </c>
      <c r="AE126" s="2">
        <v>502.47</v>
      </c>
      <c r="AF126" s="2">
        <v>94.19</v>
      </c>
      <c r="AG126" s="2">
        <v>195.5</v>
      </c>
      <c r="AH126" s="2">
        <v>322.75</v>
      </c>
      <c r="AI126" s="2">
        <v>441.28</v>
      </c>
      <c r="AJ126" s="2">
        <v>502.39</v>
      </c>
      <c r="AK126" s="2">
        <v>40.76</v>
      </c>
      <c r="AN126" s="1" t="s">
        <v>21</v>
      </c>
      <c r="AO126" s="2">
        <v>250.18</v>
      </c>
      <c r="AP126" s="2">
        <v>264.41000000000003</v>
      </c>
      <c r="AQ126" s="2">
        <v>223.25</v>
      </c>
      <c r="AR126" s="2">
        <v>217.72</v>
      </c>
      <c r="AS126" s="2">
        <v>195.03</v>
      </c>
      <c r="AT126" s="2">
        <v>192.11</v>
      </c>
      <c r="AU126" s="2">
        <v>446.97</v>
      </c>
      <c r="AV126" s="2">
        <v>264.68</v>
      </c>
      <c r="AW126" s="2">
        <v>216.97</v>
      </c>
      <c r="AX126" s="2">
        <v>244.77</v>
      </c>
    </row>
    <row r="127" spans="2:50" x14ac:dyDescent="0.3">
      <c r="N127" s="1" t="s">
        <v>22</v>
      </c>
      <c r="O127" s="2">
        <v>240.68</v>
      </c>
      <c r="P127" s="2">
        <v>236.42</v>
      </c>
      <c r="Q127" s="2">
        <v>210.53</v>
      </c>
      <c r="R127" s="2">
        <v>306.20999999999998</v>
      </c>
      <c r="S127" s="2">
        <v>46.18</v>
      </c>
      <c r="T127" s="2">
        <v>266.24</v>
      </c>
      <c r="U127" s="2">
        <v>210.68</v>
      </c>
      <c r="V127" s="2">
        <v>225.5</v>
      </c>
      <c r="W127" s="2">
        <v>174.82</v>
      </c>
      <c r="X127" s="2">
        <v>39.42</v>
      </c>
      <c r="AA127" s="1" t="s">
        <v>22</v>
      </c>
      <c r="AB127" s="2">
        <v>657.2</v>
      </c>
      <c r="AC127" s="2">
        <v>789.96</v>
      </c>
      <c r="AD127" s="2">
        <v>884.62</v>
      </c>
      <c r="AE127" s="2">
        <v>1245.58</v>
      </c>
      <c r="AF127" s="2">
        <v>135.97999999999999</v>
      </c>
      <c r="AG127" s="2">
        <v>733.66</v>
      </c>
      <c r="AH127" s="2">
        <v>853.57</v>
      </c>
      <c r="AI127" s="2">
        <v>869.31</v>
      </c>
      <c r="AJ127" s="2">
        <v>726.06</v>
      </c>
      <c r="AK127" s="2">
        <v>142.74</v>
      </c>
      <c r="AN127" s="1" t="s">
        <v>22</v>
      </c>
      <c r="AO127" s="2">
        <v>221.61</v>
      </c>
      <c r="AP127" s="2">
        <v>234.94</v>
      </c>
      <c r="AQ127" s="2">
        <v>304.11</v>
      </c>
      <c r="AR127" s="2">
        <v>355.04</v>
      </c>
      <c r="AS127" s="2">
        <v>274.11</v>
      </c>
      <c r="AT127" s="2">
        <v>228.9</v>
      </c>
      <c r="AU127" s="2">
        <v>717.19</v>
      </c>
      <c r="AV127" s="2">
        <v>1110.17</v>
      </c>
      <c r="AW127" s="2">
        <v>498.89</v>
      </c>
      <c r="AX127" s="2">
        <v>496.99</v>
      </c>
    </row>
    <row r="128" spans="2:50" x14ac:dyDescent="0.3">
      <c r="N128" s="1" t="s">
        <v>23</v>
      </c>
      <c r="O128" s="2">
        <v>81.58</v>
      </c>
      <c r="P128" s="2">
        <v>87.59</v>
      </c>
      <c r="Q128" s="2">
        <v>74.290000000000006</v>
      </c>
      <c r="R128" s="2">
        <v>70.040000000000006</v>
      </c>
      <c r="S128" s="2">
        <v>29.7</v>
      </c>
      <c r="T128" s="2">
        <v>64.3</v>
      </c>
      <c r="U128" s="2">
        <v>61.97</v>
      </c>
      <c r="V128" s="2">
        <v>71.05</v>
      </c>
      <c r="W128" s="2">
        <v>5.85</v>
      </c>
      <c r="X128" s="2">
        <v>19.940000000000001</v>
      </c>
      <c r="AA128" s="1" t="s">
        <v>23</v>
      </c>
      <c r="AB128" s="2">
        <v>323</v>
      </c>
      <c r="AC128" s="2">
        <v>345.16</v>
      </c>
      <c r="AD128" s="2">
        <v>281.87</v>
      </c>
      <c r="AE128" s="2">
        <v>265.57</v>
      </c>
      <c r="AF128" s="2">
        <v>107.1</v>
      </c>
      <c r="AG128" s="2">
        <v>245.24</v>
      </c>
      <c r="AH128" s="2">
        <v>235.78</v>
      </c>
      <c r="AI128" s="2">
        <v>264.95</v>
      </c>
      <c r="AJ128" s="2">
        <v>113.94</v>
      </c>
      <c r="AK128" s="2">
        <v>71.97</v>
      </c>
      <c r="AN128" s="1" t="s">
        <v>23</v>
      </c>
      <c r="AO128" s="2">
        <v>853.64</v>
      </c>
      <c r="AP128" s="2">
        <v>746.7</v>
      </c>
      <c r="AQ128" s="2">
        <v>678.04</v>
      </c>
      <c r="AR128" s="2">
        <v>8020.2</v>
      </c>
      <c r="AS128" s="2">
        <v>391</v>
      </c>
      <c r="AT128" s="2">
        <v>384.13</v>
      </c>
      <c r="AU128" s="2">
        <v>1495.82</v>
      </c>
      <c r="AV128" s="2">
        <v>207506.89</v>
      </c>
      <c r="AW128" s="2">
        <v>812.84</v>
      </c>
      <c r="AX128" s="2">
        <v>338.57</v>
      </c>
    </row>
    <row r="131" spans="14:37" x14ac:dyDescent="0.3">
      <c r="N131" t="s">
        <v>55</v>
      </c>
      <c r="AA131" t="s">
        <v>56</v>
      </c>
    </row>
    <row r="132" spans="14:37" x14ac:dyDescent="0.3">
      <c r="N132" s="1" t="s">
        <v>11</v>
      </c>
      <c r="O132" s="1" t="s">
        <v>12</v>
      </c>
      <c r="P132" s="1" t="s">
        <v>13</v>
      </c>
      <c r="Q132" s="1" t="s">
        <v>12</v>
      </c>
      <c r="R132" s="1" t="s">
        <v>13</v>
      </c>
      <c r="S132" s="1" t="s">
        <v>12</v>
      </c>
      <c r="T132" s="1" t="s">
        <v>13</v>
      </c>
      <c r="U132" s="1" t="s">
        <v>12</v>
      </c>
      <c r="V132" s="1" t="s">
        <v>13</v>
      </c>
      <c r="W132" s="1" t="s">
        <v>12</v>
      </c>
      <c r="X132" s="1" t="s">
        <v>13</v>
      </c>
      <c r="AA132" s="1" t="s">
        <v>11</v>
      </c>
      <c r="AB132" s="1" t="s">
        <v>12</v>
      </c>
      <c r="AC132" s="1" t="s">
        <v>13</v>
      </c>
      <c r="AD132" s="1" t="s">
        <v>12</v>
      </c>
      <c r="AE132" s="1" t="s">
        <v>13</v>
      </c>
      <c r="AF132" s="1" t="s">
        <v>12</v>
      </c>
      <c r="AG132" s="1" t="s">
        <v>13</v>
      </c>
      <c r="AH132" s="1" t="s">
        <v>12</v>
      </c>
      <c r="AI132" s="1" t="s">
        <v>13</v>
      </c>
      <c r="AJ132" s="1" t="s">
        <v>12</v>
      </c>
      <c r="AK132" s="1" t="s">
        <v>13</v>
      </c>
    </row>
    <row r="133" spans="14:37" x14ac:dyDescent="0.3">
      <c r="N133" s="1" t="s">
        <v>14</v>
      </c>
      <c r="O133" s="1" t="s">
        <v>1</v>
      </c>
      <c r="P133" s="1" t="s">
        <v>1</v>
      </c>
      <c r="Q133" s="1" t="s">
        <v>2</v>
      </c>
      <c r="R133" s="1" t="s">
        <v>2</v>
      </c>
      <c r="S133" s="1" t="s">
        <v>3</v>
      </c>
      <c r="T133" s="1" t="s">
        <v>3</v>
      </c>
      <c r="U133" s="1" t="s">
        <v>4</v>
      </c>
      <c r="V133" s="1" t="s">
        <v>4</v>
      </c>
      <c r="W133" s="1" t="s">
        <v>5</v>
      </c>
      <c r="X133" s="1" t="s">
        <v>5</v>
      </c>
      <c r="AA133" s="1" t="s">
        <v>14</v>
      </c>
      <c r="AB133" s="1" t="s">
        <v>1</v>
      </c>
      <c r="AC133" s="1" t="s">
        <v>1</v>
      </c>
      <c r="AD133" s="1" t="s">
        <v>2</v>
      </c>
      <c r="AE133" s="1" t="s">
        <v>2</v>
      </c>
      <c r="AF133" s="1" t="s">
        <v>3</v>
      </c>
      <c r="AG133" s="1" t="s">
        <v>3</v>
      </c>
      <c r="AH133" s="1" t="s">
        <v>4</v>
      </c>
      <c r="AI133" s="1" t="s">
        <v>4</v>
      </c>
      <c r="AJ133" s="1" t="s">
        <v>5</v>
      </c>
      <c r="AK133" s="1" t="s">
        <v>5</v>
      </c>
    </row>
    <row r="134" spans="14:37" x14ac:dyDescent="0.3">
      <c r="N134" s="1" t="s">
        <v>15</v>
      </c>
      <c r="AA134" s="1" t="s">
        <v>15</v>
      </c>
    </row>
    <row r="135" spans="14:37" x14ac:dyDescent="0.3">
      <c r="N135" s="1" t="s">
        <v>16</v>
      </c>
      <c r="O135" s="2">
        <v>30.8</v>
      </c>
      <c r="P135" s="2">
        <v>28</v>
      </c>
      <c r="Q135" s="2">
        <v>29.83</v>
      </c>
      <c r="R135" s="2">
        <v>26.62</v>
      </c>
      <c r="S135" s="2">
        <v>14.88</v>
      </c>
      <c r="T135" s="2">
        <v>15.04</v>
      </c>
      <c r="U135" s="2">
        <v>12.39</v>
      </c>
      <c r="V135" s="2">
        <v>13.85</v>
      </c>
      <c r="W135" s="2">
        <v>36.1</v>
      </c>
      <c r="X135" s="2">
        <v>44.56</v>
      </c>
      <c r="AA135" s="1" t="s">
        <v>16</v>
      </c>
      <c r="AB135" s="2">
        <v>280.7</v>
      </c>
      <c r="AC135" s="2">
        <v>300.3</v>
      </c>
      <c r="AD135" s="2">
        <v>357.27</v>
      </c>
      <c r="AE135" s="2">
        <v>410.88</v>
      </c>
      <c r="AF135" s="2">
        <v>239.22</v>
      </c>
      <c r="AG135" s="2">
        <v>239.06</v>
      </c>
      <c r="AH135" s="2">
        <v>191.31</v>
      </c>
      <c r="AI135" s="2">
        <v>257.75</v>
      </c>
      <c r="AJ135" s="2">
        <v>334.9</v>
      </c>
      <c r="AK135" s="2">
        <v>410.44</v>
      </c>
    </row>
    <row r="136" spans="14:37" x14ac:dyDescent="0.3">
      <c r="N136" s="1" t="s">
        <v>17</v>
      </c>
      <c r="O136" s="2">
        <v>29.82</v>
      </c>
      <c r="P136" s="2">
        <v>24.2</v>
      </c>
      <c r="Q136" s="2">
        <v>34.729999999999997</v>
      </c>
      <c r="R136" s="2">
        <v>24.25</v>
      </c>
      <c r="S136" s="2">
        <v>24.01</v>
      </c>
      <c r="T136" s="2">
        <v>22.39</v>
      </c>
      <c r="U136" s="2">
        <v>21.85</v>
      </c>
      <c r="V136" s="2">
        <v>6.1</v>
      </c>
      <c r="W136" s="2">
        <v>32.83</v>
      </c>
      <c r="X136" s="2">
        <v>28.63</v>
      </c>
      <c r="AA136" s="1" t="s">
        <v>17</v>
      </c>
      <c r="AB136" s="2">
        <v>139.72</v>
      </c>
      <c r="AC136" s="2">
        <v>118.9</v>
      </c>
      <c r="AD136" s="2">
        <v>182.87</v>
      </c>
      <c r="AE136" s="2">
        <v>92.61</v>
      </c>
      <c r="AF136" s="2">
        <v>124.99</v>
      </c>
      <c r="AG136" s="2">
        <v>108.41</v>
      </c>
      <c r="AH136" s="2">
        <v>108.26</v>
      </c>
      <c r="AI136" s="2">
        <v>118.7</v>
      </c>
      <c r="AJ136" s="2">
        <v>148.15</v>
      </c>
      <c r="AK136" s="2">
        <v>134.37</v>
      </c>
    </row>
    <row r="137" spans="14:37" x14ac:dyDescent="0.3">
      <c r="N137" s="1" t="s">
        <v>18</v>
      </c>
      <c r="O137" s="2">
        <v>178.09</v>
      </c>
      <c r="P137" s="2">
        <v>96.84</v>
      </c>
      <c r="Q137" s="2">
        <v>156.68</v>
      </c>
      <c r="R137" s="2">
        <v>169.45</v>
      </c>
      <c r="S137" s="2">
        <v>159.38999999999999</v>
      </c>
      <c r="T137" s="2">
        <v>147.33000000000001</v>
      </c>
      <c r="U137" s="2">
        <v>133.88999999999999</v>
      </c>
      <c r="V137" s="2">
        <v>152.18</v>
      </c>
      <c r="W137" s="2">
        <v>77.47</v>
      </c>
      <c r="X137" s="2">
        <v>118.02</v>
      </c>
      <c r="AA137" s="1" t="s">
        <v>18</v>
      </c>
      <c r="AB137" s="2">
        <v>679.63</v>
      </c>
      <c r="AC137" s="2">
        <v>367.88</v>
      </c>
      <c r="AD137" s="2">
        <v>842.32</v>
      </c>
      <c r="AE137" s="2">
        <v>406.67</v>
      </c>
      <c r="AF137" s="2">
        <v>698.02</v>
      </c>
      <c r="AG137" s="2">
        <v>745.47</v>
      </c>
      <c r="AH137" s="2">
        <v>744.62</v>
      </c>
      <c r="AI137" s="2">
        <v>769.54</v>
      </c>
      <c r="AJ137" s="2">
        <v>363.53</v>
      </c>
      <c r="AK137" s="2">
        <v>391.98</v>
      </c>
    </row>
    <row r="138" spans="14:37" x14ac:dyDescent="0.3">
      <c r="N138" s="1" t="s">
        <v>19</v>
      </c>
      <c r="O138" s="2">
        <v>46.84</v>
      </c>
      <c r="P138" s="2">
        <v>23.42</v>
      </c>
      <c r="Q138" s="2">
        <v>54.29</v>
      </c>
      <c r="R138" s="2">
        <v>57.36</v>
      </c>
      <c r="S138" s="2">
        <v>45.81</v>
      </c>
      <c r="T138" s="2">
        <v>51.44</v>
      </c>
      <c r="U138" s="2">
        <v>56.79</v>
      </c>
      <c r="V138" s="2">
        <v>37.07</v>
      </c>
      <c r="W138" s="2">
        <v>27.99</v>
      </c>
      <c r="X138" s="2">
        <v>29.59</v>
      </c>
      <c r="AA138" s="1" t="s">
        <v>19</v>
      </c>
      <c r="AB138" s="2">
        <v>198.19</v>
      </c>
      <c r="AC138" s="2">
        <v>114.81</v>
      </c>
      <c r="AD138" s="2">
        <v>284.81</v>
      </c>
      <c r="AE138" s="2">
        <v>239.41</v>
      </c>
      <c r="AF138" s="2">
        <v>239.16</v>
      </c>
      <c r="AG138" s="2">
        <v>257.45999999999998</v>
      </c>
      <c r="AH138" s="2">
        <v>290.91000000000003</v>
      </c>
      <c r="AI138" s="2">
        <v>183.43</v>
      </c>
      <c r="AJ138" s="2">
        <v>131.01</v>
      </c>
      <c r="AK138" s="2">
        <v>138.57</v>
      </c>
    </row>
    <row r="139" spans="14:37" x14ac:dyDescent="0.3">
      <c r="N139" s="1" t="s">
        <v>20</v>
      </c>
      <c r="O139" s="2">
        <v>144.38999999999999</v>
      </c>
      <c r="P139" s="2">
        <v>152.12</v>
      </c>
      <c r="Q139" s="2">
        <v>219.54</v>
      </c>
      <c r="R139" s="2">
        <v>222.61</v>
      </c>
      <c r="S139" s="2">
        <v>152.82</v>
      </c>
      <c r="T139" s="2">
        <v>177.04</v>
      </c>
      <c r="U139" s="2">
        <v>146.16</v>
      </c>
      <c r="V139" s="2">
        <v>167.38</v>
      </c>
      <c r="W139" s="2">
        <v>208.87</v>
      </c>
      <c r="X139" s="2">
        <v>224.23</v>
      </c>
      <c r="AA139" s="1" t="s">
        <v>20</v>
      </c>
      <c r="AB139" s="2">
        <v>564.49</v>
      </c>
      <c r="AC139" s="2">
        <v>602.39</v>
      </c>
      <c r="AD139" s="2">
        <v>982.96</v>
      </c>
      <c r="AE139" s="2">
        <v>895.27</v>
      </c>
      <c r="AF139" s="2">
        <v>755.68</v>
      </c>
      <c r="AG139" s="2">
        <v>870.96</v>
      </c>
      <c r="AH139" s="2">
        <v>719.84</v>
      </c>
      <c r="AI139" s="2">
        <v>820.12</v>
      </c>
      <c r="AJ139" s="2">
        <v>901.13</v>
      </c>
      <c r="AK139" s="2">
        <v>829.54</v>
      </c>
    </row>
    <row r="140" spans="14:37" x14ac:dyDescent="0.3">
      <c r="N140" s="1" t="s">
        <v>21</v>
      </c>
      <c r="O140" s="2">
        <v>27.4</v>
      </c>
      <c r="P140" s="2">
        <v>23.48</v>
      </c>
      <c r="Q140" s="2">
        <v>38.799999999999997</v>
      </c>
      <c r="R140" s="2">
        <v>30.69</v>
      </c>
      <c r="S140" s="2">
        <v>46.09</v>
      </c>
      <c r="T140" s="2">
        <v>36.79</v>
      </c>
      <c r="U140" s="2">
        <v>37.94</v>
      </c>
      <c r="V140" s="2">
        <v>33.020000000000003</v>
      </c>
      <c r="W140" s="2">
        <v>36.26</v>
      </c>
      <c r="X140" s="2">
        <v>17.22</v>
      </c>
      <c r="AA140" s="1" t="s">
        <v>21</v>
      </c>
      <c r="AB140" s="2">
        <v>107.28</v>
      </c>
      <c r="AC140" s="2">
        <v>88.86</v>
      </c>
      <c r="AD140" s="2">
        <v>157.09</v>
      </c>
      <c r="AE140" s="2">
        <v>129.1</v>
      </c>
      <c r="AF140" s="2">
        <v>194.28</v>
      </c>
      <c r="AG140" s="2">
        <v>157.6</v>
      </c>
      <c r="AH140" s="2">
        <v>152.26</v>
      </c>
      <c r="AI140" s="2">
        <v>152.24</v>
      </c>
      <c r="AJ140" s="2">
        <v>117.74</v>
      </c>
      <c r="AK140" s="2">
        <v>50.96</v>
      </c>
    </row>
    <row r="141" spans="14:37" x14ac:dyDescent="0.3">
      <c r="N141" s="1" t="s">
        <v>22</v>
      </c>
      <c r="O141" s="2">
        <v>109.4</v>
      </c>
      <c r="P141" s="2">
        <v>121.02</v>
      </c>
      <c r="Q141" s="2">
        <v>94.57</v>
      </c>
      <c r="R141" s="2">
        <v>84.27</v>
      </c>
      <c r="S141" s="2">
        <v>75.19</v>
      </c>
      <c r="T141" s="2">
        <v>80.540000000000006</v>
      </c>
      <c r="U141" s="2">
        <v>92.79</v>
      </c>
      <c r="V141" s="2">
        <v>52.98</v>
      </c>
      <c r="W141" s="2">
        <v>57.72</v>
      </c>
      <c r="X141" s="2">
        <v>49.28</v>
      </c>
      <c r="AA141" s="1" t="s">
        <v>22</v>
      </c>
      <c r="AB141" s="2">
        <v>298.73</v>
      </c>
      <c r="AC141" s="2">
        <v>333.48</v>
      </c>
      <c r="AD141" s="2">
        <v>315.98</v>
      </c>
      <c r="AE141" s="2">
        <v>341.43</v>
      </c>
      <c r="AF141" s="2">
        <v>315.93</v>
      </c>
      <c r="AG141" s="2">
        <v>310.47000000000003</v>
      </c>
      <c r="AH141" s="2">
        <v>377.45</v>
      </c>
      <c r="AI141" s="2">
        <v>220.02</v>
      </c>
      <c r="AJ141" s="2">
        <v>169.98</v>
      </c>
      <c r="AK141" s="2">
        <v>178.42</v>
      </c>
    </row>
    <row r="142" spans="14:37" x14ac:dyDescent="0.3">
      <c r="N142" s="1" t="s">
        <v>23</v>
      </c>
      <c r="O142" s="2">
        <v>37.08</v>
      </c>
      <c r="P142" s="2">
        <v>29.23</v>
      </c>
      <c r="Q142" s="2">
        <v>35.04</v>
      </c>
      <c r="R142" s="2">
        <v>24.79</v>
      </c>
      <c r="S142" s="2">
        <v>26.53</v>
      </c>
      <c r="T142" s="2">
        <v>25.37</v>
      </c>
      <c r="U142" s="2">
        <v>21.22</v>
      </c>
      <c r="V142" s="2">
        <v>1.77</v>
      </c>
      <c r="W142" s="2">
        <v>37.130000000000003</v>
      </c>
      <c r="X142" s="2">
        <v>24.92</v>
      </c>
      <c r="AA142" s="1" t="s">
        <v>23</v>
      </c>
      <c r="AB142" s="2">
        <v>146.82</v>
      </c>
      <c r="AC142" s="2">
        <v>111.47</v>
      </c>
      <c r="AD142" s="2">
        <v>138.06</v>
      </c>
      <c r="AE142" s="2">
        <v>94.31</v>
      </c>
      <c r="AF142" s="2">
        <v>100.67</v>
      </c>
      <c r="AG142" s="2">
        <v>94.63</v>
      </c>
      <c r="AH142" s="2">
        <v>80.48</v>
      </c>
      <c r="AI142" s="2">
        <v>34.53</v>
      </c>
      <c r="AJ142" s="2">
        <v>133.87</v>
      </c>
      <c r="AK142" s="2">
        <v>89.96</v>
      </c>
    </row>
    <row r="145" spans="14:37" x14ac:dyDescent="0.3">
      <c r="N145" t="s">
        <v>57</v>
      </c>
      <c r="AA145" t="s">
        <v>58</v>
      </c>
    </row>
    <row r="146" spans="14:37" x14ac:dyDescent="0.3">
      <c r="N146" s="1" t="s">
        <v>11</v>
      </c>
      <c r="O146" s="3" t="s">
        <v>12</v>
      </c>
      <c r="P146" s="3"/>
      <c r="Q146" s="3"/>
      <c r="R146" s="3"/>
      <c r="S146" s="3"/>
      <c r="T146" s="3" t="s">
        <v>13</v>
      </c>
      <c r="U146" s="3"/>
      <c r="V146" s="3"/>
      <c r="W146" s="3"/>
      <c r="X146" s="3"/>
      <c r="AA146" s="1" t="s">
        <v>11</v>
      </c>
      <c r="AB146" s="3" t="s">
        <v>12</v>
      </c>
      <c r="AC146" s="3"/>
      <c r="AD146" s="3"/>
      <c r="AE146" s="3"/>
      <c r="AF146" s="3"/>
      <c r="AG146" s="3" t="s">
        <v>13</v>
      </c>
      <c r="AH146" s="3"/>
      <c r="AI146" s="3"/>
      <c r="AJ146" s="3"/>
      <c r="AK146" s="3"/>
    </row>
    <row r="147" spans="14:37" x14ac:dyDescent="0.3">
      <c r="N147" s="1" t="s">
        <v>14</v>
      </c>
      <c r="O147" s="1" t="s">
        <v>1</v>
      </c>
      <c r="P147" s="1" t="s">
        <v>2</v>
      </c>
      <c r="Q147" s="1" t="s">
        <v>3</v>
      </c>
      <c r="R147" s="1" t="s">
        <v>4</v>
      </c>
      <c r="S147" s="1" t="s">
        <v>5</v>
      </c>
      <c r="T147" s="1" t="s">
        <v>1</v>
      </c>
      <c r="U147" s="1" t="s">
        <v>2</v>
      </c>
      <c r="V147" s="1" t="s">
        <v>3</v>
      </c>
      <c r="W147" s="1" t="s">
        <v>4</v>
      </c>
      <c r="X147" s="1" t="s">
        <v>5</v>
      </c>
      <c r="AA147" s="1" t="s">
        <v>14</v>
      </c>
      <c r="AB147" s="1" t="s">
        <v>1</v>
      </c>
      <c r="AC147" s="1" t="s">
        <v>2</v>
      </c>
      <c r="AD147" s="1" t="s">
        <v>3</v>
      </c>
      <c r="AE147" s="1" t="s">
        <v>4</v>
      </c>
      <c r="AF147" s="1" t="s">
        <v>5</v>
      </c>
      <c r="AG147" s="1" t="s">
        <v>1</v>
      </c>
      <c r="AH147" s="1" t="s">
        <v>2</v>
      </c>
      <c r="AI147" s="1" t="s">
        <v>3</v>
      </c>
      <c r="AJ147" s="1" t="s">
        <v>4</v>
      </c>
      <c r="AK147" s="1" t="s">
        <v>5</v>
      </c>
    </row>
    <row r="148" spans="14:37" x14ac:dyDescent="0.3">
      <c r="N148" s="1" t="s">
        <v>15</v>
      </c>
      <c r="AA148" s="1" t="s">
        <v>15</v>
      </c>
    </row>
    <row r="149" spans="14:37" x14ac:dyDescent="0.3">
      <c r="N149" s="1" t="s">
        <v>16</v>
      </c>
      <c r="O149" s="2">
        <v>18.45</v>
      </c>
      <c r="P149" s="2">
        <v>6.1</v>
      </c>
      <c r="Q149" s="2">
        <v>9.76</v>
      </c>
      <c r="R149" s="2">
        <v>8.57</v>
      </c>
      <c r="S149" s="2">
        <v>2.72</v>
      </c>
      <c r="T149" s="2">
        <v>23.32</v>
      </c>
      <c r="U149" s="2">
        <v>10.220000000000001</v>
      </c>
      <c r="V149" s="2">
        <v>15.43</v>
      </c>
      <c r="W149" s="2">
        <v>4.24</v>
      </c>
      <c r="X149" s="2">
        <v>5.42</v>
      </c>
      <c r="AA149" s="1" t="s">
        <v>16</v>
      </c>
      <c r="AB149" s="2">
        <v>166.35</v>
      </c>
      <c r="AC149" s="2">
        <v>77.900000000000006</v>
      </c>
      <c r="AD149" s="2">
        <v>156.84</v>
      </c>
      <c r="AE149" s="2">
        <v>132.34</v>
      </c>
      <c r="AF149" s="2">
        <v>25.28</v>
      </c>
      <c r="AG149" s="2">
        <v>272.36</v>
      </c>
      <c r="AH149" s="2">
        <v>157.78</v>
      </c>
      <c r="AI149" s="2">
        <v>245.25</v>
      </c>
      <c r="AJ149" s="2">
        <v>78.92</v>
      </c>
      <c r="AK149" s="2">
        <v>50.58</v>
      </c>
    </row>
    <row r="150" spans="14:37" x14ac:dyDescent="0.3">
      <c r="N150" s="1" t="s">
        <v>17</v>
      </c>
      <c r="O150" s="2">
        <v>34.35</v>
      </c>
      <c r="P150" s="2">
        <v>35.520000000000003</v>
      </c>
      <c r="Q150" s="2">
        <v>51.94</v>
      </c>
      <c r="R150" s="2">
        <v>58.11</v>
      </c>
      <c r="S150" s="2">
        <v>10.77</v>
      </c>
      <c r="T150" s="2">
        <v>23.7</v>
      </c>
      <c r="U150" s="2">
        <v>57.09</v>
      </c>
      <c r="V150" s="2">
        <v>34.85</v>
      </c>
      <c r="W150" s="2">
        <v>10.93</v>
      </c>
      <c r="X150" s="2">
        <v>21.78</v>
      </c>
      <c r="AA150" s="1" t="s">
        <v>17</v>
      </c>
      <c r="AB150" s="2">
        <v>160.88</v>
      </c>
      <c r="AC150" s="2">
        <v>186.98</v>
      </c>
      <c r="AD150" s="2">
        <v>270.33999999999997</v>
      </c>
      <c r="AE150" s="2">
        <v>287.88</v>
      </c>
      <c r="AF150" s="2">
        <v>48.59</v>
      </c>
      <c r="AG150" s="2">
        <v>116.44</v>
      </c>
      <c r="AH150" s="2">
        <v>218.05</v>
      </c>
      <c r="AI150" s="2">
        <v>168.71</v>
      </c>
      <c r="AJ150" s="2">
        <v>212.81</v>
      </c>
      <c r="AK150" s="2">
        <v>102.22</v>
      </c>
    </row>
    <row r="151" spans="14:37" x14ac:dyDescent="0.3">
      <c r="N151" s="1" t="s">
        <v>18</v>
      </c>
      <c r="O151" s="2">
        <v>97.08</v>
      </c>
      <c r="P151" s="2">
        <v>120.34</v>
      </c>
      <c r="Q151" s="2">
        <v>195.32</v>
      </c>
      <c r="R151" s="2">
        <v>154.66999999999999</v>
      </c>
      <c r="S151" s="2">
        <v>18.97</v>
      </c>
      <c r="T151" s="2">
        <v>74.19</v>
      </c>
      <c r="U151" s="2">
        <v>254.22</v>
      </c>
      <c r="V151" s="2">
        <v>157.02000000000001</v>
      </c>
      <c r="W151" s="2">
        <v>157.36000000000001</v>
      </c>
      <c r="X151" s="2">
        <v>55.54</v>
      </c>
      <c r="AA151" s="1" t="s">
        <v>18</v>
      </c>
      <c r="AB151" s="2">
        <v>370.08</v>
      </c>
      <c r="AC151" s="2">
        <v>646.16</v>
      </c>
      <c r="AD151" s="2">
        <v>854.38</v>
      </c>
      <c r="AE151" s="2">
        <v>858.14</v>
      </c>
      <c r="AF151" s="2">
        <v>89.03</v>
      </c>
      <c r="AG151" s="2">
        <v>281.77999999999997</v>
      </c>
      <c r="AH151" s="2">
        <v>610.12</v>
      </c>
      <c r="AI151" s="2">
        <v>793.64</v>
      </c>
      <c r="AJ151" s="2">
        <v>794.94</v>
      </c>
      <c r="AK151" s="2">
        <v>184.46</v>
      </c>
    </row>
    <row r="152" spans="14:37" x14ac:dyDescent="0.3">
      <c r="N152" s="1" t="s">
        <v>19</v>
      </c>
      <c r="O152" s="2">
        <v>28.59</v>
      </c>
      <c r="P152" s="2">
        <v>44.78</v>
      </c>
      <c r="Q152" s="2">
        <v>55.88</v>
      </c>
      <c r="R152" s="2">
        <v>58.8</v>
      </c>
      <c r="S152" s="2">
        <v>7.32</v>
      </c>
      <c r="T152" s="2">
        <v>20.11</v>
      </c>
      <c r="U152" s="2">
        <v>75.19</v>
      </c>
      <c r="V152" s="2">
        <v>67.28</v>
      </c>
      <c r="W152" s="2">
        <v>58.48</v>
      </c>
      <c r="X152" s="2">
        <v>12.37</v>
      </c>
      <c r="AA152" s="1" t="s">
        <v>19</v>
      </c>
      <c r="AB152" s="2">
        <v>120.94</v>
      </c>
      <c r="AC152" s="2">
        <v>234.72</v>
      </c>
      <c r="AD152" s="2">
        <v>291.43</v>
      </c>
      <c r="AE152" s="2">
        <v>300.89999999999998</v>
      </c>
      <c r="AF152" s="2">
        <v>34.28</v>
      </c>
      <c r="AG152" s="2">
        <v>98.55</v>
      </c>
      <c r="AH152" s="2">
        <v>313.68</v>
      </c>
      <c r="AI152" s="2">
        <v>336.48</v>
      </c>
      <c r="AJ152" s="2">
        <v>289.33999999999997</v>
      </c>
      <c r="AK152" s="2">
        <v>57.93</v>
      </c>
    </row>
    <row r="153" spans="14:37" x14ac:dyDescent="0.3">
      <c r="N153" s="1" t="s">
        <v>20</v>
      </c>
      <c r="O153" s="2">
        <v>86.69</v>
      </c>
      <c r="P153" s="2">
        <v>178.53</v>
      </c>
      <c r="Q153" s="2">
        <v>194.11</v>
      </c>
      <c r="R153" s="2">
        <v>209.18</v>
      </c>
      <c r="S153" s="2">
        <v>54.2</v>
      </c>
      <c r="T153" s="2">
        <v>104.31</v>
      </c>
      <c r="U153" s="2">
        <v>196.29</v>
      </c>
      <c r="V153" s="2">
        <v>212.24</v>
      </c>
      <c r="W153" s="2">
        <v>210.1</v>
      </c>
      <c r="X153" s="2">
        <v>63.17</v>
      </c>
      <c r="AA153" s="1" t="s">
        <v>20</v>
      </c>
      <c r="AB153" s="2">
        <v>338.82</v>
      </c>
      <c r="AC153" s="2">
        <v>798.97</v>
      </c>
      <c r="AD153" s="2">
        <v>959.49</v>
      </c>
      <c r="AE153" s="2">
        <v>1029.97</v>
      </c>
      <c r="AF153" s="2">
        <v>233.8</v>
      </c>
      <c r="AG153" s="2">
        <v>412.98</v>
      </c>
      <c r="AH153" s="2">
        <v>789.08</v>
      </c>
      <c r="AI153" s="2">
        <v>1043.56</v>
      </c>
      <c r="AJ153" s="2">
        <v>1029.05</v>
      </c>
      <c r="AK153" s="2">
        <v>233.67</v>
      </c>
    </row>
    <row r="154" spans="14:37" x14ac:dyDescent="0.3">
      <c r="N154" s="1" t="s">
        <v>21</v>
      </c>
      <c r="O154" s="2">
        <v>20.27</v>
      </c>
      <c r="P154" s="2">
        <v>33.97</v>
      </c>
      <c r="Q154" s="2">
        <v>39.08</v>
      </c>
      <c r="R154" s="2">
        <v>32.729999999999997</v>
      </c>
      <c r="S154" s="2">
        <v>9.98</v>
      </c>
      <c r="T154" s="2">
        <v>6.97</v>
      </c>
      <c r="U154" s="2">
        <v>42.72</v>
      </c>
      <c r="V154" s="2">
        <v>21.99</v>
      </c>
      <c r="W154" s="2">
        <v>49.21</v>
      </c>
      <c r="X154" s="2">
        <v>7.67</v>
      </c>
      <c r="AA154" s="1" t="s">
        <v>21</v>
      </c>
      <c r="AB154" s="2">
        <v>79.349999999999994</v>
      </c>
      <c r="AC154" s="2">
        <v>137.47999999999999</v>
      </c>
      <c r="AD154" s="2">
        <v>164.55</v>
      </c>
      <c r="AE154" s="2">
        <v>131.28</v>
      </c>
      <c r="AF154" s="2">
        <v>32.42</v>
      </c>
      <c r="AG154" s="2">
        <v>26.36</v>
      </c>
      <c r="AH154" s="2">
        <v>179.62</v>
      </c>
      <c r="AI154" s="2">
        <v>94.07</v>
      </c>
      <c r="AJ154" s="2">
        <v>226.68</v>
      </c>
      <c r="AK154" s="2">
        <v>22.71</v>
      </c>
    </row>
    <row r="155" spans="14:37" x14ac:dyDescent="0.3">
      <c r="N155" s="1" t="s">
        <v>22</v>
      </c>
      <c r="O155" s="2">
        <v>52.84</v>
      </c>
      <c r="P155" s="2">
        <v>35.770000000000003</v>
      </c>
      <c r="Q155" s="2">
        <v>49.09</v>
      </c>
      <c r="R155" s="2">
        <v>60.32</v>
      </c>
      <c r="S155" s="2">
        <v>6.3</v>
      </c>
      <c r="T155" s="2">
        <v>50.8</v>
      </c>
      <c r="U155" s="2">
        <v>50.06</v>
      </c>
      <c r="V155" s="2">
        <v>48.26</v>
      </c>
      <c r="W155" s="2">
        <v>58.29</v>
      </c>
      <c r="X155" s="2">
        <v>9.56</v>
      </c>
      <c r="AA155" s="1" t="s">
        <v>22</v>
      </c>
      <c r="AB155" s="2">
        <v>144.24</v>
      </c>
      <c r="AC155" s="2">
        <v>119.48</v>
      </c>
      <c r="AD155" s="2">
        <v>206.11</v>
      </c>
      <c r="AE155" s="2">
        <v>245.21</v>
      </c>
      <c r="AF155" s="2">
        <v>18.54</v>
      </c>
      <c r="AG155" s="2">
        <v>139.94</v>
      </c>
      <c r="AH155" s="2">
        <v>202.69</v>
      </c>
      <c r="AI155" s="2">
        <v>185.96</v>
      </c>
      <c r="AJ155" s="2">
        <v>242</v>
      </c>
      <c r="AK155" s="2">
        <v>34.6</v>
      </c>
    </row>
    <row r="156" spans="14:37" x14ac:dyDescent="0.3">
      <c r="N156" s="1" t="s">
        <v>23</v>
      </c>
      <c r="O156" s="2">
        <v>7.99</v>
      </c>
      <c r="P156" s="2">
        <v>9.11</v>
      </c>
      <c r="Q156" s="2">
        <v>14.89</v>
      </c>
      <c r="R156" s="2">
        <v>2.48</v>
      </c>
      <c r="S156" s="2">
        <v>3.13</v>
      </c>
      <c r="T156" s="2">
        <v>14.81</v>
      </c>
      <c r="U156" s="2">
        <v>16.86</v>
      </c>
      <c r="V156" s="2">
        <v>25.76</v>
      </c>
      <c r="W156" s="2">
        <v>0.57999999999999996</v>
      </c>
      <c r="X156" s="2">
        <v>5.1100000000000003</v>
      </c>
      <c r="AA156" s="1" t="s">
        <v>23</v>
      </c>
      <c r="AB156" s="2">
        <v>31.61</v>
      </c>
      <c r="AC156" s="2">
        <v>35.89</v>
      </c>
      <c r="AD156" s="2">
        <v>56.51</v>
      </c>
      <c r="AE156" s="2">
        <v>9.4</v>
      </c>
      <c r="AF156" s="2">
        <v>11.27</v>
      </c>
      <c r="AG156" s="2">
        <v>56.47</v>
      </c>
      <c r="AH156" s="2">
        <v>64.14</v>
      </c>
      <c r="AI156" s="2">
        <v>96.04</v>
      </c>
      <c r="AJ156" s="2">
        <v>11.3</v>
      </c>
      <c r="AK156" s="2">
        <v>18.45</v>
      </c>
    </row>
    <row r="159" spans="14:37" x14ac:dyDescent="0.3">
      <c r="N159" t="s">
        <v>59</v>
      </c>
      <c r="AA159" t="s">
        <v>60</v>
      </c>
    </row>
    <row r="160" spans="14:37" x14ac:dyDescent="0.3">
      <c r="N160" s="1" t="s">
        <v>11</v>
      </c>
      <c r="O160" s="1" t="s">
        <v>12</v>
      </c>
      <c r="P160" s="1" t="s">
        <v>13</v>
      </c>
      <c r="Q160" s="1" t="s">
        <v>12</v>
      </c>
      <c r="R160" s="1" t="s">
        <v>13</v>
      </c>
      <c r="S160" s="1" t="s">
        <v>12</v>
      </c>
      <c r="T160" s="1" t="s">
        <v>13</v>
      </c>
      <c r="U160" s="1" t="s">
        <v>12</v>
      </c>
      <c r="V160" s="1" t="s">
        <v>13</v>
      </c>
      <c r="W160" s="1" t="s">
        <v>12</v>
      </c>
      <c r="X160" s="1" t="s">
        <v>13</v>
      </c>
      <c r="AA160" s="1" t="s">
        <v>11</v>
      </c>
      <c r="AB160" s="1" t="s">
        <v>12</v>
      </c>
      <c r="AC160" s="1" t="s">
        <v>13</v>
      </c>
      <c r="AD160" s="1" t="s">
        <v>12</v>
      </c>
      <c r="AE160" s="1" t="s">
        <v>13</v>
      </c>
      <c r="AF160" s="1" t="s">
        <v>12</v>
      </c>
      <c r="AG160" s="1" t="s">
        <v>13</v>
      </c>
      <c r="AH160" s="1" t="s">
        <v>12</v>
      </c>
      <c r="AI160" s="1" t="s">
        <v>13</v>
      </c>
      <c r="AJ160" s="1" t="s">
        <v>12</v>
      </c>
      <c r="AK160" s="1" t="s">
        <v>13</v>
      </c>
    </row>
    <row r="161" spans="14:37" x14ac:dyDescent="0.3">
      <c r="N161" s="1" t="s">
        <v>14</v>
      </c>
      <c r="O161" s="1" t="s">
        <v>1</v>
      </c>
      <c r="P161" s="1" t="s">
        <v>1</v>
      </c>
      <c r="Q161" s="1" t="s">
        <v>2</v>
      </c>
      <c r="R161" s="1" t="s">
        <v>2</v>
      </c>
      <c r="S161" s="1" t="s">
        <v>3</v>
      </c>
      <c r="T161" s="1" t="s">
        <v>3</v>
      </c>
      <c r="U161" s="1" t="s">
        <v>4</v>
      </c>
      <c r="V161" s="1" t="s">
        <v>4</v>
      </c>
      <c r="W161" s="1" t="s">
        <v>5</v>
      </c>
      <c r="X161" s="1" t="s">
        <v>5</v>
      </c>
      <c r="AA161" s="1" t="s">
        <v>14</v>
      </c>
      <c r="AB161" s="1" t="s">
        <v>1</v>
      </c>
      <c r="AC161" s="1" t="s">
        <v>1</v>
      </c>
      <c r="AD161" s="1" t="s">
        <v>2</v>
      </c>
      <c r="AE161" s="1" t="s">
        <v>2</v>
      </c>
      <c r="AF161" s="1" t="s">
        <v>3</v>
      </c>
      <c r="AG161" s="1" t="s">
        <v>3</v>
      </c>
      <c r="AH161" s="1" t="s">
        <v>4</v>
      </c>
      <c r="AI161" s="1" t="s">
        <v>4</v>
      </c>
      <c r="AJ161" s="1" t="s">
        <v>5</v>
      </c>
      <c r="AK161" s="1" t="s">
        <v>5</v>
      </c>
    </row>
    <row r="162" spans="14:37" x14ac:dyDescent="0.3">
      <c r="N162" s="1" t="s">
        <v>15</v>
      </c>
      <c r="AA162" s="1" t="s">
        <v>15</v>
      </c>
    </row>
    <row r="163" spans="14:37" x14ac:dyDescent="0.3">
      <c r="N163" s="1" t="s">
        <v>16</v>
      </c>
      <c r="O163" s="2">
        <v>8.39</v>
      </c>
      <c r="P163" s="2">
        <v>10.6</v>
      </c>
      <c r="Q163" s="2">
        <v>2.44</v>
      </c>
      <c r="R163" s="2">
        <v>4.09</v>
      </c>
      <c r="S163" s="2">
        <v>3.48</v>
      </c>
      <c r="T163" s="2">
        <v>5.51</v>
      </c>
      <c r="U163" s="2">
        <v>2.6</v>
      </c>
      <c r="V163" s="2">
        <v>1.29</v>
      </c>
      <c r="W163" s="2">
        <v>3.4</v>
      </c>
      <c r="X163" s="2">
        <v>6.77</v>
      </c>
      <c r="AA163" s="1" t="s">
        <v>16</v>
      </c>
      <c r="AB163" s="2">
        <v>75.61</v>
      </c>
      <c r="AC163" s="2">
        <v>123.8</v>
      </c>
      <c r="AD163" s="2">
        <v>31.16</v>
      </c>
      <c r="AE163" s="2">
        <v>63.11</v>
      </c>
      <c r="AF163" s="2">
        <v>56.02</v>
      </c>
      <c r="AG163" s="2">
        <v>87.59</v>
      </c>
      <c r="AH163" s="2">
        <v>40.1</v>
      </c>
      <c r="AI163" s="2">
        <v>23.91</v>
      </c>
      <c r="AJ163" s="2">
        <v>31.6</v>
      </c>
      <c r="AK163" s="2">
        <v>63.23</v>
      </c>
    </row>
    <row r="164" spans="14:37" x14ac:dyDescent="0.3">
      <c r="N164" s="1" t="s">
        <v>17</v>
      </c>
      <c r="O164" s="2">
        <v>15.61</v>
      </c>
      <c r="P164" s="2">
        <v>10.77</v>
      </c>
      <c r="Q164" s="2">
        <v>14.21</v>
      </c>
      <c r="R164" s="2">
        <v>22.84</v>
      </c>
      <c r="S164" s="2">
        <v>18.55</v>
      </c>
      <c r="T164" s="2">
        <v>12.45</v>
      </c>
      <c r="U164" s="2">
        <v>17.61</v>
      </c>
      <c r="V164" s="2">
        <v>3.31</v>
      </c>
      <c r="W164" s="2">
        <v>13.46</v>
      </c>
      <c r="X164" s="2">
        <v>27.22</v>
      </c>
      <c r="AA164" s="1" t="s">
        <v>17</v>
      </c>
      <c r="AB164" s="2">
        <v>73.13</v>
      </c>
      <c r="AC164" s="2">
        <v>52.93</v>
      </c>
      <c r="AD164" s="2">
        <v>74.790000000000006</v>
      </c>
      <c r="AE164" s="2">
        <v>87.22</v>
      </c>
      <c r="AF164" s="2">
        <v>96.55</v>
      </c>
      <c r="AG164" s="2">
        <v>60.25</v>
      </c>
      <c r="AH164" s="2">
        <v>87.24</v>
      </c>
      <c r="AI164" s="2">
        <v>64.489999999999995</v>
      </c>
      <c r="AJ164" s="2">
        <v>60.74</v>
      </c>
      <c r="AK164" s="2">
        <v>127.78</v>
      </c>
    </row>
    <row r="165" spans="14:37" x14ac:dyDescent="0.3">
      <c r="N165" s="1" t="s">
        <v>18</v>
      </c>
      <c r="O165" s="2">
        <v>44.13</v>
      </c>
      <c r="P165" s="2">
        <v>33.72</v>
      </c>
      <c r="Q165" s="2">
        <v>48.14</v>
      </c>
      <c r="R165" s="2">
        <v>101.69</v>
      </c>
      <c r="S165" s="2">
        <v>69.760000000000005</v>
      </c>
      <c r="T165" s="2">
        <v>56.08</v>
      </c>
      <c r="U165" s="2">
        <v>46.87</v>
      </c>
      <c r="V165" s="2">
        <v>47.69</v>
      </c>
      <c r="W165" s="2">
        <v>23.72</v>
      </c>
      <c r="X165" s="2">
        <v>69.430000000000007</v>
      </c>
      <c r="AA165" s="1" t="s">
        <v>18</v>
      </c>
      <c r="AB165" s="2">
        <v>168.22</v>
      </c>
      <c r="AC165" s="2">
        <v>128.08000000000001</v>
      </c>
      <c r="AD165" s="2">
        <v>258.45999999999998</v>
      </c>
      <c r="AE165" s="2">
        <v>244.05</v>
      </c>
      <c r="AF165" s="2">
        <v>305.13</v>
      </c>
      <c r="AG165" s="2">
        <v>283.44</v>
      </c>
      <c r="AH165" s="2">
        <v>260.04000000000002</v>
      </c>
      <c r="AI165" s="2">
        <v>240.89</v>
      </c>
      <c r="AJ165" s="2">
        <v>111.28</v>
      </c>
      <c r="AK165" s="2">
        <v>230.57</v>
      </c>
    </row>
    <row r="166" spans="14:37" x14ac:dyDescent="0.3">
      <c r="N166" s="1" t="s">
        <v>19</v>
      </c>
      <c r="O166" s="2">
        <v>13</v>
      </c>
      <c r="P166" s="2">
        <v>9.14</v>
      </c>
      <c r="Q166" s="2">
        <v>17.91</v>
      </c>
      <c r="R166" s="2">
        <v>30.08</v>
      </c>
      <c r="S166" s="2">
        <v>19.96</v>
      </c>
      <c r="T166" s="2">
        <v>24.03</v>
      </c>
      <c r="U166" s="2">
        <v>17.82</v>
      </c>
      <c r="V166" s="2">
        <v>17.72</v>
      </c>
      <c r="W166" s="2">
        <v>9.15</v>
      </c>
      <c r="X166" s="2">
        <v>15.46</v>
      </c>
      <c r="AA166" s="1" t="s">
        <v>19</v>
      </c>
      <c r="AB166" s="2">
        <v>54.97</v>
      </c>
      <c r="AC166" s="2">
        <v>44.8</v>
      </c>
      <c r="AD166" s="2">
        <v>93.89</v>
      </c>
      <c r="AE166" s="2">
        <v>125.47</v>
      </c>
      <c r="AF166" s="2">
        <v>104.08</v>
      </c>
      <c r="AG166" s="2">
        <v>120.17</v>
      </c>
      <c r="AH166" s="2">
        <v>91.18</v>
      </c>
      <c r="AI166" s="2">
        <v>87.68</v>
      </c>
      <c r="AJ166" s="2">
        <v>42.85</v>
      </c>
      <c r="AK166" s="2">
        <v>72.41</v>
      </c>
    </row>
    <row r="167" spans="14:37" x14ac:dyDescent="0.3">
      <c r="N167" s="1" t="s">
        <v>20</v>
      </c>
      <c r="O167" s="2">
        <v>39.4</v>
      </c>
      <c r="P167" s="2">
        <v>47.41</v>
      </c>
      <c r="Q167" s="2">
        <v>71.41</v>
      </c>
      <c r="R167" s="2">
        <v>78.52</v>
      </c>
      <c r="S167" s="2">
        <v>69.33</v>
      </c>
      <c r="T167" s="2">
        <v>75.8</v>
      </c>
      <c r="U167" s="2">
        <v>63.39</v>
      </c>
      <c r="V167" s="2">
        <v>63.67</v>
      </c>
      <c r="W167" s="2">
        <v>67.75</v>
      </c>
      <c r="X167" s="2">
        <v>78.959999999999994</v>
      </c>
      <c r="AA167" s="1" t="s">
        <v>20</v>
      </c>
      <c r="AB167" s="2">
        <v>154.01</v>
      </c>
      <c r="AC167" s="2">
        <v>187.72</v>
      </c>
      <c r="AD167" s="2">
        <v>319.58999999999997</v>
      </c>
      <c r="AE167" s="2">
        <v>315.63</v>
      </c>
      <c r="AF167" s="2">
        <v>342.67</v>
      </c>
      <c r="AG167" s="2">
        <v>372.7</v>
      </c>
      <c r="AH167" s="2">
        <v>312.11</v>
      </c>
      <c r="AI167" s="2">
        <v>311.83</v>
      </c>
      <c r="AJ167" s="2">
        <v>292.25</v>
      </c>
      <c r="AK167" s="2">
        <v>292.08</v>
      </c>
    </row>
    <row r="168" spans="14:37" x14ac:dyDescent="0.3">
      <c r="N168" s="1" t="s">
        <v>21</v>
      </c>
      <c r="O168" s="2">
        <v>9.2100000000000009</v>
      </c>
      <c r="P168" s="2">
        <v>3.17</v>
      </c>
      <c r="Q168" s="2">
        <v>13.59</v>
      </c>
      <c r="R168" s="2">
        <v>17.09</v>
      </c>
      <c r="S168" s="2">
        <v>13.96</v>
      </c>
      <c r="T168" s="2">
        <v>7.85</v>
      </c>
      <c r="U168" s="2">
        <v>9.92</v>
      </c>
      <c r="V168" s="2">
        <v>14.91</v>
      </c>
      <c r="W168" s="2">
        <v>12.48</v>
      </c>
      <c r="X168" s="2">
        <v>9.59</v>
      </c>
      <c r="AA168" s="1" t="s">
        <v>21</v>
      </c>
      <c r="AB168" s="2">
        <v>36.07</v>
      </c>
      <c r="AC168" s="2">
        <v>11.98</v>
      </c>
      <c r="AD168" s="2">
        <v>54.99</v>
      </c>
      <c r="AE168" s="2">
        <v>71.849999999999994</v>
      </c>
      <c r="AF168" s="2">
        <v>58.77</v>
      </c>
      <c r="AG168" s="2">
        <v>33.6</v>
      </c>
      <c r="AH168" s="2">
        <v>39.78</v>
      </c>
      <c r="AI168" s="2">
        <v>68.69</v>
      </c>
      <c r="AJ168" s="2">
        <v>40.520000000000003</v>
      </c>
      <c r="AK168" s="2">
        <v>28.39</v>
      </c>
    </row>
    <row r="169" spans="14:37" x14ac:dyDescent="0.3">
      <c r="N169" s="1" t="s">
        <v>22</v>
      </c>
      <c r="O169" s="2">
        <v>24.02</v>
      </c>
      <c r="P169" s="2">
        <v>23.09</v>
      </c>
      <c r="Q169" s="2">
        <v>14.31</v>
      </c>
      <c r="R169" s="2">
        <v>20.02</v>
      </c>
      <c r="S169" s="2">
        <v>17.53</v>
      </c>
      <c r="T169" s="2">
        <v>17.239999999999998</v>
      </c>
      <c r="U169" s="2">
        <v>18.28</v>
      </c>
      <c r="V169" s="2">
        <v>17.66</v>
      </c>
      <c r="W169" s="2">
        <v>7.87</v>
      </c>
      <c r="X169" s="2">
        <v>11.95</v>
      </c>
      <c r="AA169" s="1" t="s">
        <v>22</v>
      </c>
      <c r="AB169" s="2">
        <v>65.56</v>
      </c>
      <c r="AC169" s="2">
        <v>63.61</v>
      </c>
      <c r="AD169" s="2">
        <v>47.79</v>
      </c>
      <c r="AE169" s="2">
        <v>81.08</v>
      </c>
      <c r="AF169" s="2">
        <v>73.61</v>
      </c>
      <c r="AG169" s="2">
        <v>66.42</v>
      </c>
      <c r="AH169" s="2">
        <v>74.3</v>
      </c>
      <c r="AI169" s="2">
        <v>73.33</v>
      </c>
      <c r="AJ169" s="2">
        <v>23.18</v>
      </c>
      <c r="AK169" s="2">
        <v>43.25</v>
      </c>
    </row>
    <row r="170" spans="14:37" x14ac:dyDescent="0.3">
      <c r="N170" s="1" t="s">
        <v>23</v>
      </c>
      <c r="O170" s="2">
        <v>3.63</v>
      </c>
      <c r="P170" s="2">
        <v>6.73</v>
      </c>
      <c r="Q170" s="2">
        <v>3.64</v>
      </c>
      <c r="R170" s="2">
        <v>6.74</v>
      </c>
      <c r="S170" s="2">
        <v>5.32</v>
      </c>
      <c r="T170" s="2">
        <v>9.1999999999999993</v>
      </c>
      <c r="U170" s="2">
        <v>0.75</v>
      </c>
      <c r="V170" s="2">
        <v>0.18</v>
      </c>
      <c r="W170" s="2">
        <v>3.91</v>
      </c>
      <c r="X170" s="2">
        <v>6.39</v>
      </c>
      <c r="AA170" s="1" t="s">
        <v>23</v>
      </c>
      <c r="AB170" s="2">
        <v>14.37</v>
      </c>
      <c r="AC170" s="2">
        <v>25.67</v>
      </c>
      <c r="AD170" s="2">
        <v>14.36</v>
      </c>
      <c r="AE170" s="2">
        <v>25.66</v>
      </c>
      <c r="AF170" s="2">
        <v>20.18</v>
      </c>
      <c r="AG170" s="2">
        <v>34.299999999999997</v>
      </c>
      <c r="AH170" s="2">
        <v>2.85</v>
      </c>
      <c r="AI170" s="2">
        <v>3.42</v>
      </c>
      <c r="AJ170" s="2">
        <v>14.09</v>
      </c>
      <c r="AK170" s="2">
        <v>23.07</v>
      </c>
    </row>
    <row r="173" spans="14:37" x14ac:dyDescent="0.3">
      <c r="N173" t="s">
        <v>61</v>
      </c>
      <c r="AA173" t="s">
        <v>62</v>
      </c>
    </row>
    <row r="174" spans="14:37" x14ac:dyDescent="0.3">
      <c r="N174" s="1" t="s">
        <v>11</v>
      </c>
      <c r="O174" s="3" t="s">
        <v>12</v>
      </c>
      <c r="P174" s="3"/>
      <c r="Q174" s="3"/>
      <c r="R174" s="3"/>
      <c r="S174" s="3"/>
      <c r="T174" s="3" t="s">
        <v>13</v>
      </c>
      <c r="U174" s="3"/>
      <c r="V174" s="3"/>
      <c r="W174" s="3"/>
      <c r="X174" s="3"/>
      <c r="AA174" s="1" t="s">
        <v>11</v>
      </c>
      <c r="AB174" s="3" t="s">
        <v>12</v>
      </c>
      <c r="AC174" s="3"/>
      <c r="AD174" s="3"/>
      <c r="AE174" s="3"/>
      <c r="AF174" s="3"/>
      <c r="AG174" s="3" t="s">
        <v>13</v>
      </c>
      <c r="AH174" s="3"/>
      <c r="AI174" s="3"/>
      <c r="AJ174" s="3"/>
      <c r="AK174" s="3"/>
    </row>
    <row r="175" spans="14:37" x14ac:dyDescent="0.3">
      <c r="N175" s="1" t="s">
        <v>14</v>
      </c>
      <c r="O175" s="1" t="s">
        <v>1</v>
      </c>
      <c r="P175" s="1" t="s">
        <v>2</v>
      </c>
      <c r="Q175" s="1" t="s">
        <v>3</v>
      </c>
      <c r="R175" s="1" t="s">
        <v>4</v>
      </c>
      <c r="S175" s="1" t="s">
        <v>5</v>
      </c>
      <c r="T175" s="1" t="s">
        <v>1</v>
      </c>
      <c r="U175" s="1" t="s">
        <v>2</v>
      </c>
      <c r="V175" s="1" t="s">
        <v>3</v>
      </c>
      <c r="W175" s="1" t="s">
        <v>4</v>
      </c>
      <c r="X175" s="1" t="s">
        <v>5</v>
      </c>
      <c r="AA175" s="1" t="s">
        <v>14</v>
      </c>
      <c r="AB175" s="1" t="s">
        <v>1</v>
      </c>
      <c r="AC175" s="1" t="s">
        <v>2</v>
      </c>
      <c r="AD175" s="1" t="s">
        <v>3</v>
      </c>
      <c r="AE175" s="1" t="s">
        <v>4</v>
      </c>
      <c r="AF175" s="1" t="s">
        <v>5</v>
      </c>
      <c r="AG175" s="1" t="s">
        <v>1</v>
      </c>
      <c r="AH175" s="1" t="s">
        <v>2</v>
      </c>
      <c r="AI175" s="1" t="s">
        <v>3</v>
      </c>
      <c r="AJ175" s="1" t="s">
        <v>4</v>
      </c>
      <c r="AK175" s="1" t="s">
        <v>5</v>
      </c>
    </row>
    <row r="176" spans="14:37" x14ac:dyDescent="0.3">
      <c r="N176" s="1" t="s">
        <v>15</v>
      </c>
      <c r="AA176" s="1" t="s">
        <v>15</v>
      </c>
    </row>
    <row r="177" spans="14:37" x14ac:dyDescent="0.3">
      <c r="N177" s="1" t="s">
        <v>16</v>
      </c>
      <c r="O177" s="2">
        <v>459.16</v>
      </c>
      <c r="P177" s="2">
        <v>789.08</v>
      </c>
      <c r="Q177" s="2">
        <v>155.74</v>
      </c>
      <c r="R177" s="2">
        <v>221.36</v>
      </c>
      <c r="S177" s="2">
        <v>245.6</v>
      </c>
      <c r="T177" s="2">
        <v>462.92</v>
      </c>
      <c r="U177" s="2">
        <v>440.37</v>
      </c>
      <c r="V177" s="2">
        <v>152.28</v>
      </c>
      <c r="W177" s="2">
        <v>205.55</v>
      </c>
      <c r="X177" s="2">
        <v>232.19</v>
      </c>
      <c r="AA177" s="1" t="s">
        <v>16</v>
      </c>
      <c r="AB177" s="2">
        <v>4133.12</v>
      </c>
      <c r="AC177" s="2">
        <v>7101.68</v>
      </c>
      <c r="AD177" s="2">
        <v>2931.26</v>
      </c>
      <c r="AE177" s="2">
        <v>3416.89</v>
      </c>
      <c r="AF177" s="2">
        <v>2246.4</v>
      </c>
      <c r="AG177" s="2">
        <v>4166.32</v>
      </c>
      <c r="AH177" s="2">
        <v>6797.63</v>
      </c>
      <c r="AI177" s="2">
        <v>2864.16</v>
      </c>
      <c r="AJ177" s="2">
        <v>3825.4</v>
      </c>
      <c r="AK177" s="2">
        <v>2125.41</v>
      </c>
    </row>
    <row r="178" spans="14:37" x14ac:dyDescent="0.3">
      <c r="N178" s="1" t="s">
        <v>17</v>
      </c>
      <c r="O178" s="2">
        <v>32.590000000000003</v>
      </c>
      <c r="P178" s="2">
        <v>57.22</v>
      </c>
      <c r="Q178" s="2">
        <v>31.46</v>
      </c>
      <c r="R178" s="2">
        <v>31.53</v>
      </c>
      <c r="S178" s="2">
        <v>17.05</v>
      </c>
      <c r="T178" s="2">
        <v>34.17</v>
      </c>
      <c r="U178" s="2">
        <v>59.28</v>
      </c>
      <c r="V178" s="2">
        <v>26.69</v>
      </c>
      <c r="W178" s="2">
        <v>38.67</v>
      </c>
      <c r="X178" s="2">
        <v>20.76</v>
      </c>
      <c r="AA178" s="1" t="s">
        <v>17</v>
      </c>
      <c r="AB178" s="2">
        <v>602.41999999999996</v>
      </c>
      <c r="AC178" s="2">
        <v>1172.03</v>
      </c>
      <c r="AD178" s="2">
        <v>623.17999999999995</v>
      </c>
      <c r="AE178" s="2">
        <v>624.66999999999996</v>
      </c>
      <c r="AF178" s="2">
        <v>310.18</v>
      </c>
      <c r="AG178" s="2">
        <v>674.67</v>
      </c>
      <c r="AH178" s="2">
        <v>868.19</v>
      </c>
      <c r="AI178" s="2">
        <v>519.59</v>
      </c>
      <c r="AJ178" s="2">
        <v>753</v>
      </c>
      <c r="AK178" s="2">
        <v>394.44</v>
      </c>
    </row>
    <row r="179" spans="14:37" x14ac:dyDescent="0.3">
      <c r="N179" s="1" t="s">
        <v>18</v>
      </c>
      <c r="O179" s="2">
        <v>246.49</v>
      </c>
      <c r="P179" s="2">
        <v>287.54000000000002</v>
      </c>
      <c r="Q179" s="2">
        <v>214.71</v>
      </c>
      <c r="R179" s="2">
        <v>195.39</v>
      </c>
      <c r="S179" s="2">
        <v>43.68</v>
      </c>
      <c r="T179" s="2">
        <v>154.4</v>
      </c>
      <c r="U179" s="2">
        <v>942.75</v>
      </c>
      <c r="V179" s="2">
        <v>161.47999999999999</v>
      </c>
      <c r="W179" s="2">
        <v>224.12</v>
      </c>
      <c r="X179" s="2">
        <v>97.21</v>
      </c>
      <c r="AA179" s="1" t="s">
        <v>18</v>
      </c>
      <c r="AB179" s="2">
        <v>3562.65</v>
      </c>
      <c r="AC179" s="2">
        <v>5889.46</v>
      </c>
      <c r="AD179" s="2">
        <v>3726.94</v>
      </c>
      <c r="AE179" s="2">
        <v>3870.96</v>
      </c>
      <c r="AF179" s="2">
        <v>829.92</v>
      </c>
      <c r="AG179" s="2">
        <v>2245.56</v>
      </c>
      <c r="AH179" s="2">
        <v>4003.62</v>
      </c>
      <c r="AI179" s="2">
        <v>3144.07</v>
      </c>
      <c r="AJ179" s="2">
        <v>4363.8900000000003</v>
      </c>
      <c r="AK179" s="2">
        <v>1222.79</v>
      </c>
    </row>
    <row r="180" spans="14:37" x14ac:dyDescent="0.3">
      <c r="N180" s="1" t="s">
        <v>19</v>
      </c>
      <c r="O180" s="2">
        <v>81.99</v>
      </c>
      <c r="P180" s="2">
        <v>139.91999999999999</v>
      </c>
      <c r="Q180" s="2">
        <v>70.17</v>
      </c>
      <c r="R180" s="2">
        <v>70.12</v>
      </c>
      <c r="S180" s="2">
        <v>22.56</v>
      </c>
      <c r="T180" s="2">
        <v>52.05</v>
      </c>
      <c r="U180" s="2">
        <v>134.01</v>
      </c>
      <c r="V180" s="2">
        <v>84.19</v>
      </c>
      <c r="W180" s="2">
        <v>83.39</v>
      </c>
      <c r="X180" s="2">
        <v>21.05</v>
      </c>
      <c r="AA180" s="1" t="s">
        <v>19</v>
      </c>
      <c r="AB180" s="2">
        <v>1340.63</v>
      </c>
      <c r="AC180" s="2">
        <v>2865.83</v>
      </c>
      <c r="AD180" s="2">
        <v>1390.25</v>
      </c>
      <c r="AE180" s="2">
        <v>1389.14</v>
      </c>
      <c r="AF180" s="2">
        <v>428.64</v>
      </c>
      <c r="AG180" s="2">
        <v>1027.76</v>
      </c>
      <c r="AH180" s="2">
        <v>2196.25</v>
      </c>
      <c r="AI180" s="2">
        <v>1639.21</v>
      </c>
      <c r="AJ180" s="2">
        <v>1623.7</v>
      </c>
      <c r="AK180" s="2">
        <v>399.89</v>
      </c>
    </row>
    <row r="181" spans="14:37" x14ac:dyDescent="0.3">
      <c r="N181" s="1" t="s">
        <v>20</v>
      </c>
      <c r="O181" s="2">
        <v>279.89</v>
      </c>
      <c r="P181" s="2">
        <v>542.85</v>
      </c>
      <c r="Q181" s="2">
        <v>268.14</v>
      </c>
      <c r="R181" s="2">
        <v>228.57</v>
      </c>
      <c r="S181" s="2">
        <v>163.98</v>
      </c>
      <c r="T181" s="2">
        <v>307.01</v>
      </c>
      <c r="U181" s="2">
        <v>556.17999999999995</v>
      </c>
      <c r="V181" s="2">
        <v>246.89</v>
      </c>
      <c r="W181" s="2">
        <v>277.36</v>
      </c>
      <c r="X181" s="2">
        <v>182.41</v>
      </c>
      <c r="AA181" s="1" t="s">
        <v>20</v>
      </c>
      <c r="AB181" s="2">
        <v>4210.0600000000004</v>
      </c>
      <c r="AC181" s="2">
        <v>9677.15</v>
      </c>
      <c r="AD181" s="2">
        <v>5312.26</v>
      </c>
      <c r="AE181" s="2">
        <v>4528.38</v>
      </c>
      <c r="AF181" s="2">
        <v>2872.02</v>
      </c>
      <c r="AG181" s="2">
        <v>4769.82</v>
      </c>
      <c r="AH181" s="2">
        <v>8829.01</v>
      </c>
      <c r="AI181" s="2">
        <v>4807.1099999999997</v>
      </c>
      <c r="AJ181" s="2">
        <v>5400.29</v>
      </c>
      <c r="AK181" s="2">
        <v>2651.4</v>
      </c>
    </row>
    <row r="182" spans="14:37" x14ac:dyDescent="0.3">
      <c r="N182" s="1" t="s">
        <v>21</v>
      </c>
      <c r="O182" s="2">
        <v>50.72</v>
      </c>
      <c r="P182" s="2">
        <v>116.72</v>
      </c>
      <c r="Q182" s="2">
        <v>58.75</v>
      </c>
      <c r="R182" s="2">
        <v>53.79</v>
      </c>
      <c r="S182" s="2">
        <v>35.56</v>
      </c>
      <c r="T182" s="2">
        <v>41.63</v>
      </c>
      <c r="U182" s="2">
        <v>97.3</v>
      </c>
      <c r="V182" s="2">
        <v>51.54</v>
      </c>
      <c r="W182" s="2">
        <v>52.11</v>
      </c>
      <c r="X182" s="2">
        <v>17.39</v>
      </c>
      <c r="AA182" s="1" t="s">
        <v>21</v>
      </c>
      <c r="AB182" s="2">
        <v>1032.1500000000001</v>
      </c>
      <c r="AC182" s="2">
        <v>2390.77</v>
      </c>
      <c r="AD182" s="2">
        <v>1163.9100000000001</v>
      </c>
      <c r="AE182" s="2">
        <v>1065.57</v>
      </c>
      <c r="AF182" s="2">
        <v>594.04</v>
      </c>
      <c r="AG182" s="2">
        <v>822.01</v>
      </c>
      <c r="AH182" s="2">
        <v>1921.32</v>
      </c>
      <c r="AI182" s="2">
        <v>1003.61</v>
      </c>
      <c r="AJ182" s="2">
        <v>1014.66</v>
      </c>
      <c r="AK182" s="2">
        <v>258.43</v>
      </c>
    </row>
    <row r="183" spans="14:37" x14ac:dyDescent="0.3">
      <c r="N183" s="1" t="s">
        <v>22</v>
      </c>
      <c r="O183" s="2">
        <v>252.75</v>
      </c>
      <c r="P183" s="2">
        <v>315.5</v>
      </c>
      <c r="Q183" s="2">
        <v>176.07</v>
      </c>
      <c r="R183" s="2">
        <v>178.49</v>
      </c>
      <c r="S183" s="2">
        <v>65.61</v>
      </c>
      <c r="T183" s="2">
        <v>255.54</v>
      </c>
      <c r="U183" s="2">
        <v>336.85</v>
      </c>
      <c r="V183" s="2">
        <v>145.36000000000001</v>
      </c>
      <c r="W183" s="2">
        <v>143.85</v>
      </c>
      <c r="X183" s="2">
        <v>60.17</v>
      </c>
      <c r="AA183" s="1" t="s">
        <v>22</v>
      </c>
      <c r="AB183" s="2">
        <v>3262.64</v>
      </c>
      <c r="AC183" s="2">
        <v>5263.15</v>
      </c>
      <c r="AD183" s="2">
        <v>3488.17</v>
      </c>
      <c r="AE183" s="2">
        <v>3536.16</v>
      </c>
      <c r="AF183" s="2">
        <v>969.39</v>
      </c>
      <c r="AG183" s="2">
        <v>3410.76</v>
      </c>
      <c r="AH183" s="2">
        <v>6651.65</v>
      </c>
      <c r="AI183" s="2">
        <v>2830.3</v>
      </c>
      <c r="AJ183" s="2">
        <v>2800.93</v>
      </c>
      <c r="AK183" s="2">
        <v>1143.19</v>
      </c>
    </row>
    <row r="184" spans="14:37" x14ac:dyDescent="0.3">
      <c r="N184" s="1" t="s">
        <v>23</v>
      </c>
      <c r="O184" s="2">
        <v>97.88</v>
      </c>
      <c r="P184" s="2">
        <v>199.39</v>
      </c>
      <c r="Q184" s="2">
        <v>94.85</v>
      </c>
      <c r="R184" s="2">
        <v>93.95</v>
      </c>
      <c r="S184" s="2">
        <v>67.44</v>
      </c>
      <c r="T184" s="2">
        <v>108.64</v>
      </c>
      <c r="U184" s="2">
        <v>193.84</v>
      </c>
      <c r="V184" s="2">
        <v>87.49</v>
      </c>
      <c r="W184" s="2">
        <v>83.76</v>
      </c>
      <c r="X184" s="2">
        <v>62.33</v>
      </c>
      <c r="AA184" s="1" t="s">
        <v>23</v>
      </c>
      <c r="AB184" s="2">
        <v>2004.88</v>
      </c>
      <c r="AC184" s="2">
        <v>4083.86</v>
      </c>
      <c r="AD184" s="2">
        <v>1879.15</v>
      </c>
      <c r="AE184" s="2">
        <v>1861.3</v>
      </c>
      <c r="AF184" s="2">
        <v>1281.3599999999999</v>
      </c>
      <c r="AG184" s="2">
        <v>2145.2600000000002</v>
      </c>
      <c r="AH184" s="2">
        <v>3827.66</v>
      </c>
      <c r="AI184" s="2">
        <v>1703.39</v>
      </c>
      <c r="AJ184" s="2">
        <v>1630.92</v>
      </c>
      <c r="AK184" s="2">
        <v>1184.24</v>
      </c>
    </row>
    <row r="187" spans="14:37" x14ac:dyDescent="0.3">
      <c r="N187" t="s">
        <v>63</v>
      </c>
      <c r="AA187" t="s">
        <v>64</v>
      </c>
    </row>
    <row r="188" spans="14:37" x14ac:dyDescent="0.3">
      <c r="N188" s="1" t="s">
        <v>11</v>
      </c>
      <c r="O188" s="1" t="s">
        <v>12</v>
      </c>
      <c r="P188" s="1" t="s">
        <v>13</v>
      </c>
      <c r="Q188" s="1" t="s">
        <v>12</v>
      </c>
      <c r="R188" s="1" t="s">
        <v>13</v>
      </c>
      <c r="S188" s="1" t="s">
        <v>12</v>
      </c>
      <c r="T188" s="1" t="s">
        <v>13</v>
      </c>
      <c r="U188" s="1" t="s">
        <v>12</v>
      </c>
      <c r="V188" s="1" t="s">
        <v>13</v>
      </c>
      <c r="W188" s="1" t="s">
        <v>12</v>
      </c>
      <c r="X188" s="1" t="s">
        <v>13</v>
      </c>
      <c r="AA188" s="1" t="s">
        <v>11</v>
      </c>
      <c r="AB188" s="1" t="s">
        <v>12</v>
      </c>
      <c r="AC188" s="1" t="s">
        <v>13</v>
      </c>
      <c r="AD188" s="1" t="s">
        <v>12</v>
      </c>
      <c r="AE188" s="1" t="s">
        <v>13</v>
      </c>
      <c r="AF188" s="1" t="s">
        <v>12</v>
      </c>
      <c r="AG188" s="1" t="s">
        <v>13</v>
      </c>
      <c r="AH188" s="1" t="s">
        <v>12</v>
      </c>
      <c r="AI188" s="1" t="s">
        <v>13</v>
      </c>
      <c r="AJ188" s="1" t="s">
        <v>12</v>
      </c>
      <c r="AK188" s="1" t="s">
        <v>13</v>
      </c>
    </row>
    <row r="189" spans="14:37" x14ac:dyDescent="0.3">
      <c r="N189" s="1" t="s">
        <v>14</v>
      </c>
      <c r="O189" s="1" t="s">
        <v>1</v>
      </c>
      <c r="P189" s="1" t="s">
        <v>1</v>
      </c>
      <c r="Q189" s="1" t="s">
        <v>2</v>
      </c>
      <c r="R189" s="1" t="s">
        <v>2</v>
      </c>
      <c r="S189" s="1" t="s">
        <v>3</v>
      </c>
      <c r="T189" s="1" t="s">
        <v>3</v>
      </c>
      <c r="U189" s="1" t="s">
        <v>4</v>
      </c>
      <c r="V189" s="1" t="s">
        <v>4</v>
      </c>
      <c r="W189" s="1" t="s">
        <v>5</v>
      </c>
      <c r="X189" s="1" t="s">
        <v>5</v>
      </c>
      <c r="AA189" s="1" t="s">
        <v>14</v>
      </c>
      <c r="AB189" s="1" t="s">
        <v>1</v>
      </c>
      <c r="AC189" s="1" t="s">
        <v>1</v>
      </c>
      <c r="AD189" s="1" t="s">
        <v>2</v>
      </c>
      <c r="AE189" s="1" t="s">
        <v>2</v>
      </c>
      <c r="AF189" s="1" t="s">
        <v>3</v>
      </c>
      <c r="AG189" s="1" t="s">
        <v>3</v>
      </c>
      <c r="AH189" s="1" t="s">
        <v>4</v>
      </c>
      <c r="AI189" s="1" t="s">
        <v>4</v>
      </c>
      <c r="AJ189" s="1" t="s">
        <v>5</v>
      </c>
      <c r="AK189" s="1" t="s">
        <v>5</v>
      </c>
    </row>
    <row r="190" spans="14:37" x14ac:dyDescent="0.3">
      <c r="N190" s="1" t="s">
        <v>15</v>
      </c>
      <c r="AA190" s="1" t="s">
        <v>15</v>
      </c>
    </row>
    <row r="191" spans="14:37" x14ac:dyDescent="0.3">
      <c r="N191" s="1" t="s">
        <v>16</v>
      </c>
      <c r="O191" s="2">
        <v>208.71</v>
      </c>
      <c r="P191" s="2">
        <v>210.42</v>
      </c>
      <c r="Q191" s="2">
        <v>315.63</v>
      </c>
      <c r="R191" s="2">
        <v>176.15</v>
      </c>
      <c r="S191" s="2">
        <v>55.62</v>
      </c>
      <c r="T191" s="2">
        <v>54.38</v>
      </c>
      <c r="U191" s="2">
        <v>67.08</v>
      </c>
      <c r="V191" s="2">
        <v>62.29</v>
      </c>
      <c r="W191" s="2">
        <v>307</v>
      </c>
      <c r="X191" s="2">
        <v>290.24</v>
      </c>
      <c r="AA191" s="1" t="s">
        <v>16</v>
      </c>
      <c r="AB191" s="2">
        <v>1878.69</v>
      </c>
      <c r="AC191" s="2">
        <v>1893.78</v>
      </c>
      <c r="AD191" s="2">
        <v>2840.67</v>
      </c>
      <c r="AE191" s="2">
        <v>2719.05</v>
      </c>
      <c r="AF191" s="2">
        <v>1046.8800000000001</v>
      </c>
      <c r="AG191" s="2">
        <v>1022.92</v>
      </c>
      <c r="AH191" s="2">
        <v>1035.42</v>
      </c>
      <c r="AI191" s="2">
        <v>1159.21</v>
      </c>
      <c r="AJ191" s="2">
        <v>2808</v>
      </c>
      <c r="AK191" s="2">
        <v>2656.76</v>
      </c>
    </row>
    <row r="192" spans="14:37" x14ac:dyDescent="0.3">
      <c r="N192" s="1" t="s">
        <v>17</v>
      </c>
      <c r="O192" s="2">
        <v>14.82</v>
      </c>
      <c r="P192" s="2">
        <v>15.53</v>
      </c>
      <c r="Q192" s="2">
        <v>22.89</v>
      </c>
      <c r="R192" s="2">
        <v>23.71</v>
      </c>
      <c r="S192" s="2">
        <v>11.23</v>
      </c>
      <c r="T192" s="2">
        <v>9.5299999999999994</v>
      </c>
      <c r="U192" s="2">
        <v>9.5500000000000007</v>
      </c>
      <c r="V192" s="2">
        <v>11.72</v>
      </c>
      <c r="W192" s="2">
        <v>21.31</v>
      </c>
      <c r="X192" s="2">
        <v>25.95</v>
      </c>
      <c r="AA192" s="1" t="s">
        <v>17</v>
      </c>
      <c r="AB192" s="2">
        <v>273.83</v>
      </c>
      <c r="AC192" s="2">
        <v>306.67</v>
      </c>
      <c r="AD192" s="2">
        <v>468.81</v>
      </c>
      <c r="AE192" s="2">
        <v>347.28</v>
      </c>
      <c r="AF192" s="2">
        <v>222.57</v>
      </c>
      <c r="AG192" s="2">
        <v>185.57</v>
      </c>
      <c r="AH192" s="2">
        <v>189.29</v>
      </c>
      <c r="AI192" s="2">
        <v>228.18</v>
      </c>
      <c r="AJ192" s="2">
        <v>387.72</v>
      </c>
      <c r="AK192" s="2">
        <v>493.05</v>
      </c>
    </row>
    <row r="193" spans="14:37" x14ac:dyDescent="0.3">
      <c r="N193" s="1" t="s">
        <v>18</v>
      </c>
      <c r="O193" s="2">
        <v>112.04</v>
      </c>
      <c r="P193" s="2">
        <v>70.180000000000007</v>
      </c>
      <c r="Q193" s="2">
        <v>115.02</v>
      </c>
      <c r="R193" s="2">
        <v>377.1</v>
      </c>
      <c r="S193" s="2">
        <v>76.680000000000007</v>
      </c>
      <c r="T193" s="2">
        <v>57.67</v>
      </c>
      <c r="U193" s="2">
        <v>59.21</v>
      </c>
      <c r="V193" s="2">
        <v>67.92</v>
      </c>
      <c r="W193" s="2">
        <v>54.6</v>
      </c>
      <c r="X193" s="2">
        <v>121.51</v>
      </c>
      <c r="AA193" s="1" t="s">
        <v>18</v>
      </c>
      <c r="AB193" s="2">
        <v>1619.39</v>
      </c>
      <c r="AC193" s="2">
        <v>1020.71</v>
      </c>
      <c r="AD193" s="2">
        <v>2355.7800000000002</v>
      </c>
      <c r="AE193" s="2">
        <v>1601.45</v>
      </c>
      <c r="AF193" s="2">
        <v>1331.05</v>
      </c>
      <c r="AG193" s="2">
        <v>1122.8800000000001</v>
      </c>
      <c r="AH193" s="2">
        <v>1173.02</v>
      </c>
      <c r="AI193" s="2">
        <v>1322.39</v>
      </c>
      <c r="AJ193" s="2">
        <v>1037.4000000000001</v>
      </c>
      <c r="AK193" s="2">
        <v>1528.49</v>
      </c>
    </row>
    <row r="194" spans="14:37" x14ac:dyDescent="0.3">
      <c r="N194" s="1" t="s">
        <v>19</v>
      </c>
      <c r="O194" s="2">
        <v>37.270000000000003</v>
      </c>
      <c r="P194" s="2">
        <v>23.66</v>
      </c>
      <c r="Q194" s="2">
        <v>55.97</v>
      </c>
      <c r="R194" s="2">
        <v>53.6</v>
      </c>
      <c r="S194" s="2">
        <v>25.06</v>
      </c>
      <c r="T194" s="2">
        <v>30.07</v>
      </c>
      <c r="U194" s="2">
        <v>21.25</v>
      </c>
      <c r="V194" s="2">
        <v>25.27</v>
      </c>
      <c r="W194" s="2">
        <v>28.2</v>
      </c>
      <c r="X194" s="2">
        <v>26.31</v>
      </c>
      <c r="AA194" s="1" t="s">
        <v>19</v>
      </c>
      <c r="AB194" s="2">
        <v>609.38</v>
      </c>
      <c r="AC194" s="2">
        <v>467.16</v>
      </c>
      <c r="AD194" s="2">
        <v>1146.33</v>
      </c>
      <c r="AE194" s="2">
        <v>878.5</v>
      </c>
      <c r="AF194" s="2">
        <v>496.52</v>
      </c>
      <c r="AG194" s="2">
        <v>585.42999999999995</v>
      </c>
      <c r="AH194" s="2">
        <v>420.95</v>
      </c>
      <c r="AI194" s="2">
        <v>492.03</v>
      </c>
      <c r="AJ194" s="2">
        <v>535.79999999999995</v>
      </c>
      <c r="AK194" s="2">
        <v>499.87</v>
      </c>
    </row>
    <row r="195" spans="14:37" x14ac:dyDescent="0.3">
      <c r="N195" s="1" t="s">
        <v>20</v>
      </c>
      <c r="O195" s="2">
        <v>127.22</v>
      </c>
      <c r="P195" s="2">
        <v>139.55000000000001</v>
      </c>
      <c r="Q195" s="2">
        <v>217.14</v>
      </c>
      <c r="R195" s="2">
        <v>222.47</v>
      </c>
      <c r="S195" s="2">
        <v>95.76</v>
      </c>
      <c r="T195" s="2">
        <v>88.18</v>
      </c>
      <c r="U195" s="2">
        <v>69.260000000000005</v>
      </c>
      <c r="V195" s="2">
        <v>84.05</v>
      </c>
      <c r="W195" s="2">
        <v>204.98</v>
      </c>
      <c r="X195" s="2">
        <v>228.01</v>
      </c>
      <c r="AA195" s="1" t="s">
        <v>20</v>
      </c>
      <c r="AB195" s="2">
        <v>1913.66</v>
      </c>
      <c r="AC195" s="2">
        <v>2168.1</v>
      </c>
      <c r="AD195" s="2">
        <v>3870.86</v>
      </c>
      <c r="AE195" s="2">
        <v>3531.61</v>
      </c>
      <c r="AF195" s="2">
        <v>1897.24</v>
      </c>
      <c r="AG195" s="2">
        <v>1716.82</v>
      </c>
      <c r="AH195" s="2">
        <v>1372.24</v>
      </c>
      <c r="AI195" s="2">
        <v>1636.45</v>
      </c>
      <c r="AJ195" s="2">
        <v>3590.02</v>
      </c>
      <c r="AK195" s="2">
        <v>3314.25</v>
      </c>
    </row>
    <row r="196" spans="14:37" x14ac:dyDescent="0.3">
      <c r="N196" s="1" t="s">
        <v>21</v>
      </c>
      <c r="O196" s="2">
        <v>23.06</v>
      </c>
      <c r="P196" s="2">
        <v>18.920000000000002</v>
      </c>
      <c r="Q196" s="2">
        <v>46.69</v>
      </c>
      <c r="R196" s="2">
        <v>38.92</v>
      </c>
      <c r="S196" s="2">
        <v>20.98</v>
      </c>
      <c r="T196" s="2">
        <v>18.41</v>
      </c>
      <c r="U196" s="2">
        <v>16.3</v>
      </c>
      <c r="V196" s="2">
        <v>15.79</v>
      </c>
      <c r="W196" s="2">
        <v>44.45</v>
      </c>
      <c r="X196" s="2">
        <v>21.73</v>
      </c>
      <c r="AA196" s="1" t="s">
        <v>21</v>
      </c>
      <c r="AB196" s="2">
        <v>469.16</v>
      </c>
      <c r="AC196" s="2">
        <v>373.64</v>
      </c>
      <c r="AD196" s="2">
        <v>956.31</v>
      </c>
      <c r="AE196" s="2">
        <v>768.53</v>
      </c>
      <c r="AF196" s="2">
        <v>415.68</v>
      </c>
      <c r="AG196" s="2">
        <v>358.43</v>
      </c>
      <c r="AH196" s="2">
        <v>322.89999999999998</v>
      </c>
      <c r="AI196" s="2">
        <v>307.47000000000003</v>
      </c>
      <c r="AJ196" s="2">
        <v>742.55</v>
      </c>
      <c r="AK196" s="2">
        <v>323.04000000000002</v>
      </c>
    </row>
    <row r="197" spans="14:37" x14ac:dyDescent="0.3">
      <c r="N197" s="1" t="s">
        <v>22</v>
      </c>
      <c r="O197" s="2">
        <v>114.89</v>
      </c>
      <c r="P197" s="2">
        <v>116.15</v>
      </c>
      <c r="Q197" s="2">
        <v>126.2</v>
      </c>
      <c r="R197" s="2">
        <v>134.74</v>
      </c>
      <c r="S197" s="2">
        <v>62.88</v>
      </c>
      <c r="T197" s="2">
        <v>51.91</v>
      </c>
      <c r="U197" s="2">
        <v>54.09</v>
      </c>
      <c r="V197" s="2">
        <v>43.59</v>
      </c>
      <c r="W197" s="2">
        <v>82.01</v>
      </c>
      <c r="X197" s="2">
        <v>75.209999999999994</v>
      </c>
      <c r="AA197" s="1" t="s">
        <v>22</v>
      </c>
      <c r="AB197" s="2">
        <v>1483.02</v>
      </c>
      <c r="AC197" s="2">
        <v>1550.35</v>
      </c>
      <c r="AD197" s="2">
        <v>2105.2600000000002</v>
      </c>
      <c r="AE197" s="2">
        <v>2660.66</v>
      </c>
      <c r="AF197" s="2">
        <v>1245.77</v>
      </c>
      <c r="AG197" s="2">
        <v>1010.82</v>
      </c>
      <c r="AH197" s="2">
        <v>1071.56</v>
      </c>
      <c r="AI197" s="2">
        <v>848.77</v>
      </c>
      <c r="AJ197" s="2">
        <v>1211.74</v>
      </c>
      <c r="AK197" s="2">
        <v>1428.99</v>
      </c>
    </row>
    <row r="198" spans="14:37" x14ac:dyDescent="0.3">
      <c r="N198" s="1" t="s">
        <v>23</v>
      </c>
      <c r="O198" s="2">
        <v>44.49</v>
      </c>
      <c r="P198" s="2">
        <v>49.38</v>
      </c>
      <c r="Q198" s="2">
        <v>79.75</v>
      </c>
      <c r="R198" s="2">
        <v>77.53</v>
      </c>
      <c r="S198" s="2">
        <v>33.880000000000003</v>
      </c>
      <c r="T198" s="2">
        <v>31.25</v>
      </c>
      <c r="U198" s="2">
        <v>28.47</v>
      </c>
      <c r="V198" s="2">
        <v>25.38</v>
      </c>
      <c r="W198" s="2">
        <v>84.3</v>
      </c>
      <c r="X198" s="2">
        <v>77.91</v>
      </c>
      <c r="AA198" s="1" t="s">
        <v>23</v>
      </c>
      <c r="AB198" s="2">
        <v>911.31</v>
      </c>
      <c r="AC198" s="2">
        <v>975.12</v>
      </c>
      <c r="AD198" s="2">
        <v>1633.55</v>
      </c>
      <c r="AE198" s="2">
        <v>1531.07</v>
      </c>
      <c r="AF198" s="2">
        <v>671.12</v>
      </c>
      <c r="AG198" s="2">
        <v>608.35</v>
      </c>
      <c r="AH198" s="2">
        <v>564.03</v>
      </c>
      <c r="AI198" s="2">
        <v>494.22</v>
      </c>
      <c r="AJ198" s="2">
        <v>1601.7</v>
      </c>
      <c r="AK198" s="2">
        <v>1480.3</v>
      </c>
    </row>
    <row r="201" spans="14:37" x14ac:dyDescent="0.3">
      <c r="N201" t="s">
        <v>65</v>
      </c>
      <c r="AA201" t="s">
        <v>66</v>
      </c>
    </row>
    <row r="202" spans="14:37" x14ac:dyDescent="0.3">
      <c r="N202" s="1" t="s">
        <v>11</v>
      </c>
      <c r="O202" s="1" t="s">
        <v>12</v>
      </c>
      <c r="P202" s="1" t="s">
        <v>13</v>
      </c>
      <c r="Q202" s="1" t="s">
        <v>12</v>
      </c>
      <c r="R202" s="1" t="s">
        <v>13</v>
      </c>
      <c r="S202" s="1" t="s">
        <v>12</v>
      </c>
      <c r="T202" s="1" t="s">
        <v>13</v>
      </c>
      <c r="U202" s="1" t="s">
        <v>12</v>
      </c>
      <c r="V202" s="1" t="s">
        <v>13</v>
      </c>
      <c r="W202" s="1" t="s">
        <v>12</v>
      </c>
      <c r="X202" s="1" t="s">
        <v>13</v>
      </c>
      <c r="AA202" s="1" t="s">
        <v>11</v>
      </c>
      <c r="AB202" s="3" t="s">
        <v>12</v>
      </c>
      <c r="AC202" s="3"/>
      <c r="AD202" s="3"/>
      <c r="AE202" s="3"/>
      <c r="AF202" s="3"/>
      <c r="AG202" s="3" t="s">
        <v>13</v>
      </c>
      <c r="AH202" s="3"/>
      <c r="AI202" s="3"/>
      <c r="AJ202" s="3"/>
      <c r="AK202" s="3"/>
    </row>
    <row r="203" spans="14:37" x14ac:dyDescent="0.3">
      <c r="N203" s="1" t="s">
        <v>14</v>
      </c>
      <c r="O203" s="1" t="s">
        <v>1</v>
      </c>
      <c r="P203" s="1" t="s">
        <v>1</v>
      </c>
      <c r="Q203" s="1" t="s">
        <v>2</v>
      </c>
      <c r="R203" s="1" t="s">
        <v>2</v>
      </c>
      <c r="S203" s="1" t="s">
        <v>3</v>
      </c>
      <c r="T203" s="1" t="s">
        <v>3</v>
      </c>
      <c r="U203" s="1" t="s">
        <v>4</v>
      </c>
      <c r="V203" s="1" t="s">
        <v>4</v>
      </c>
      <c r="W203" s="1" t="s">
        <v>5</v>
      </c>
      <c r="X203" s="1" t="s">
        <v>5</v>
      </c>
      <c r="AA203" s="1" t="s">
        <v>14</v>
      </c>
      <c r="AB203" s="1" t="s">
        <v>1</v>
      </c>
      <c r="AC203" s="1" t="s">
        <v>2</v>
      </c>
      <c r="AD203" s="1" t="s">
        <v>3</v>
      </c>
      <c r="AE203" s="1" t="s">
        <v>4</v>
      </c>
      <c r="AF203" s="1" t="s">
        <v>5</v>
      </c>
      <c r="AG203" s="1" t="s">
        <v>1</v>
      </c>
      <c r="AH203" s="1" t="s">
        <v>2</v>
      </c>
      <c r="AI203" s="1" t="s">
        <v>3</v>
      </c>
      <c r="AJ203" s="1" t="s">
        <v>4</v>
      </c>
      <c r="AK203" s="1" t="s">
        <v>5</v>
      </c>
    </row>
    <row r="204" spans="14:37" x14ac:dyDescent="0.3">
      <c r="N204" s="1" t="s">
        <v>15</v>
      </c>
      <c r="AA204" s="1" t="s">
        <v>15</v>
      </c>
    </row>
    <row r="205" spans="14:37" x14ac:dyDescent="0.3">
      <c r="N205" s="1" t="s">
        <v>16</v>
      </c>
      <c r="O205" s="2">
        <v>0</v>
      </c>
      <c r="P205" s="2">
        <v>0</v>
      </c>
      <c r="Q205" s="2">
        <v>0</v>
      </c>
      <c r="R205" s="2">
        <v>0.59</v>
      </c>
      <c r="S205" s="2">
        <v>1</v>
      </c>
      <c r="T205" s="2">
        <v>1</v>
      </c>
      <c r="U205" s="2">
        <v>0.59</v>
      </c>
      <c r="V205" s="2">
        <v>0.59</v>
      </c>
      <c r="W205" s="2">
        <v>0.02</v>
      </c>
      <c r="X205" s="2">
        <v>0.01</v>
      </c>
      <c r="AA205" s="1" t="s">
        <v>16</v>
      </c>
      <c r="AB205" s="2">
        <v>555.94000000000005</v>
      </c>
      <c r="AC205" s="2">
        <v>126</v>
      </c>
      <c r="AD205" s="2">
        <v>307.72000000000003</v>
      </c>
      <c r="AE205" s="2">
        <v>110.88</v>
      </c>
      <c r="AF205" s="2">
        <v>39.200000000000003</v>
      </c>
      <c r="AG205" s="2">
        <v>518.98</v>
      </c>
      <c r="AH205" s="2">
        <v>231</v>
      </c>
      <c r="AI205" s="2">
        <v>356.72</v>
      </c>
      <c r="AJ205" s="2">
        <v>196.35</v>
      </c>
      <c r="AK205" s="2">
        <v>72.8</v>
      </c>
    </row>
    <row r="206" spans="14:37" x14ac:dyDescent="0.3">
      <c r="N206" s="1" t="s">
        <v>17</v>
      </c>
      <c r="O206" s="2">
        <v>0.27</v>
      </c>
      <c r="P206" s="2">
        <v>7.0000000000000007E-2</v>
      </c>
      <c r="Q206" s="2">
        <v>0.15</v>
      </c>
      <c r="R206" s="2">
        <v>0.23</v>
      </c>
      <c r="S206" s="2">
        <v>0.32</v>
      </c>
      <c r="T206" s="2">
        <v>0.21</v>
      </c>
      <c r="U206" s="2">
        <v>0.28000000000000003</v>
      </c>
      <c r="V206" s="2">
        <v>0</v>
      </c>
      <c r="W206" s="2">
        <v>0.27</v>
      </c>
      <c r="X206" s="2">
        <v>0.17</v>
      </c>
      <c r="AA206" s="1" t="s">
        <v>17</v>
      </c>
      <c r="AB206" s="2">
        <v>29.59</v>
      </c>
      <c r="AC206" s="2">
        <v>51</v>
      </c>
      <c r="AD206" s="2">
        <v>23.8</v>
      </c>
      <c r="AE206" s="2">
        <v>27.9</v>
      </c>
      <c r="AF206" s="2">
        <v>13.75</v>
      </c>
      <c r="AG206" s="2">
        <v>36.96</v>
      </c>
      <c r="AH206" s="2">
        <v>24.3</v>
      </c>
      <c r="AI206" s="2">
        <v>43.96</v>
      </c>
      <c r="AJ206" s="2">
        <v>32.01</v>
      </c>
      <c r="AK206" s="2">
        <v>11.2</v>
      </c>
    </row>
    <row r="207" spans="14:37" x14ac:dyDescent="0.3">
      <c r="N207" s="1" t="s">
        <v>18</v>
      </c>
      <c r="O207" s="2">
        <v>0.33</v>
      </c>
      <c r="P207" s="2">
        <v>0.09</v>
      </c>
      <c r="Q207" s="2">
        <v>0.21</v>
      </c>
      <c r="R207" s="2">
        <v>0.3</v>
      </c>
      <c r="S207" s="2">
        <v>0.39</v>
      </c>
      <c r="T207" s="2">
        <v>0.21</v>
      </c>
      <c r="U207" s="2">
        <v>0.28999999999999998</v>
      </c>
      <c r="V207" s="2">
        <v>0.04</v>
      </c>
      <c r="W207" s="2">
        <v>0.08</v>
      </c>
      <c r="X207" s="2">
        <v>0.18</v>
      </c>
      <c r="AA207" s="1" t="s">
        <v>18</v>
      </c>
      <c r="AB207" s="2">
        <v>88</v>
      </c>
      <c r="AC207" s="2">
        <v>126</v>
      </c>
      <c r="AD207" s="2">
        <v>78.34</v>
      </c>
      <c r="AE207" s="2">
        <v>126.6</v>
      </c>
      <c r="AF207" s="2">
        <v>19.2</v>
      </c>
      <c r="AG207" s="2">
        <v>91.08</v>
      </c>
      <c r="AH207" s="2">
        <v>115.03</v>
      </c>
      <c r="AI207" s="2">
        <v>133.86000000000001</v>
      </c>
      <c r="AJ207" s="2">
        <v>185.77</v>
      </c>
      <c r="AK207" s="2">
        <v>38.4</v>
      </c>
    </row>
    <row r="208" spans="14:37" x14ac:dyDescent="0.3">
      <c r="N208" s="1" t="s">
        <v>19</v>
      </c>
      <c r="O208" s="2">
        <v>0.28999999999999998</v>
      </c>
      <c r="P208" s="2">
        <v>0.2</v>
      </c>
      <c r="Q208" s="2">
        <v>0.24</v>
      </c>
      <c r="R208" s="2">
        <v>0.31</v>
      </c>
      <c r="S208" s="2">
        <v>0.36</v>
      </c>
      <c r="T208" s="2">
        <v>0.32</v>
      </c>
      <c r="U208" s="2">
        <v>0.16</v>
      </c>
      <c r="V208" s="2">
        <v>0.05</v>
      </c>
      <c r="W208" s="2">
        <v>0.16</v>
      </c>
      <c r="X208" s="2">
        <v>0.18</v>
      </c>
      <c r="AA208" s="1" t="s">
        <v>19</v>
      </c>
      <c r="AB208" s="2">
        <v>42.67</v>
      </c>
      <c r="AC208" s="2">
        <v>48</v>
      </c>
      <c r="AD208" s="2">
        <v>48.33</v>
      </c>
      <c r="AE208" s="2">
        <v>43.89</v>
      </c>
      <c r="AF208" s="2">
        <v>7.2</v>
      </c>
      <c r="AG208" s="2">
        <v>33.4</v>
      </c>
      <c r="AH208" s="2">
        <v>35.83</v>
      </c>
      <c r="AI208" s="2">
        <v>71.12</v>
      </c>
      <c r="AJ208" s="2">
        <v>43.89</v>
      </c>
      <c r="AK208" s="2">
        <v>6.08</v>
      </c>
    </row>
    <row r="209" spans="14:37" x14ac:dyDescent="0.3">
      <c r="N209" s="1" t="s">
        <v>20</v>
      </c>
      <c r="O209" s="2">
        <v>0.26</v>
      </c>
      <c r="P209" s="2">
        <v>0.27</v>
      </c>
      <c r="Q209" s="2">
        <v>0.27</v>
      </c>
      <c r="R209" s="2">
        <v>0.28999999999999998</v>
      </c>
      <c r="S209" s="2">
        <v>0.26</v>
      </c>
      <c r="T209" s="2">
        <v>0.28000000000000003</v>
      </c>
      <c r="U209" s="2">
        <v>7.0000000000000007E-2</v>
      </c>
      <c r="V209" s="2">
        <v>0.04</v>
      </c>
      <c r="W209" s="2">
        <v>0.26</v>
      </c>
      <c r="X209" s="2">
        <v>0.28999999999999998</v>
      </c>
      <c r="AA209" s="1" t="s">
        <v>20</v>
      </c>
      <c r="AB209" s="2">
        <v>129.72</v>
      </c>
      <c r="AC209" s="2">
        <v>225</v>
      </c>
      <c r="AD209" s="2">
        <v>219.8</v>
      </c>
      <c r="AE209" s="2">
        <v>179.85</v>
      </c>
      <c r="AF209" s="2">
        <v>68</v>
      </c>
      <c r="AG209" s="2">
        <v>120.07</v>
      </c>
      <c r="AH209" s="2">
        <v>216.83</v>
      </c>
      <c r="AI209" s="2">
        <v>152.6</v>
      </c>
      <c r="AJ209" s="2">
        <v>239.25</v>
      </c>
      <c r="AK209" s="2">
        <v>63.33</v>
      </c>
    </row>
    <row r="210" spans="14:37" x14ac:dyDescent="0.3">
      <c r="N210" s="1" t="s">
        <v>21</v>
      </c>
      <c r="O210" s="2">
        <v>0.28000000000000003</v>
      </c>
      <c r="P210" s="2">
        <v>0.26</v>
      </c>
      <c r="Q210" s="2">
        <v>0.31</v>
      </c>
      <c r="R210" s="2">
        <v>0.33</v>
      </c>
      <c r="S210" s="2">
        <v>0.37</v>
      </c>
      <c r="T210" s="2">
        <v>0.38</v>
      </c>
      <c r="U210" s="2">
        <v>0.16</v>
      </c>
      <c r="V210" s="2">
        <v>0.28000000000000003</v>
      </c>
      <c r="W210" s="2">
        <v>0.31</v>
      </c>
      <c r="X210" s="2">
        <v>0.27</v>
      </c>
      <c r="AA210" s="1" t="s">
        <v>21</v>
      </c>
      <c r="AB210" s="2">
        <v>28.04</v>
      </c>
      <c r="AC210" s="2">
        <v>21.79</v>
      </c>
      <c r="AD210" s="2">
        <v>54.66</v>
      </c>
      <c r="AE210" s="2">
        <v>32.01</v>
      </c>
      <c r="AF210" s="2">
        <v>5.6</v>
      </c>
      <c r="AG210" s="2">
        <v>13.33</v>
      </c>
      <c r="AH210" s="2">
        <v>20.99</v>
      </c>
      <c r="AI210" s="2">
        <v>43.87</v>
      </c>
      <c r="AJ210" s="2">
        <v>27.7</v>
      </c>
      <c r="AK210" s="2">
        <v>3.12</v>
      </c>
    </row>
    <row r="211" spans="14:37" x14ac:dyDescent="0.3">
      <c r="N211" s="1" t="s">
        <v>22</v>
      </c>
      <c r="O211" s="2">
        <v>0.28000000000000003</v>
      </c>
      <c r="P211" s="2">
        <v>0.27</v>
      </c>
      <c r="Q211" s="2">
        <v>0.22</v>
      </c>
      <c r="R211" s="2">
        <v>0.2</v>
      </c>
      <c r="S211" s="2">
        <v>0.26</v>
      </c>
      <c r="T211" s="2">
        <v>0.31</v>
      </c>
      <c r="U211" s="2">
        <v>0.1</v>
      </c>
      <c r="V211" s="2">
        <v>7.0000000000000007E-2</v>
      </c>
      <c r="W211" s="2">
        <v>0.13</v>
      </c>
      <c r="X211" s="2">
        <v>0.14000000000000001</v>
      </c>
      <c r="AA211" s="1" t="s">
        <v>22</v>
      </c>
      <c r="AB211" s="2">
        <v>119.53</v>
      </c>
      <c r="AC211" s="2">
        <v>113.85</v>
      </c>
      <c r="AD211" s="2">
        <v>157.74</v>
      </c>
      <c r="AE211" s="2">
        <v>178.49</v>
      </c>
      <c r="AF211" s="2">
        <v>19.32</v>
      </c>
      <c r="AG211" s="2">
        <v>158.4</v>
      </c>
      <c r="AH211" s="2">
        <v>108</v>
      </c>
      <c r="AI211" s="2">
        <v>137.72999999999999</v>
      </c>
      <c r="AJ211" s="2">
        <v>92.47</v>
      </c>
      <c r="AK211" s="2">
        <v>19.32</v>
      </c>
    </row>
    <row r="212" spans="14:37" x14ac:dyDescent="0.3">
      <c r="N212" s="1" t="s">
        <v>23</v>
      </c>
      <c r="O212" s="2">
        <v>0.08</v>
      </c>
      <c r="P212" s="2">
        <v>0.09</v>
      </c>
      <c r="Q212" s="2">
        <v>0.1</v>
      </c>
      <c r="R212" s="2">
        <v>0.01</v>
      </c>
      <c r="S212" s="2">
        <v>0.18</v>
      </c>
      <c r="T212" s="2">
        <v>0.18</v>
      </c>
      <c r="U212" s="2">
        <v>0.05</v>
      </c>
      <c r="V212" s="2">
        <v>0.59</v>
      </c>
      <c r="W212" s="2">
        <v>0.09</v>
      </c>
      <c r="X212" s="2">
        <v>0.21</v>
      </c>
      <c r="AA212" s="1" t="s">
        <v>23</v>
      </c>
      <c r="AB212" s="2">
        <v>230.34</v>
      </c>
      <c r="AC212" s="2">
        <v>108</v>
      </c>
      <c r="AD212" s="2">
        <v>152.88</v>
      </c>
      <c r="AE212" s="2">
        <v>60.39</v>
      </c>
      <c r="AF212" s="2">
        <v>33.6</v>
      </c>
      <c r="AG212" s="2">
        <v>182.82</v>
      </c>
      <c r="AH212" s="2">
        <v>27</v>
      </c>
      <c r="AI212" s="2">
        <v>111.72</v>
      </c>
      <c r="AJ212" s="2">
        <v>23.76</v>
      </c>
      <c r="AK212" s="2">
        <v>9.43</v>
      </c>
    </row>
    <row r="215" spans="14:37" x14ac:dyDescent="0.3">
      <c r="N215" t="s">
        <v>67</v>
      </c>
      <c r="AA215" t="s">
        <v>68</v>
      </c>
    </row>
    <row r="216" spans="14:37" x14ac:dyDescent="0.3">
      <c r="N216" s="1" t="s">
        <v>11</v>
      </c>
      <c r="O216" s="1" t="s">
        <v>12</v>
      </c>
      <c r="P216" s="1" t="s">
        <v>13</v>
      </c>
      <c r="Q216" s="1" t="s">
        <v>12</v>
      </c>
      <c r="R216" s="1" t="s">
        <v>13</v>
      </c>
      <c r="S216" s="1" t="s">
        <v>12</v>
      </c>
      <c r="T216" s="1" t="s">
        <v>13</v>
      </c>
      <c r="U216" s="1" t="s">
        <v>12</v>
      </c>
      <c r="V216" s="1" t="s">
        <v>13</v>
      </c>
      <c r="W216" s="1" t="s">
        <v>12</v>
      </c>
      <c r="X216" s="1" t="s">
        <v>13</v>
      </c>
      <c r="AA216" s="1" t="s">
        <v>11</v>
      </c>
      <c r="AB216" s="1" t="s">
        <v>12</v>
      </c>
      <c r="AC216" s="1" t="s">
        <v>13</v>
      </c>
      <c r="AD216" s="1" t="s">
        <v>12</v>
      </c>
      <c r="AE216" s="1" t="s">
        <v>13</v>
      </c>
      <c r="AF216" s="1" t="s">
        <v>12</v>
      </c>
      <c r="AG216" s="1" t="s">
        <v>13</v>
      </c>
      <c r="AH216" s="1" t="s">
        <v>12</v>
      </c>
      <c r="AI216" s="1" t="s">
        <v>13</v>
      </c>
      <c r="AJ216" s="1" t="s">
        <v>12</v>
      </c>
      <c r="AK216" s="1" t="s">
        <v>13</v>
      </c>
    </row>
    <row r="217" spans="14:37" x14ac:dyDescent="0.3">
      <c r="N217" s="1" t="s">
        <v>14</v>
      </c>
      <c r="O217" s="1" t="s">
        <v>1</v>
      </c>
      <c r="P217" s="1" t="s">
        <v>1</v>
      </c>
      <c r="Q217" s="1" t="s">
        <v>2</v>
      </c>
      <c r="R217" s="1" t="s">
        <v>2</v>
      </c>
      <c r="S217" s="1" t="s">
        <v>3</v>
      </c>
      <c r="T217" s="1" t="s">
        <v>3</v>
      </c>
      <c r="U217" s="1" t="s">
        <v>4</v>
      </c>
      <c r="V217" s="1" t="s">
        <v>4</v>
      </c>
      <c r="W217" s="1" t="s">
        <v>5</v>
      </c>
      <c r="X217" s="1" t="s">
        <v>5</v>
      </c>
      <c r="AA217" s="1" t="s">
        <v>14</v>
      </c>
      <c r="AB217" s="1" t="s">
        <v>1</v>
      </c>
      <c r="AC217" s="1" t="s">
        <v>1</v>
      </c>
      <c r="AD217" s="1" t="s">
        <v>2</v>
      </c>
      <c r="AE217" s="1" t="s">
        <v>2</v>
      </c>
      <c r="AF217" s="1" t="s">
        <v>3</v>
      </c>
      <c r="AG217" s="1" t="s">
        <v>3</v>
      </c>
      <c r="AH217" s="1" t="s">
        <v>4</v>
      </c>
      <c r="AI217" s="1" t="s">
        <v>4</v>
      </c>
      <c r="AJ217" s="1" t="s">
        <v>5</v>
      </c>
      <c r="AK217" s="1" t="s">
        <v>5</v>
      </c>
    </row>
    <row r="218" spans="14:37" x14ac:dyDescent="0.3">
      <c r="N218" s="1" t="s">
        <v>15</v>
      </c>
      <c r="AA218" s="1" t="s">
        <v>15</v>
      </c>
    </row>
    <row r="219" spans="14:37" x14ac:dyDescent="0.3">
      <c r="N219" s="1" t="s">
        <v>16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0.01</v>
      </c>
      <c r="X219" s="2">
        <v>0</v>
      </c>
      <c r="AA219" s="1" t="s">
        <v>16</v>
      </c>
      <c r="AB219" s="2">
        <v>252.7</v>
      </c>
      <c r="AC219" s="2">
        <v>235.9</v>
      </c>
      <c r="AD219" s="2">
        <v>50.4</v>
      </c>
      <c r="AE219" s="2">
        <v>92.4</v>
      </c>
      <c r="AF219" s="2">
        <v>109.9</v>
      </c>
      <c r="AG219" s="2">
        <v>127.4</v>
      </c>
      <c r="AH219" s="2">
        <v>33.6</v>
      </c>
      <c r="AI219" s="2">
        <v>59.5</v>
      </c>
      <c r="AJ219" s="2">
        <v>49</v>
      </c>
      <c r="AK219" s="2">
        <v>91</v>
      </c>
    </row>
    <row r="220" spans="14:37" x14ac:dyDescent="0.3">
      <c r="N220" s="1" t="s">
        <v>17</v>
      </c>
      <c r="O220" s="2">
        <v>0.64</v>
      </c>
      <c r="P220" s="2">
        <v>0.09</v>
      </c>
      <c r="Q220" s="2">
        <v>0.19</v>
      </c>
      <c r="R220" s="2">
        <v>0.67</v>
      </c>
      <c r="S220" s="2">
        <v>0.69</v>
      </c>
      <c r="T220" s="2">
        <v>0.32</v>
      </c>
      <c r="U220" s="2">
        <v>0.98</v>
      </c>
      <c r="V220" s="2">
        <v>0</v>
      </c>
      <c r="W220" s="2">
        <v>0.23</v>
      </c>
      <c r="X220" s="2">
        <v>0.1</v>
      </c>
      <c r="AA220" s="1" t="s">
        <v>17</v>
      </c>
      <c r="AB220" s="2">
        <v>13.45</v>
      </c>
      <c r="AC220" s="2">
        <v>16.8</v>
      </c>
      <c r="AD220" s="2">
        <v>20.399999999999999</v>
      </c>
      <c r="AE220" s="2">
        <v>9.7200000000000006</v>
      </c>
      <c r="AF220" s="2">
        <v>8.5</v>
      </c>
      <c r="AG220" s="2">
        <v>15.7</v>
      </c>
      <c r="AH220" s="2">
        <v>8.4600000000000009</v>
      </c>
      <c r="AI220" s="2">
        <v>9.6999999999999993</v>
      </c>
      <c r="AJ220" s="2">
        <v>17.190000000000001</v>
      </c>
      <c r="AK220" s="2">
        <v>14</v>
      </c>
    </row>
    <row r="221" spans="14:37" x14ac:dyDescent="0.3">
      <c r="N221" s="1" t="s">
        <v>18</v>
      </c>
      <c r="O221" s="2">
        <v>1.95</v>
      </c>
      <c r="P221" s="2">
        <v>0.22</v>
      </c>
      <c r="Q221" s="2">
        <v>0.56999999999999995</v>
      </c>
      <c r="R221" s="2">
        <v>1.17</v>
      </c>
      <c r="S221" s="2">
        <v>2.4</v>
      </c>
      <c r="T221" s="2">
        <v>0.4</v>
      </c>
      <c r="U221" s="2">
        <v>1.73</v>
      </c>
      <c r="V221" s="2">
        <v>0.06</v>
      </c>
      <c r="W221" s="2">
        <v>0.06</v>
      </c>
      <c r="X221" s="2">
        <v>0.17</v>
      </c>
      <c r="AA221" s="1" t="s">
        <v>18</v>
      </c>
      <c r="AB221" s="2">
        <v>40</v>
      </c>
      <c r="AC221" s="2">
        <v>41.4</v>
      </c>
      <c r="AD221" s="2">
        <v>50.4</v>
      </c>
      <c r="AE221" s="2">
        <v>46.01</v>
      </c>
      <c r="AF221" s="2">
        <v>27.98</v>
      </c>
      <c r="AG221" s="2">
        <v>47.81</v>
      </c>
      <c r="AH221" s="2">
        <v>38.36</v>
      </c>
      <c r="AI221" s="2">
        <v>56.29</v>
      </c>
      <c r="AJ221" s="2">
        <v>24</v>
      </c>
      <c r="AK221" s="2">
        <v>48</v>
      </c>
    </row>
    <row r="222" spans="14:37" x14ac:dyDescent="0.3">
      <c r="N222" s="1" t="s">
        <v>19</v>
      </c>
      <c r="O222" s="2">
        <v>0.73</v>
      </c>
      <c r="P222" s="2">
        <v>0.47</v>
      </c>
      <c r="Q222" s="2">
        <v>0.48</v>
      </c>
      <c r="R222" s="2">
        <v>0.87</v>
      </c>
      <c r="S222" s="2">
        <v>1.1499999999999999</v>
      </c>
      <c r="T222" s="2">
        <v>0.71</v>
      </c>
      <c r="U222" s="2">
        <v>0.28000000000000003</v>
      </c>
      <c r="V222" s="2">
        <v>0.05</v>
      </c>
      <c r="W222" s="2">
        <v>0.1</v>
      </c>
      <c r="X222" s="2">
        <v>0.13</v>
      </c>
      <c r="AA222" s="1" t="s">
        <v>19</v>
      </c>
      <c r="AB222" s="2">
        <v>19.39</v>
      </c>
      <c r="AC222" s="2">
        <v>15.18</v>
      </c>
      <c r="AD222" s="2">
        <v>19.2</v>
      </c>
      <c r="AE222" s="2">
        <v>14.33</v>
      </c>
      <c r="AF222" s="2">
        <v>17.260000000000002</v>
      </c>
      <c r="AG222" s="2">
        <v>25.4</v>
      </c>
      <c r="AH222" s="2">
        <v>13.3</v>
      </c>
      <c r="AI222" s="2">
        <v>13.3</v>
      </c>
      <c r="AJ222" s="2">
        <v>9</v>
      </c>
      <c r="AK222" s="2">
        <v>7.59</v>
      </c>
    </row>
    <row r="223" spans="14:37" x14ac:dyDescent="0.3">
      <c r="N223" s="1" t="s">
        <v>20</v>
      </c>
      <c r="O223" s="2">
        <v>0.66</v>
      </c>
      <c r="P223" s="2">
        <v>0.67</v>
      </c>
      <c r="Q223" s="2">
        <v>0.76</v>
      </c>
      <c r="R223" s="2">
        <v>0.83</v>
      </c>
      <c r="S223" s="2">
        <v>0.47</v>
      </c>
      <c r="T223" s="2">
        <v>0.49</v>
      </c>
      <c r="U223" s="2">
        <v>0.09</v>
      </c>
      <c r="V223" s="2">
        <v>0.03</v>
      </c>
      <c r="W223" s="2">
        <v>0.23</v>
      </c>
      <c r="X223" s="2">
        <v>0.27</v>
      </c>
      <c r="AA223" s="1" t="s">
        <v>20</v>
      </c>
      <c r="AB223" s="2">
        <v>58.96</v>
      </c>
      <c r="AC223" s="2">
        <v>54.58</v>
      </c>
      <c r="AD223" s="2">
        <v>90</v>
      </c>
      <c r="AE223" s="2">
        <v>86.73</v>
      </c>
      <c r="AF223" s="2">
        <v>78.5</v>
      </c>
      <c r="AG223" s="2">
        <v>54.5</v>
      </c>
      <c r="AH223" s="2">
        <v>54.5</v>
      </c>
      <c r="AI223" s="2">
        <v>72.5</v>
      </c>
      <c r="AJ223" s="2">
        <v>85</v>
      </c>
      <c r="AK223" s="2">
        <v>79.16</v>
      </c>
    </row>
    <row r="224" spans="14:37" x14ac:dyDescent="0.3">
      <c r="N224" s="1" t="s">
        <v>21</v>
      </c>
      <c r="O224" s="2">
        <v>0.67</v>
      </c>
      <c r="P224" s="2">
        <v>0.63</v>
      </c>
      <c r="Q224" s="2">
        <v>0.86</v>
      </c>
      <c r="R224" s="2">
        <v>0.82</v>
      </c>
      <c r="S224" s="2">
        <v>0.93</v>
      </c>
      <c r="T224" s="2">
        <v>0.93</v>
      </c>
      <c r="U224" s="2">
        <v>0.23</v>
      </c>
      <c r="V224" s="2">
        <v>0.62</v>
      </c>
      <c r="W224" s="2">
        <v>0.28000000000000003</v>
      </c>
      <c r="X224" s="2">
        <v>0.25</v>
      </c>
      <c r="AA224" s="1" t="s">
        <v>21</v>
      </c>
      <c r="AB224" s="2">
        <v>12.74</v>
      </c>
      <c r="AC224" s="2">
        <v>6.06</v>
      </c>
      <c r="AD224" s="2">
        <v>8.7200000000000006</v>
      </c>
      <c r="AE224" s="2">
        <v>8.39</v>
      </c>
      <c r="AF224" s="2">
        <v>19.52</v>
      </c>
      <c r="AG224" s="2">
        <v>15.67</v>
      </c>
      <c r="AH224" s="2">
        <v>9.6999999999999993</v>
      </c>
      <c r="AI224" s="2">
        <v>8.4</v>
      </c>
      <c r="AJ224" s="2">
        <v>7</v>
      </c>
      <c r="AK224" s="2">
        <v>3.9</v>
      </c>
    </row>
    <row r="225" spans="14:37" x14ac:dyDescent="0.3">
      <c r="N225" s="1" t="s">
        <v>22</v>
      </c>
      <c r="O225" s="2">
        <v>0.86</v>
      </c>
      <c r="P225" s="2">
        <v>0.8</v>
      </c>
      <c r="Q225" s="2">
        <v>0.64</v>
      </c>
      <c r="R225" s="2">
        <v>0.5</v>
      </c>
      <c r="S225" s="2">
        <v>0.62</v>
      </c>
      <c r="T225" s="2">
        <v>0.81</v>
      </c>
      <c r="U225" s="2">
        <v>0.2</v>
      </c>
      <c r="V225" s="2">
        <v>0.08</v>
      </c>
      <c r="W225" s="2">
        <v>0.12</v>
      </c>
      <c r="X225" s="2">
        <v>0.14000000000000001</v>
      </c>
      <c r="AA225" s="1" t="s">
        <v>22</v>
      </c>
      <c r="AB225" s="2">
        <v>54.33</v>
      </c>
      <c r="AC225" s="2">
        <v>72</v>
      </c>
      <c r="AD225" s="2">
        <v>45.54</v>
      </c>
      <c r="AE225" s="2">
        <v>43.2</v>
      </c>
      <c r="AF225" s="2">
        <v>56.34</v>
      </c>
      <c r="AG225" s="2">
        <v>49.19</v>
      </c>
      <c r="AH225" s="2">
        <v>54.09</v>
      </c>
      <c r="AI225" s="2">
        <v>28.02</v>
      </c>
      <c r="AJ225" s="2">
        <v>24.15</v>
      </c>
      <c r="AK225" s="2">
        <v>24.15</v>
      </c>
    </row>
    <row r="226" spans="14:37" x14ac:dyDescent="0.3">
      <c r="N226" s="1" t="s">
        <v>23</v>
      </c>
      <c r="O226" s="2">
        <v>0.1</v>
      </c>
      <c r="P226" s="2">
        <v>0.1</v>
      </c>
      <c r="Q226" s="2">
        <v>0.17</v>
      </c>
      <c r="R226" s="2">
        <v>0</v>
      </c>
      <c r="S226" s="2">
        <v>0.19</v>
      </c>
      <c r="T226" s="2">
        <v>0.15</v>
      </c>
      <c r="U226" s="2">
        <v>0.08</v>
      </c>
      <c r="V226" s="2">
        <v>0</v>
      </c>
      <c r="W226" s="2">
        <v>0.04</v>
      </c>
      <c r="X226" s="2">
        <v>0.17</v>
      </c>
      <c r="AA226" s="1" t="s">
        <v>23</v>
      </c>
      <c r="AB226" s="2">
        <v>104.7</v>
      </c>
      <c r="AC226" s="2">
        <v>83.1</v>
      </c>
      <c r="AD226" s="2">
        <v>43.2</v>
      </c>
      <c r="AE226" s="2">
        <v>10.8</v>
      </c>
      <c r="AF226" s="2">
        <v>54.6</v>
      </c>
      <c r="AG226" s="2">
        <v>39.9</v>
      </c>
      <c r="AH226" s="2">
        <v>18.3</v>
      </c>
      <c r="AI226" s="2">
        <v>7.2</v>
      </c>
      <c r="AJ226" s="2">
        <v>42</v>
      </c>
      <c r="AK226" s="2">
        <v>11.78</v>
      </c>
    </row>
  </sheetData>
  <mergeCells count="18">
    <mergeCell ref="AG202:AK202"/>
    <mergeCell ref="AG90:AK90"/>
    <mergeCell ref="AB202:AF202"/>
    <mergeCell ref="O146:S146"/>
    <mergeCell ref="AB118:AF118"/>
    <mergeCell ref="AG146:AK146"/>
    <mergeCell ref="O118:S118"/>
    <mergeCell ref="O174:S174"/>
    <mergeCell ref="T90:X90"/>
    <mergeCell ref="AG174:AK174"/>
    <mergeCell ref="AB90:AF90"/>
    <mergeCell ref="T118:X118"/>
    <mergeCell ref="O90:S90"/>
    <mergeCell ref="T146:X146"/>
    <mergeCell ref="AB174:AF174"/>
    <mergeCell ref="AG118:AK118"/>
    <mergeCell ref="T174:X174"/>
    <mergeCell ref="AB146:AF146"/>
  </mergeCells>
  <conditionalFormatting sqref="C9:L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X226"/>
  <sheetViews>
    <sheetView workbookViewId="0">
      <selection activeCell="J14" sqref="J14"/>
    </sheetView>
  </sheetViews>
  <sheetFormatPr defaultRowHeight="14.4" x14ac:dyDescent="0.3"/>
  <sheetData>
    <row r="1" spans="2:50" x14ac:dyDescent="0.3">
      <c r="B1" t="s">
        <v>0</v>
      </c>
    </row>
    <row r="2" spans="2:5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50" x14ac:dyDescent="0.3">
      <c r="B3" s="1" t="s">
        <v>6</v>
      </c>
      <c r="C3">
        <v>2.2000000000000002</v>
      </c>
      <c r="D3">
        <v>2.5</v>
      </c>
      <c r="E3">
        <v>2.8</v>
      </c>
      <c r="F3">
        <v>3.3</v>
      </c>
      <c r="G3">
        <v>0.8</v>
      </c>
    </row>
    <row r="5" spans="2:50" x14ac:dyDescent="0.3">
      <c r="B5" t="s">
        <v>7</v>
      </c>
      <c r="N5" t="s">
        <v>8</v>
      </c>
      <c r="AA5" t="s">
        <v>9</v>
      </c>
      <c r="AN5" t="s">
        <v>10</v>
      </c>
    </row>
    <row r="6" spans="2:50" x14ac:dyDescent="0.3">
      <c r="B6" s="1" t="s">
        <v>11</v>
      </c>
      <c r="C6" s="1" t="s">
        <v>12</v>
      </c>
      <c r="D6" s="1" t="s">
        <v>13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12</v>
      </c>
      <c r="J6" s="1" t="s">
        <v>13</v>
      </c>
      <c r="K6" s="1" t="s">
        <v>12</v>
      </c>
      <c r="L6" s="1" t="s">
        <v>13</v>
      </c>
      <c r="N6" s="1" t="s">
        <v>11</v>
      </c>
      <c r="O6" s="1" t="s">
        <v>12</v>
      </c>
      <c r="P6" s="1" t="s">
        <v>13</v>
      </c>
      <c r="Q6" s="1" t="s">
        <v>12</v>
      </c>
      <c r="R6" s="1" t="s">
        <v>13</v>
      </c>
      <c r="S6" s="1" t="s">
        <v>12</v>
      </c>
      <c r="T6" s="1" t="s">
        <v>13</v>
      </c>
      <c r="U6" s="1" t="s">
        <v>12</v>
      </c>
      <c r="V6" s="1" t="s">
        <v>13</v>
      </c>
      <c r="W6" s="1" t="s">
        <v>12</v>
      </c>
      <c r="X6" s="1" t="s">
        <v>13</v>
      </c>
      <c r="AA6" s="1" t="s">
        <v>11</v>
      </c>
      <c r="AB6" s="1" t="s">
        <v>12</v>
      </c>
      <c r="AC6" s="1" t="s">
        <v>13</v>
      </c>
      <c r="AD6" s="1" t="s">
        <v>12</v>
      </c>
      <c r="AE6" s="1" t="s">
        <v>13</v>
      </c>
      <c r="AF6" s="1" t="s">
        <v>12</v>
      </c>
      <c r="AG6" s="1" t="s">
        <v>13</v>
      </c>
      <c r="AH6" s="1" t="s">
        <v>12</v>
      </c>
      <c r="AI6" s="1" t="s">
        <v>13</v>
      </c>
      <c r="AJ6" s="1" t="s">
        <v>12</v>
      </c>
      <c r="AK6" s="1" t="s">
        <v>13</v>
      </c>
      <c r="AN6" s="1" t="s">
        <v>11</v>
      </c>
      <c r="AO6" s="1" t="s">
        <v>12</v>
      </c>
      <c r="AP6" s="1" t="s">
        <v>13</v>
      </c>
      <c r="AQ6" s="1" t="s">
        <v>12</v>
      </c>
      <c r="AR6" s="1" t="s">
        <v>13</v>
      </c>
      <c r="AS6" s="1" t="s">
        <v>12</v>
      </c>
      <c r="AT6" s="1" t="s">
        <v>13</v>
      </c>
      <c r="AU6" s="1" t="s">
        <v>12</v>
      </c>
      <c r="AV6" s="1" t="s">
        <v>13</v>
      </c>
      <c r="AW6" s="1" t="s">
        <v>12</v>
      </c>
      <c r="AX6" s="1" t="s">
        <v>13</v>
      </c>
    </row>
    <row r="7" spans="2:50" x14ac:dyDescent="0.3">
      <c r="B7" s="1" t="s">
        <v>14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N7" s="1" t="s">
        <v>14</v>
      </c>
      <c r="O7" s="1" t="s">
        <v>1</v>
      </c>
      <c r="P7" s="1" t="s">
        <v>1</v>
      </c>
      <c r="Q7" s="1" t="s">
        <v>2</v>
      </c>
      <c r="R7" s="1" t="s">
        <v>2</v>
      </c>
      <c r="S7" s="1" t="s">
        <v>3</v>
      </c>
      <c r="T7" s="1" t="s">
        <v>3</v>
      </c>
      <c r="U7" s="1" t="s">
        <v>4</v>
      </c>
      <c r="V7" s="1" t="s">
        <v>4</v>
      </c>
      <c r="W7" s="1" t="s">
        <v>5</v>
      </c>
      <c r="X7" s="1" t="s">
        <v>5</v>
      </c>
      <c r="AA7" s="1" t="s">
        <v>14</v>
      </c>
      <c r="AB7" s="1" t="s">
        <v>1</v>
      </c>
      <c r="AC7" s="1" t="s">
        <v>1</v>
      </c>
      <c r="AD7" s="1" t="s">
        <v>2</v>
      </c>
      <c r="AE7" s="1" t="s">
        <v>2</v>
      </c>
      <c r="AF7" s="1" t="s">
        <v>3</v>
      </c>
      <c r="AG7" s="1" t="s">
        <v>3</v>
      </c>
      <c r="AH7" s="1" t="s">
        <v>4</v>
      </c>
      <c r="AI7" s="1" t="s">
        <v>4</v>
      </c>
      <c r="AJ7" s="1" t="s">
        <v>5</v>
      </c>
      <c r="AK7" s="1" t="s">
        <v>5</v>
      </c>
      <c r="AN7" s="1" t="s">
        <v>14</v>
      </c>
      <c r="AO7" s="1" t="s">
        <v>1</v>
      </c>
      <c r="AP7" s="1" t="s">
        <v>1</v>
      </c>
      <c r="AQ7" s="1" t="s">
        <v>2</v>
      </c>
      <c r="AR7" s="1" t="s">
        <v>2</v>
      </c>
      <c r="AS7" s="1" t="s">
        <v>3</v>
      </c>
      <c r="AT7" s="1" t="s">
        <v>3</v>
      </c>
      <c r="AU7" s="1" t="s">
        <v>4</v>
      </c>
      <c r="AV7" s="1" t="s">
        <v>4</v>
      </c>
      <c r="AW7" s="1" t="s">
        <v>5</v>
      </c>
      <c r="AX7" s="1" t="s">
        <v>5</v>
      </c>
    </row>
    <row r="8" spans="2:50" x14ac:dyDescent="0.3">
      <c r="B8" s="1" t="s">
        <v>15</v>
      </c>
      <c r="N8" s="1" t="s">
        <v>15</v>
      </c>
      <c r="AA8" s="1" t="s">
        <v>15</v>
      </c>
      <c r="AN8" s="1" t="s">
        <v>15</v>
      </c>
    </row>
    <row r="9" spans="2:50" x14ac:dyDescent="0.3">
      <c r="B9" s="1" t="s">
        <v>16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N9" s="1" t="s">
        <v>16</v>
      </c>
      <c r="O9" s="2">
        <v>4641.72</v>
      </c>
      <c r="P9" s="2">
        <v>4653.9399999999996</v>
      </c>
      <c r="Q9" s="2">
        <v>6439.75</v>
      </c>
      <c r="R9" s="2">
        <v>3007.44</v>
      </c>
      <c r="S9" s="2">
        <v>4096.3599999999997</v>
      </c>
      <c r="T9" s="2">
        <v>3579.09</v>
      </c>
      <c r="U9" s="2">
        <v>2929.91</v>
      </c>
      <c r="V9" s="2">
        <v>2070.83</v>
      </c>
      <c r="W9" s="2">
        <v>1798.9</v>
      </c>
      <c r="X9" s="2">
        <v>1435.62</v>
      </c>
      <c r="AA9" s="1" t="s">
        <v>16</v>
      </c>
      <c r="AB9" s="2">
        <v>44117.760000000002</v>
      </c>
      <c r="AC9" s="2">
        <v>43782.14</v>
      </c>
      <c r="AD9" s="2">
        <v>58873.75</v>
      </c>
      <c r="AE9" s="2">
        <v>47194.81</v>
      </c>
      <c r="AF9" s="2">
        <v>42865.24</v>
      </c>
      <c r="AG9" s="2">
        <v>38202.230000000003</v>
      </c>
      <c r="AH9" s="2">
        <v>45600.88</v>
      </c>
      <c r="AI9" s="2">
        <v>39197.32</v>
      </c>
      <c r="AJ9" s="2">
        <v>16423.5</v>
      </c>
      <c r="AK9" s="2">
        <v>13393.18</v>
      </c>
      <c r="AN9" s="1" t="s">
        <v>16</v>
      </c>
      <c r="AO9" s="2">
        <v>48759.48</v>
      </c>
      <c r="AP9" s="2">
        <v>48436.08</v>
      </c>
      <c r="AQ9" s="2">
        <v>65313.5</v>
      </c>
      <c r="AR9" s="2">
        <v>50202.25</v>
      </c>
      <c r="AS9" s="2">
        <v>46961.599999999999</v>
      </c>
      <c r="AT9" s="2">
        <v>41781.32</v>
      </c>
      <c r="AU9" s="2">
        <v>48530.79</v>
      </c>
      <c r="AV9" s="2">
        <v>41268.15</v>
      </c>
      <c r="AW9" s="2">
        <v>18222.400000000001</v>
      </c>
      <c r="AX9" s="2">
        <v>14828.8</v>
      </c>
    </row>
    <row r="10" spans="2:50" x14ac:dyDescent="0.3">
      <c r="B10" s="1" t="s">
        <v>17</v>
      </c>
      <c r="C10" s="2">
        <v>2.1</v>
      </c>
      <c r="D10" s="2">
        <v>1.58</v>
      </c>
      <c r="E10" s="2">
        <v>1.65</v>
      </c>
      <c r="F10" s="2">
        <v>2.1</v>
      </c>
      <c r="G10" s="2">
        <v>2.1</v>
      </c>
      <c r="H10" s="2">
        <v>2.1</v>
      </c>
      <c r="I10" s="2">
        <v>2.1</v>
      </c>
      <c r="J10" s="2">
        <v>0.9</v>
      </c>
      <c r="K10" s="2">
        <v>2.1</v>
      </c>
      <c r="L10" s="2">
        <v>1.9</v>
      </c>
      <c r="N10" s="1" t="s">
        <v>17</v>
      </c>
      <c r="O10" s="2">
        <v>3483.19</v>
      </c>
      <c r="P10" s="2">
        <v>1868.6</v>
      </c>
      <c r="Q10" s="2">
        <v>3664.58</v>
      </c>
      <c r="R10" s="2">
        <v>2669.42</v>
      </c>
      <c r="S10" s="2">
        <v>5829.56</v>
      </c>
      <c r="T10" s="2">
        <v>2852.73</v>
      </c>
      <c r="U10" s="2">
        <v>5863.87</v>
      </c>
      <c r="V10" s="2">
        <v>1434.52</v>
      </c>
      <c r="W10" s="2">
        <v>1266.81</v>
      </c>
      <c r="X10" s="2">
        <v>761.6</v>
      </c>
      <c r="AA10" s="1" t="s">
        <v>17</v>
      </c>
      <c r="AB10" s="2">
        <v>14068.85</v>
      </c>
      <c r="AC10" s="2">
        <v>11058.82</v>
      </c>
      <c r="AD10" s="2">
        <v>23146.92</v>
      </c>
      <c r="AE10" s="2">
        <v>9658.9</v>
      </c>
      <c r="AF10" s="2">
        <v>24410.44</v>
      </c>
      <c r="AG10" s="2">
        <v>12450.67</v>
      </c>
      <c r="AH10" s="2">
        <v>24397.98</v>
      </c>
      <c r="AI10" s="2">
        <v>15680.27</v>
      </c>
      <c r="AJ10" s="2">
        <v>5347.59</v>
      </c>
      <c r="AK10" s="2">
        <v>4508.8</v>
      </c>
      <c r="AN10" s="1" t="s">
        <v>17</v>
      </c>
      <c r="AO10" s="2">
        <v>17552.05</v>
      </c>
      <c r="AP10" s="2">
        <v>12927.42</v>
      </c>
      <c r="AQ10" s="2">
        <v>26811.5</v>
      </c>
      <c r="AR10" s="2">
        <v>12328.32</v>
      </c>
      <c r="AS10" s="2">
        <v>30240</v>
      </c>
      <c r="AT10" s="2">
        <v>15303.4</v>
      </c>
      <c r="AU10" s="2">
        <v>30261.84</v>
      </c>
      <c r="AV10" s="2">
        <v>17114.79</v>
      </c>
      <c r="AW10" s="2">
        <v>6614.4</v>
      </c>
      <c r="AX10" s="2">
        <v>5270.4</v>
      </c>
    </row>
    <row r="11" spans="2:50" x14ac:dyDescent="0.3">
      <c r="B11" s="1" t="s">
        <v>18</v>
      </c>
      <c r="C11" s="2">
        <v>6.3</v>
      </c>
      <c r="D11" s="2">
        <v>2.1</v>
      </c>
      <c r="E11" s="2">
        <v>4.2</v>
      </c>
      <c r="F11" s="2">
        <v>6.3</v>
      </c>
      <c r="G11" s="2">
        <v>6.3</v>
      </c>
      <c r="H11" s="2">
        <v>2.1</v>
      </c>
      <c r="I11" s="2">
        <v>6.2</v>
      </c>
      <c r="J11" s="2">
        <v>1.31</v>
      </c>
      <c r="K11" s="2">
        <v>2.1</v>
      </c>
      <c r="L11" s="2">
        <v>2.1</v>
      </c>
      <c r="N11" s="1" t="s">
        <v>18</v>
      </c>
      <c r="O11" s="2">
        <v>16125.21</v>
      </c>
      <c r="P11" s="2">
        <v>8512.94</v>
      </c>
      <c r="Q11" s="2">
        <v>12631.54</v>
      </c>
      <c r="R11" s="2">
        <v>13350.41</v>
      </c>
      <c r="S11" s="2">
        <v>22390.39</v>
      </c>
      <c r="T11" s="2">
        <v>15452.6</v>
      </c>
      <c r="U11" s="2">
        <v>18458.330000000002</v>
      </c>
      <c r="V11" s="2">
        <v>12618.84</v>
      </c>
      <c r="W11" s="2">
        <v>2139.29</v>
      </c>
      <c r="X11" s="2">
        <v>3315.05</v>
      </c>
      <c r="AA11" s="1" t="s">
        <v>18</v>
      </c>
      <c r="AB11" s="2">
        <v>58948.82</v>
      </c>
      <c r="AC11" s="2">
        <v>29410.5</v>
      </c>
      <c r="AD11" s="2">
        <v>90971.21</v>
      </c>
      <c r="AE11" s="2">
        <v>46299.91</v>
      </c>
      <c r="AF11" s="2">
        <v>92636.27</v>
      </c>
      <c r="AG11" s="2">
        <v>67775.13</v>
      </c>
      <c r="AH11" s="2">
        <v>103744.54</v>
      </c>
      <c r="AI11" s="2">
        <v>78446.34</v>
      </c>
      <c r="AJ11" s="2">
        <v>11029.51</v>
      </c>
      <c r="AK11" s="2">
        <v>12246.55</v>
      </c>
      <c r="AN11" s="1" t="s">
        <v>18</v>
      </c>
      <c r="AO11" s="2">
        <v>75074.03</v>
      </c>
      <c r="AP11" s="2">
        <v>37923.440000000002</v>
      </c>
      <c r="AQ11" s="2">
        <v>103602.75</v>
      </c>
      <c r="AR11" s="2">
        <v>59650.32</v>
      </c>
      <c r="AS11" s="2">
        <v>115026.66</v>
      </c>
      <c r="AT11" s="2">
        <v>83227.72</v>
      </c>
      <c r="AU11" s="2">
        <v>122202.88</v>
      </c>
      <c r="AV11" s="2">
        <v>91065.17</v>
      </c>
      <c r="AW11" s="2">
        <v>13168.8</v>
      </c>
      <c r="AX11" s="2">
        <v>15561.6</v>
      </c>
    </row>
    <row r="12" spans="2:50" x14ac:dyDescent="0.3">
      <c r="B12" s="1" t="s">
        <v>19</v>
      </c>
      <c r="C12" s="2">
        <v>2.1</v>
      </c>
      <c r="D12" s="2">
        <v>2.1</v>
      </c>
      <c r="E12" s="2">
        <v>2.1</v>
      </c>
      <c r="F12" s="2">
        <v>2.1</v>
      </c>
      <c r="G12" s="2">
        <v>3.74</v>
      </c>
      <c r="H12" s="2">
        <v>2.1</v>
      </c>
      <c r="I12" s="2">
        <v>1.87</v>
      </c>
      <c r="J12" s="2">
        <v>0.81</v>
      </c>
      <c r="K12" s="2">
        <v>2.09</v>
      </c>
      <c r="L12" s="2">
        <v>2.1</v>
      </c>
      <c r="N12" s="1" t="s">
        <v>19</v>
      </c>
      <c r="O12" s="2">
        <v>3537.98</v>
      </c>
      <c r="P12" s="2">
        <v>2638.88</v>
      </c>
      <c r="Q12" s="2">
        <v>4701.99</v>
      </c>
      <c r="R12" s="2">
        <v>4416.8900000000003</v>
      </c>
      <c r="S12" s="2">
        <v>4105.88</v>
      </c>
      <c r="T12" s="2">
        <v>5604.27</v>
      </c>
      <c r="U12" s="2">
        <v>4713.3</v>
      </c>
      <c r="V12" s="2">
        <v>4120.28</v>
      </c>
      <c r="W12" s="2">
        <v>591.76</v>
      </c>
      <c r="X12" s="2">
        <v>659</v>
      </c>
      <c r="AA12" s="1" t="s">
        <v>19</v>
      </c>
      <c r="AB12" s="2">
        <v>15447.67</v>
      </c>
      <c r="AC12" s="2">
        <v>10843.74</v>
      </c>
      <c r="AD12" s="2">
        <v>27515.26</v>
      </c>
      <c r="AE12" s="2">
        <v>20310.96</v>
      </c>
      <c r="AF12" s="2">
        <v>25854.12</v>
      </c>
      <c r="AG12" s="2">
        <v>24355.73</v>
      </c>
      <c r="AH12" s="2">
        <v>29055.599999999999</v>
      </c>
      <c r="AI12" s="2">
        <v>25201.21</v>
      </c>
      <c r="AJ12" s="2">
        <v>3763.44</v>
      </c>
      <c r="AK12" s="2">
        <v>3724.84</v>
      </c>
      <c r="AN12" s="1" t="s">
        <v>19</v>
      </c>
      <c r="AO12" s="2">
        <v>18985.650000000001</v>
      </c>
      <c r="AP12" s="2">
        <v>13482.62</v>
      </c>
      <c r="AQ12" s="2">
        <v>32217.25</v>
      </c>
      <c r="AR12" s="2">
        <v>24727.85</v>
      </c>
      <c r="AS12" s="2">
        <v>29960</v>
      </c>
      <c r="AT12" s="2">
        <v>29960</v>
      </c>
      <c r="AU12" s="2">
        <v>33768.9</v>
      </c>
      <c r="AV12" s="2">
        <v>29321.49</v>
      </c>
      <c r="AW12" s="2">
        <v>4355.2</v>
      </c>
      <c r="AX12" s="2">
        <v>4383.84</v>
      </c>
    </row>
    <row r="13" spans="2:50" x14ac:dyDescent="0.3">
      <c r="B13" s="1" t="s">
        <v>20</v>
      </c>
      <c r="C13" s="2">
        <v>2.1</v>
      </c>
      <c r="D13" s="2">
        <v>3.62</v>
      </c>
      <c r="E13" s="2">
        <v>2.1</v>
      </c>
      <c r="F13" s="2">
        <v>2.1</v>
      </c>
      <c r="G13" s="2">
        <v>2.1</v>
      </c>
      <c r="H13" s="2">
        <v>2.1</v>
      </c>
      <c r="I13" s="2">
        <v>1.25</v>
      </c>
      <c r="J13" s="2">
        <v>0.67</v>
      </c>
      <c r="K13" s="2">
        <v>2.1</v>
      </c>
      <c r="L13" s="2">
        <v>2.1</v>
      </c>
      <c r="N13" s="1" t="s">
        <v>20</v>
      </c>
      <c r="O13" s="2">
        <v>13316.35</v>
      </c>
      <c r="P13" s="2">
        <v>10406.91</v>
      </c>
      <c r="Q13" s="2">
        <v>20347.25</v>
      </c>
      <c r="R13" s="2">
        <v>19731.12</v>
      </c>
      <c r="S13" s="2">
        <v>21544.47</v>
      </c>
      <c r="T13" s="2">
        <v>24379.22</v>
      </c>
      <c r="U13" s="2">
        <v>17181.14</v>
      </c>
      <c r="V13" s="2">
        <v>20709.22</v>
      </c>
      <c r="W13" s="2">
        <v>5383.12</v>
      </c>
      <c r="X13" s="2">
        <v>6203.69</v>
      </c>
      <c r="AA13" s="1" t="s">
        <v>20</v>
      </c>
      <c r="AB13" s="2">
        <v>51832.84</v>
      </c>
      <c r="AC13" s="2">
        <v>63146.21</v>
      </c>
      <c r="AD13" s="2">
        <v>91447.5</v>
      </c>
      <c r="AE13" s="2">
        <v>85589.01</v>
      </c>
      <c r="AF13" s="2">
        <v>95834.33</v>
      </c>
      <c r="AG13" s="2">
        <v>108393.98</v>
      </c>
      <c r="AH13" s="2">
        <v>98322.16</v>
      </c>
      <c r="AI13" s="2">
        <v>119156.33</v>
      </c>
      <c r="AJ13" s="2">
        <v>26168.880000000001</v>
      </c>
      <c r="AK13" s="2">
        <v>25324.31</v>
      </c>
      <c r="AN13" s="1" t="s">
        <v>20</v>
      </c>
      <c r="AO13" s="2">
        <v>65149.18</v>
      </c>
      <c r="AP13" s="2">
        <v>73553.119999999995</v>
      </c>
      <c r="AQ13" s="2">
        <v>111794.75</v>
      </c>
      <c r="AR13" s="2">
        <v>105320.14</v>
      </c>
      <c r="AS13" s="2">
        <v>117378.8</v>
      </c>
      <c r="AT13" s="2">
        <v>132773.20000000001</v>
      </c>
      <c r="AU13" s="2">
        <v>115503.3</v>
      </c>
      <c r="AV13" s="2">
        <v>139865.54999999999</v>
      </c>
      <c r="AW13" s="2">
        <v>31552</v>
      </c>
      <c r="AX13" s="2">
        <v>31528</v>
      </c>
    </row>
    <row r="14" spans="2:50" x14ac:dyDescent="0.3">
      <c r="B14" s="1" t="s">
        <v>21</v>
      </c>
      <c r="C14" s="2">
        <v>2.1</v>
      </c>
      <c r="D14" s="2">
        <v>2.99</v>
      </c>
      <c r="E14" s="2">
        <v>2.1</v>
      </c>
      <c r="F14" s="2">
        <v>2.1</v>
      </c>
      <c r="G14" s="2">
        <v>2.1</v>
      </c>
      <c r="H14" s="2">
        <v>3.09</v>
      </c>
      <c r="I14" s="2">
        <v>1.58</v>
      </c>
      <c r="J14" s="2">
        <v>3.22</v>
      </c>
      <c r="K14" s="2">
        <v>2.1</v>
      </c>
      <c r="L14" s="2">
        <v>2.1</v>
      </c>
      <c r="N14" s="1" t="s">
        <v>21</v>
      </c>
      <c r="O14" s="2">
        <v>3427.66</v>
      </c>
      <c r="P14" s="2">
        <v>2563.9699999999998</v>
      </c>
      <c r="Q14" s="2">
        <v>4808.4399999999996</v>
      </c>
      <c r="R14" s="2">
        <v>5335.17</v>
      </c>
      <c r="S14" s="2">
        <v>5847.27</v>
      </c>
      <c r="T14" s="2">
        <v>5135.3</v>
      </c>
      <c r="U14" s="2">
        <v>5208.3</v>
      </c>
      <c r="V14" s="2">
        <v>6333.2</v>
      </c>
      <c r="W14" s="2">
        <v>1364.16</v>
      </c>
      <c r="X14" s="2">
        <v>1115.03</v>
      </c>
      <c r="AA14" s="1" t="s">
        <v>21</v>
      </c>
      <c r="AB14" s="2">
        <v>13465.26</v>
      </c>
      <c r="AC14" s="2">
        <v>12229.65</v>
      </c>
      <c r="AD14" s="2">
        <v>21941.56</v>
      </c>
      <c r="AE14" s="2">
        <v>25329.57</v>
      </c>
      <c r="AF14" s="2">
        <v>24112.73</v>
      </c>
      <c r="AG14" s="2">
        <v>26928.23</v>
      </c>
      <c r="AH14" s="2">
        <v>25445.73</v>
      </c>
      <c r="AI14" s="2">
        <v>39569.800000000003</v>
      </c>
      <c r="AJ14" s="2">
        <v>5228.6400000000003</v>
      </c>
      <c r="AK14" s="2">
        <v>3178.44</v>
      </c>
      <c r="AN14" s="1" t="s">
        <v>21</v>
      </c>
      <c r="AO14" s="2">
        <v>16892.93</v>
      </c>
      <c r="AP14" s="2">
        <v>14793.62</v>
      </c>
      <c r="AQ14" s="2">
        <v>26750</v>
      </c>
      <c r="AR14" s="2">
        <v>30664.74</v>
      </c>
      <c r="AS14" s="2">
        <v>29960</v>
      </c>
      <c r="AT14" s="2">
        <v>32063.53</v>
      </c>
      <c r="AU14" s="2">
        <v>30654.03</v>
      </c>
      <c r="AV14" s="2">
        <v>45903</v>
      </c>
      <c r="AW14" s="2">
        <v>6592.8</v>
      </c>
      <c r="AX14" s="2">
        <v>4293.47</v>
      </c>
    </row>
    <row r="15" spans="2:50" x14ac:dyDescent="0.3">
      <c r="B15" s="1" t="s">
        <v>22</v>
      </c>
      <c r="C15" s="2">
        <v>6.3</v>
      </c>
      <c r="D15" s="2">
        <v>6.3</v>
      </c>
      <c r="E15" s="2">
        <v>2.1</v>
      </c>
      <c r="F15" s="2">
        <v>2.1</v>
      </c>
      <c r="G15" s="2">
        <v>4.2</v>
      </c>
      <c r="H15" s="2">
        <v>4.2</v>
      </c>
      <c r="I15" s="2">
        <v>2.1</v>
      </c>
      <c r="J15" s="2">
        <v>1.0900000000000001</v>
      </c>
      <c r="K15" s="2">
        <v>2.1</v>
      </c>
      <c r="L15" s="2">
        <v>2.1</v>
      </c>
      <c r="N15" s="1" t="s">
        <v>22</v>
      </c>
      <c r="O15" s="2">
        <v>13401.22</v>
      </c>
      <c r="P15" s="2">
        <v>12833.81</v>
      </c>
      <c r="Q15" s="2">
        <v>16279.31</v>
      </c>
      <c r="R15" s="2">
        <v>16451.91</v>
      </c>
      <c r="S15" s="2">
        <v>14552.85</v>
      </c>
      <c r="T15" s="2">
        <v>17848.23</v>
      </c>
      <c r="U15" s="2">
        <v>14637.72</v>
      </c>
      <c r="V15" s="2">
        <v>16039.66</v>
      </c>
      <c r="W15" s="2">
        <v>2581.21</v>
      </c>
      <c r="X15" s="2">
        <v>2870.21</v>
      </c>
      <c r="AA15" s="1" t="s">
        <v>22</v>
      </c>
      <c r="AB15" s="2">
        <v>55938.91</v>
      </c>
      <c r="AC15" s="2">
        <v>55735.57</v>
      </c>
      <c r="AD15" s="2">
        <v>54368.93</v>
      </c>
      <c r="AE15" s="2">
        <v>70808.34</v>
      </c>
      <c r="AF15" s="2">
        <v>77332.34</v>
      </c>
      <c r="AG15" s="2">
        <v>80513.38</v>
      </c>
      <c r="AH15" s="2">
        <v>74612.460000000006</v>
      </c>
      <c r="AI15" s="2">
        <v>82724.490000000005</v>
      </c>
      <c r="AJ15" s="2">
        <v>8582.99</v>
      </c>
      <c r="AK15" s="2">
        <v>10620.67</v>
      </c>
      <c r="AN15" s="1" t="s">
        <v>22</v>
      </c>
      <c r="AO15" s="2">
        <v>69340.12</v>
      </c>
      <c r="AP15" s="2">
        <v>68569.38</v>
      </c>
      <c r="AQ15" s="2">
        <v>70648.240000000005</v>
      </c>
      <c r="AR15" s="2">
        <v>87260.25</v>
      </c>
      <c r="AS15" s="2">
        <v>91885.19</v>
      </c>
      <c r="AT15" s="2">
        <v>98361.61</v>
      </c>
      <c r="AU15" s="2">
        <v>89250.18</v>
      </c>
      <c r="AV15" s="2">
        <v>98764.15</v>
      </c>
      <c r="AW15" s="2">
        <v>11164.2</v>
      </c>
      <c r="AX15" s="2">
        <v>13490.88</v>
      </c>
    </row>
    <row r="16" spans="2:50" x14ac:dyDescent="0.3">
      <c r="B16" s="1" t="s">
        <v>23</v>
      </c>
      <c r="C16" s="2">
        <v>1.67</v>
      </c>
      <c r="D16" s="2">
        <v>1.5</v>
      </c>
      <c r="E16" s="2">
        <v>2.0699999999999998</v>
      </c>
      <c r="F16" s="2">
        <v>0.45</v>
      </c>
      <c r="G16" s="2">
        <v>2.1</v>
      </c>
      <c r="H16" s="2">
        <v>1.98</v>
      </c>
      <c r="I16" s="2">
        <v>1.56</v>
      </c>
      <c r="J16" s="2">
        <v>1.35</v>
      </c>
      <c r="K16" s="2">
        <v>1.47</v>
      </c>
      <c r="L16" s="2">
        <v>2.1</v>
      </c>
      <c r="N16" s="1" t="s">
        <v>23</v>
      </c>
      <c r="O16" s="2">
        <v>5441.49</v>
      </c>
      <c r="P16" s="2">
        <v>7059.89</v>
      </c>
      <c r="Q16" s="2">
        <v>5429.41</v>
      </c>
      <c r="R16" s="2">
        <v>6471.76</v>
      </c>
      <c r="S16" s="2">
        <v>6027.77</v>
      </c>
      <c r="T16" s="2">
        <v>6828.21</v>
      </c>
      <c r="U16" s="2">
        <v>5302.18</v>
      </c>
      <c r="V16" s="2">
        <v>1911.44</v>
      </c>
      <c r="W16" s="2">
        <v>1653.96</v>
      </c>
      <c r="X16" s="2">
        <v>2294.96</v>
      </c>
      <c r="AA16" s="1" t="s">
        <v>23</v>
      </c>
      <c r="AB16" s="2">
        <v>27834.39</v>
      </c>
      <c r="AC16" s="2">
        <v>33687.85</v>
      </c>
      <c r="AD16" s="2">
        <v>32786.089999999997</v>
      </c>
      <c r="AE16" s="2">
        <v>35188.49</v>
      </c>
      <c r="AF16" s="2">
        <v>26706.19</v>
      </c>
      <c r="AG16" s="2">
        <v>30742.47</v>
      </c>
      <c r="AH16" s="2">
        <v>25407.62</v>
      </c>
      <c r="AI16" s="2">
        <v>37297.51</v>
      </c>
      <c r="AJ16" s="2">
        <v>9182.0400000000009</v>
      </c>
      <c r="AK16" s="2">
        <v>9486.64</v>
      </c>
      <c r="AN16" s="1" t="s">
        <v>23</v>
      </c>
      <c r="AO16" s="2">
        <v>33275.879999999997</v>
      </c>
      <c r="AP16" s="2">
        <v>40747.74</v>
      </c>
      <c r="AQ16" s="2">
        <v>38215.5</v>
      </c>
      <c r="AR16" s="2">
        <v>41660.25</v>
      </c>
      <c r="AS16" s="2">
        <v>32733.96</v>
      </c>
      <c r="AT16" s="2">
        <v>37570.68</v>
      </c>
      <c r="AU16" s="2">
        <v>30709.8</v>
      </c>
      <c r="AV16" s="2">
        <v>39208.949999999997</v>
      </c>
      <c r="AW16" s="2">
        <v>10836</v>
      </c>
      <c r="AX16" s="2">
        <v>11781.6</v>
      </c>
    </row>
    <row r="19" spans="2:50" x14ac:dyDescent="0.3">
      <c r="B19" t="s">
        <v>24</v>
      </c>
      <c r="N19" t="s">
        <v>25</v>
      </c>
      <c r="AA19" t="s">
        <v>26</v>
      </c>
      <c r="AN19" t="s">
        <v>27</v>
      </c>
    </row>
    <row r="20" spans="2:50" x14ac:dyDescent="0.3">
      <c r="B20" s="1" t="s">
        <v>11</v>
      </c>
      <c r="C20" s="1" t="s">
        <v>12</v>
      </c>
      <c r="D20" s="1" t="s">
        <v>13</v>
      </c>
      <c r="E20" s="1" t="s">
        <v>12</v>
      </c>
      <c r="F20" s="1" t="s">
        <v>13</v>
      </c>
      <c r="G20" s="1" t="s">
        <v>12</v>
      </c>
      <c r="H20" s="1" t="s">
        <v>13</v>
      </c>
      <c r="I20" s="1" t="s">
        <v>12</v>
      </c>
      <c r="J20" s="1" t="s">
        <v>13</v>
      </c>
      <c r="K20" s="1" t="s">
        <v>12</v>
      </c>
      <c r="L20" s="1" t="s">
        <v>13</v>
      </c>
      <c r="N20" s="1" t="s">
        <v>11</v>
      </c>
      <c r="O20" s="1" t="s">
        <v>12</v>
      </c>
      <c r="P20" s="1" t="s">
        <v>13</v>
      </c>
      <c r="Q20" s="1" t="s">
        <v>12</v>
      </c>
      <c r="R20" s="1" t="s">
        <v>13</v>
      </c>
      <c r="S20" s="1" t="s">
        <v>12</v>
      </c>
      <c r="T20" s="1" t="s">
        <v>13</v>
      </c>
      <c r="U20" s="1" t="s">
        <v>12</v>
      </c>
      <c r="V20" s="1" t="s">
        <v>13</v>
      </c>
      <c r="W20" s="1" t="s">
        <v>12</v>
      </c>
      <c r="X20" s="1" t="s">
        <v>13</v>
      </c>
      <c r="AA20" s="1" t="s">
        <v>11</v>
      </c>
      <c r="AB20" s="1" t="s">
        <v>12</v>
      </c>
      <c r="AC20" s="1" t="s">
        <v>13</v>
      </c>
      <c r="AD20" s="1" t="s">
        <v>12</v>
      </c>
      <c r="AE20" s="1" t="s">
        <v>13</v>
      </c>
      <c r="AF20" s="1" t="s">
        <v>12</v>
      </c>
      <c r="AG20" s="1" t="s">
        <v>13</v>
      </c>
      <c r="AH20" s="1" t="s">
        <v>12</v>
      </c>
      <c r="AI20" s="1" t="s">
        <v>13</v>
      </c>
      <c r="AJ20" s="1" t="s">
        <v>12</v>
      </c>
      <c r="AK20" s="1" t="s">
        <v>13</v>
      </c>
      <c r="AN20" s="1" t="s">
        <v>11</v>
      </c>
      <c r="AO20" s="1" t="s">
        <v>12</v>
      </c>
      <c r="AP20" s="1" t="s">
        <v>13</v>
      </c>
      <c r="AQ20" s="1" t="s">
        <v>12</v>
      </c>
      <c r="AR20" s="1" t="s">
        <v>13</v>
      </c>
      <c r="AS20" s="1" t="s">
        <v>12</v>
      </c>
      <c r="AT20" s="1" t="s">
        <v>13</v>
      </c>
      <c r="AU20" s="1" t="s">
        <v>12</v>
      </c>
      <c r="AV20" s="1" t="s">
        <v>13</v>
      </c>
      <c r="AW20" s="1" t="s">
        <v>12</v>
      </c>
      <c r="AX20" s="1" t="s">
        <v>13</v>
      </c>
    </row>
    <row r="21" spans="2:50" x14ac:dyDescent="0.3">
      <c r="B21" s="1" t="s">
        <v>14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N21" s="1" t="s">
        <v>14</v>
      </c>
      <c r="O21" s="1" t="s">
        <v>1</v>
      </c>
      <c r="P21" s="1" t="s">
        <v>1</v>
      </c>
      <c r="Q21" s="1" t="s">
        <v>2</v>
      </c>
      <c r="R21" s="1" t="s">
        <v>2</v>
      </c>
      <c r="S21" s="1" t="s">
        <v>3</v>
      </c>
      <c r="T21" s="1" t="s">
        <v>3</v>
      </c>
      <c r="U21" s="1" t="s">
        <v>4</v>
      </c>
      <c r="V21" s="1" t="s">
        <v>4</v>
      </c>
      <c r="W21" s="1" t="s">
        <v>5</v>
      </c>
      <c r="X21" s="1" t="s">
        <v>5</v>
      </c>
      <c r="AA21" s="1" t="s">
        <v>14</v>
      </c>
      <c r="AB21" s="1" t="s">
        <v>1</v>
      </c>
      <c r="AC21" s="1" t="s">
        <v>1</v>
      </c>
      <c r="AD21" s="1" t="s">
        <v>2</v>
      </c>
      <c r="AE21" s="1" t="s">
        <v>2</v>
      </c>
      <c r="AF21" s="1" t="s">
        <v>3</v>
      </c>
      <c r="AG21" s="1" t="s">
        <v>3</v>
      </c>
      <c r="AH21" s="1" t="s">
        <v>4</v>
      </c>
      <c r="AI21" s="1" t="s">
        <v>4</v>
      </c>
      <c r="AJ21" s="1" t="s">
        <v>5</v>
      </c>
      <c r="AK21" s="1" t="s">
        <v>5</v>
      </c>
      <c r="AN21" s="1" t="s">
        <v>14</v>
      </c>
      <c r="AO21" s="1" t="s">
        <v>1</v>
      </c>
      <c r="AP21" s="1" t="s">
        <v>1</v>
      </c>
      <c r="AQ21" s="1" t="s">
        <v>2</v>
      </c>
      <c r="AR21" s="1" t="s">
        <v>2</v>
      </c>
      <c r="AS21" s="1" t="s">
        <v>3</v>
      </c>
      <c r="AT21" s="1" t="s">
        <v>3</v>
      </c>
      <c r="AU21" s="1" t="s">
        <v>4</v>
      </c>
      <c r="AV21" s="1" t="s">
        <v>4</v>
      </c>
      <c r="AW21" s="1" t="s">
        <v>5</v>
      </c>
      <c r="AX21" s="1" t="s">
        <v>5</v>
      </c>
    </row>
    <row r="22" spans="2:50" x14ac:dyDescent="0.3">
      <c r="B22" s="1" t="s">
        <v>15</v>
      </c>
      <c r="N22" s="1" t="s">
        <v>15</v>
      </c>
      <c r="AA22" s="1" t="s">
        <v>15</v>
      </c>
      <c r="AN22" s="1" t="s">
        <v>15</v>
      </c>
    </row>
    <row r="23" spans="2:50" x14ac:dyDescent="0.3">
      <c r="B23" s="1" t="s">
        <v>16</v>
      </c>
      <c r="C23" s="2">
        <v>0.1</v>
      </c>
      <c r="D23" s="2">
        <v>0.1</v>
      </c>
      <c r="E23" s="2">
        <v>0.1</v>
      </c>
      <c r="F23" s="2">
        <v>0.06</v>
      </c>
      <c r="G23" s="2">
        <v>0.1</v>
      </c>
      <c r="H23" s="2">
        <v>0.1</v>
      </c>
      <c r="I23" s="2">
        <v>0.06</v>
      </c>
      <c r="J23" s="2">
        <v>0.05</v>
      </c>
      <c r="K23" s="2">
        <v>0.1</v>
      </c>
      <c r="L23" s="2">
        <v>0.1</v>
      </c>
      <c r="N23" s="1" t="s">
        <v>16</v>
      </c>
      <c r="O23" s="2">
        <v>2109.87</v>
      </c>
      <c r="P23" s="2">
        <v>2115.4299999999998</v>
      </c>
      <c r="Q23" s="2">
        <v>2575.9</v>
      </c>
      <c r="R23" s="2">
        <v>1202.98</v>
      </c>
      <c r="S23" s="2">
        <v>1462.99</v>
      </c>
      <c r="T23" s="2">
        <v>1278.25</v>
      </c>
      <c r="U23" s="2">
        <v>887.85</v>
      </c>
      <c r="V23" s="2">
        <v>627.53</v>
      </c>
      <c r="W23" s="2">
        <v>2248.63</v>
      </c>
      <c r="X23" s="2">
        <v>1794.53</v>
      </c>
      <c r="AA23" s="1" t="s">
        <v>16</v>
      </c>
      <c r="AB23" s="2">
        <v>20053.53</v>
      </c>
      <c r="AC23" s="2">
        <v>19900.97</v>
      </c>
      <c r="AD23" s="2">
        <v>23549.5</v>
      </c>
      <c r="AE23" s="2">
        <v>18877.919999999998</v>
      </c>
      <c r="AF23" s="2">
        <v>15309.01</v>
      </c>
      <c r="AG23" s="2">
        <v>13643.65</v>
      </c>
      <c r="AH23" s="2">
        <v>13818.45</v>
      </c>
      <c r="AI23" s="2">
        <v>11877.97</v>
      </c>
      <c r="AJ23" s="2">
        <v>20529.37</v>
      </c>
      <c r="AK23" s="2">
        <v>16741.47</v>
      </c>
      <c r="AN23" s="1" t="s">
        <v>16</v>
      </c>
      <c r="AO23" s="2">
        <v>22163.4</v>
      </c>
      <c r="AP23" s="2">
        <v>22016.400000000001</v>
      </c>
      <c r="AQ23" s="2">
        <v>26125.4</v>
      </c>
      <c r="AR23" s="2">
        <v>20080.900000000001</v>
      </c>
      <c r="AS23" s="2">
        <v>16772</v>
      </c>
      <c r="AT23" s="2">
        <v>14921.9</v>
      </c>
      <c r="AU23" s="2">
        <v>14706.3</v>
      </c>
      <c r="AV23" s="2">
        <v>12505.5</v>
      </c>
      <c r="AW23" s="2">
        <v>22778</v>
      </c>
      <c r="AX23" s="2">
        <v>18536</v>
      </c>
    </row>
    <row r="24" spans="2:50" x14ac:dyDescent="0.3">
      <c r="B24" s="1" t="s">
        <v>17</v>
      </c>
      <c r="C24" s="2">
        <v>0.22</v>
      </c>
      <c r="D24" s="2">
        <v>0.17</v>
      </c>
      <c r="E24" s="2">
        <v>0.15</v>
      </c>
      <c r="F24" s="2">
        <v>0.26</v>
      </c>
      <c r="G24" s="2">
        <v>0.2</v>
      </c>
      <c r="H24" s="2">
        <v>0.21</v>
      </c>
      <c r="I24" s="2">
        <v>0.2</v>
      </c>
      <c r="J24" s="2">
        <v>0.09</v>
      </c>
      <c r="K24" s="2">
        <v>0.22</v>
      </c>
      <c r="L24" s="2">
        <v>0.18</v>
      </c>
      <c r="N24" s="1" t="s">
        <v>17</v>
      </c>
      <c r="O24" s="2">
        <v>1583.27</v>
      </c>
      <c r="P24" s="2">
        <v>849.36</v>
      </c>
      <c r="Q24" s="2">
        <v>1465.83</v>
      </c>
      <c r="R24" s="2">
        <v>1067.77</v>
      </c>
      <c r="S24" s="2">
        <v>2081.9899999999998</v>
      </c>
      <c r="T24" s="2">
        <v>1018.83</v>
      </c>
      <c r="U24" s="2">
        <v>1776.93</v>
      </c>
      <c r="V24" s="2">
        <v>434.7</v>
      </c>
      <c r="W24" s="2">
        <v>1583.51</v>
      </c>
      <c r="X24" s="2">
        <v>952</v>
      </c>
      <c r="AA24" s="1" t="s">
        <v>17</v>
      </c>
      <c r="AB24" s="2">
        <v>6394.93</v>
      </c>
      <c r="AC24" s="2">
        <v>5026.74</v>
      </c>
      <c r="AD24" s="2">
        <v>9258.77</v>
      </c>
      <c r="AE24" s="2">
        <v>3863.56</v>
      </c>
      <c r="AF24" s="2">
        <v>8718.01</v>
      </c>
      <c r="AG24" s="2">
        <v>4446.67</v>
      </c>
      <c r="AH24" s="2">
        <v>7393.33</v>
      </c>
      <c r="AI24" s="2">
        <v>4751.6000000000004</v>
      </c>
      <c r="AJ24" s="2">
        <v>6684.49</v>
      </c>
      <c r="AK24" s="2">
        <v>5636</v>
      </c>
      <c r="AN24" s="1" t="s">
        <v>17</v>
      </c>
      <c r="AO24" s="2">
        <v>7978.2</v>
      </c>
      <c r="AP24" s="2">
        <v>5876.1</v>
      </c>
      <c r="AQ24" s="2">
        <v>10724.6</v>
      </c>
      <c r="AR24" s="2">
        <v>4931.33</v>
      </c>
      <c r="AS24" s="2">
        <v>10800</v>
      </c>
      <c r="AT24" s="2">
        <v>5465.5</v>
      </c>
      <c r="AU24" s="2">
        <v>9170.26</v>
      </c>
      <c r="AV24" s="2">
        <v>5186.3</v>
      </c>
      <c r="AW24" s="2">
        <v>8268</v>
      </c>
      <c r="AX24" s="2">
        <v>6588</v>
      </c>
    </row>
    <row r="25" spans="2:50" x14ac:dyDescent="0.3">
      <c r="B25" s="1" t="s">
        <v>18</v>
      </c>
      <c r="C25" s="2">
        <v>0.24</v>
      </c>
      <c r="D25" s="2">
        <v>0.26</v>
      </c>
      <c r="E25" s="2">
        <v>0.14000000000000001</v>
      </c>
      <c r="F25" s="2">
        <v>0.28000000000000003</v>
      </c>
      <c r="G25" s="2">
        <v>0.21</v>
      </c>
      <c r="H25" s="2">
        <v>0.21</v>
      </c>
      <c r="I25" s="2">
        <v>0.16</v>
      </c>
      <c r="J25" s="2">
        <v>0.16</v>
      </c>
      <c r="K25" s="2">
        <v>0.19</v>
      </c>
      <c r="L25" s="2">
        <v>0.26</v>
      </c>
      <c r="N25" s="1" t="s">
        <v>18</v>
      </c>
      <c r="O25" s="2">
        <v>7329.64</v>
      </c>
      <c r="P25" s="2">
        <v>3869.52</v>
      </c>
      <c r="Q25" s="2">
        <v>5052.62</v>
      </c>
      <c r="R25" s="2">
        <v>5340.16</v>
      </c>
      <c r="S25" s="2">
        <v>7996.57</v>
      </c>
      <c r="T25" s="2">
        <v>5518.79</v>
      </c>
      <c r="U25" s="2">
        <v>5593.43</v>
      </c>
      <c r="V25" s="2">
        <v>3823.89</v>
      </c>
      <c r="W25" s="2">
        <v>2674.11</v>
      </c>
      <c r="X25" s="2">
        <v>4143.82</v>
      </c>
      <c r="AA25" s="1" t="s">
        <v>18</v>
      </c>
      <c r="AB25" s="2">
        <v>26794.92</v>
      </c>
      <c r="AC25" s="2">
        <v>13368.41</v>
      </c>
      <c r="AD25" s="2">
        <v>36388.480000000003</v>
      </c>
      <c r="AE25" s="2">
        <v>18519.96</v>
      </c>
      <c r="AF25" s="2">
        <v>33084.379999999997</v>
      </c>
      <c r="AG25" s="2">
        <v>24205.4</v>
      </c>
      <c r="AH25" s="2">
        <v>31437.74</v>
      </c>
      <c r="AI25" s="2">
        <v>23771.62</v>
      </c>
      <c r="AJ25" s="2">
        <v>13786.89</v>
      </c>
      <c r="AK25" s="2">
        <v>15308.18</v>
      </c>
      <c r="AN25" s="1" t="s">
        <v>18</v>
      </c>
      <c r="AO25" s="2">
        <v>34124.559999999998</v>
      </c>
      <c r="AP25" s="2">
        <v>17237.919999999998</v>
      </c>
      <c r="AQ25" s="2">
        <v>41441.1</v>
      </c>
      <c r="AR25" s="2">
        <v>23860.13</v>
      </c>
      <c r="AS25" s="2">
        <v>41080.949999999997</v>
      </c>
      <c r="AT25" s="2">
        <v>29724.19</v>
      </c>
      <c r="AU25" s="2">
        <v>37031.17</v>
      </c>
      <c r="AV25" s="2">
        <v>27595.51</v>
      </c>
      <c r="AW25" s="2">
        <v>16461</v>
      </c>
      <c r="AX25" s="2">
        <v>19452</v>
      </c>
    </row>
    <row r="26" spans="2:50" x14ac:dyDescent="0.3">
      <c r="B26" s="1" t="s">
        <v>19</v>
      </c>
      <c r="C26" s="2">
        <v>0.22</v>
      </c>
      <c r="D26" s="2">
        <v>0.24</v>
      </c>
      <c r="E26" s="2">
        <v>0.19</v>
      </c>
      <c r="F26" s="2">
        <v>0.22</v>
      </c>
      <c r="G26" s="2">
        <v>0.15</v>
      </c>
      <c r="H26" s="2">
        <v>0.22</v>
      </c>
      <c r="I26" s="2">
        <v>0.16</v>
      </c>
      <c r="J26" s="2">
        <v>0.16</v>
      </c>
      <c r="K26" s="2">
        <v>0.18</v>
      </c>
      <c r="L26" s="2">
        <v>0.19</v>
      </c>
      <c r="N26" s="1" t="s">
        <v>19</v>
      </c>
      <c r="O26" s="2">
        <v>1608.17</v>
      </c>
      <c r="P26" s="2">
        <v>1199.49</v>
      </c>
      <c r="Q26" s="2">
        <v>1880.8</v>
      </c>
      <c r="R26" s="2">
        <v>1766.76</v>
      </c>
      <c r="S26" s="2">
        <v>1466.38</v>
      </c>
      <c r="T26" s="2">
        <v>2001.53</v>
      </c>
      <c r="U26" s="2">
        <v>1428.27</v>
      </c>
      <c r="V26" s="2">
        <v>1248.57</v>
      </c>
      <c r="W26" s="2">
        <v>739.7</v>
      </c>
      <c r="X26" s="2">
        <v>823.75</v>
      </c>
      <c r="AA26" s="1" t="s">
        <v>19</v>
      </c>
      <c r="AB26" s="2">
        <v>7021.67</v>
      </c>
      <c r="AC26" s="2">
        <v>4928.97</v>
      </c>
      <c r="AD26" s="2">
        <v>11006.1</v>
      </c>
      <c r="AE26" s="2">
        <v>8124.38</v>
      </c>
      <c r="AF26" s="2">
        <v>9233.6200000000008</v>
      </c>
      <c r="AG26" s="2">
        <v>8698.4699999999993</v>
      </c>
      <c r="AH26" s="2">
        <v>8804.73</v>
      </c>
      <c r="AI26" s="2">
        <v>7636.73</v>
      </c>
      <c r="AJ26" s="2">
        <v>4704.3</v>
      </c>
      <c r="AK26" s="2">
        <v>4656.05</v>
      </c>
      <c r="AN26" s="1" t="s">
        <v>19</v>
      </c>
      <c r="AO26" s="2">
        <v>8629.84</v>
      </c>
      <c r="AP26" s="2">
        <v>6128.46</v>
      </c>
      <c r="AQ26" s="2">
        <v>12886.9</v>
      </c>
      <c r="AR26" s="2">
        <v>9891.14</v>
      </c>
      <c r="AS26" s="2">
        <v>10700</v>
      </c>
      <c r="AT26" s="2">
        <v>10700</v>
      </c>
      <c r="AU26" s="2">
        <v>10233</v>
      </c>
      <c r="AV26" s="2">
        <v>8885.2999999999993</v>
      </c>
      <c r="AW26" s="2">
        <v>5444</v>
      </c>
      <c r="AX26" s="2">
        <v>5479.8</v>
      </c>
    </row>
    <row r="27" spans="2:50" x14ac:dyDescent="0.3">
      <c r="B27" s="1" t="s">
        <v>20</v>
      </c>
      <c r="C27" s="2">
        <v>0.24</v>
      </c>
      <c r="D27" s="2">
        <v>0.17</v>
      </c>
      <c r="E27" s="2">
        <v>0.23</v>
      </c>
      <c r="F27" s="2">
        <v>0.23</v>
      </c>
      <c r="G27" s="2">
        <v>0.21</v>
      </c>
      <c r="H27" s="2">
        <v>0.2</v>
      </c>
      <c r="I27" s="2">
        <v>0.17</v>
      </c>
      <c r="J27" s="2">
        <v>0.16</v>
      </c>
      <c r="K27" s="2">
        <v>0.22</v>
      </c>
      <c r="L27" s="2">
        <v>0.24</v>
      </c>
      <c r="N27" s="1" t="s">
        <v>20</v>
      </c>
      <c r="O27" s="2">
        <v>6052.88</v>
      </c>
      <c r="P27" s="2">
        <v>4730.41</v>
      </c>
      <c r="Q27" s="2">
        <v>8138.9</v>
      </c>
      <c r="R27" s="2">
        <v>7892.45</v>
      </c>
      <c r="S27" s="2">
        <v>7694.45</v>
      </c>
      <c r="T27" s="2">
        <v>8706.86</v>
      </c>
      <c r="U27" s="2">
        <v>5206.41</v>
      </c>
      <c r="V27" s="2">
        <v>6275.52</v>
      </c>
      <c r="W27" s="2">
        <v>6728.9</v>
      </c>
      <c r="X27" s="2">
        <v>7754.61</v>
      </c>
      <c r="AA27" s="1" t="s">
        <v>20</v>
      </c>
      <c r="AB27" s="2">
        <v>23560.38</v>
      </c>
      <c r="AC27" s="2">
        <v>28702.82</v>
      </c>
      <c r="AD27" s="2">
        <v>36579</v>
      </c>
      <c r="AE27" s="2">
        <v>34235.599999999999</v>
      </c>
      <c r="AF27" s="2">
        <v>34226.550000000003</v>
      </c>
      <c r="AG27" s="2">
        <v>38712.14</v>
      </c>
      <c r="AH27" s="2">
        <v>29794.59</v>
      </c>
      <c r="AI27" s="2">
        <v>36107.980000000003</v>
      </c>
      <c r="AJ27" s="2">
        <v>32711.1</v>
      </c>
      <c r="AK27" s="2">
        <v>31655.39</v>
      </c>
      <c r="AN27" s="1" t="s">
        <v>20</v>
      </c>
      <c r="AO27" s="2">
        <v>29613.27</v>
      </c>
      <c r="AP27" s="2">
        <v>33433.24</v>
      </c>
      <c r="AQ27" s="2">
        <v>44717.9</v>
      </c>
      <c r="AR27" s="2">
        <v>42128.05</v>
      </c>
      <c r="AS27" s="2">
        <v>41921</v>
      </c>
      <c r="AT27" s="2">
        <v>47419</v>
      </c>
      <c r="AU27" s="2">
        <v>35001</v>
      </c>
      <c r="AV27" s="2">
        <v>42383.5</v>
      </c>
      <c r="AW27" s="2">
        <v>39440</v>
      </c>
      <c r="AX27" s="2">
        <v>39410</v>
      </c>
    </row>
    <row r="28" spans="2:50" x14ac:dyDescent="0.3">
      <c r="B28" s="1" t="s">
        <v>21</v>
      </c>
      <c r="C28" s="2">
        <v>0.24</v>
      </c>
      <c r="D28" s="2">
        <v>0.2</v>
      </c>
      <c r="E28" s="2">
        <v>0.23</v>
      </c>
      <c r="F28" s="2">
        <v>0.21</v>
      </c>
      <c r="G28" s="2">
        <v>0.22</v>
      </c>
      <c r="H28" s="2">
        <v>0.17</v>
      </c>
      <c r="I28" s="2">
        <v>0.19</v>
      </c>
      <c r="J28" s="2">
        <v>0.15</v>
      </c>
      <c r="K28" s="2">
        <v>0.26</v>
      </c>
      <c r="L28" s="2">
        <v>0.3</v>
      </c>
      <c r="N28" s="1" t="s">
        <v>21</v>
      </c>
      <c r="O28" s="2">
        <v>1558.03</v>
      </c>
      <c r="P28" s="2">
        <v>1165.44</v>
      </c>
      <c r="Q28" s="2">
        <v>1923.37</v>
      </c>
      <c r="R28" s="2">
        <v>2134.0700000000002</v>
      </c>
      <c r="S28" s="2">
        <v>2088.31</v>
      </c>
      <c r="T28" s="2">
        <v>1834.03</v>
      </c>
      <c r="U28" s="2">
        <v>1578.27</v>
      </c>
      <c r="V28" s="2">
        <v>1919.15</v>
      </c>
      <c r="W28" s="2">
        <v>1705.2</v>
      </c>
      <c r="X28" s="2">
        <v>1393.79</v>
      </c>
      <c r="AA28" s="1" t="s">
        <v>21</v>
      </c>
      <c r="AB28" s="2">
        <v>6120.57</v>
      </c>
      <c r="AC28" s="2">
        <v>5558.93</v>
      </c>
      <c r="AD28" s="2">
        <v>8776.6299999999992</v>
      </c>
      <c r="AE28" s="2">
        <v>10131.83</v>
      </c>
      <c r="AF28" s="2">
        <v>8611.69</v>
      </c>
      <c r="AG28" s="2">
        <v>9617.23</v>
      </c>
      <c r="AH28" s="2">
        <v>7710.83</v>
      </c>
      <c r="AI28" s="2">
        <v>11990.85</v>
      </c>
      <c r="AJ28" s="2">
        <v>6535.8</v>
      </c>
      <c r="AK28" s="2">
        <v>3973.05</v>
      </c>
      <c r="AN28" s="1" t="s">
        <v>21</v>
      </c>
      <c r="AO28" s="2">
        <v>7678.6</v>
      </c>
      <c r="AP28" s="2">
        <v>6724.37</v>
      </c>
      <c r="AQ28" s="2">
        <v>10700</v>
      </c>
      <c r="AR28" s="2">
        <v>12265.9</v>
      </c>
      <c r="AS28" s="2">
        <v>10700</v>
      </c>
      <c r="AT28" s="2">
        <v>11451.26</v>
      </c>
      <c r="AU28" s="2">
        <v>9289.1</v>
      </c>
      <c r="AV28" s="2">
        <v>13910</v>
      </c>
      <c r="AW28" s="2">
        <v>8241</v>
      </c>
      <c r="AX28" s="2">
        <v>5366.84</v>
      </c>
    </row>
    <row r="29" spans="2:50" x14ac:dyDescent="0.3">
      <c r="B29" s="1" t="s">
        <v>22</v>
      </c>
      <c r="C29" s="2">
        <v>0.22</v>
      </c>
      <c r="D29" s="2">
        <v>0.22</v>
      </c>
      <c r="E29" s="2">
        <v>0.28999999999999998</v>
      </c>
      <c r="F29" s="2">
        <v>0.24</v>
      </c>
      <c r="G29" s="2">
        <v>0.18</v>
      </c>
      <c r="H29" s="2">
        <v>0.2</v>
      </c>
      <c r="I29" s="2">
        <v>0.18</v>
      </c>
      <c r="J29" s="2">
        <v>0.18</v>
      </c>
      <c r="K29" s="2">
        <v>0.28999999999999998</v>
      </c>
      <c r="L29" s="2">
        <v>0.27</v>
      </c>
      <c r="N29" s="1" t="s">
        <v>22</v>
      </c>
      <c r="O29" s="2">
        <v>6091.46</v>
      </c>
      <c r="P29" s="2">
        <v>5833.55</v>
      </c>
      <c r="Q29" s="2">
        <v>6511.72</v>
      </c>
      <c r="R29" s="2">
        <v>6580.76</v>
      </c>
      <c r="S29" s="2">
        <v>5197.45</v>
      </c>
      <c r="T29" s="2">
        <v>6374.37</v>
      </c>
      <c r="U29" s="2">
        <v>4435.67</v>
      </c>
      <c r="V29" s="2">
        <v>4860.5</v>
      </c>
      <c r="W29" s="2">
        <v>3226.51</v>
      </c>
      <c r="X29" s="2">
        <v>3587.76</v>
      </c>
      <c r="AA29" s="1" t="s">
        <v>22</v>
      </c>
      <c r="AB29" s="2">
        <v>25426.78</v>
      </c>
      <c r="AC29" s="2">
        <v>25334.35</v>
      </c>
      <c r="AD29" s="2">
        <v>21747.57</v>
      </c>
      <c r="AE29" s="2">
        <v>28323.34</v>
      </c>
      <c r="AF29" s="2">
        <v>27618.69</v>
      </c>
      <c r="AG29" s="2">
        <v>28754.78</v>
      </c>
      <c r="AH29" s="2">
        <v>22609.84</v>
      </c>
      <c r="AI29" s="2">
        <v>25068.03</v>
      </c>
      <c r="AJ29" s="2">
        <v>10728.74</v>
      </c>
      <c r="AK29" s="2">
        <v>13275.84</v>
      </c>
      <c r="AN29" s="1" t="s">
        <v>22</v>
      </c>
      <c r="AO29" s="2">
        <v>31518.240000000002</v>
      </c>
      <c r="AP29" s="2">
        <v>31167.9</v>
      </c>
      <c r="AQ29" s="2">
        <v>28259.3</v>
      </c>
      <c r="AR29" s="2">
        <v>34904.1</v>
      </c>
      <c r="AS29" s="2">
        <v>32816.14</v>
      </c>
      <c r="AT29" s="2">
        <v>35129.14</v>
      </c>
      <c r="AU29" s="2">
        <v>27045.51</v>
      </c>
      <c r="AV29" s="2">
        <v>29928.53</v>
      </c>
      <c r="AW29" s="2">
        <v>13955.25</v>
      </c>
      <c r="AX29" s="2">
        <v>16863.599999999999</v>
      </c>
    </row>
    <row r="30" spans="2:50" x14ac:dyDescent="0.3">
      <c r="B30" s="1" t="s">
        <v>23</v>
      </c>
      <c r="C30" s="2">
        <v>0.2</v>
      </c>
      <c r="D30" s="2">
        <v>0.21</v>
      </c>
      <c r="E30" s="2">
        <v>0.2</v>
      </c>
      <c r="F30" s="2">
        <v>0.21</v>
      </c>
      <c r="G30" s="2">
        <v>0.22</v>
      </c>
      <c r="H30" s="2">
        <v>0.21</v>
      </c>
      <c r="I30" s="2">
        <v>0.21</v>
      </c>
      <c r="J30" s="2">
        <v>0.05</v>
      </c>
      <c r="K30" s="2">
        <v>0.22</v>
      </c>
      <c r="L30" s="2">
        <v>0.26</v>
      </c>
      <c r="N30" s="1" t="s">
        <v>23</v>
      </c>
      <c r="O30" s="2">
        <v>2473.4</v>
      </c>
      <c r="P30" s="2">
        <v>3209.04</v>
      </c>
      <c r="Q30" s="2">
        <v>2171.7600000000002</v>
      </c>
      <c r="R30" s="2">
        <v>2588.6999999999998</v>
      </c>
      <c r="S30" s="2">
        <v>2152.77</v>
      </c>
      <c r="T30" s="2">
        <v>2438.65</v>
      </c>
      <c r="U30" s="2">
        <v>1606.72</v>
      </c>
      <c r="V30" s="2">
        <v>579.22</v>
      </c>
      <c r="W30" s="2">
        <v>2067.46</v>
      </c>
      <c r="X30" s="2">
        <v>2868.71</v>
      </c>
      <c r="AA30" s="1" t="s">
        <v>23</v>
      </c>
      <c r="AB30" s="2">
        <v>12652</v>
      </c>
      <c r="AC30" s="2">
        <v>15312.66</v>
      </c>
      <c r="AD30" s="2">
        <v>13114.44</v>
      </c>
      <c r="AE30" s="2">
        <v>14075.4</v>
      </c>
      <c r="AF30" s="2">
        <v>9537.93</v>
      </c>
      <c r="AG30" s="2">
        <v>10979.45</v>
      </c>
      <c r="AH30" s="2">
        <v>7699.28</v>
      </c>
      <c r="AI30" s="2">
        <v>11302.28</v>
      </c>
      <c r="AJ30" s="2">
        <v>11477.54</v>
      </c>
      <c r="AK30" s="2">
        <v>11858.29</v>
      </c>
      <c r="AN30" s="1" t="s">
        <v>23</v>
      </c>
      <c r="AO30" s="2">
        <v>15125.4</v>
      </c>
      <c r="AP30" s="2">
        <v>18521.7</v>
      </c>
      <c r="AQ30" s="2">
        <v>15286.2</v>
      </c>
      <c r="AR30" s="2">
        <v>16664.099999999999</v>
      </c>
      <c r="AS30" s="2">
        <v>11690.7</v>
      </c>
      <c r="AT30" s="2">
        <v>13418.1</v>
      </c>
      <c r="AU30" s="2">
        <v>9306</v>
      </c>
      <c r="AV30" s="2">
        <v>11881.5</v>
      </c>
      <c r="AW30" s="2">
        <v>13545</v>
      </c>
      <c r="AX30" s="2">
        <v>14727</v>
      </c>
    </row>
    <row r="33" spans="2:50" x14ac:dyDescent="0.3">
      <c r="B33" t="s">
        <v>28</v>
      </c>
      <c r="N33" t="s">
        <v>29</v>
      </c>
      <c r="AA33" t="s">
        <v>30</v>
      </c>
      <c r="AN33" t="s">
        <v>31</v>
      </c>
    </row>
    <row r="34" spans="2:50" x14ac:dyDescent="0.3">
      <c r="B34" s="1" t="s">
        <v>11</v>
      </c>
      <c r="C34" s="1" t="s">
        <v>12</v>
      </c>
      <c r="D34" s="1" t="s">
        <v>13</v>
      </c>
      <c r="E34" s="1" t="s">
        <v>12</v>
      </c>
      <c r="F34" s="1" t="s">
        <v>13</v>
      </c>
      <c r="G34" s="1" t="s">
        <v>12</v>
      </c>
      <c r="H34" s="1" t="s">
        <v>13</v>
      </c>
      <c r="I34" s="1" t="s">
        <v>12</v>
      </c>
      <c r="J34" s="1" t="s">
        <v>13</v>
      </c>
      <c r="K34" s="1" t="s">
        <v>12</v>
      </c>
      <c r="L34" s="1" t="s">
        <v>13</v>
      </c>
      <c r="N34" s="1" t="s">
        <v>11</v>
      </c>
      <c r="O34" s="1" t="s">
        <v>12</v>
      </c>
      <c r="P34" s="1" t="s">
        <v>13</v>
      </c>
      <c r="Q34" s="1" t="s">
        <v>12</v>
      </c>
      <c r="R34" s="1" t="s">
        <v>13</v>
      </c>
      <c r="S34" s="1" t="s">
        <v>12</v>
      </c>
      <c r="T34" s="1" t="s">
        <v>13</v>
      </c>
      <c r="U34" s="1" t="s">
        <v>12</v>
      </c>
      <c r="V34" s="1" t="s">
        <v>13</v>
      </c>
      <c r="W34" s="1" t="s">
        <v>12</v>
      </c>
      <c r="X34" s="1" t="s">
        <v>13</v>
      </c>
      <c r="AA34" s="1" t="s">
        <v>11</v>
      </c>
      <c r="AB34" s="1" t="s">
        <v>12</v>
      </c>
      <c r="AC34" s="1" t="s">
        <v>13</v>
      </c>
      <c r="AD34" s="1" t="s">
        <v>12</v>
      </c>
      <c r="AE34" s="1" t="s">
        <v>13</v>
      </c>
      <c r="AF34" s="1" t="s">
        <v>12</v>
      </c>
      <c r="AG34" s="1" t="s">
        <v>13</v>
      </c>
      <c r="AH34" s="1" t="s">
        <v>12</v>
      </c>
      <c r="AI34" s="1" t="s">
        <v>13</v>
      </c>
      <c r="AJ34" s="1" t="s">
        <v>12</v>
      </c>
      <c r="AK34" s="1" t="s">
        <v>13</v>
      </c>
      <c r="AN34" s="1" t="s">
        <v>11</v>
      </c>
      <c r="AO34" s="1" t="s">
        <v>12</v>
      </c>
      <c r="AP34" s="1" t="s">
        <v>13</v>
      </c>
      <c r="AQ34" s="1" t="s">
        <v>12</v>
      </c>
      <c r="AR34" s="1" t="s">
        <v>13</v>
      </c>
      <c r="AS34" s="1" t="s">
        <v>12</v>
      </c>
      <c r="AT34" s="1" t="s">
        <v>13</v>
      </c>
      <c r="AU34" s="1" t="s">
        <v>12</v>
      </c>
      <c r="AV34" s="1" t="s">
        <v>13</v>
      </c>
      <c r="AW34" s="1" t="s">
        <v>12</v>
      </c>
      <c r="AX34" s="1" t="s">
        <v>13</v>
      </c>
    </row>
    <row r="35" spans="2:50" x14ac:dyDescent="0.3">
      <c r="B35" s="1" t="s">
        <v>14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N35" s="1" t="s">
        <v>14</v>
      </c>
      <c r="O35" s="1" t="s">
        <v>1</v>
      </c>
      <c r="P35" s="1" t="s">
        <v>1</v>
      </c>
      <c r="Q35" s="1" t="s">
        <v>2</v>
      </c>
      <c r="R35" s="1" t="s">
        <v>2</v>
      </c>
      <c r="S35" s="1" t="s">
        <v>3</v>
      </c>
      <c r="T35" s="1" t="s">
        <v>3</v>
      </c>
      <c r="U35" s="1" t="s">
        <v>4</v>
      </c>
      <c r="V35" s="1" t="s">
        <v>4</v>
      </c>
      <c r="W35" s="1" t="s">
        <v>5</v>
      </c>
      <c r="X35" s="1" t="s">
        <v>5</v>
      </c>
      <c r="AA35" s="1" t="s">
        <v>14</v>
      </c>
      <c r="AB35" s="1" t="s">
        <v>1</v>
      </c>
      <c r="AC35" s="1" t="s">
        <v>1</v>
      </c>
      <c r="AD35" s="1" t="s">
        <v>2</v>
      </c>
      <c r="AE35" s="1" t="s">
        <v>2</v>
      </c>
      <c r="AF35" s="1" t="s">
        <v>3</v>
      </c>
      <c r="AG35" s="1" t="s">
        <v>3</v>
      </c>
      <c r="AH35" s="1" t="s">
        <v>4</v>
      </c>
      <c r="AI35" s="1" t="s">
        <v>4</v>
      </c>
      <c r="AJ35" s="1" t="s">
        <v>5</v>
      </c>
      <c r="AK35" s="1" t="s">
        <v>5</v>
      </c>
      <c r="AN35" s="1" t="s">
        <v>14</v>
      </c>
      <c r="AO35" s="1" t="s">
        <v>1</v>
      </c>
      <c r="AP35" s="1" t="s">
        <v>1</v>
      </c>
      <c r="AQ35" s="1" t="s">
        <v>2</v>
      </c>
      <c r="AR35" s="1" t="s">
        <v>2</v>
      </c>
      <c r="AS35" s="1" t="s">
        <v>3</v>
      </c>
      <c r="AT35" s="1" t="s">
        <v>3</v>
      </c>
      <c r="AU35" s="1" t="s">
        <v>4</v>
      </c>
      <c r="AV35" s="1" t="s">
        <v>4</v>
      </c>
      <c r="AW35" s="1" t="s">
        <v>5</v>
      </c>
      <c r="AX35" s="1" t="s">
        <v>5</v>
      </c>
    </row>
    <row r="36" spans="2:50" x14ac:dyDescent="0.3">
      <c r="B36" s="1" t="s">
        <v>15</v>
      </c>
      <c r="N36" s="1" t="s">
        <v>15</v>
      </c>
      <c r="AA36" s="1" t="s">
        <v>15</v>
      </c>
      <c r="AN36" s="1" t="s">
        <v>15</v>
      </c>
    </row>
    <row r="37" spans="2:50" x14ac:dyDescent="0.3">
      <c r="B37" s="1" t="s">
        <v>16</v>
      </c>
      <c r="C37" s="2">
        <v>928.34</v>
      </c>
      <c r="D37" s="2">
        <v>930.79</v>
      </c>
      <c r="E37" s="2">
        <v>1287.95</v>
      </c>
      <c r="F37" s="2">
        <v>601.49</v>
      </c>
      <c r="G37" s="2">
        <v>819.27</v>
      </c>
      <c r="H37" s="2">
        <v>715.82</v>
      </c>
      <c r="I37" s="2">
        <v>585.98</v>
      </c>
      <c r="J37" s="2">
        <v>414.17</v>
      </c>
      <c r="K37" s="2">
        <v>359.78</v>
      </c>
      <c r="L37" s="2">
        <v>287.12</v>
      </c>
      <c r="N37" s="1" t="s">
        <v>16</v>
      </c>
      <c r="O37" s="2">
        <v>301.41000000000003</v>
      </c>
      <c r="P37" s="2">
        <v>302.2</v>
      </c>
      <c r="Q37" s="2">
        <v>367.99</v>
      </c>
      <c r="R37" s="2">
        <v>171.85</v>
      </c>
      <c r="S37" s="2">
        <v>209</v>
      </c>
      <c r="T37" s="2">
        <v>182.61</v>
      </c>
      <c r="U37" s="2">
        <v>126.84</v>
      </c>
      <c r="V37" s="2">
        <v>89.65</v>
      </c>
      <c r="W37" s="2">
        <v>321.23</v>
      </c>
      <c r="X37" s="2">
        <v>256.36</v>
      </c>
      <c r="AA37" s="1" t="s">
        <v>16</v>
      </c>
      <c r="AB37" s="2">
        <v>2864.79</v>
      </c>
      <c r="AC37" s="2">
        <v>2843</v>
      </c>
      <c r="AD37" s="2">
        <v>3364.21</v>
      </c>
      <c r="AE37" s="2">
        <v>2696.85</v>
      </c>
      <c r="AF37" s="2">
        <v>2187</v>
      </c>
      <c r="AG37" s="2">
        <v>1949.09</v>
      </c>
      <c r="AH37" s="2">
        <v>1974.06</v>
      </c>
      <c r="AI37" s="2">
        <v>1696.85</v>
      </c>
      <c r="AJ37" s="2">
        <v>2932.77</v>
      </c>
      <c r="AK37" s="2">
        <v>2391.64</v>
      </c>
      <c r="AN37" s="1" t="s">
        <v>16</v>
      </c>
      <c r="AO37" s="2">
        <v>3166.2</v>
      </c>
      <c r="AP37" s="2">
        <v>3145.2</v>
      </c>
      <c r="AQ37" s="2">
        <v>3732.2</v>
      </c>
      <c r="AR37" s="2">
        <v>2868.7</v>
      </c>
      <c r="AS37" s="2">
        <v>2396</v>
      </c>
      <c r="AT37" s="2">
        <v>2131.6999999999998</v>
      </c>
      <c r="AU37" s="2">
        <v>2100.9</v>
      </c>
      <c r="AV37" s="2">
        <v>1786.5</v>
      </c>
      <c r="AW37" s="2">
        <v>3254</v>
      </c>
      <c r="AX37" s="2">
        <v>2648</v>
      </c>
    </row>
    <row r="38" spans="2:50" x14ac:dyDescent="0.3">
      <c r="B38" s="1" t="s">
        <v>17</v>
      </c>
      <c r="C38" s="2">
        <v>7314.7</v>
      </c>
      <c r="D38" s="2">
        <v>2947.82</v>
      </c>
      <c r="E38" s="2">
        <v>6037.22</v>
      </c>
      <c r="F38" s="2">
        <v>5605.78</v>
      </c>
      <c r="G38" s="2">
        <v>12242.08</v>
      </c>
      <c r="H38" s="2">
        <v>5990.72</v>
      </c>
      <c r="I38" s="2">
        <v>12314.12</v>
      </c>
      <c r="J38" s="2">
        <v>1291.07</v>
      </c>
      <c r="K38" s="2">
        <v>2660.28</v>
      </c>
      <c r="L38" s="2">
        <v>1446.71</v>
      </c>
      <c r="N38" s="1" t="s">
        <v>17</v>
      </c>
      <c r="O38" s="2">
        <v>1583.27</v>
      </c>
      <c r="P38" s="2">
        <v>849.36</v>
      </c>
      <c r="Q38" s="2">
        <v>1465.83</v>
      </c>
      <c r="R38" s="2">
        <v>1067.77</v>
      </c>
      <c r="S38" s="2">
        <v>2081.9899999999998</v>
      </c>
      <c r="T38" s="2">
        <v>1018.83</v>
      </c>
      <c r="U38" s="2">
        <v>1776.93</v>
      </c>
      <c r="V38" s="2">
        <v>434.7</v>
      </c>
      <c r="W38" s="2">
        <v>1583.51</v>
      </c>
      <c r="X38" s="2">
        <v>952</v>
      </c>
      <c r="AA38" s="1" t="s">
        <v>17</v>
      </c>
      <c r="AB38" s="2">
        <v>6394.93</v>
      </c>
      <c r="AC38" s="2">
        <v>5026.74</v>
      </c>
      <c r="AD38" s="2">
        <v>9258.77</v>
      </c>
      <c r="AE38" s="2">
        <v>3863.56</v>
      </c>
      <c r="AF38" s="2">
        <v>8718.01</v>
      </c>
      <c r="AG38" s="2">
        <v>4446.67</v>
      </c>
      <c r="AH38" s="2">
        <v>7393.33</v>
      </c>
      <c r="AI38" s="2">
        <v>4751.6000000000004</v>
      </c>
      <c r="AJ38" s="2">
        <v>6684.49</v>
      </c>
      <c r="AK38" s="2">
        <v>5636</v>
      </c>
      <c r="AN38" s="1" t="s">
        <v>17</v>
      </c>
      <c r="AO38" s="2">
        <v>7978.2</v>
      </c>
      <c r="AP38" s="2">
        <v>5876.1</v>
      </c>
      <c r="AQ38" s="2">
        <v>10724.6</v>
      </c>
      <c r="AR38" s="2">
        <v>4931.33</v>
      </c>
      <c r="AS38" s="2">
        <v>10800</v>
      </c>
      <c r="AT38" s="2">
        <v>5465.5</v>
      </c>
      <c r="AU38" s="2">
        <v>9170.26</v>
      </c>
      <c r="AV38" s="2">
        <v>5186.3</v>
      </c>
      <c r="AW38" s="2">
        <v>8268</v>
      </c>
      <c r="AX38" s="2">
        <v>6588</v>
      </c>
    </row>
    <row r="39" spans="2:50" x14ac:dyDescent="0.3">
      <c r="B39" s="1" t="s">
        <v>18</v>
      </c>
      <c r="C39" s="2">
        <v>101588.82</v>
      </c>
      <c r="D39" s="2">
        <v>17877.169999999998</v>
      </c>
      <c r="E39" s="2">
        <v>53052.49</v>
      </c>
      <c r="F39" s="2">
        <v>84107.57</v>
      </c>
      <c r="G39" s="2">
        <v>141059.43</v>
      </c>
      <c r="H39" s="2">
        <v>32450.46</v>
      </c>
      <c r="I39" s="2">
        <v>114426.42</v>
      </c>
      <c r="J39" s="2">
        <v>16530.14</v>
      </c>
      <c r="K39" s="2">
        <v>4492.5</v>
      </c>
      <c r="L39" s="2">
        <v>6961.61</v>
      </c>
      <c r="N39" s="1" t="s">
        <v>18</v>
      </c>
      <c r="O39" s="2">
        <v>2443.21</v>
      </c>
      <c r="P39" s="2">
        <v>1289.8399999999999</v>
      </c>
      <c r="Q39" s="2">
        <v>1684.21</v>
      </c>
      <c r="R39" s="2">
        <v>1780.05</v>
      </c>
      <c r="S39" s="2">
        <v>2665.52</v>
      </c>
      <c r="T39" s="2">
        <v>1839.6</v>
      </c>
      <c r="U39" s="2">
        <v>1864.48</v>
      </c>
      <c r="V39" s="2">
        <v>1274.6300000000001</v>
      </c>
      <c r="W39" s="2">
        <v>891.37</v>
      </c>
      <c r="X39" s="2">
        <v>1381.27</v>
      </c>
      <c r="AA39" s="1" t="s">
        <v>18</v>
      </c>
      <c r="AB39" s="2">
        <v>8931.64</v>
      </c>
      <c r="AC39" s="2">
        <v>4456.1400000000003</v>
      </c>
      <c r="AD39" s="2">
        <v>12129.49</v>
      </c>
      <c r="AE39" s="2">
        <v>6173.32</v>
      </c>
      <c r="AF39" s="2">
        <v>11028.13</v>
      </c>
      <c r="AG39" s="2">
        <v>8068.47</v>
      </c>
      <c r="AH39" s="2">
        <v>10479.25</v>
      </c>
      <c r="AI39" s="2">
        <v>7923.87</v>
      </c>
      <c r="AJ39" s="2">
        <v>4595.63</v>
      </c>
      <c r="AK39" s="2">
        <v>5102.7299999999996</v>
      </c>
      <c r="AN39" s="1" t="s">
        <v>18</v>
      </c>
      <c r="AO39" s="2">
        <v>11374.85</v>
      </c>
      <c r="AP39" s="2">
        <v>5745.98</v>
      </c>
      <c r="AQ39" s="2">
        <v>13813.7</v>
      </c>
      <c r="AR39" s="2">
        <v>7953.38</v>
      </c>
      <c r="AS39" s="2">
        <v>13693.65</v>
      </c>
      <c r="AT39" s="2">
        <v>9908.06</v>
      </c>
      <c r="AU39" s="2">
        <v>12343.72</v>
      </c>
      <c r="AV39" s="2">
        <v>9198.5</v>
      </c>
      <c r="AW39" s="2">
        <v>5487</v>
      </c>
      <c r="AX39" s="2">
        <v>6484</v>
      </c>
    </row>
    <row r="40" spans="2:50" x14ac:dyDescent="0.3">
      <c r="B40" s="1" t="s">
        <v>19</v>
      </c>
      <c r="C40" s="2">
        <v>7429.72</v>
      </c>
      <c r="D40" s="2">
        <v>5541.64</v>
      </c>
      <c r="E40" s="2">
        <v>9874.18</v>
      </c>
      <c r="F40" s="2">
        <v>9275.4699999999993</v>
      </c>
      <c r="G40" s="2">
        <v>15340.05</v>
      </c>
      <c r="H40" s="2">
        <v>11768.98</v>
      </c>
      <c r="I40" s="2">
        <v>8828</v>
      </c>
      <c r="J40" s="2">
        <v>3329.13</v>
      </c>
      <c r="K40" s="2">
        <v>1237.03</v>
      </c>
      <c r="L40" s="2">
        <v>1383.9</v>
      </c>
      <c r="N40" s="1" t="s">
        <v>19</v>
      </c>
      <c r="O40" s="2">
        <v>1608.17</v>
      </c>
      <c r="P40" s="2">
        <v>1199.49</v>
      </c>
      <c r="Q40" s="2">
        <v>1880.8</v>
      </c>
      <c r="R40" s="2">
        <v>1766.76</v>
      </c>
      <c r="S40" s="2">
        <v>1466.38</v>
      </c>
      <c r="T40" s="2">
        <v>2001.53</v>
      </c>
      <c r="U40" s="2">
        <v>1428.27</v>
      </c>
      <c r="V40" s="2">
        <v>1248.57</v>
      </c>
      <c r="W40" s="2">
        <v>739.7</v>
      </c>
      <c r="X40" s="2">
        <v>823.75</v>
      </c>
      <c r="AA40" s="1" t="s">
        <v>19</v>
      </c>
      <c r="AB40" s="2">
        <v>7021.67</v>
      </c>
      <c r="AC40" s="2">
        <v>4928.97</v>
      </c>
      <c r="AD40" s="2">
        <v>11006.1</v>
      </c>
      <c r="AE40" s="2">
        <v>8124.38</v>
      </c>
      <c r="AF40" s="2">
        <v>9233.6200000000008</v>
      </c>
      <c r="AG40" s="2">
        <v>8698.4699999999993</v>
      </c>
      <c r="AH40" s="2">
        <v>8804.73</v>
      </c>
      <c r="AI40" s="2">
        <v>7636.73</v>
      </c>
      <c r="AJ40" s="2">
        <v>4704.3</v>
      </c>
      <c r="AK40" s="2">
        <v>4656.05</v>
      </c>
      <c r="AN40" s="1" t="s">
        <v>19</v>
      </c>
      <c r="AO40" s="2">
        <v>8629.84</v>
      </c>
      <c r="AP40" s="2">
        <v>6128.46</v>
      </c>
      <c r="AQ40" s="2">
        <v>12886.9</v>
      </c>
      <c r="AR40" s="2">
        <v>9891.14</v>
      </c>
      <c r="AS40" s="2">
        <v>10700</v>
      </c>
      <c r="AT40" s="2">
        <v>10700</v>
      </c>
      <c r="AU40" s="2">
        <v>10233</v>
      </c>
      <c r="AV40" s="2">
        <v>8885.2999999999993</v>
      </c>
      <c r="AW40" s="2">
        <v>5444</v>
      </c>
      <c r="AX40" s="2">
        <v>5479.8</v>
      </c>
    </row>
    <row r="41" spans="2:50" x14ac:dyDescent="0.3">
      <c r="B41" s="1" t="s">
        <v>20</v>
      </c>
      <c r="C41" s="2">
        <v>27964.33</v>
      </c>
      <c r="D41" s="2">
        <v>37672.910000000003</v>
      </c>
      <c r="E41" s="2">
        <v>42729.22</v>
      </c>
      <c r="F41" s="2">
        <v>41435.360000000001</v>
      </c>
      <c r="G41" s="2">
        <v>45243.33</v>
      </c>
      <c r="H41" s="2">
        <v>51196.36</v>
      </c>
      <c r="I41" s="2">
        <v>21517.21</v>
      </c>
      <c r="J41" s="2">
        <v>13914.05</v>
      </c>
      <c r="K41" s="2">
        <v>11304.55</v>
      </c>
      <c r="L41" s="2">
        <v>13027.74</v>
      </c>
      <c r="N41" s="1" t="s">
        <v>20</v>
      </c>
      <c r="O41" s="2">
        <v>1210.58</v>
      </c>
      <c r="P41" s="2">
        <v>946.08</v>
      </c>
      <c r="Q41" s="2">
        <v>1627.78</v>
      </c>
      <c r="R41" s="2">
        <v>1578.49</v>
      </c>
      <c r="S41" s="2">
        <v>1538.89</v>
      </c>
      <c r="T41" s="2">
        <v>1741.37</v>
      </c>
      <c r="U41" s="2">
        <v>1041.28</v>
      </c>
      <c r="V41" s="2">
        <v>1255.0999999999999</v>
      </c>
      <c r="W41" s="2">
        <v>1345.78</v>
      </c>
      <c r="X41" s="2">
        <v>1550.92</v>
      </c>
      <c r="AA41" s="1" t="s">
        <v>20</v>
      </c>
      <c r="AB41" s="2">
        <v>4712.08</v>
      </c>
      <c r="AC41" s="2">
        <v>5740.56</v>
      </c>
      <c r="AD41" s="2">
        <v>7315.8</v>
      </c>
      <c r="AE41" s="2">
        <v>6847.12</v>
      </c>
      <c r="AF41" s="2">
        <v>6845.31</v>
      </c>
      <c r="AG41" s="2">
        <v>7742.43</v>
      </c>
      <c r="AH41" s="2">
        <v>5958.92</v>
      </c>
      <c r="AI41" s="2">
        <v>7221.6</v>
      </c>
      <c r="AJ41" s="2">
        <v>6542.22</v>
      </c>
      <c r="AK41" s="2">
        <v>6331.08</v>
      </c>
      <c r="AN41" s="1" t="s">
        <v>20</v>
      </c>
      <c r="AO41" s="2">
        <v>5922.65</v>
      </c>
      <c r="AP41" s="2">
        <v>6686.65</v>
      </c>
      <c r="AQ41" s="2">
        <v>8943.58</v>
      </c>
      <c r="AR41" s="2">
        <v>8425.61</v>
      </c>
      <c r="AS41" s="2">
        <v>8384.2000000000007</v>
      </c>
      <c r="AT41" s="2">
        <v>9483.7999999999993</v>
      </c>
      <c r="AU41" s="2">
        <v>7000.2</v>
      </c>
      <c r="AV41" s="2">
        <v>8476.7000000000007</v>
      </c>
      <c r="AW41" s="2">
        <v>7888</v>
      </c>
      <c r="AX41" s="2">
        <v>7882</v>
      </c>
    </row>
    <row r="42" spans="2:50" x14ac:dyDescent="0.3">
      <c r="B42" s="1" t="s">
        <v>21</v>
      </c>
      <c r="C42" s="2">
        <v>7198.09</v>
      </c>
      <c r="D42" s="2">
        <v>7656.12</v>
      </c>
      <c r="E42" s="2">
        <v>10097.719999999999</v>
      </c>
      <c r="F42" s="2">
        <v>11203.86</v>
      </c>
      <c r="G42" s="2">
        <v>12279.25</v>
      </c>
      <c r="H42" s="2">
        <v>15850.16</v>
      </c>
      <c r="I42" s="2">
        <v>8216.76</v>
      </c>
      <c r="J42" s="2">
        <v>20389.82</v>
      </c>
      <c r="K42" s="2">
        <v>2864.74</v>
      </c>
      <c r="L42" s="2">
        <v>2341.5700000000002</v>
      </c>
      <c r="N42" s="1" t="s">
        <v>21</v>
      </c>
      <c r="O42" s="2">
        <v>1558.03</v>
      </c>
      <c r="P42" s="2">
        <v>1165.44</v>
      </c>
      <c r="Q42" s="2">
        <v>1923.37</v>
      </c>
      <c r="R42" s="2">
        <v>2134.0700000000002</v>
      </c>
      <c r="S42" s="2">
        <v>2088.31</v>
      </c>
      <c r="T42" s="2">
        <v>1834.03</v>
      </c>
      <c r="U42" s="2">
        <v>1578.27</v>
      </c>
      <c r="V42" s="2">
        <v>1919.15</v>
      </c>
      <c r="W42" s="2">
        <v>1705.2</v>
      </c>
      <c r="X42" s="2">
        <v>1393.79</v>
      </c>
      <c r="AA42" s="1" t="s">
        <v>21</v>
      </c>
      <c r="AB42" s="2">
        <v>6120.57</v>
      </c>
      <c r="AC42" s="2">
        <v>5558.93</v>
      </c>
      <c r="AD42" s="2">
        <v>8776.6299999999992</v>
      </c>
      <c r="AE42" s="2">
        <v>10131.83</v>
      </c>
      <c r="AF42" s="2">
        <v>8611.69</v>
      </c>
      <c r="AG42" s="2">
        <v>9617.23</v>
      </c>
      <c r="AH42" s="2">
        <v>7710.83</v>
      </c>
      <c r="AI42" s="2">
        <v>11990.85</v>
      </c>
      <c r="AJ42" s="2">
        <v>6535.8</v>
      </c>
      <c r="AK42" s="2">
        <v>3973.05</v>
      </c>
      <c r="AN42" s="1" t="s">
        <v>21</v>
      </c>
      <c r="AO42" s="2">
        <v>7678.6</v>
      </c>
      <c r="AP42" s="2">
        <v>6724.37</v>
      </c>
      <c r="AQ42" s="2">
        <v>10700</v>
      </c>
      <c r="AR42" s="2">
        <v>12265.9</v>
      </c>
      <c r="AS42" s="2">
        <v>10700</v>
      </c>
      <c r="AT42" s="2">
        <v>11451.26</v>
      </c>
      <c r="AU42" s="2">
        <v>9289.1</v>
      </c>
      <c r="AV42" s="2">
        <v>13910</v>
      </c>
      <c r="AW42" s="2">
        <v>8241</v>
      </c>
      <c r="AX42" s="2">
        <v>5366.84</v>
      </c>
    </row>
    <row r="43" spans="2:50" x14ac:dyDescent="0.3">
      <c r="B43" s="1" t="s">
        <v>22</v>
      </c>
      <c r="C43" s="2">
        <v>84427.67</v>
      </c>
      <c r="D43" s="2">
        <v>80852.98</v>
      </c>
      <c r="E43" s="2">
        <v>34186.54</v>
      </c>
      <c r="F43" s="2">
        <v>34548.92</v>
      </c>
      <c r="G43" s="2">
        <v>61121.97</v>
      </c>
      <c r="H43" s="2">
        <v>74962.55</v>
      </c>
      <c r="I43" s="2">
        <v>30683.65</v>
      </c>
      <c r="J43" s="2">
        <v>17520.259999999998</v>
      </c>
      <c r="K43" s="2">
        <v>5420.53</v>
      </c>
      <c r="L43" s="2">
        <v>6027.43</v>
      </c>
      <c r="N43" s="1" t="s">
        <v>22</v>
      </c>
      <c r="O43" s="2">
        <v>2030.49</v>
      </c>
      <c r="P43" s="2">
        <v>1944.52</v>
      </c>
      <c r="Q43" s="2">
        <v>2170.5700000000002</v>
      </c>
      <c r="R43" s="2">
        <v>2193.59</v>
      </c>
      <c r="S43" s="2">
        <v>1732.48</v>
      </c>
      <c r="T43" s="2">
        <v>2124.79</v>
      </c>
      <c r="U43" s="2">
        <v>1478.56</v>
      </c>
      <c r="V43" s="2">
        <v>1620.17</v>
      </c>
      <c r="W43" s="2">
        <v>1075.5</v>
      </c>
      <c r="X43" s="2">
        <v>1195.92</v>
      </c>
      <c r="AA43" s="1" t="s">
        <v>22</v>
      </c>
      <c r="AB43" s="2">
        <v>8475.59</v>
      </c>
      <c r="AC43" s="2">
        <v>8444.7800000000007</v>
      </c>
      <c r="AD43" s="2">
        <v>7249.19</v>
      </c>
      <c r="AE43" s="2">
        <v>9441.11</v>
      </c>
      <c r="AF43" s="2">
        <v>9206.23</v>
      </c>
      <c r="AG43" s="2">
        <v>9584.93</v>
      </c>
      <c r="AH43" s="2">
        <v>7536.61</v>
      </c>
      <c r="AI43" s="2">
        <v>8356.01</v>
      </c>
      <c r="AJ43" s="2">
        <v>3576.25</v>
      </c>
      <c r="AK43" s="2">
        <v>4425.28</v>
      </c>
      <c r="AN43" s="1" t="s">
        <v>22</v>
      </c>
      <c r="AO43" s="2">
        <v>10506.08</v>
      </c>
      <c r="AP43" s="2">
        <v>10389.299999999999</v>
      </c>
      <c r="AQ43" s="2">
        <v>9419.76</v>
      </c>
      <c r="AR43" s="2">
        <v>11634.7</v>
      </c>
      <c r="AS43" s="2">
        <v>10938.71</v>
      </c>
      <c r="AT43" s="2">
        <v>11709.71</v>
      </c>
      <c r="AU43" s="2">
        <v>9015.17</v>
      </c>
      <c r="AV43" s="2">
        <v>9976.18</v>
      </c>
      <c r="AW43" s="2">
        <v>4651.75</v>
      </c>
      <c r="AX43" s="2">
        <v>5621.2</v>
      </c>
    </row>
    <row r="44" spans="2:50" x14ac:dyDescent="0.3">
      <c r="B44" s="1" t="s">
        <v>23</v>
      </c>
      <c r="C44" s="2">
        <v>9092.7800000000007</v>
      </c>
      <c r="D44" s="2">
        <v>10581.13</v>
      </c>
      <c r="E44" s="2">
        <v>11256.45</v>
      </c>
      <c r="F44" s="2">
        <v>2902.74</v>
      </c>
      <c r="G44" s="2">
        <v>12658.3</v>
      </c>
      <c r="H44" s="2">
        <v>13493.79</v>
      </c>
      <c r="I44" s="2">
        <v>8284.11</v>
      </c>
      <c r="J44" s="2">
        <v>2580.4499999999998</v>
      </c>
      <c r="K44" s="2">
        <v>2428.9</v>
      </c>
      <c r="L44" s="2">
        <v>4819.42</v>
      </c>
      <c r="N44" s="1" t="s">
        <v>23</v>
      </c>
      <c r="O44" s="2">
        <v>824.47</v>
      </c>
      <c r="P44" s="2">
        <v>1069.68</v>
      </c>
      <c r="Q44" s="2">
        <v>723.92</v>
      </c>
      <c r="R44" s="2">
        <v>862.9</v>
      </c>
      <c r="S44" s="2">
        <v>717.59</v>
      </c>
      <c r="T44" s="2">
        <v>812.88</v>
      </c>
      <c r="U44" s="2">
        <v>535.57000000000005</v>
      </c>
      <c r="V44" s="2">
        <v>193.07</v>
      </c>
      <c r="W44" s="2">
        <v>689.15</v>
      </c>
      <c r="X44" s="2">
        <v>956.24</v>
      </c>
      <c r="AA44" s="1" t="s">
        <v>23</v>
      </c>
      <c r="AB44" s="2">
        <v>4217.33</v>
      </c>
      <c r="AC44" s="2">
        <v>5104.22</v>
      </c>
      <c r="AD44" s="2">
        <v>4371.4799999999996</v>
      </c>
      <c r="AE44" s="2">
        <v>4691.8</v>
      </c>
      <c r="AF44" s="2">
        <v>3179.31</v>
      </c>
      <c r="AG44" s="2">
        <v>3659.82</v>
      </c>
      <c r="AH44" s="2">
        <v>2566.4299999999998</v>
      </c>
      <c r="AI44" s="2">
        <v>3767.43</v>
      </c>
      <c r="AJ44" s="2">
        <v>3825.85</v>
      </c>
      <c r="AK44" s="2">
        <v>3952.76</v>
      </c>
      <c r="AN44" s="1" t="s">
        <v>23</v>
      </c>
      <c r="AO44" s="2">
        <v>5041.8</v>
      </c>
      <c r="AP44" s="2">
        <v>6173.9</v>
      </c>
      <c r="AQ44" s="2">
        <v>5095.3999999999996</v>
      </c>
      <c r="AR44" s="2">
        <v>5554.7</v>
      </c>
      <c r="AS44" s="2">
        <v>3896.9</v>
      </c>
      <c r="AT44" s="2">
        <v>4472.7</v>
      </c>
      <c r="AU44" s="2">
        <v>3102</v>
      </c>
      <c r="AV44" s="2">
        <v>3960.5</v>
      </c>
      <c r="AW44" s="2">
        <v>4515</v>
      </c>
      <c r="AX44" s="2">
        <v>4909</v>
      </c>
    </row>
    <row r="47" spans="2:50" x14ac:dyDescent="0.3">
      <c r="B47" t="s">
        <v>32</v>
      </c>
      <c r="N47" t="s">
        <v>33</v>
      </c>
      <c r="AA47" t="s">
        <v>34</v>
      </c>
      <c r="AN47" t="s">
        <v>35</v>
      </c>
    </row>
    <row r="48" spans="2:50" x14ac:dyDescent="0.3">
      <c r="B48" s="1" t="s">
        <v>11</v>
      </c>
      <c r="C48" s="1" t="s">
        <v>12</v>
      </c>
      <c r="D48" s="1" t="s">
        <v>13</v>
      </c>
      <c r="E48" s="1" t="s">
        <v>12</v>
      </c>
      <c r="F48" s="1" t="s">
        <v>13</v>
      </c>
      <c r="G48" s="1" t="s">
        <v>12</v>
      </c>
      <c r="H48" s="1" t="s">
        <v>13</v>
      </c>
      <c r="I48" s="1" t="s">
        <v>12</v>
      </c>
      <c r="J48" s="1" t="s">
        <v>13</v>
      </c>
      <c r="K48" s="1" t="s">
        <v>12</v>
      </c>
      <c r="L48" s="1" t="s">
        <v>13</v>
      </c>
      <c r="N48" s="1" t="s">
        <v>11</v>
      </c>
      <c r="O48" s="1" t="s">
        <v>12</v>
      </c>
      <c r="P48" s="1" t="s">
        <v>13</v>
      </c>
      <c r="Q48" s="1" t="s">
        <v>12</v>
      </c>
      <c r="R48" s="1" t="s">
        <v>13</v>
      </c>
      <c r="S48" s="1" t="s">
        <v>12</v>
      </c>
      <c r="T48" s="1" t="s">
        <v>13</v>
      </c>
      <c r="U48" s="1" t="s">
        <v>12</v>
      </c>
      <c r="V48" s="1" t="s">
        <v>13</v>
      </c>
      <c r="W48" s="1" t="s">
        <v>12</v>
      </c>
      <c r="X48" s="1" t="s">
        <v>13</v>
      </c>
      <c r="AA48" s="1" t="s">
        <v>11</v>
      </c>
      <c r="AB48" s="1" t="s">
        <v>12</v>
      </c>
      <c r="AC48" s="1" t="s">
        <v>13</v>
      </c>
      <c r="AD48" s="1" t="s">
        <v>12</v>
      </c>
      <c r="AE48" s="1" t="s">
        <v>13</v>
      </c>
      <c r="AF48" s="1" t="s">
        <v>12</v>
      </c>
      <c r="AG48" s="1" t="s">
        <v>13</v>
      </c>
      <c r="AH48" s="1" t="s">
        <v>12</v>
      </c>
      <c r="AI48" s="1" t="s">
        <v>13</v>
      </c>
      <c r="AJ48" s="1" t="s">
        <v>12</v>
      </c>
      <c r="AK48" s="1" t="s">
        <v>13</v>
      </c>
      <c r="AN48" s="1" t="s">
        <v>11</v>
      </c>
      <c r="AO48" s="1" t="s">
        <v>12</v>
      </c>
      <c r="AP48" s="1" t="s">
        <v>13</v>
      </c>
      <c r="AQ48" s="1" t="s">
        <v>12</v>
      </c>
      <c r="AR48" s="1" t="s">
        <v>13</v>
      </c>
      <c r="AS48" s="1" t="s">
        <v>12</v>
      </c>
      <c r="AT48" s="1" t="s">
        <v>13</v>
      </c>
      <c r="AU48" s="1" t="s">
        <v>12</v>
      </c>
      <c r="AV48" s="1" t="s">
        <v>13</v>
      </c>
      <c r="AW48" s="1" t="s">
        <v>12</v>
      </c>
      <c r="AX48" s="1" t="s">
        <v>13</v>
      </c>
    </row>
    <row r="49" spans="2:50" x14ac:dyDescent="0.3">
      <c r="B49" s="1" t="s">
        <v>14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N49" s="1" t="s">
        <v>14</v>
      </c>
      <c r="O49" s="1" t="s">
        <v>1</v>
      </c>
      <c r="P49" s="1" t="s">
        <v>1</v>
      </c>
      <c r="Q49" s="1" t="s">
        <v>2</v>
      </c>
      <c r="R49" s="1" t="s">
        <v>2</v>
      </c>
      <c r="S49" s="1" t="s">
        <v>3</v>
      </c>
      <c r="T49" s="1" t="s">
        <v>3</v>
      </c>
      <c r="U49" s="1" t="s">
        <v>4</v>
      </c>
      <c r="V49" s="1" t="s">
        <v>4</v>
      </c>
      <c r="W49" s="1" t="s">
        <v>5</v>
      </c>
      <c r="X49" s="1" t="s">
        <v>5</v>
      </c>
      <c r="AA49" s="1" t="s">
        <v>14</v>
      </c>
      <c r="AB49" s="1" t="s">
        <v>1</v>
      </c>
      <c r="AC49" s="1" t="s">
        <v>1</v>
      </c>
      <c r="AD49" s="1" t="s">
        <v>2</v>
      </c>
      <c r="AE49" s="1" t="s">
        <v>2</v>
      </c>
      <c r="AF49" s="1" t="s">
        <v>3</v>
      </c>
      <c r="AG49" s="1" t="s">
        <v>3</v>
      </c>
      <c r="AH49" s="1" t="s">
        <v>4</v>
      </c>
      <c r="AI49" s="1" t="s">
        <v>4</v>
      </c>
      <c r="AJ49" s="1" t="s">
        <v>5</v>
      </c>
      <c r="AK49" s="1" t="s">
        <v>5</v>
      </c>
      <c r="AN49" s="1" t="s">
        <v>14</v>
      </c>
      <c r="AO49" s="1" t="s">
        <v>1</v>
      </c>
      <c r="AP49" s="1" t="s">
        <v>1</v>
      </c>
      <c r="AQ49" s="1" t="s">
        <v>2</v>
      </c>
      <c r="AR49" s="1" t="s">
        <v>2</v>
      </c>
      <c r="AS49" s="1" t="s">
        <v>3</v>
      </c>
      <c r="AT49" s="1" t="s">
        <v>3</v>
      </c>
      <c r="AU49" s="1" t="s">
        <v>4</v>
      </c>
      <c r="AV49" s="1" t="s">
        <v>4</v>
      </c>
      <c r="AW49" s="1" t="s">
        <v>5</v>
      </c>
      <c r="AX49" s="1" t="s">
        <v>5</v>
      </c>
    </row>
    <row r="50" spans="2:50" x14ac:dyDescent="0.3">
      <c r="B50" s="1" t="s">
        <v>15</v>
      </c>
      <c r="N50" s="1" t="s">
        <v>15</v>
      </c>
      <c r="AA50" s="1" t="s">
        <v>15</v>
      </c>
      <c r="AN50" s="1" t="s">
        <v>15</v>
      </c>
    </row>
    <row r="51" spans="2:50" x14ac:dyDescent="0.3">
      <c r="B51" s="1" t="s">
        <v>16</v>
      </c>
      <c r="C51" s="2">
        <v>569.91999999999996</v>
      </c>
      <c r="D51" s="2">
        <v>556.70000000000005</v>
      </c>
      <c r="E51" s="2">
        <v>697.95</v>
      </c>
      <c r="F51" s="2">
        <v>256.95999999999998</v>
      </c>
      <c r="G51" s="2">
        <v>649.19000000000005</v>
      </c>
      <c r="H51" s="2">
        <v>541.39</v>
      </c>
      <c r="I51" s="2">
        <v>404.34</v>
      </c>
      <c r="J51" s="2">
        <v>242.85</v>
      </c>
      <c r="K51" s="2">
        <v>191.92</v>
      </c>
      <c r="L51" s="2">
        <v>123.51</v>
      </c>
      <c r="N51" s="1" t="s">
        <v>16</v>
      </c>
      <c r="O51" s="2">
        <v>0.08</v>
      </c>
      <c r="P51" s="2">
        <v>0.08</v>
      </c>
      <c r="Q51" s="2">
        <v>0.1</v>
      </c>
      <c r="R51" s="2">
        <v>0.05</v>
      </c>
      <c r="S51" s="2">
        <v>0.06</v>
      </c>
      <c r="T51" s="2">
        <v>0.05</v>
      </c>
      <c r="U51" s="2">
        <v>0.04</v>
      </c>
      <c r="V51" s="2">
        <v>0.02</v>
      </c>
      <c r="W51" s="2">
        <v>0.09</v>
      </c>
      <c r="X51" s="2">
        <v>7.0000000000000007E-2</v>
      </c>
      <c r="AA51" s="1" t="s">
        <v>16</v>
      </c>
      <c r="AB51" s="2">
        <v>0.36</v>
      </c>
      <c r="AC51" s="2">
        <v>0.36</v>
      </c>
      <c r="AD51" s="2">
        <v>0.34</v>
      </c>
      <c r="AE51" s="2">
        <v>0.27</v>
      </c>
      <c r="AF51" s="2">
        <v>0.22</v>
      </c>
      <c r="AG51" s="2">
        <v>0.19</v>
      </c>
      <c r="AH51" s="2">
        <v>0.2</v>
      </c>
      <c r="AI51" s="2">
        <v>0.17</v>
      </c>
      <c r="AJ51" s="2">
        <v>0.49</v>
      </c>
      <c r="AK51" s="2">
        <v>0.4</v>
      </c>
      <c r="AN51" s="1" t="s">
        <v>16</v>
      </c>
      <c r="AO51" s="2">
        <v>0.4</v>
      </c>
      <c r="AP51" s="2">
        <v>0.39</v>
      </c>
      <c r="AQ51" s="2">
        <v>0.37</v>
      </c>
      <c r="AR51" s="2">
        <v>0.28999999999999998</v>
      </c>
      <c r="AS51" s="2">
        <v>0.24</v>
      </c>
      <c r="AT51" s="2">
        <v>0.21</v>
      </c>
      <c r="AU51" s="2">
        <v>0.21</v>
      </c>
      <c r="AV51" s="2">
        <v>0.18</v>
      </c>
      <c r="AW51" s="2">
        <v>0.54</v>
      </c>
      <c r="AX51" s="2">
        <v>0.44</v>
      </c>
    </row>
    <row r="52" spans="2:50" x14ac:dyDescent="0.3">
      <c r="B52" s="1" t="s">
        <v>17</v>
      </c>
      <c r="C52" s="2">
        <v>6208.78</v>
      </c>
      <c r="D52" s="2">
        <v>2365.5700000000002</v>
      </c>
      <c r="E52" s="2">
        <v>5068.38</v>
      </c>
      <c r="F52" s="2">
        <v>4096.74</v>
      </c>
      <c r="G52" s="2">
        <v>10895.66</v>
      </c>
      <c r="H52" s="2">
        <v>4921.1400000000003</v>
      </c>
      <c r="I52" s="2">
        <v>10986.55</v>
      </c>
      <c r="J52" s="2">
        <v>993.07</v>
      </c>
      <c r="K52" s="2">
        <v>2232.87</v>
      </c>
      <c r="L52" s="2">
        <v>1074.0999999999999</v>
      </c>
      <c r="N52" s="1" t="s">
        <v>17</v>
      </c>
      <c r="O52" s="2">
        <v>0.44</v>
      </c>
      <c r="P52" s="2">
        <v>0.24</v>
      </c>
      <c r="Q52" s="2">
        <v>0.41</v>
      </c>
      <c r="R52" s="2">
        <v>0.3</v>
      </c>
      <c r="S52" s="2">
        <v>0.57999999999999996</v>
      </c>
      <c r="T52" s="2">
        <v>0.28000000000000003</v>
      </c>
      <c r="U52" s="2">
        <v>0.49</v>
      </c>
      <c r="V52" s="2">
        <v>0.12</v>
      </c>
      <c r="W52" s="2">
        <v>0.44</v>
      </c>
      <c r="X52" s="2">
        <v>0.26</v>
      </c>
      <c r="AA52" s="1" t="s">
        <v>17</v>
      </c>
      <c r="AB52" s="2">
        <v>0.87</v>
      </c>
      <c r="AC52" s="2">
        <v>0.69</v>
      </c>
      <c r="AD52" s="2">
        <v>0.77</v>
      </c>
      <c r="AE52" s="2">
        <v>0.85</v>
      </c>
      <c r="AF52" s="2">
        <v>0.87</v>
      </c>
      <c r="AG52" s="2">
        <v>0.78</v>
      </c>
      <c r="AH52" s="2">
        <v>0.87</v>
      </c>
      <c r="AI52" s="2">
        <v>0.37</v>
      </c>
      <c r="AJ52" s="2">
        <v>0.86</v>
      </c>
      <c r="AK52" s="2">
        <v>0.75</v>
      </c>
      <c r="AN52" s="1" t="s">
        <v>17</v>
      </c>
      <c r="AO52" s="2">
        <v>1.08</v>
      </c>
      <c r="AP52" s="2">
        <v>0.8</v>
      </c>
      <c r="AQ52" s="2">
        <v>0.89</v>
      </c>
      <c r="AR52" s="2">
        <v>1.08</v>
      </c>
      <c r="AS52" s="2">
        <v>1.08</v>
      </c>
      <c r="AT52" s="2">
        <v>0.96</v>
      </c>
      <c r="AU52" s="2">
        <v>1.08</v>
      </c>
      <c r="AV52" s="2">
        <v>0.4</v>
      </c>
      <c r="AW52" s="2">
        <v>1.06</v>
      </c>
      <c r="AX52" s="2">
        <v>0.88</v>
      </c>
    </row>
    <row r="53" spans="2:50" x14ac:dyDescent="0.3">
      <c r="B53" s="1" t="s">
        <v>18</v>
      </c>
      <c r="C53" s="2">
        <v>82697.22</v>
      </c>
      <c r="D53" s="2">
        <v>13821.19</v>
      </c>
      <c r="E53" s="2">
        <v>42393.67</v>
      </c>
      <c r="F53" s="2">
        <v>60324.19</v>
      </c>
      <c r="G53" s="2">
        <v>119636.98</v>
      </c>
      <c r="H53" s="2">
        <v>25948.12</v>
      </c>
      <c r="I53" s="2">
        <v>96594.76</v>
      </c>
      <c r="J53" s="2">
        <v>12742.6</v>
      </c>
      <c r="K53" s="2">
        <v>3633.93</v>
      </c>
      <c r="L53" s="2">
        <v>5183.9799999999996</v>
      </c>
      <c r="N53" s="1" t="s">
        <v>18</v>
      </c>
      <c r="O53" s="2">
        <v>0.68</v>
      </c>
      <c r="P53" s="2">
        <v>0.36</v>
      </c>
      <c r="Q53" s="2">
        <v>0.47</v>
      </c>
      <c r="R53" s="2">
        <v>0.49</v>
      </c>
      <c r="S53" s="2">
        <v>0.74</v>
      </c>
      <c r="T53" s="2">
        <v>0.51</v>
      </c>
      <c r="U53" s="2">
        <v>0.52</v>
      </c>
      <c r="V53" s="2">
        <v>0.35</v>
      </c>
      <c r="W53" s="2">
        <v>0.25</v>
      </c>
      <c r="X53" s="2">
        <v>0.38</v>
      </c>
      <c r="AA53" s="1" t="s">
        <v>18</v>
      </c>
      <c r="AB53" s="2">
        <v>1.1200000000000001</v>
      </c>
      <c r="AC53" s="2">
        <v>0.76</v>
      </c>
      <c r="AD53" s="2">
        <v>0.93</v>
      </c>
      <c r="AE53" s="2">
        <v>1.1100000000000001</v>
      </c>
      <c r="AF53" s="2">
        <v>1.1000000000000001</v>
      </c>
      <c r="AG53" s="2">
        <v>0.81</v>
      </c>
      <c r="AH53" s="2">
        <v>1.05</v>
      </c>
      <c r="AI53" s="2">
        <v>0.61</v>
      </c>
      <c r="AJ53" s="2">
        <v>0.68</v>
      </c>
      <c r="AK53" s="2">
        <v>0.8</v>
      </c>
      <c r="AN53" s="1" t="s">
        <v>18</v>
      </c>
      <c r="AO53" s="2">
        <v>1.42</v>
      </c>
      <c r="AP53" s="2">
        <v>0.98</v>
      </c>
      <c r="AQ53" s="2">
        <v>1.06</v>
      </c>
      <c r="AR53" s="2">
        <v>1.43</v>
      </c>
      <c r="AS53" s="2">
        <v>1.37</v>
      </c>
      <c r="AT53" s="2">
        <v>0.99</v>
      </c>
      <c r="AU53" s="2">
        <v>1.23</v>
      </c>
      <c r="AV53" s="2">
        <v>0.71</v>
      </c>
      <c r="AW53" s="2">
        <v>0.81</v>
      </c>
      <c r="AX53" s="2">
        <v>1.01</v>
      </c>
    </row>
    <row r="54" spans="2:50" x14ac:dyDescent="0.3">
      <c r="B54" s="1" t="s">
        <v>19</v>
      </c>
      <c r="C54" s="2">
        <v>5787.2</v>
      </c>
      <c r="D54" s="2">
        <v>4228.55</v>
      </c>
      <c r="E54" s="2">
        <v>7205.51</v>
      </c>
      <c r="F54" s="2">
        <v>6583.13</v>
      </c>
      <c r="G54" s="2">
        <v>12490.81</v>
      </c>
      <c r="H54" s="2">
        <v>9023.49</v>
      </c>
      <c r="I54" s="2">
        <v>6894</v>
      </c>
      <c r="J54" s="2">
        <v>2622.73</v>
      </c>
      <c r="K54" s="2">
        <v>909.24</v>
      </c>
      <c r="L54" s="2">
        <v>991.56</v>
      </c>
      <c r="N54" s="1" t="s">
        <v>19</v>
      </c>
      <c r="O54" s="2">
        <v>0.45</v>
      </c>
      <c r="P54" s="2">
        <v>0.33</v>
      </c>
      <c r="Q54" s="2">
        <v>0.52</v>
      </c>
      <c r="R54" s="2">
        <v>0.49</v>
      </c>
      <c r="S54" s="2">
        <v>0.41</v>
      </c>
      <c r="T54" s="2">
        <v>0.56000000000000005</v>
      </c>
      <c r="U54" s="2">
        <v>0.4</v>
      </c>
      <c r="V54" s="2">
        <v>0.35</v>
      </c>
      <c r="W54" s="2">
        <v>0.21</v>
      </c>
      <c r="X54" s="2">
        <v>0.23</v>
      </c>
      <c r="AA54" s="1" t="s">
        <v>19</v>
      </c>
      <c r="AB54" s="2">
        <v>0.87</v>
      </c>
      <c r="AC54" s="2">
        <v>0.85</v>
      </c>
      <c r="AD54" s="2">
        <v>0.87</v>
      </c>
      <c r="AE54" s="2">
        <v>0.88</v>
      </c>
      <c r="AF54" s="2">
        <v>0.92</v>
      </c>
      <c r="AG54" s="2">
        <v>0.87</v>
      </c>
      <c r="AH54" s="2">
        <v>0.79</v>
      </c>
      <c r="AI54" s="2">
        <v>0.59</v>
      </c>
      <c r="AJ54" s="2">
        <v>0.76</v>
      </c>
      <c r="AK54" s="2">
        <v>0.78</v>
      </c>
      <c r="AN54" s="1" t="s">
        <v>19</v>
      </c>
      <c r="AO54" s="2">
        <v>1.07</v>
      </c>
      <c r="AP54" s="2">
        <v>1.05</v>
      </c>
      <c r="AQ54" s="2">
        <v>1.02</v>
      </c>
      <c r="AR54" s="2">
        <v>1.07</v>
      </c>
      <c r="AS54" s="2">
        <v>1.07</v>
      </c>
      <c r="AT54" s="2">
        <v>1.07</v>
      </c>
      <c r="AU54" s="2">
        <v>0.92</v>
      </c>
      <c r="AV54" s="2">
        <v>0.68</v>
      </c>
      <c r="AW54" s="2">
        <v>0.87</v>
      </c>
      <c r="AX54" s="2">
        <v>0.91</v>
      </c>
    </row>
    <row r="55" spans="2:50" x14ac:dyDescent="0.3">
      <c r="B55" s="1" t="s">
        <v>20</v>
      </c>
      <c r="C55" s="2">
        <v>22622.06</v>
      </c>
      <c r="D55" s="2">
        <v>30900.560000000001</v>
      </c>
      <c r="E55" s="2">
        <v>31698.43</v>
      </c>
      <c r="F55" s="2">
        <v>31329.89</v>
      </c>
      <c r="G55" s="2">
        <v>37302.21</v>
      </c>
      <c r="H55" s="2">
        <v>43014.06</v>
      </c>
      <c r="I55" s="2">
        <v>17685.73</v>
      </c>
      <c r="J55" s="2">
        <v>11606.89</v>
      </c>
      <c r="K55" s="2">
        <v>8455.58</v>
      </c>
      <c r="L55" s="2">
        <v>9850.33</v>
      </c>
      <c r="N55" s="1" t="s">
        <v>20</v>
      </c>
      <c r="O55" s="2">
        <v>0.34</v>
      </c>
      <c r="P55" s="2">
        <v>0.26</v>
      </c>
      <c r="Q55" s="2">
        <v>0.45</v>
      </c>
      <c r="R55" s="2">
        <v>0.44</v>
      </c>
      <c r="S55" s="2">
        <v>0.43</v>
      </c>
      <c r="T55" s="2">
        <v>0.48</v>
      </c>
      <c r="U55" s="2">
        <v>0.28999999999999998</v>
      </c>
      <c r="V55" s="2">
        <v>0.35</v>
      </c>
      <c r="W55" s="2">
        <v>0.37</v>
      </c>
      <c r="X55" s="2">
        <v>0.43</v>
      </c>
      <c r="AA55" s="1" t="s">
        <v>20</v>
      </c>
      <c r="AB55" s="2">
        <v>0.85</v>
      </c>
      <c r="AC55" s="2">
        <v>0.92</v>
      </c>
      <c r="AD55" s="2">
        <v>0.88</v>
      </c>
      <c r="AE55" s="2">
        <v>0.87</v>
      </c>
      <c r="AF55" s="2">
        <v>0.83</v>
      </c>
      <c r="AG55" s="2">
        <v>0.84</v>
      </c>
      <c r="AH55" s="2">
        <v>0.65</v>
      </c>
      <c r="AI55" s="2">
        <v>0.56000000000000005</v>
      </c>
      <c r="AJ55" s="2">
        <v>0.84</v>
      </c>
      <c r="AK55" s="2">
        <v>0.87</v>
      </c>
      <c r="AN55" s="1" t="s">
        <v>20</v>
      </c>
      <c r="AO55" s="2">
        <v>1.07</v>
      </c>
      <c r="AP55" s="2">
        <v>1.07</v>
      </c>
      <c r="AQ55" s="2">
        <v>1.07</v>
      </c>
      <c r="AR55" s="2">
        <v>1.07</v>
      </c>
      <c r="AS55" s="2">
        <v>1.02</v>
      </c>
      <c r="AT55" s="2">
        <v>1.03</v>
      </c>
      <c r="AU55" s="2">
        <v>0.77</v>
      </c>
      <c r="AV55" s="2">
        <v>0.65</v>
      </c>
      <c r="AW55" s="2">
        <v>1.01</v>
      </c>
      <c r="AX55" s="2">
        <v>1.08</v>
      </c>
    </row>
    <row r="56" spans="2:50" x14ac:dyDescent="0.3">
      <c r="B56" s="1" t="s">
        <v>21</v>
      </c>
      <c r="C56" s="2">
        <v>6168.53</v>
      </c>
      <c r="D56" s="2">
        <v>6757.16</v>
      </c>
      <c r="E56" s="2">
        <v>8205.1200000000008</v>
      </c>
      <c r="F56" s="2">
        <v>9748.48</v>
      </c>
      <c r="G56" s="2">
        <v>10644.86</v>
      </c>
      <c r="H56" s="2">
        <v>14251.32</v>
      </c>
      <c r="I56" s="2">
        <v>7135.6</v>
      </c>
      <c r="J56" s="2">
        <v>18361.78</v>
      </c>
      <c r="K56" s="2">
        <v>2321.4299999999998</v>
      </c>
      <c r="L56" s="2">
        <v>2017.11</v>
      </c>
      <c r="N56" s="1" t="s">
        <v>21</v>
      </c>
      <c r="O56" s="2">
        <v>0.43</v>
      </c>
      <c r="P56" s="2">
        <v>0.32</v>
      </c>
      <c r="Q56" s="2">
        <v>0.53</v>
      </c>
      <c r="R56" s="2">
        <v>0.59</v>
      </c>
      <c r="S56" s="2">
        <v>0.57999999999999996</v>
      </c>
      <c r="T56" s="2">
        <v>0.51</v>
      </c>
      <c r="U56" s="2">
        <v>0.44</v>
      </c>
      <c r="V56" s="2">
        <v>0.53</v>
      </c>
      <c r="W56" s="2">
        <v>0.47</v>
      </c>
      <c r="X56" s="2">
        <v>0.39</v>
      </c>
      <c r="AA56" s="1" t="s">
        <v>21</v>
      </c>
      <c r="AB56" s="2">
        <v>0.85</v>
      </c>
      <c r="AC56" s="2">
        <v>0.88</v>
      </c>
      <c r="AD56" s="2">
        <v>0.88</v>
      </c>
      <c r="AE56" s="2">
        <v>0.88</v>
      </c>
      <c r="AF56" s="2">
        <v>0.86</v>
      </c>
      <c r="AG56" s="2">
        <v>0.9</v>
      </c>
      <c r="AH56" s="2">
        <v>0.77</v>
      </c>
      <c r="AI56" s="2">
        <v>0.92</v>
      </c>
      <c r="AJ56" s="2">
        <v>0.87</v>
      </c>
      <c r="AK56" s="2">
        <v>0.86</v>
      </c>
      <c r="AN56" s="1" t="s">
        <v>21</v>
      </c>
      <c r="AO56" s="2">
        <v>1.07</v>
      </c>
      <c r="AP56" s="2">
        <v>1.07</v>
      </c>
      <c r="AQ56" s="2">
        <v>1.07</v>
      </c>
      <c r="AR56" s="2">
        <v>1.07</v>
      </c>
      <c r="AS56" s="2">
        <v>1.07</v>
      </c>
      <c r="AT56" s="2">
        <v>1.07</v>
      </c>
      <c r="AU56" s="2">
        <v>0.93</v>
      </c>
      <c r="AV56" s="2">
        <v>1.07</v>
      </c>
      <c r="AW56" s="2">
        <v>1.0900000000000001</v>
      </c>
      <c r="AX56" s="2">
        <v>1.1599999999999999</v>
      </c>
    </row>
    <row r="57" spans="2:50" x14ac:dyDescent="0.3">
      <c r="B57" s="1" t="s">
        <v>22</v>
      </c>
      <c r="C57" s="2">
        <v>75210.080000000002</v>
      </c>
      <c r="D57" s="2">
        <v>71332.11</v>
      </c>
      <c r="E57" s="2">
        <v>28685.85</v>
      </c>
      <c r="F57" s="2">
        <v>29497.18</v>
      </c>
      <c r="G57" s="2">
        <v>55178.720000000001</v>
      </c>
      <c r="H57" s="2">
        <v>69122.92</v>
      </c>
      <c r="I57" s="2">
        <v>26983.24</v>
      </c>
      <c r="J57" s="2">
        <v>16203.5</v>
      </c>
      <c r="K57" s="2">
        <v>4523.54</v>
      </c>
      <c r="L57" s="2">
        <v>5125.2</v>
      </c>
      <c r="N57" s="1" t="s">
        <v>22</v>
      </c>
      <c r="O57" s="2">
        <v>0.56000000000000005</v>
      </c>
      <c r="P57" s="2">
        <v>0.54</v>
      </c>
      <c r="Q57" s="2">
        <v>0.6</v>
      </c>
      <c r="R57" s="2">
        <v>0.61</v>
      </c>
      <c r="S57" s="2">
        <v>0.48</v>
      </c>
      <c r="T57" s="2">
        <v>0.59</v>
      </c>
      <c r="U57" s="2">
        <v>0.41</v>
      </c>
      <c r="V57" s="2">
        <v>0.45</v>
      </c>
      <c r="W57" s="2">
        <v>0.3</v>
      </c>
      <c r="X57" s="2">
        <v>0.33</v>
      </c>
      <c r="AA57" s="1" t="s">
        <v>22</v>
      </c>
      <c r="AB57" s="2">
        <v>1.06</v>
      </c>
      <c r="AC57" s="2">
        <v>1.05</v>
      </c>
      <c r="AD57" s="2">
        <v>0.88</v>
      </c>
      <c r="AE57" s="2">
        <v>0.87</v>
      </c>
      <c r="AF57" s="2">
        <v>0.92</v>
      </c>
      <c r="AG57" s="2">
        <v>0.96</v>
      </c>
      <c r="AH57" s="2">
        <v>0.75</v>
      </c>
      <c r="AI57" s="2">
        <v>0.64</v>
      </c>
      <c r="AJ57" s="2">
        <v>0.74</v>
      </c>
      <c r="AK57" s="2">
        <v>0.75</v>
      </c>
      <c r="AN57" s="1" t="s">
        <v>22</v>
      </c>
      <c r="AO57" s="2">
        <v>1.31</v>
      </c>
      <c r="AP57" s="2">
        <v>1.29</v>
      </c>
      <c r="AQ57" s="2">
        <v>1.1499999999999999</v>
      </c>
      <c r="AR57" s="2">
        <v>1.07</v>
      </c>
      <c r="AS57" s="2">
        <v>1.0900000000000001</v>
      </c>
      <c r="AT57" s="2">
        <v>1.17</v>
      </c>
      <c r="AU57" s="2">
        <v>0.9</v>
      </c>
      <c r="AV57" s="2">
        <v>0.77</v>
      </c>
      <c r="AW57" s="2">
        <v>0.97</v>
      </c>
      <c r="AX57" s="2">
        <v>0.95</v>
      </c>
    </row>
    <row r="58" spans="2:50" x14ac:dyDescent="0.3">
      <c r="B58" s="1" t="s">
        <v>23</v>
      </c>
      <c r="C58" s="2">
        <v>8050.54</v>
      </c>
      <c r="D58" s="2">
        <v>9646.93</v>
      </c>
      <c r="E58" s="2">
        <v>9210.9</v>
      </c>
      <c r="F58" s="2">
        <v>2495.85</v>
      </c>
      <c r="G58" s="2">
        <v>11254.69</v>
      </c>
      <c r="H58" s="2">
        <v>12275.05</v>
      </c>
      <c r="I58" s="2">
        <v>7411.44</v>
      </c>
      <c r="J58" s="2">
        <v>2171.87</v>
      </c>
      <c r="K58" s="2">
        <v>1987.15</v>
      </c>
      <c r="L58" s="2">
        <v>4107.8999999999996</v>
      </c>
      <c r="N58" s="1" t="s">
        <v>23</v>
      </c>
      <c r="O58" s="2">
        <v>0.23</v>
      </c>
      <c r="P58" s="2">
        <v>0.3</v>
      </c>
      <c r="Q58" s="2">
        <v>0.2</v>
      </c>
      <c r="R58" s="2">
        <v>0.24</v>
      </c>
      <c r="S58" s="2">
        <v>0.2</v>
      </c>
      <c r="T58" s="2">
        <v>0.23</v>
      </c>
      <c r="U58" s="2">
        <v>0.15</v>
      </c>
      <c r="V58" s="2">
        <v>0.05</v>
      </c>
      <c r="W58" s="2">
        <v>0.19</v>
      </c>
      <c r="X58" s="2">
        <v>0.27</v>
      </c>
      <c r="AA58" s="1" t="s">
        <v>23</v>
      </c>
      <c r="AB58" s="2">
        <v>0.7</v>
      </c>
      <c r="AC58" s="2">
        <v>0.71</v>
      </c>
      <c r="AD58" s="2">
        <v>0.76</v>
      </c>
      <c r="AE58" s="2">
        <v>0.4</v>
      </c>
      <c r="AF58" s="2">
        <v>0.74</v>
      </c>
      <c r="AG58" s="2">
        <v>0.72</v>
      </c>
      <c r="AH58" s="2">
        <v>0.64</v>
      </c>
      <c r="AI58" s="2">
        <v>0.3</v>
      </c>
      <c r="AJ58" s="2">
        <v>0.65</v>
      </c>
      <c r="AK58" s="2">
        <v>0.8</v>
      </c>
      <c r="AN58" s="1" t="s">
        <v>23</v>
      </c>
      <c r="AO58" s="2">
        <v>0.84</v>
      </c>
      <c r="AP58" s="2">
        <v>0.85</v>
      </c>
      <c r="AQ58" s="2">
        <v>0.88</v>
      </c>
      <c r="AR58" s="2">
        <v>0.47</v>
      </c>
      <c r="AS58" s="2">
        <v>0.91</v>
      </c>
      <c r="AT58" s="2">
        <v>0.88</v>
      </c>
      <c r="AU58" s="2">
        <v>0.78</v>
      </c>
      <c r="AV58" s="2">
        <v>0.32</v>
      </c>
      <c r="AW58" s="2">
        <v>0.76</v>
      </c>
      <c r="AX58" s="2">
        <v>1</v>
      </c>
    </row>
    <row r="61" spans="2:50" x14ac:dyDescent="0.3">
      <c r="B61" t="s">
        <v>36</v>
      </c>
      <c r="N61" t="s">
        <v>37</v>
      </c>
      <c r="AA61" t="s">
        <v>38</v>
      </c>
      <c r="AN61" t="s">
        <v>39</v>
      </c>
    </row>
    <row r="62" spans="2:50" x14ac:dyDescent="0.3">
      <c r="B62" s="1" t="s">
        <v>11</v>
      </c>
      <c r="C62" s="1" t="s">
        <v>12</v>
      </c>
      <c r="D62" s="1" t="s">
        <v>13</v>
      </c>
      <c r="E62" s="1" t="s">
        <v>12</v>
      </c>
      <c r="F62" s="1" t="s">
        <v>13</v>
      </c>
      <c r="G62" s="1" t="s">
        <v>12</v>
      </c>
      <c r="H62" s="1" t="s">
        <v>13</v>
      </c>
      <c r="I62" s="1" t="s">
        <v>12</v>
      </c>
      <c r="J62" s="1" t="s">
        <v>13</v>
      </c>
      <c r="K62" s="1" t="s">
        <v>12</v>
      </c>
      <c r="L62" s="1" t="s">
        <v>13</v>
      </c>
      <c r="N62" s="1" t="s">
        <v>11</v>
      </c>
      <c r="O62" s="1" t="s">
        <v>12</v>
      </c>
      <c r="P62" s="1" t="s">
        <v>13</v>
      </c>
      <c r="Q62" s="1" t="s">
        <v>12</v>
      </c>
      <c r="R62" s="1" t="s">
        <v>13</v>
      </c>
      <c r="S62" s="1" t="s">
        <v>12</v>
      </c>
      <c r="T62" s="1" t="s">
        <v>13</v>
      </c>
      <c r="U62" s="1" t="s">
        <v>12</v>
      </c>
      <c r="V62" s="1" t="s">
        <v>13</v>
      </c>
      <c r="W62" s="1" t="s">
        <v>12</v>
      </c>
      <c r="X62" s="1" t="s">
        <v>13</v>
      </c>
      <c r="AA62" s="1" t="s">
        <v>11</v>
      </c>
      <c r="AB62" s="1" t="s">
        <v>12</v>
      </c>
      <c r="AC62" s="1" t="s">
        <v>13</v>
      </c>
      <c r="AD62" s="1" t="s">
        <v>12</v>
      </c>
      <c r="AE62" s="1" t="s">
        <v>13</v>
      </c>
      <c r="AF62" s="1" t="s">
        <v>12</v>
      </c>
      <c r="AG62" s="1" t="s">
        <v>13</v>
      </c>
      <c r="AH62" s="1" t="s">
        <v>12</v>
      </c>
      <c r="AI62" s="1" t="s">
        <v>13</v>
      </c>
      <c r="AJ62" s="1" t="s">
        <v>12</v>
      </c>
      <c r="AK62" s="1" t="s">
        <v>13</v>
      </c>
      <c r="AN62" s="1" t="s">
        <v>11</v>
      </c>
      <c r="AO62" s="1" t="s">
        <v>12</v>
      </c>
      <c r="AP62" s="1" t="s">
        <v>13</v>
      </c>
      <c r="AQ62" s="1" t="s">
        <v>12</v>
      </c>
      <c r="AR62" s="1" t="s">
        <v>13</v>
      </c>
      <c r="AS62" s="1" t="s">
        <v>12</v>
      </c>
      <c r="AT62" s="1" t="s">
        <v>13</v>
      </c>
      <c r="AU62" s="1" t="s">
        <v>12</v>
      </c>
      <c r="AV62" s="1" t="s">
        <v>13</v>
      </c>
      <c r="AW62" s="1" t="s">
        <v>12</v>
      </c>
      <c r="AX62" s="1" t="s">
        <v>13</v>
      </c>
    </row>
    <row r="63" spans="2:50" x14ac:dyDescent="0.3">
      <c r="B63" s="1" t="s">
        <v>14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N63" s="1" t="s">
        <v>14</v>
      </c>
      <c r="O63" s="1" t="s">
        <v>1</v>
      </c>
      <c r="P63" s="1" t="s">
        <v>1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4</v>
      </c>
      <c r="V63" s="1" t="s">
        <v>4</v>
      </c>
      <c r="W63" s="1" t="s">
        <v>5</v>
      </c>
      <c r="X63" s="1" t="s">
        <v>5</v>
      </c>
      <c r="AA63" s="1" t="s">
        <v>14</v>
      </c>
      <c r="AB63" s="1" t="s">
        <v>1</v>
      </c>
      <c r="AC63" s="1" t="s">
        <v>1</v>
      </c>
      <c r="AD63" s="1" t="s">
        <v>2</v>
      </c>
      <c r="AE63" s="1" t="s">
        <v>2</v>
      </c>
      <c r="AF63" s="1" t="s">
        <v>3</v>
      </c>
      <c r="AG63" s="1" t="s">
        <v>3</v>
      </c>
      <c r="AH63" s="1" t="s">
        <v>4</v>
      </c>
      <c r="AI63" s="1" t="s">
        <v>4</v>
      </c>
      <c r="AJ63" s="1" t="s">
        <v>5</v>
      </c>
      <c r="AK63" s="1" t="s">
        <v>5</v>
      </c>
      <c r="AN63" s="1" t="s">
        <v>14</v>
      </c>
      <c r="AO63" s="1" t="s">
        <v>1</v>
      </c>
      <c r="AP63" s="1" t="s">
        <v>1</v>
      </c>
      <c r="AQ63" s="1" t="s">
        <v>2</v>
      </c>
      <c r="AR63" s="1" t="s">
        <v>2</v>
      </c>
      <c r="AS63" s="1" t="s">
        <v>3</v>
      </c>
      <c r="AT63" s="1" t="s">
        <v>3</v>
      </c>
      <c r="AU63" s="1" t="s">
        <v>4</v>
      </c>
      <c r="AV63" s="1" t="s">
        <v>4</v>
      </c>
      <c r="AW63" s="1" t="s">
        <v>5</v>
      </c>
      <c r="AX63" s="1" t="s">
        <v>5</v>
      </c>
    </row>
    <row r="64" spans="2:50" x14ac:dyDescent="0.3">
      <c r="B64" s="1" t="s">
        <v>15</v>
      </c>
      <c r="N64" s="1" t="s">
        <v>15</v>
      </c>
      <c r="AA64" s="1" t="s">
        <v>15</v>
      </c>
      <c r="AN64" s="1" t="s">
        <v>15</v>
      </c>
    </row>
    <row r="65" spans="2:50" x14ac:dyDescent="0.3">
      <c r="B65" s="1" t="s">
        <v>16</v>
      </c>
      <c r="C65" s="2">
        <v>44.58</v>
      </c>
      <c r="D65" s="2">
        <v>47.81</v>
      </c>
      <c r="E65" s="2">
        <v>63.26</v>
      </c>
      <c r="F65" s="2">
        <v>44.34</v>
      </c>
      <c r="G65" s="2">
        <v>47.5</v>
      </c>
      <c r="H65" s="2">
        <v>47.5</v>
      </c>
      <c r="I65" s="2">
        <v>27.41</v>
      </c>
      <c r="J65" s="2">
        <v>30.6</v>
      </c>
      <c r="K65" s="2">
        <v>17.61</v>
      </c>
      <c r="L65" s="2">
        <v>21.22</v>
      </c>
      <c r="N65" s="1" t="s">
        <v>16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U65" s="2">
        <v>60</v>
      </c>
      <c r="V65" s="2">
        <v>60</v>
      </c>
      <c r="W65" s="2">
        <v>60</v>
      </c>
      <c r="X65" s="2">
        <v>60</v>
      </c>
      <c r="AA65" s="1" t="s">
        <v>16</v>
      </c>
      <c r="AB65" s="2">
        <v>59.87</v>
      </c>
      <c r="AC65" s="2">
        <v>59.88</v>
      </c>
      <c r="AD65" s="2">
        <v>59.91</v>
      </c>
      <c r="AE65" s="2">
        <v>59.98</v>
      </c>
      <c r="AF65" s="2">
        <v>54.99</v>
      </c>
      <c r="AG65" s="2">
        <v>55</v>
      </c>
      <c r="AH65" s="2">
        <v>60</v>
      </c>
      <c r="AI65" s="2">
        <v>60</v>
      </c>
      <c r="AJ65" s="2">
        <v>59.19</v>
      </c>
      <c r="AK65" s="2">
        <v>59.76</v>
      </c>
      <c r="AN65" s="1" t="s">
        <v>16</v>
      </c>
      <c r="AO65" s="2">
        <v>0</v>
      </c>
      <c r="AP65" s="2">
        <v>0</v>
      </c>
      <c r="AQ65" s="2">
        <v>0</v>
      </c>
      <c r="AR65" s="2">
        <v>0</v>
      </c>
      <c r="AS65" s="2">
        <v>-0.25</v>
      </c>
      <c r="AT65" s="2">
        <v>-0.25</v>
      </c>
      <c r="AU65" s="2">
        <v>0</v>
      </c>
      <c r="AV65" s="2">
        <v>0</v>
      </c>
      <c r="AW65" s="2">
        <v>-0.01</v>
      </c>
      <c r="AX65" s="2">
        <v>0</v>
      </c>
    </row>
    <row r="66" spans="2:50" x14ac:dyDescent="0.3">
      <c r="B66" s="1" t="s">
        <v>17</v>
      </c>
      <c r="C66" s="2">
        <v>535.14</v>
      </c>
      <c r="D66" s="2">
        <v>278.70999999999998</v>
      </c>
      <c r="E66" s="2">
        <v>464.66</v>
      </c>
      <c r="F66" s="2">
        <v>499.57</v>
      </c>
      <c r="G66" s="2">
        <v>597.27</v>
      </c>
      <c r="H66" s="2">
        <v>531.77</v>
      </c>
      <c r="I66" s="2">
        <v>583.58000000000004</v>
      </c>
      <c r="J66" s="2">
        <v>117.29</v>
      </c>
      <c r="K66" s="2">
        <v>202.75</v>
      </c>
      <c r="L66" s="2">
        <v>130.35</v>
      </c>
      <c r="N66" s="1" t="s">
        <v>17</v>
      </c>
      <c r="O66" s="2">
        <v>59.46</v>
      </c>
      <c r="P66" s="2">
        <v>59.99</v>
      </c>
      <c r="Q66" s="2">
        <v>59.67</v>
      </c>
      <c r="R66" s="2">
        <v>59.95</v>
      </c>
      <c r="S66" s="2">
        <v>57.1</v>
      </c>
      <c r="T66" s="2">
        <v>59.97</v>
      </c>
      <c r="U66" s="2">
        <v>58.9</v>
      </c>
      <c r="V66" s="2">
        <v>60</v>
      </c>
      <c r="W66" s="2">
        <v>59.46</v>
      </c>
      <c r="X66" s="2">
        <v>59.98</v>
      </c>
      <c r="AA66" s="1" t="s">
        <v>17</v>
      </c>
      <c r="AB66" s="2">
        <v>42.23</v>
      </c>
      <c r="AC66" s="2">
        <v>54.31</v>
      </c>
      <c r="AD66" s="2">
        <v>49.8</v>
      </c>
      <c r="AE66" s="2">
        <v>43.89</v>
      </c>
      <c r="AF66" s="2">
        <v>38.22</v>
      </c>
      <c r="AG66" s="2">
        <v>44.73</v>
      </c>
      <c r="AH66" s="2">
        <v>41.79</v>
      </c>
      <c r="AI66" s="2">
        <v>59.86</v>
      </c>
      <c r="AJ66" s="2">
        <v>42.98</v>
      </c>
      <c r="AK66" s="2">
        <v>50.85</v>
      </c>
      <c r="AN66" s="1" t="s">
        <v>17</v>
      </c>
      <c r="AO66" s="2">
        <v>-0.91</v>
      </c>
      <c r="AP66" s="2">
        <v>-0.23</v>
      </c>
      <c r="AQ66" s="2">
        <v>-0.5</v>
      </c>
      <c r="AR66" s="2">
        <v>-0.92</v>
      </c>
      <c r="AS66" s="2">
        <v>-1.45</v>
      </c>
      <c r="AT66" s="2">
        <v>-0.95</v>
      </c>
      <c r="AU66" s="2">
        <v>-1.38</v>
      </c>
      <c r="AV66" s="2">
        <v>-0.01</v>
      </c>
      <c r="AW66" s="2">
        <v>-0.31</v>
      </c>
      <c r="AX66" s="2">
        <v>-0.14000000000000001</v>
      </c>
    </row>
    <row r="67" spans="2:50" x14ac:dyDescent="0.3">
      <c r="B67" s="1" t="s">
        <v>18</v>
      </c>
      <c r="C67" s="2">
        <v>9814</v>
      </c>
      <c r="D67" s="2">
        <v>1883.24</v>
      </c>
      <c r="E67" s="2">
        <v>5074.3900000000003</v>
      </c>
      <c r="F67" s="2">
        <v>8503.59</v>
      </c>
      <c r="G67" s="2">
        <v>10986.54</v>
      </c>
      <c r="H67" s="2">
        <v>3643.94</v>
      </c>
      <c r="I67" s="2">
        <v>10197.48</v>
      </c>
      <c r="J67" s="2">
        <v>2133.87</v>
      </c>
      <c r="K67" s="2">
        <v>422.72</v>
      </c>
      <c r="L67" s="2">
        <v>665.55</v>
      </c>
      <c r="N67" s="1" t="s">
        <v>18</v>
      </c>
      <c r="O67" s="2">
        <v>52.67</v>
      </c>
      <c r="P67" s="2">
        <v>59.85</v>
      </c>
      <c r="Q67" s="2">
        <v>59.21</v>
      </c>
      <c r="R67" s="2">
        <v>58.89</v>
      </c>
      <c r="S67" s="2">
        <v>48.35</v>
      </c>
      <c r="T67" s="2">
        <v>58.63</v>
      </c>
      <c r="U67" s="2">
        <v>58.52</v>
      </c>
      <c r="V67" s="2">
        <v>59.86</v>
      </c>
      <c r="W67" s="2">
        <v>59.99</v>
      </c>
      <c r="X67" s="2">
        <v>59.77</v>
      </c>
      <c r="AA67" s="1" t="s">
        <v>18</v>
      </c>
      <c r="AB67" s="2">
        <v>20.43</v>
      </c>
      <c r="AC67" s="2">
        <v>50.45</v>
      </c>
      <c r="AD67" s="2">
        <v>36.15</v>
      </c>
      <c r="AE67" s="2">
        <v>20.91</v>
      </c>
      <c r="AF67" s="2">
        <v>19.649999999999999</v>
      </c>
      <c r="AG67" s="2">
        <v>43.11</v>
      </c>
      <c r="AH67" s="2">
        <v>25.81</v>
      </c>
      <c r="AI67" s="2">
        <v>57.07</v>
      </c>
      <c r="AJ67" s="2">
        <v>54.62</v>
      </c>
      <c r="AK67" s="2">
        <v>47.68</v>
      </c>
      <c r="AN67" s="1" t="s">
        <v>18</v>
      </c>
      <c r="AO67" s="2">
        <v>-3.95</v>
      </c>
      <c r="AP67" s="2">
        <v>-0.41</v>
      </c>
      <c r="AQ67" s="2">
        <v>-1.62</v>
      </c>
      <c r="AR67" s="2">
        <v>-4.63</v>
      </c>
      <c r="AS67" s="2">
        <v>-5.07</v>
      </c>
      <c r="AT67" s="2">
        <v>-1.03</v>
      </c>
      <c r="AU67" s="2">
        <v>-4.29</v>
      </c>
      <c r="AV67" s="2">
        <v>-0.16</v>
      </c>
      <c r="AW67" s="2">
        <v>-0.08</v>
      </c>
      <c r="AX67" s="2">
        <v>-0.2</v>
      </c>
    </row>
    <row r="68" spans="2:50" x14ac:dyDescent="0.3">
      <c r="B68" s="1" t="s">
        <v>19</v>
      </c>
      <c r="C68" s="2">
        <v>771.8</v>
      </c>
      <c r="D68" s="2">
        <v>513.35</v>
      </c>
      <c r="E68" s="2">
        <v>1119.1300000000001</v>
      </c>
      <c r="F68" s="2">
        <v>1068.33</v>
      </c>
      <c r="G68" s="2">
        <v>1425.76</v>
      </c>
      <c r="H68" s="2">
        <v>1314.49</v>
      </c>
      <c r="I68" s="2">
        <v>1136.44</v>
      </c>
      <c r="J68" s="2">
        <v>324.99</v>
      </c>
      <c r="K68" s="2">
        <v>140.4</v>
      </c>
      <c r="L68" s="2">
        <v>160.94999999999999</v>
      </c>
      <c r="N68" s="1" t="s">
        <v>19</v>
      </c>
      <c r="O68" s="2">
        <v>59.41</v>
      </c>
      <c r="P68" s="2">
        <v>59.91</v>
      </c>
      <c r="Q68" s="2">
        <v>58.44</v>
      </c>
      <c r="R68" s="2">
        <v>58.94</v>
      </c>
      <c r="S68" s="2">
        <v>59.67</v>
      </c>
      <c r="T68" s="2">
        <v>57.71</v>
      </c>
      <c r="U68" s="2">
        <v>59.72</v>
      </c>
      <c r="V68" s="2">
        <v>59.88</v>
      </c>
      <c r="W68" s="2">
        <v>60</v>
      </c>
      <c r="X68" s="2">
        <v>59.99</v>
      </c>
      <c r="AA68" s="1" t="s">
        <v>19</v>
      </c>
      <c r="AB68" s="2">
        <v>41.8</v>
      </c>
      <c r="AC68" s="2">
        <v>43.89</v>
      </c>
      <c r="AD68" s="2">
        <v>41.55</v>
      </c>
      <c r="AE68" s="2">
        <v>41.07</v>
      </c>
      <c r="AF68" s="2">
        <v>33.96</v>
      </c>
      <c r="AG68" s="2">
        <v>38.380000000000003</v>
      </c>
      <c r="AH68" s="2">
        <v>48.28</v>
      </c>
      <c r="AI68" s="2">
        <v>57.63</v>
      </c>
      <c r="AJ68" s="2">
        <v>50.61</v>
      </c>
      <c r="AK68" s="2">
        <v>49.25</v>
      </c>
      <c r="AN68" s="1" t="s">
        <v>19</v>
      </c>
      <c r="AO68" s="2">
        <v>-0.94</v>
      </c>
      <c r="AP68" s="2">
        <v>-0.8</v>
      </c>
      <c r="AQ68" s="2">
        <v>-1.04</v>
      </c>
      <c r="AR68" s="2">
        <v>-1.1100000000000001</v>
      </c>
      <c r="AS68" s="2">
        <v>-2.13</v>
      </c>
      <c r="AT68" s="2">
        <v>-1.47</v>
      </c>
      <c r="AU68" s="2">
        <v>-0.79</v>
      </c>
      <c r="AV68" s="2">
        <v>-0.13</v>
      </c>
      <c r="AW68" s="2">
        <v>-0.15</v>
      </c>
      <c r="AX68" s="2">
        <v>-0.17</v>
      </c>
    </row>
    <row r="69" spans="2:50" x14ac:dyDescent="0.3">
      <c r="B69" s="1" t="s">
        <v>20</v>
      </c>
      <c r="C69" s="2">
        <v>2404.59</v>
      </c>
      <c r="D69" s="2">
        <v>3098.37</v>
      </c>
      <c r="E69" s="2">
        <v>4564.03</v>
      </c>
      <c r="F69" s="2">
        <v>4172.1499999999996</v>
      </c>
      <c r="G69" s="2">
        <v>3743.05</v>
      </c>
      <c r="H69" s="2">
        <v>4210.04</v>
      </c>
      <c r="I69" s="2">
        <v>2002.4</v>
      </c>
      <c r="J69" s="2">
        <v>1218.3900000000001</v>
      </c>
      <c r="K69" s="2">
        <v>1205.28</v>
      </c>
      <c r="L69" s="2">
        <v>1306.8800000000001</v>
      </c>
      <c r="N69" s="1" t="s">
        <v>20</v>
      </c>
      <c r="O69" s="2">
        <v>59.9</v>
      </c>
      <c r="P69" s="2">
        <v>59.98</v>
      </c>
      <c r="Q69" s="2">
        <v>59.36</v>
      </c>
      <c r="R69" s="2">
        <v>59.47</v>
      </c>
      <c r="S69" s="2">
        <v>59.55</v>
      </c>
      <c r="T69" s="2">
        <v>59.03</v>
      </c>
      <c r="U69" s="2">
        <v>59.96</v>
      </c>
      <c r="V69" s="2">
        <v>59.87</v>
      </c>
      <c r="W69" s="2">
        <v>59.81</v>
      </c>
      <c r="X69" s="2">
        <v>59.53</v>
      </c>
      <c r="AA69" s="1" t="s">
        <v>20</v>
      </c>
      <c r="AB69" s="2">
        <v>43.46</v>
      </c>
      <c r="AC69" s="2">
        <v>37.479999999999997</v>
      </c>
      <c r="AD69" s="2">
        <v>41.39</v>
      </c>
      <c r="AE69" s="2">
        <v>41.89</v>
      </c>
      <c r="AF69" s="2">
        <v>41.39</v>
      </c>
      <c r="AG69" s="2">
        <v>40.53</v>
      </c>
      <c r="AH69" s="2">
        <v>55.68</v>
      </c>
      <c r="AI69" s="2">
        <v>58.29</v>
      </c>
      <c r="AJ69" s="2">
        <v>44.5</v>
      </c>
      <c r="AK69" s="2">
        <v>41.97</v>
      </c>
      <c r="AN69" s="1" t="s">
        <v>20</v>
      </c>
      <c r="AO69" s="2">
        <v>-0.83</v>
      </c>
      <c r="AP69" s="2">
        <v>-1.32</v>
      </c>
      <c r="AQ69" s="2">
        <v>-1.1000000000000001</v>
      </c>
      <c r="AR69" s="2">
        <v>-1.06</v>
      </c>
      <c r="AS69" s="2">
        <v>-1.24</v>
      </c>
      <c r="AT69" s="2">
        <v>-1.3</v>
      </c>
      <c r="AU69" s="2">
        <v>-0.25</v>
      </c>
      <c r="AV69" s="2">
        <v>-0.09</v>
      </c>
      <c r="AW69" s="2">
        <v>-0.28000000000000003</v>
      </c>
      <c r="AX69" s="2">
        <v>-0.34</v>
      </c>
    </row>
    <row r="70" spans="2:50" x14ac:dyDescent="0.3">
      <c r="B70" s="1" t="s">
        <v>21</v>
      </c>
      <c r="C70" s="2">
        <v>456.18</v>
      </c>
      <c r="D70" s="2">
        <v>457.24</v>
      </c>
      <c r="E70" s="2">
        <v>726.6</v>
      </c>
      <c r="F70" s="2">
        <v>533.66</v>
      </c>
      <c r="G70" s="2">
        <v>944.93</v>
      </c>
      <c r="H70" s="2">
        <v>916.53</v>
      </c>
      <c r="I70" s="2">
        <v>631.54999999999995</v>
      </c>
      <c r="J70" s="2">
        <v>1010.52</v>
      </c>
      <c r="K70" s="2">
        <v>205.02</v>
      </c>
      <c r="L70" s="2">
        <v>109.49</v>
      </c>
      <c r="N70" s="1" t="s">
        <v>21</v>
      </c>
      <c r="O70" s="2">
        <v>59.51</v>
      </c>
      <c r="P70" s="2">
        <v>59.92</v>
      </c>
      <c r="Q70" s="2">
        <v>58.21</v>
      </c>
      <c r="R70" s="2">
        <v>56.64</v>
      </c>
      <c r="S70" s="2">
        <v>57.05</v>
      </c>
      <c r="T70" s="2">
        <v>58.66</v>
      </c>
      <c r="U70" s="2">
        <v>59.47</v>
      </c>
      <c r="V70" s="2">
        <v>58.23</v>
      </c>
      <c r="W70" s="2">
        <v>59.15</v>
      </c>
      <c r="X70" s="2">
        <v>59.76</v>
      </c>
      <c r="AA70" s="1" t="s">
        <v>21</v>
      </c>
      <c r="AB70" s="2">
        <v>43.32</v>
      </c>
      <c r="AC70" s="2">
        <v>40.57</v>
      </c>
      <c r="AD70" s="2">
        <v>41.18</v>
      </c>
      <c r="AE70" s="2">
        <v>40.630000000000003</v>
      </c>
      <c r="AF70" s="2">
        <v>39.07</v>
      </c>
      <c r="AG70" s="2">
        <v>36.03</v>
      </c>
      <c r="AH70" s="2">
        <v>49.58</v>
      </c>
      <c r="AI70" s="2">
        <v>37.130000000000003</v>
      </c>
      <c r="AJ70" s="2">
        <v>42.15</v>
      </c>
      <c r="AK70" s="2">
        <v>42.83</v>
      </c>
      <c r="AN70" s="1" t="s">
        <v>21</v>
      </c>
      <c r="AO70" s="2">
        <v>-0.83</v>
      </c>
      <c r="AP70" s="2">
        <v>-1.05</v>
      </c>
      <c r="AQ70" s="2">
        <v>-1.07</v>
      </c>
      <c r="AR70" s="2">
        <v>-1.04</v>
      </c>
      <c r="AS70" s="2">
        <v>-1.36</v>
      </c>
      <c r="AT70" s="2">
        <v>-1.8</v>
      </c>
      <c r="AU70" s="2">
        <v>-0.66</v>
      </c>
      <c r="AV70" s="2">
        <v>-1.93</v>
      </c>
      <c r="AW70" s="2">
        <v>-0.33</v>
      </c>
      <c r="AX70" s="2">
        <v>-0.32</v>
      </c>
    </row>
    <row r="71" spans="2:50" x14ac:dyDescent="0.3">
      <c r="B71" s="1" t="s">
        <v>22</v>
      </c>
      <c r="C71" s="2">
        <v>4259.6099999999997</v>
      </c>
      <c r="D71" s="2">
        <v>4647.8999999999996</v>
      </c>
      <c r="E71" s="2">
        <v>2064.12</v>
      </c>
      <c r="F71" s="2">
        <v>1777.1</v>
      </c>
      <c r="G71" s="2">
        <v>2808.18</v>
      </c>
      <c r="H71" s="2">
        <v>3123.6</v>
      </c>
      <c r="I71" s="2">
        <v>2043.23</v>
      </c>
      <c r="J71" s="2">
        <v>592.16999999999996</v>
      </c>
      <c r="K71" s="2">
        <v>335.17</v>
      </c>
      <c r="L71" s="2">
        <v>306.58999999999997</v>
      </c>
      <c r="N71" s="1" t="s">
        <v>22</v>
      </c>
      <c r="O71" s="2">
        <v>57.51</v>
      </c>
      <c r="P71" s="2">
        <v>58.08</v>
      </c>
      <c r="Q71" s="2">
        <v>56.28</v>
      </c>
      <c r="R71" s="2">
        <v>56.04</v>
      </c>
      <c r="S71" s="2">
        <v>59.06</v>
      </c>
      <c r="T71" s="2">
        <v>56.72</v>
      </c>
      <c r="U71" s="2">
        <v>59.65</v>
      </c>
      <c r="V71" s="2">
        <v>59.38</v>
      </c>
      <c r="W71" s="2">
        <v>59.95</v>
      </c>
      <c r="X71" s="2">
        <v>59.91</v>
      </c>
      <c r="AA71" s="1" t="s">
        <v>22</v>
      </c>
      <c r="AB71" s="2">
        <v>24.85</v>
      </c>
      <c r="AC71" s="2">
        <v>25.75</v>
      </c>
      <c r="AD71" s="2">
        <v>40.69</v>
      </c>
      <c r="AE71" s="2">
        <v>42.13</v>
      </c>
      <c r="AF71" s="2">
        <v>34.19</v>
      </c>
      <c r="AG71" s="2">
        <v>30.98</v>
      </c>
      <c r="AH71" s="2">
        <v>50.71</v>
      </c>
      <c r="AI71" s="2">
        <v>56.05</v>
      </c>
      <c r="AJ71" s="2">
        <v>51.29</v>
      </c>
      <c r="AK71" s="2">
        <v>50.99</v>
      </c>
      <c r="AN71" s="1" t="s">
        <v>22</v>
      </c>
      <c r="AO71" s="2">
        <v>-3.02</v>
      </c>
      <c r="AP71" s="2">
        <v>-2.85</v>
      </c>
      <c r="AQ71" s="2">
        <v>-1.02</v>
      </c>
      <c r="AR71" s="2">
        <v>-0.88</v>
      </c>
      <c r="AS71" s="2">
        <v>-2.0699999999999998</v>
      </c>
      <c r="AT71" s="2">
        <v>-2.46</v>
      </c>
      <c r="AU71" s="2">
        <v>-0.59</v>
      </c>
      <c r="AV71" s="2">
        <v>-0.2</v>
      </c>
      <c r="AW71" s="2">
        <v>-0.14000000000000001</v>
      </c>
      <c r="AX71" s="2">
        <v>-0.14000000000000001</v>
      </c>
    </row>
    <row r="72" spans="2:50" x14ac:dyDescent="0.3">
      <c r="B72" s="1" t="s">
        <v>23</v>
      </c>
      <c r="C72" s="2">
        <v>452.93</v>
      </c>
      <c r="D72" s="2">
        <v>318.57</v>
      </c>
      <c r="E72" s="2">
        <v>605.35</v>
      </c>
      <c r="F72" s="2">
        <v>92.19</v>
      </c>
      <c r="G72" s="2">
        <v>557.57000000000005</v>
      </c>
      <c r="H72" s="2">
        <v>468.08</v>
      </c>
      <c r="I72" s="2">
        <v>366.81</v>
      </c>
      <c r="J72" s="2">
        <v>26.44</v>
      </c>
      <c r="K72" s="2">
        <v>130.86000000000001</v>
      </c>
      <c r="L72" s="2">
        <v>152.07</v>
      </c>
      <c r="N72" s="1" t="s">
        <v>23</v>
      </c>
      <c r="O72" s="2">
        <v>59.99</v>
      </c>
      <c r="P72" s="2">
        <v>59.95</v>
      </c>
      <c r="Q72" s="2">
        <v>60</v>
      </c>
      <c r="R72" s="2">
        <v>59.99</v>
      </c>
      <c r="S72" s="2">
        <v>60</v>
      </c>
      <c r="T72" s="2">
        <v>59.99</v>
      </c>
      <c r="U72" s="2">
        <v>60</v>
      </c>
      <c r="V72" s="2">
        <v>60</v>
      </c>
      <c r="W72" s="2">
        <v>60</v>
      </c>
      <c r="X72" s="2">
        <v>59.98</v>
      </c>
      <c r="AA72" s="1" t="s">
        <v>23</v>
      </c>
      <c r="AB72" s="2">
        <v>53.47</v>
      </c>
      <c r="AC72" s="2">
        <v>53.38</v>
      </c>
      <c r="AD72" s="2">
        <v>50.57</v>
      </c>
      <c r="AE72" s="2">
        <v>59.76</v>
      </c>
      <c r="AF72" s="2">
        <v>47.33</v>
      </c>
      <c r="AG72" s="2">
        <v>48.23</v>
      </c>
      <c r="AH72" s="2">
        <v>56.09</v>
      </c>
      <c r="AI72" s="2">
        <v>59.95</v>
      </c>
      <c r="AJ72" s="2">
        <v>55.91</v>
      </c>
      <c r="AK72" s="2">
        <v>47.26</v>
      </c>
      <c r="AN72" s="1" t="s">
        <v>23</v>
      </c>
      <c r="AO72" s="2">
        <v>-0.27</v>
      </c>
      <c r="AP72" s="2">
        <v>-0.27</v>
      </c>
      <c r="AQ72" s="2">
        <v>-0.47</v>
      </c>
      <c r="AR72" s="2">
        <v>-0.01</v>
      </c>
      <c r="AS72" s="2">
        <v>-0.75</v>
      </c>
      <c r="AT72" s="2">
        <v>-0.68</v>
      </c>
      <c r="AU72" s="2">
        <v>-0.23</v>
      </c>
      <c r="AV72" s="2">
        <v>0</v>
      </c>
      <c r="AW72" s="2">
        <v>-0.06</v>
      </c>
      <c r="AX72" s="2">
        <v>-0.22</v>
      </c>
    </row>
    <row r="75" spans="2:50" x14ac:dyDescent="0.3">
      <c r="B75" t="s">
        <v>40</v>
      </c>
      <c r="N75" t="s">
        <v>41</v>
      </c>
      <c r="AA75" t="s">
        <v>42</v>
      </c>
      <c r="AN75" t="s">
        <v>43</v>
      </c>
    </row>
    <row r="76" spans="2:50" x14ac:dyDescent="0.3">
      <c r="B76" s="1" t="s">
        <v>11</v>
      </c>
      <c r="C76" s="1" t="s">
        <v>12</v>
      </c>
      <c r="D76" s="1" t="s">
        <v>13</v>
      </c>
      <c r="E76" s="1" t="s">
        <v>12</v>
      </c>
      <c r="F76" s="1" t="s">
        <v>13</v>
      </c>
      <c r="G76" s="1" t="s">
        <v>12</v>
      </c>
      <c r="H76" s="1" t="s">
        <v>13</v>
      </c>
      <c r="I76" s="1" t="s">
        <v>12</v>
      </c>
      <c r="J76" s="1" t="s">
        <v>13</v>
      </c>
      <c r="K76" s="1" t="s">
        <v>12</v>
      </c>
      <c r="L76" s="1" t="s">
        <v>13</v>
      </c>
      <c r="N76" s="1" t="s">
        <v>11</v>
      </c>
      <c r="O76" s="1" t="s">
        <v>12</v>
      </c>
      <c r="P76" s="1" t="s">
        <v>13</v>
      </c>
      <c r="Q76" s="1" t="s">
        <v>12</v>
      </c>
      <c r="R76" s="1" t="s">
        <v>13</v>
      </c>
      <c r="S76" s="1" t="s">
        <v>12</v>
      </c>
      <c r="T76" s="1" t="s">
        <v>13</v>
      </c>
      <c r="U76" s="1" t="s">
        <v>12</v>
      </c>
      <c r="V76" s="1" t="s">
        <v>13</v>
      </c>
      <c r="W76" s="1" t="s">
        <v>12</v>
      </c>
      <c r="X76" s="1" t="s">
        <v>13</v>
      </c>
      <c r="AA76" s="1" t="s">
        <v>11</v>
      </c>
      <c r="AB76" s="1" t="s">
        <v>12</v>
      </c>
      <c r="AC76" s="1" t="s">
        <v>13</v>
      </c>
      <c r="AD76" s="1" t="s">
        <v>12</v>
      </c>
      <c r="AE76" s="1" t="s">
        <v>13</v>
      </c>
      <c r="AF76" s="1" t="s">
        <v>12</v>
      </c>
      <c r="AG76" s="1" t="s">
        <v>13</v>
      </c>
      <c r="AH76" s="1" t="s">
        <v>12</v>
      </c>
      <c r="AI76" s="1" t="s">
        <v>13</v>
      </c>
      <c r="AJ76" s="1" t="s">
        <v>12</v>
      </c>
      <c r="AK76" s="1" t="s">
        <v>13</v>
      </c>
      <c r="AN76" s="1" t="s">
        <v>11</v>
      </c>
      <c r="AO76" s="1" t="s">
        <v>12</v>
      </c>
      <c r="AP76" s="1" t="s">
        <v>13</v>
      </c>
      <c r="AQ76" s="1" t="s">
        <v>12</v>
      </c>
      <c r="AR76" s="1" t="s">
        <v>13</v>
      </c>
      <c r="AS76" s="1" t="s">
        <v>12</v>
      </c>
      <c r="AT76" s="1" t="s">
        <v>13</v>
      </c>
      <c r="AU76" s="1" t="s">
        <v>12</v>
      </c>
      <c r="AV76" s="1" t="s">
        <v>13</v>
      </c>
      <c r="AW76" s="1" t="s">
        <v>12</v>
      </c>
      <c r="AX76" s="1" t="s">
        <v>13</v>
      </c>
    </row>
    <row r="77" spans="2:50" x14ac:dyDescent="0.3">
      <c r="B77" s="1" t="s">
        <v>14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N77" s="1" t="s">
        <v>14</v>
      </c>
      <c r="O77" s="1" t="s">
        <v>1</v>
      </c>
      <c r="P77" s="1" t="s">
        <v>1</v>
      </c>
      <c r="Q77" s="1" t="s">
        <v>2</v>
      </c>
      <c r="R77" s="1" t="s">
        <v>2</v>
      </c>
      <c r="S77" s="1" t="s">
        <v>3</v>
      </c>
      <c r="T77" s="1" t="s">
        <v>3</v>
      </c>
      <c r="U77" s="1" t="s">
        <v>4</v>
      </c>
      <c r="V77" s="1" t="s">
        <v>4</v>
      </c>
      <c r="W77" s="1" t="s">
        <v>5</v>
      </c>
      <c r="X77" s="1" t="s">
        <v>5</v>
      </c>
      <c r="AA77" s="1" t="s">
        <v>14</v>
      </c>
      <c r="AB77" s="1" t="s">
        <v>1</v>
      </c>
      <c r="AC77" s="1" t="s">
        <v>1</v>
      </c>
      <c r="AD77" s="1" t="s">
        <v>2</v>
      </c>
      <c r="AE77" s="1" t="s">
        <v>2</v>
      </c>
      <c r="AF77" s="1" t="s">
        <v>3</v>
      </c>
      <c r="AG77" s="1" t="s">
        <v>3</v>
      </c>
      <c r="AH77" s="1" t="s">
        <v>4</v>
      </c>
      <c r="AI77" s="1" t="s">
        <v>4</v>
      </c>
      <c r="AJ77" s="1" t="s">
        <v>5</v>
      </c>
      <c r="AK77" s="1" t="s">
        <v>5</v>
      </c>
      <c r="AN77" s="1" t="s">
        <v>14</v>
      </c>
      <c r="AO77" s="1" t="s">
        <v>1</v>
      </c>
      <c r="AP77" s="1" t="s">
        <v>1</v>
      </c>
      <c r="AQ77" s="1" t="s">
        <v>2</v>
      </c>
      <c r="AR77" s="1" t="s">
        <v>2</v>
      </c>
      <c r="AS77" s="1" t="s">
        <v>3</v>
      </c>
      <c r="AT77" s="1" t="s">
        <v>3</v>
      </c>
      <c r="AU77" s="1" t="s">
        <v>4</v>
      </c>
      <c r="AV77" s="1" t="s">
        <v>4</v>
      </c>
      <c r="AW77" s="1" t="s">
        <v>5</v>
      </c>
      <c r="AX77" s="1" t="s">
        <v>5</v>
      </c>
    </row>
    <row r="78" spans="2:50" x14ac:dyDescent="0.3">
      <c r="B78" s="1" t="s">
        <v>15</v>
      </c>
      <c r="N78" s="1" t="s">
        <v>15</v>
      </c>
      <c r="AA78" s="1" t="s">
        <v>15</v>
      </c>
      <c r="AN78" s="1" t="s">
        <v>15</v>
      </c>
    </row>
    <row r="79" spans="2:50" x14ac:dyDescent="0.3">
      <c r="B79" s="1" t="s">
        <v>16</v>
      </c>
      <c r="C79" s="2">
        <v>11.98</v>
      </c>
      <c r="D79" s="2">
        <v>19.68</v>
      </c>
      <c r="E79" s="2">
        <v>5.42</v>
      </c>
      <c r="F79" s="2">
        <v>6.84</v>
      </c>
      <c r="G79" s="2">
        <v>11.12</v>
      </c>
      <c r="H79" s="2">
        <v>17.43</v>
      </c>
      <c r="I79" s="2">
        <v>5.73</v>
      </c>
      <c r="J79" s="2">
        <v>2.9</v>
      </c>
      <c r="K79" s="2">
        <v>1.65</v>
      </c>
      <c r="L79" s="2">
        <v>3.25</v>
      </c>
      <c r="N79" s="1" t="s">
        <v>16</v>
      </c>
      <c r="O79" s="2">
        <v>2.2000000000000002</v>
      </c>
      <c r="P79" s="2">
        <v>2.2000000000000002</v>
      </c>
      <c r="Q79" s="2">
        <v>2.5</v>
      </c>
      <c r="R79" s="2">
        <v>2.5</v>
      </c>
      <c r="S79" s="2">
        <v>2.8</v>
      </c>
      <c r="T79" s="2">
        <v>2.8</v>
      </c>
      <c r="U79" s="2">
        <v>3.3</v>
      </c>
      <c r="V79" s="2">
        <v>3.3</v>
      </c>
      <c r="W79" s="2">
        <v>0.8</v>
      </c>
      <c r="X79" s="2">
        <v>0.8</v>
      </c>
      <c r="AA79" s="1" t="s">
        <v>16</v>
      </c>
      <c r="AB79" s="2">
        <v>2.2000000000000002</v>
      </c>
      <c r="AC79" s="2">
        <v>2.2000000000000002</v>
      </c>
      <c r="AD79" s="2">
        <v>2.5</v>
      </c>
      <c r="AE79" s="2">
        <v>2.5</v>
      </c>
      <c r="AF79" s="2">
        <v>3.05</v>
      </c>
      <c r="AG79" s="2">
        <v>3.05</v>
      </c>
      <c r="AH79" s="2">
        <v>3.3</v>
      </c>
      <c r="AI79" s="2">
        <v>3.3</v>
      </c>
      <c r="AJ79" s="2">
        <v>0.81</v>
      </c>
      <c r="AK79" s="2">
        <v>0.8</v>
      </c>
      <c r="AN79" s="1" t="s">
        <v>16</v>
      </c>
      <c r="AO79" s="2">
        <v>0</v>
      </c>
      <c r="AP79" s="2">
        <v>0</v>
      </c>
      <c r="AQ79" s="2">
        <v>0</v>
      </c>
      <c r="AR79" s="2">
        <v>0</v>
      </c>
      <c r="AS79" s="2">
        <v>-0.08</v>
      </c>
      <c r="AT79" s="2">
        <v>-0.08</v>
      </c>
      <c r="AU79" s="2">
        <v>0</v>
      </c>
      <c r="AV79" s="2">
        <v>0</v>
      </c>
      <c r="AW79" s="2">
        <v>-0.01</v>
      </c>
      <c r="AX79" s="2">
        <v>0</v>
      </c>
    </row>
    <row r="80" spans="2:50" x14ac:dyDescent="0.3">
      <c r="B80" s="1" t="s">
        <v>17</v>
      </c>
      <c r="C80" s="2">
        <v>280.10000000000002</v>
      </c>
      <c r="D80" s="2">
        <v>124.03</v>
      </c>
      <c r="E80" s="2">
        <v>190.15</v>
      </c>
      <c r="F80" s="2">
        <v>470.27</v>
      </c>
      <c r="G80" s="2">
        <v>461.45</v>
      </c>
      <c r="H80" s="2">
        <v>295.56</v>
      </c>
      <c r="I80" s="2">
        <v>469.94</v>
      </c>
      <c r="J80" s="2">
        <v>63.97</v>
      </c>
      <c r="K80" s="2">
        <v>83.14</v>
      </c>
      <c r="L80" s="2">
        <v>123.96</v>
      </c>
      <c r="N80" s="1" t="s">
        <v>17</v>
      </c>
      <c r="O80" s="2">
        <v>2.2200000000000002</v>
      </c>
      <c r="P80" s="2">
        <v>2.2000000000000002</v>
      </c>
      <c r="Q80" s="2">
        <v>2.5099999999999998</v>
      </c>
      <c r="R80" s="2">
        <v>2.5</v>
      </c>
      <c r="S80" s="2">
        <v>2.94</v>
      </c>
      <c r="T80" s="2">
        <v>2.8</v>
      </c>
      <c r="U80" s="2">
        <v>3.36</v>
      </c>
      <c r="V80" s="2">
        <v>3.3</v>
      </c>
      <c r="W80" s="2">
        <v>0.81</v>
      </c>
      <c r="X80" s="2">
        <v>0.8</v>
      </c>
      <c r="AA80" s="1" t="s">
        <v>17</v>
      </c>
      <c r="AB80" s="2">
        <v>3.13</v>
      </c>
      <c r="AC80" s="2">
        <v>2.4300000000000002</v>
      </c>
      <c r="AD80" s="2">
        <v>3.01</v>
      </c>
      <c r="AE80" s="2">
        <v>3.42</v>
      </c>
      <c r="AF80" s="2">
        <v>4.4000000000000004</v>
      </c>
      <c r="AG80" s="2">
        <v>3.76</v>
      </c>
      <c r="AH80" s="2">
        <v>4.74</v>
      </c>
      <c r="AI80" s="2">
        <v>3.31</v>
      </c>
      <c r="AJ80" s="2">
        <v>1.1200000000000001</v>
      </c>
      <c r="AK80" s="2">
        <v>0.94</v>
      </c>
      <c r="AN80" s="1" t="s">
        <v>17</v>
      </c>
      <c r="AO80" s="2">
        <v>-0.28999999999999998</v>
      </c>
      <c r="AP80" s="2">
        <v>-0.09</v>
      </c>
      <c r="AQ80" s="2">
        <v>-0.17</v>
      </c>
      <c r="AR80" s="2">
        <v>-0.27</v>
      </c>
      <c r="AS80" s="2">
        <v>-0.33</v>
      </c>
      <c r="AT80" s="2">
        <v>-0.25</v>
      </c>
      <c r="AU80" s="2">
        <v>-0.28999999999999998</v>
      </c>
      <c r="AV80" s="2">
        <v>0</v>
      </c>
      <c r="AW80" s="2">
        <v>-0.28000000000000003</v>
      </c>
      <c r="AX80" s="2">
        <v>-0.15</v>
      </c>
    </row>
    <row r="81" spans="2:50" x14ac:dyDescent="0.3">
      <c r="B81" s="1" t="s">
        <v>18</v>
      </c>
      <c r="C81" s="2">
        <v>2431.59</v>
      </c>
      <c r="D81" s="2">
        <v>656.44</v>
      </c>
      <c r="E81" s="2">
        <v>1561.83</v>
      </c>
      <c r="F81" s="2">
        <v>5103.67</v>
      </c>
      <c r="G81" s="2">
        <v>4809.6499999999996</v>
      </c>
      <c r="H81" s="2">
        <v>1386.06</v>
      </c>
      <c r="I81" s="2">
        <v>3571.79</v>
      </c>
      <c r="J81" s="2">
        <v>669.04</v>
      </c>
      <c r="K81" s="2">
        <v>129.41999999999999</v>
      </c>
      <c r="L81" s="2">
        <v>391.52</v>
      </c>
      <c r="N81" s="1" t="s">
        <v>18</v>
      </c>
      <c r="O81" s="2">
        <v>2.5099999999999998</v>
      </c>
      <c r="P81" s="2">
        <v>2.21</v>
      </c>
      <c r="Q81" s="2">
        <v>2.5299999999999998</v>
      </c>
      <c r="R81" s="2">
        <v>2.5499999999999998</v>
      </c>
      <c r="S81" s="2">
        <v>3.47</v>
      </c>
      <c r="T81" s="2">
        <v>2.87</v>
      </c>
      <c r="U81" s="2">
        <v>3.38</v>
      </c>
      <c r="V81" s="2">
        <v>3.31</v>
      </c>
      <c r="W81" s="2">
        <v>0.8</v>
      </c>
      <c r="X81" s="2">
        <v>0.8</v>
      </c>
      <c r="AA81" s="1" t="s">
        <v>18</v>
      </c>
      <c r="AB81" s="2">
        <v>6.46</v>
      </c>
      <c r="AC81" s="2">
        <v>2.62</v>
      </c>
      <c r="AD81" s="2">
        <v>4.1500000000000004</v>
      </c>
      <c r="AE81" s="2">
        <v>7.17</v>
      </c>
      <c r="AF81" s="2">
        <v>8.5500000000000007</v>
      </c>
      <c r="AG81" s="2">
        <v>3.9</v>
      </c>
      <c r="AH81" s="2">
        <v>7.67</v>
      </c>
      <c r="AI81" s="2">
        <v>3.47</v>
      </c>
      <c r="AJ81" s="2">
        <v>0.88</v>
      </c>
      <c r="AK81" s="2">
        <v>1.01</v>
      </c>
      <c r="AN81" s="1" t="s">
        <v>18</v>
      </c>
      <c r="AO81" s="2">
        <v>-0.61</v>
      </c>
      <c r="AP81" s="2">
        <v>-0.16</v>
      </c>
      <c r="AQ81" s="2">
        <v>-0.39</v>
      </c>
      <c r="AR81" s="2">
        <v>-0.64</v>
      </c>
      <c r="AS81" s="2">
        <v>-0.59</v>
      </c>
      <c r="AT81" s="2">
        <v>-0.26</v>
      </c>
      <c r="AU81" s="2">
        <v>-0.56000000000000005</v>
      </c>
      <c r="AV81" s="2">
        <v>-0.05</v>
      </c>
      <c r="AW81" s="2">
        <v>-0.09</v>
      </c>
      <c r="AX81" s="2">
        <v>-0.2</v>
      </c>
    </row>
    <row r="82" spans="2:50" x14ac:dyDescent="0.3">
      <c r="B82" s="1" t="s">
        <v>19</v>
      </c>
      <c r="C82" s="2">
        <v>214.3</v>
      </c>
      <c r="D82" s="2">
        <v>200.38</v>
      </c>
      <c r="E82" s="2">
        <v>369.26</v>
      </c>
      <c r="F82" s="2">
        <v>560.04</v>
      </c>
      <c r="G82" s="2">
        <v>621.95000000000005</v>
      </c>
      <c r="H82" s="2">
        <v>613.84</v>
      </c>
      <c r="I82" s="2">
        <v>357.06</v>
      </c>
      <c r="J82" s="2">
        <v>155.4</v>
      </c>
      <c r="K82" s="2">
        <v>45.92</v>
      </c>
      <c r="L82" s="2">
        <v>84.11</v>
      </c>
      <c r="N82" s="1" t="s">
        <v>19</v>
      </c>
      <c r="O82" s="2">
        <v>2.2200000000000002</v>
      </c>
      <c r="P82" s="2">
        <v>2.2000000000000002</v>
      </c>
      <c r="Q82" s="2">
        <v>2.57</v>
      </c>
      <c r="R82" s="2">
        <v>2.5499999999999998</v>
      </c>
      <c r="S82" s="2">
        <v>2.82</v>
      </c>
      <c r="T82" s="2">
        <v>2.91</v>
      </c>
      <c r="U82" s="2">
        <v>3.32</v>
      </c>
      <c r="V82" s="2">
        <v>3.31</v>
      </c>
      <c r="W82" s="2">
        <v>0.8</v>
      </c>
      <c r="X82" s="2">
        <v>0.8</v>
      </c>
      <c r="AA82" s="1" t="s">
        <v>19</v>
      </c>
      <c r="AB82" s="2">
        <v>3.16</v>
      </c>
      <c r="AC82" s="2">
        <v>3.01</v>
      </c>
      <c r="AD82" s="2">
        <v>3.61</v>
      </c>
      <c r="AE82" s="2">
        <v>3.65</v>
      </c>
      <c r="AF82" s="2">
        <v>4.95</v>
      </c>
      <c r="AG82" s="2">
        <v>4.38</v>
      </c>
      <c r="AH82" s="2">
        <v>4.0999999999999996</v>
      </c>
      <c r="AI82" s="2">
        <v>3.44</v>
      </c>
      <c r="AJ82" s="2">
        <v>0.95</v>
      </c>
      <c r="AK82" s="2">
        <v>0.97</v>
      </c>
      <c r="AN82" s="1" t="s">
        <v>19</v>
      </c>
      <c r="AO82" s="2">
        <v>-0.3</v>
      </c>
      <c r="AP82" s="2">
        <v>-0.27</v>
      </c>
      <c r="AQ82" s="2">
        <v>-0.28999999999999998</v>
      </c>
      <c r="AR82" s="2">
        <v>-0.3</v>
      </c>
      <c r="AS82" s="2">
        <v>-0.43</v>
      </c>
      <c r="AT82" s="2">
        <v>-0.34</v>
      </c>
      <c r="AU82" s="2">
        <v>-0.19</v>
      </c>
      <c r="AV82" s="2">
        <v>-0.04</v>
      </c>
      <c r="AW82" s="2">
        <v>-0.16</v>
      </c>
      <c r="AX82" s="2">
        <v>-0.18</v>
      </c>
    </row>
    <row r="83" spans="2:50" x14ac:dyDescent="0.3">
      <c r="B83" s="1" t="s">
        <v>20</v>
      </c>
      <c r="C83" s="2">
        <v>656.55</v>
      </c>
      <c r="D83" s="2">
        <v>966.08</v>
      </c>
      <c r="E83" s="2">
        <v>1484.36</v>
      </c>
      <c r="F83" s="2">
        <v>1471.17</v>
      </c>
      <c r="G83" s="2">
        <v>1697.09</v>
      </c>
      <c r="H83" s="2">
        <v>1801.24</v>
      </c>
      <c r="I83" s="2">
        <v>868.74</v>
      </c>
      <c r="J83" s="2">
        <v>463.77</v>
      </c>
      <c r="K83" s="2">
        <v>390.96</v>
      </c>
      <c r="L83" s="2">
        <v>460.22</v>
      </c>
      <c r="N83" s="1" t="s">
        <v>20</v>
      </c>
      <c r="O83" s="2">
        <v>2.2000000000000002</v>
      </c>
      <c r="P83" s="2">
        <v>2.2000000000000002</v>
      </c>
      <c r="Q83" s="2">
        <v>2.5299999999999998</v>
      </c>
      <c r="R83" s="2">
        <v>2.52</v>
      </c>
      <c r="S83" s="2">
        <v>2.82</v>
      </c>
      <c r="T83" s="2">
        <v>2.85</v>
      </c>
      <c r="U83" s="2">
        <v>3.3</v>
      </c>
      <c r="V83" s="2">
        <v>3.31</v>
      </c>
      <c r="W83" s="2">
        <v>0.8</v>
      </c>
      <c r="X83" s="2">
        <v>0.81</v>
      </c>
      <c r="AA83" s="1" t="s">
        <v>20</v>
      </c>
      <c r="AB83" s="2">
        <v>3.04</v>
      </c>
      <c r="AC83" s="2">
        <v>3.52</v>
      </c>
      <c r="AD83" s="2">
        <v>3.62</v>
      </c>
      <c r="AE83" s="2">
        <v>3.58</v>
      </c>
      <c r="AF83" s="2">
        <v>4.0599999999999996</v>
      </c>
      <c r="AG83" s="2">
        <v>4.1500000000000004</v>
      </c>
      <c r="AH83" s="2">
        <v>3.56</v>
      </c>
      <c r="AI83" s="2">
        <v>3.4</v>
      </c>
      <c r="AJ83" s="2">
        <v>1.08</v>
      </c>
      <c r="AK83" s="2">
        <v>1.1399999999999999</v>
      </c>
      <c r="AN83" s="1" t="s">
        <v>20</v>
      </c>
      <c r="AO83" s="2">
        <v>-0.27</v>
      </c>
      <c r="AP83" s="2">
        <v>-0.38</v>
      </c>
      <c r="AQ83" s="2">
        <v>-0.3</v>
      </c>
      <c r="AR83" s="2">
        <v>-0.3</v>
      </c>
      <c r="AS83" s="2">
        <v>-0.31</v>
      </c>
      <c r="AT83" s="2">
        <v>-0.31</v>
      </c>
      <c r="AU83" s="2">
        <v>-7.0000000000000007E-2</v>
      </c>
      <c r="AV83" s="2">
        <v>-0.03</v>
      </c>
      <c r="AW83" s="2">
        <v>-0.26</v>
      </c>
      <c r="AX83" s="2">
        <v>-0.28999999999999998</v>
      </c>
    </row>
    <row r="84" spans="2:50" x14ac:dyDescent="0.3">
      <c r="B84" s="1" t="s">
        <v>21</v>
      </c>
      <c r="C84" s="2">
        <v>153.56</v>
      </c>
      <c r="D84" s="2">
        <v>61.74</v>
      </c>
      <c r="E84" s="2">
        <v>254.53</v>
      </c>
      <c r="F84" s="2">
        <v>297.12</v>
      </c>
      <c r="G84" s="2">
        <v>286.35000000000002</v>
      </c>
      <c r="H84" s="2">
        <v>195.93</v>
      </c>
      <c r="I84" s="2">
        <v>164.96</v>
      </c>
      <c r="J84" s="2">
        <v>456.92</v>
      </c>
      <c r="K84" s="2">
        <v>70.569999999999993</v>
      </c>
      <c r="L84" s="2">
        <v>61</v>
      </c>
      <c r="N84" s="1" t="s">
        <v>21</v>
      </c>
      <c r="O84" s="2">
        <v>2.2200000000000002</v>
      </c>
      <c r="P84" s="2">
        <v>2.2000000000000002</v>
      </c>
      <c r="Q84" s="2">
        <v>2.58</v>
      </c>
      <c r="R84" s="2">
        <v>2.65</v>
      </c>
      <c r="S84" s="2">
        <v>2.94</v>
      </c>
      <c r="T84" s="2">
        <v>2.86</v>
      </c>
      <c r="U84" s="2">
        <v>3.33</v>
      </c>
      <c r="V84" s="2">
        <v>3.4</v>
      </c>
      <c r="W84" s="2">
        <v>0.81</v>
      </c>
      <c r="X84" s="2">
        <v>0.8</v>
      </c>
      <c r="AA84" s="1" t="s">
        <v>21</v>
      </c>
      <c r="AB84" s="2">
        <v>3.05</v>
      </c>
      <c r="AC84" s="2">
        <v>3.25</v>
      </c>
      <c r="AD84" s="2">
        <v>3.64</v>
      </c>
      <c r="AE84" s="2">
        <v>3.69</v>
      </c>
      <c r="AF84" s="2">
        <v>4.3</v>
      </c>
      <c r="AG84" s="2">
        <v>4.66</v>
      </c>
      <c r="AH84" s="2">
        <v>3.99</v>
      </c>
      <c r="AI84" s="2">
        <v>5.33</v>
      </c>
      <c r="AJ84" s="2">
        <v>1.1399999999999999</v>
      </c>
      <c r="AK84" s="2">
        <v>1.1200000000000001</v>
      </c>
      <c r="AN84" s="1" t="s">
        <v>21</v>
      </c>
      <c r="AO84" s="2">
        <v>-0.27</v>
      </c>
      <c r="AP84" s="2">
        <v>-0.32</v>
      </c>
      <c r="AQ84" s="2">
        <v>-0.28999999999999998</v>
      </c>
      <c r="AR84" s="2">
        <v>-0.28000000000000003</v>
      </c>
      <c r="AS84" s="2">
        <v>-0.32</v>
      </c>
      <c r="AT84" s="2">
        <v>-0.39</v>
      </c>
      <c r="AU84" s="2">
        <v>-0.17</v>
      </c>
      <c r="AV84" s="2">
        <v>-0.36</v>
      </c>
      <c r="AW84" s="2">
        <v>-0.28999999999999998</v>
      </c>
      <c r="AX84" s="2">
        <v>-0.28000000000000003</v>
      </c>
    </row>
    <row r="85" spans="2:50" x14ac:dyDescent="0.3">
      <c r="B85" s="1" t="s">
        <v>22</v>
      </c>
      <c r="C85" s="2">
        <v>933.34</v>
      </c>
      <c r="D85" s="2">
        <v>884.98</v>
      </c>
      <c r="E85" s="2">
        <v>312.36</v>
      </c>
      <c r="F85" s="2">
        <v>422.13</v>
      </c>
      <c r="G85" s="2">
        <v>655.05999999999995</v>
      </c>
      <c r="H85" s="2">
        <v>667.91</v>
      </c>
      <c r="I85" s="2">
        <v>402.43</v>
      </c>
      <c r="J85" s="2">
        <v>197.5</v>
      </c>
      <c r="K85" s="2">
        <v>45.71</v>
      </c>
      <c r="L85" s="2">
        <v>74.33</v>
      </c>
      <c r="N85" s="1" t="s">
        <v>22</v>
      </c>
      <c r="O85" s="2">
        <v>2.2999999999999998</v>
      </c>
      <c r="P85" s="2">
        <v>2.27</v>
      </c>
      <c r="Q85" s="2">
        <v>2.67</v>
      </c>
      <c r="R85" s="2">
        <v>2.68</v>
      </c>
      <c r="S85" s="2">
        <v>2.84</v>
      </c>
      <c r="T85" s="2">
        <v>2.96</v>
      </c>
      <c r="U85" s="2">
        <v>3.32</v>
      </c>
      <c r="V85" s="2">
        <v>3.33</v>
      </c>
      <c r="W85" s="2">
        <v>0.8</v>
      </c>
      <c r="X85" s="2">
        <v>0.8</v>
      </c>
      <c r="AA85" s="1" t="s">
        <v>22</v>
      </c>
      <c r="AB85" s="2">
        <v>5.31</v>
      </c>
      <c r="AC85" s="2">
        <v>5.13</v>
      </c>
      <c r="AD85" s="2">
        <v>3.69</v>
      </c>
      <c r="AE85" s="2">
        <v>3.56</v>
      </c>
      <c r="AF85" s="2">
        <v>4.91</v>
      </c>
      <c r="AG85" s="2">
        <v>5.42</v>
      </c>
      <c r="AH85" s="2">
        <v>3.9</v>
      </c>
      <c r="AI85" s="2">
        <v>3.53</v>
      </c>
      <c r="AJ85" s="2">
        <v>0.94</v>
      </c>
      <c r="AK85" s="2">
        <v>0.94</v>
      </c>
      <c r="AN85" s="1" t="s">
        <v>22</v>
      </c>
      <c r="AO85" s="2">
        <v>-0.56999999999999995</v>
      </c>
      <c r="AP85" s="2">
        <v>-0.56000000000000005</v>
      </c>
      <c r="AQ85" s="2">
        <v>-0.28000000000000003</v>
      </c>
      <c r="AR85" s="2">
        <v>-0.25</v>
      </c>
      <c r="AS85" s="2">
        <v>-0.42</v>
      </c>
      <c r="AT85" s="2">
        <v>-0.45</v>
      </c>
      <c r="AU85" s="2">
        <v>-0.15</v>
      </c>
      <c r="AV85" s="2">
        <v>-0.06</v>
      </c>
      <c r="AW85" s="2">
        <v>-0.14000000000000001</v>
      </c>
      <c r="AX85" s="2">
        <v>-0.15</v>
      </c>
    </row>
    <row r="86" spans="2:50" x14ac:dyDescent="0.3">
      <c r="B86" s="1" t="s">
        <v>23</v>
      </c>
      <c r="C86" s="2">
        <v>44.57</v>
      </c>
      <c r="D86" s="2">
        <v>73.38</v>
      </c>
      <c r="E86" s="2">
        <v>63.28</v>
      </c>
      <c r="F86" s="2">
        <v>25.09</v>
      </c>
      <c r="G86" s="2">
        <v>111.76</v>
      </c>
      <c r="H86" s="2">
        <v>170.7</v>
      </c>
      <c r="I86" s="2">
        <v>13.55</v>
      </c>
      <c r="J86" s="2">
        <v>2.74</v>
      </c>
      <c r="K86" s="2">
        <v>13.78</v>
      </c>
      <c r="L86" s="2">
        <v>38.99</v>
      </c>
      <c r="N86" s="1" t="s">
        <v>23</v>
      </c>
      <c r="O86" s="2">
        <v>2.2000000000000002</v>
      </c>
      <c r="P86" s="2">
        <v>2.2000000000000002</v>
      </c>
      <c r="Q86" s="2">
        <v>2.5</v>
      </c>
      <c r="R86" s="2">
        <v>2.5</v>
      </c>
      <c r="S86" s="2">
        <v>2.8</v>
      </c>
      <c r="T86" s="2">
        <v>2.8</v>
      </c>
      <c r="U86" s="2">
        <v>3.3</v>
      </c>
      <c r="V86" s="2">
        <v>3.3</v>
      </c>
      <c r="W86" s="2">
        <v>0.8</v>
      </c>
      <c r="X86" s="2">
        <v>0.8</v>
      </c>
      <c r="AA86" s="1" t="s">
        <v>23</v>
      </c>
      <c r="AB86" s="2">
        <v>2.4700000000000002</v>
      </c>
      <c r="AC86" s="2">
        <v>2.4700000000000002</v>
      </c>
      <c r="AD86" s="2">
        <v>2.97</v>
      </c>
      <c r="AE86" s="2">
        <v>2.5099999999999998</v>
      </c>
      <c r="AF86" s="2">
        <v>3.55</v>
      </c>
      <c r="AG86" s="2">
        <v>3.48</v>
      </c>
      <c r="AH86" s="2">
        <v>3.53</v>
      </c>
      <c r="AI86" s="2">
        <v>3.3</v>
      </c>
      <c r="AJ86" s="2">
        <v>0.86</v>
      </c>
      <c r="AK86" s="2">
        <v>1.02</v>
      </c>
      <c r="AN86" s="1" t="s">
        <v>23</v>
      </c>
      <c r="AO86" s="2">
        <v>-0.11</v>
      </c>
      <c r="AP86" s="2">
        <v>-0.11</v>
      </c>
      <c r="AQ86" s="2">
        <v>-0.16</v>
      </c>
      <c r="AR86" s="2">
        <v>0</v>
      </c>
      <c r="AS86" s="2">
        <v>-0.21</v>
      </c>
      <c r="AT86" s="2">
        <v>-0.2</v>
      </c>
      <c r="AU86" s="2">
        <v>-7.0000000000000007E-2</v>
      </c>
      <c r="AV86" s="2">
        <v>0</v>
      </c>
      <c r="AW86" s="2">
        <v>-7.0000000000000007E-2</v>
      </c>
      <c r="AX86" s="2">
        <v>-0.21</v>
      </c>
    </row>
    <row r="89" spans="2:50" x14ac:dyDescent="0.3">
      <c r="B89" t="s">
        <v>44</v>
      </c>
      <c r="N89" t="s">
        <v>45</v>
      </c>
      <c r="AA89" t="s">
        <v>46</v>
      </c>
      <c r="AN89" t="s">
        <v>47</v>
      </c>
    </row>
    <row r="90" spans="2:50" x14ac:dyDescent="0.3">
      <c r="B90" s="1" t="s">
        <v>11</v>
      </c>
      <c r="C90" s="1" t="s">
        <v>12</v>
      </c>
      <c r="D90" s="1" t="s">
        <v>13</v>
      </c>
      <c r="E90" s="1" t="s">
        <v>12</v>
      </c>
      <c r="F90" s="1" t="s">
        <v>13</v>
      </c>
      <c r="G90" s="1" t="s">
        <v>12</v>
      </c>
      <c r="H90" s="1" t="s">
        <v>13</v>
      </c>
      <c r="I90" s="1" t="s">
        <v>12</v>
      </c>
      <c r="J90" s="1" t="s">
        <v>13</v>
      </c>
      <c r="K90" s="1" t="s">
        <v>12</v>
      </c>
      <c r="L90" s="1" t="s">
        <v>13</v>
      </c>
      <c r="N90" s="1" t="s">
        <v>11</v>
      </c>
      <c r="O90" s="3" t="s">
        <v>12</v>
      </c>
      <c r="P90" s="3"/>
      <c r="Q90" s="3"/>
      <c r="R90" s="3"/>
      <c r="S90" s="3"/>
      <c r="T90" s="3" t="s">
        <v>13</v>
      </c>
      <c r="U90" s="3"/>
      <c r="V90" s="3"/>
      <c r="W90" s="3"/>
      <c r="X90" s="3"/>
      <c r="AA90" s="1" t="s">
        <v>11</v>
      </c>
      <c r="AB90" s="3" t="s">
        <v>12</v>
      </c>
      <c r="AC90" s="3"/>
      <c r="AD90" s="3"/>
      <c r="AE90" s="3"/>
      <c r="AF90" s="3"/>
      <c r="AG90" s="3" t="s">
        <v>13</v>
      </c>
      <c r="AH90" s="3"/>
      <c r="AI90" s="3"/>
      <c r="AJ90" s="3"/>
      <c r="AK90" s="3"/>
      <c r="AN90" s="1" t="s">
        <v>11</v>
      </c>
      <c r="AO90" s="1" t="s">
        <v>12</v>
      </c>
      <c r="AP90" s="1" t="s">
        <v>13</v>
      </c>
      <c r="AQ90" s="1" t="s">
        <v>12</v>
      </c>
      <c r="AR90" s="1" t="s">
        <v>13</v>
      </c>
      <c r="AS90" s="1" t="s">
        <v>12</v>
      </c>
      <c r="AT90" s="1" t="s">
        <v>13</v>
      </c>
      <c r="AU90" s="1" t="s">
        <v>12</v>
      </c>
      <c r="AV90" s="1" t="s">
        <v>13</v>
      </c>
      <c r="AW90" s="1" t="s">
        <v>12</v>
      </c>
      <c r="AX90" s="1" t="s">
        <v>13</v>
      </c>
    </row>
    <row r="91" spans="2:50" x14ac:dyDescent="0.3">
      <c r="B91" s="1" t="s">
        <v>14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N91" s="1" t="s">
        <v>14</v>
      </c>
      <c r="O91" s="1" t="s">
        <v>1</v>
      </c>
      <c r="P91" s="1" t="s">
        <v>2</v>
      </c>
      <c r="Q91" s="1" t="s">
        <v>3</v>
      </c>
      <c r="R91" s="1" t="s">
        <v>4</v>
      </c>
      <c r="S91" s="1" t="s">
        <v>5</v>
      </c>
      <c r="T91" s="1" t="s">
        <v>1</v>
      </c>
      <c r="U91" s="1" t="s">
        <v>2</v>
      </c>
      <c r="V91" s="1" t="s">
        <v>3</v>
      </c>
      <c r="W91" s="1" t="s">
        <v>4</v>
      </c>
      <c r="X91" s="1" t="s">
        <v>5</v>
      </c>
      <c r="AA91" s="1" t="s">
        <v>14</v>
      </c>
      <c r="AB91" s="1" t="s">
        <v>1</v>
      </c>
      <c r="AC91" s="1" t="s">
        <v>2</v>
      </c>
      <c r="AD91" s="1" t="s">
        <v>3</v>
      </c>
      <c r="AE91" s="1" t="s">
        <v>4</v>
      </c>
      <c r="AF91" s="1" t="s">
        <v>5</v>
      </c>
      <c r="AG91" s="1" t="s">
        <v>1</v>
      </c>
      <c r="AH91" s="1" t="s">
        <v>2</v>
      </c>
      <c r="AI91" s="1" t="s">
        <v>3</v>
      </c>
      <c r="AJ91" s="1" t="s">
        <v>4</v>
      </c>
      <c r="AK91" s="1" t="s">
        <v>5</v>
      </c>
      <c r="AN91" s="1" t="s">
        <v>14</v>
      </c>
      <c r="AO91" s="1" t="s">
        <v>1</v>
      </c>
      <c r="AP91" s="1" t="s">
        <v>1</v>
      </c>
      <c r="AQ91" s="1" t="s">
        <v>2</v>
      </c>
      <c r="AR91" s="1" t="s">
        <v>2</v>
      </c>
      <c r="AS91" s="1" t="s">
        <v>3</v>
      </c>
      <c r="AT91" s="1" t="s">
        <v>3</v>
      </c>
      <c r="AU91" s="1" t="s">
        <v>4</v>
      </c>
      <c r="AV91" s="1" t="s">
        <v>4</v>
      </c>
      <c r="AW91" s="1" t="s">
        <v>5</v>
      </c>
      <c r="AX91" s="1" t="s">
        <v>5</v>
      </c>
    </row>
    <row r="92" spans="2:50" x14ac:dyDescent="0.3">
      <c r="B92" s="1" t="s">
        <v>15</v>
      </c>
      <c r="N92" s="1" t="s">
        <v>15</v>
      </c>
      <c r="AA92" s="1" t="s">
        <v>15</v>
      </c>
      <c r="AN92" s="1" t="s">
        <v>15</v>
      </c>
    </row>
    <row r="93" spans="2:50" x14ac:dyDescent="0.3">
      <c r="B93" s="1" t="s">
        <v>16</v>
      </c>
      <c r="C93" s="2">
        <v>301.87</v>
      </c>
      <c r="D93" s="2">
        <v>306.58999999999997</v>
      </c>
      <c r="E93" s="2">
        <v>521.32000000000005</v>
      </c>
      <c r="F93" s="2">
        <v>293.36</v>
      </c>
      <c r="G93" s="2">
        <v>111.46</v>
      </c>
      <c r="H93" s="2">
        <v>109.5</v>
      </c>
      <c r="I93" s="2">
        <v>148.5</v>
      </c>
      <c r="J93" s="2">
        <v>137.82</v>
      </c>
      <c r="K93" s="2">
        <v>148.59</v>
      </c>
      <c r="L93" s="2">
        <v>139.15</v>
      </c>
      <c r="N93" s="1" t="s">
        <v>16</v>
      </c>
      <c r="O93" s="2">
        <v>2849.6</v>
      </c>
      <c r="P93" s="2">
        <v>3489.77</v>
      </c>
      <c r="Q93" s="2">
        <v>3245.95</v>
      </c>
      <c r="R93" s="2">
        <v>2021.72</v>
      </c>
      <c r="S93" s="2">
        <v>959.62</v>
      </c>
      <c r="T93" s="2">
        <v>2783.52</v>
      </c>
      <c r="U93" s="2">
        <v>1284.81</v>
      </c>
      <c r="V93" s="2">
        <v>2706.94</v>
      </c>
      <c r="W93" s="2">
        <v>1214.23</v>
      </c>
      <c r="X93" s="2">
        <v>617.54999999999995</v>
      </c>
      <c r="AA93" s="1" t="s">
        <v>16</v>
      </c>
      <c r="AB93" s="2">
        <v>25868.32</v>
      </c>
      <c r="AC93" s="2">
        <v>31620.48</v>
      </c>
      <c r="AD93" s="2">
        <v>29380.21</v>
      </c>
      <c r="AE93" s="2">
        <v>31207.63</v>
      </c>
      <c r="AF93" s="2">
        <v>8694.7800000000007</v>
      </c>
      <c r="AG93" s="2">
        <v>25112.04</v>
      </c>
      <c r="AH93" s="2">
        <v>19832.439999999999</v>
      </c>
      <c r="AI93" s="2">
        <v>24503.74</v>
      </c>
      <c r="AJ93" s="2">
        <v>22597.25</v>
      </c>
      <c r="AK93" s="2">
        <v>5660.05</v>
      </c>
      <c r="AN93" s="1" t="s">
        <v>16</v>
      </c>
      <c r="AO93" s="2">
        <v>0.44</v>
      </c>
      <c r="AP93" s="2">
        <v>0.44</v>
      </c>
      <c r="AQ93" s="2">
        <v>0.5</v>
      </c>
      <c r="AR93" s="2">
        <v>0.5</v>
      </c>
      <c r="AS93" s="2">
        <v>0.56000000000000005</v>
      </c>
      <c r="AT93" s="2">
        <v>0.56000000000000005</v>
      </c>
      <c r="AU93" s="2">
        <v>0.66</v>
      </c>
      <c r="AV93" s="2">
        <v>0.66</v>
      </c>
      <c r="AW93" s="2">
        <v>0.16</v>
      </c>
      <c r="AX93" s="2">
        <v>0.16</v>
      </c>
    </row>
    <row r="94" spans="2:50" x14ac:dyDescent="0.3">
      <c r="B94" s="1" t="s">
        <v>17</v>
      </c>
      <c r="C94" s="2">
        <v>290.68</v>
      </c>
      <c r="D94" s="2">
        <v>179.51</v>
      </c>
      <c r="E94" s="2">
        <v>314.04000000000002</v>
      </c>
      <c r="F94" s="2">
        <v>539.20000000000005</v>
      </c>
      <c r="G94" s="2">
        <v>287.70999999999998</v>
      </c>
      <c r="H94" s="2">
        <v>242.25</v>
      </c>
      <c r="I94" s="2">
        <v>274.05</v>
      </c>
      <c r="J94" s="2">
        <v>116.74</v>
      </c>
      <c r="K94" s="2">
        <v>141.52000000000001</v>
      </c>
      <c r="L94" s="2">
        <v>118.31</v>
      </c>
      <c r="N94" s="1" t="s">
        <v>17</v>
      </c>
      <c r="O94" s="2">
        <v>2956.56</v>
      </c>
      <c r="P94" s="2">
        <v>3076.5</v>
      </c>
      <c r="Q94" s="2">
        <v>5188.41</v>
      </c>
      <c r="R94" s="2">
        <v>5231.6899999999996</v>
      </c>
      <c r="S94" s="2">
        <v>1063.28</v>
      </c>
      <c r="T94" s="2">
        <v>1499.51</v>
      </c>
      <c r="U94" s="2">
        <v>1950.83</v>
      </c>
      <c r="V94" s="2">
        <v>2343.4</v>
      </c>
      <c r="W94" s="2">
        <v>1103.4100000000001</v>
      </c>
      <c r="X94" s="2">
        <v>565.44000000000005</v>
      </c>
      <c r="AA94" s="1" t="s">
        <v>17</v>
      </c>
      <c r="AB94" s="2">
        <v>10716.76</v>
      </c>
      <c r="AC94" s="2">
        <v>16916.75</v>
      </c>
      <c r="AD94" s="2">
        <v>20340.09</v>
      </c>
      <c r="AE94" s="2">
        <v>20438.88</v>
      </c>
      <c r="AF94" s="2">
        <v>3868.09</v>
      </c>
      <c r="AG94" s="2">
        <v>7428.31</v>
      </c>
      <c r="AH94" s="2">
        <v>5599.56</v>
      </c>
      <c r="AI94" s="2">
        <v>9068.2800000000007</v>
      </c>
      <c r="AJ94" s="2">
        <v>11116.82</v>
      </c>
      <c r="AK94" s="2">
        <v>2662.56</v>
      </c>
      <c r="AN94" s="1" t="s">
        <v>17</v>
      </c>
      <c r="AO94" s="2">
        <v>4.62</v>
      </c>
      <c r="AP94" s="2">
        <v>3.47</v>
      </c>
      <c r="AQ94" s="2">
        <v>4.12</v>
      </c>
      <c r="AR94" s="2">
        <v>5.25</v>
      </c>
      <c r="AS94" s="2">
        <v>5.88</v>
      </c>
      <c r="AT94" s="2">
        <v>5.88</v>
      </c>
      <c r="AU94" s="2">
        <v>6.93</v>
      </c>
      <c r="AV94" s="2">
        <v>2.97</v>
      </c>
      <c r="AW94" s="2">
        <v>1.68</v>
      </c>
      <c r="AX94" s="2">
        <v>1.52</v>
      </c>
    </row>
    <row r="95" spans="2:50" x14ac:dyDescent="0.3">
      <c r="B95" s="1" t="s">
        <v>18</v>
      </c>
      <c r="C95" s="2">
        <v>6646.01</v>
      </c>
      <c r="D95" s="2">
        <v>1516.3</v>
      </c>
      <c r="E95" s="2">
        <v>4022.59</v>
      </c>
      <c r="F95" s="2">
        <v>10176.120000000001</v>
      </c>
      <c r="G95" s="2">
        <v>5626.26</v>
      </c>
      <c r="H95" s="2">
        <v>1472.34</v>
      </c>
      <c r="I95" s="2">
        <v>4062.39</v>
      </c>
      <c r="J95" s="2">
        <v>984.63</v>
      </c>
      <c r="K95" s="2">
        <v>306.44</v>
      </c>
      <c r="L95" s="2">
        <v>720.56</v>
      </c>
      <c r="N95" s="1" t="s">
        <v>18</v>
      </c>
      <c r="O95" s="2">
        <v>13126.54</v>
      </c>
      <c r="P95" s="2">
        <v>10093.73</v>
      </c>
      <c r="Q95" s="2">
        <v>18990</v>
      </c>
      <c r="R95" s="2">
        <v>15581.88</v>
      </c>
      <c r="S95" s="2">
        <v>1730.44</v>
      </c>
      <c r="T95" s="2">
        <v>6581.52</v>
      </c>
      <c r="U95" s="2">
        <v>9575.27</v>
      </c>
      <c r="V95" s="2">
        <v>12356.25</v>
      </c>
      <c r="W95" s="2">
        <v>9727.49</v>
      </c>
      <c r="X95" s="2">
        <v>2468.56</v>
      </c>
      <c r="AA95" s="1" t="s">
        <v>18</v>
      </c>
      <c r="AB95" s="2">
        <v>40950.980000000003</v>
      </c>
      <c r="AC95" s="2">
        <v>61640.02</v>
      </c>
      <c r="AD95" s="2">
        <v>70985.03</v>
      </c>
      <c r="AE95" s="2">
        <v>79438.87</v>
      </c>
      <c r="AF95" s="2">
        <v>7377.56</v>
      </c>
      <c r="AG95" s="2">
        <v>18454.099999999999</v>
      </c>
      <c r="AH95" s="2">
        <v>25192.87</v>
      </c>
      <c r="AI95" s="2">
        <v>47764.22</v>
      </c>
      <c r="AJ95" s="2">
        <v>51932.55</v>
      </c>
      <c r="AK95" s="2">
        <v>7073.84</v>
      </c>
      <c r="AN95" s="1" t="s">
        <v>18</v>
      </c>
      <c r="AO95" s="2">
        <v>13.86</v>
      </c>
      <c r="AP95" s="2">
        <v>4.62</v>
      </c>
      <c r="AQ95" s="2">
        <v>10.5</v>
      </c>
      <c r="AR95" s="2">
        <v>15.75</v>
      </c>
      <c r="AS95" s="2">
        <v>17.64</v>
      </c>
      <c r="AT95" s="2">
        <v>5.88</v>
      </c>
      <c r="AU95" s="2">
        <v>20.46</v>
      </c>
      <c r="AV95" s="2">
        <v>4.32</v>
      </c>
      <c r="AW95" s="2">
        <v>1.68</v>
      </c>
      <c r="AX95" s="2">
        <v>1.68</v>
      </c>
    </row>
    <row r="96" spans="2:50" x14ac:dyDescent="0.3">
      <c r="B96" s="1" t="s">
        <v>19</v>
      </c>
      <c r="C96" s="2">
        <v>656.42</v>
      </c>
      <c r="D96" s="2">
        <v>599.36</v>
      </c>
      <c r="E96" s="2">
        <v>1180.28</v>
      </c>
      <c r="F96" s="2">
        <v>1063.98</v>
      </c>
      <c r="G96" s="2">
        <v>801.53</v>
      </c>
      <c r="H96" s="2">
        <v>817.16</v>
      </c>
      <c r="I96" s="2">
        <v>440.5</v>
      </c>
      <c r="J96" s="2">
        <v>226.01</v>
      </c>
      <c r="K96" s="2">
        <v>141.47999999999999</v>
      </c>
      <c r="L96" s="2">
        <v>147.28</v>
      </c>
      <c r="N96" s="1" t="s">
        <v>19</v>
      </c>
      <c r="O96" s="2">
        <v>2755.82</v>
      </c>
      <c r="P96" s="2">
        <v>3431.19</v>
      </c>
      <c r="Q96" s="2">
        <v>3343.26</v>
      </c>
      <c r="R96" s="2">
        <v>3680.73</v>
      </c>
      <c r="S96" s="2">
        <v>434.95</v>
      </c>
      <c r="T96" s="2">
        <v>2013.6</v>
      </c>
      <c r="U96" s="2">
        <v>3134.82</v>
      </c>
      <c r="V96" s="2">
        <v>4296.8999999999996</v>
      </c>
      <c r="W96" s="2">
        <v>3246.01</v>
      </c>
      <c r="X96" s="2">
        <v>472.17</v>
      </c>
      <c r="AA96" s="1" t="s">
        <v>19</v>
      </c>
      <c r="AB96" s="2">
        <v>9644.92</v>
      </c>
      <c r="AC96" s="2">
        <v>14860.06</v>
      </c>
      <c r="AD96" s="2">
        <v>18503.259999999998</v>
      </c>
      <c r="AE96" s="2">
        <v>19991.16</v>
      </c>
      <c r="AF96" s="2">
        <v>2038.65</v>
      </c>
      <c r="AG96" s="2">
        <v>6351.85</v>
      </c>
      <c r="AH96" s="2">
        <v>10902.5</v>
      </c>
      <c r="AI96" s="2">
        <v>15511.45</v>
      </c>
      <c r="AJ96" s="2">
        <v>16595.240000000002</v>
      </c>
      <c r="AK96" s="2">
        <v>2016.14</v>
      </c>
      <c r="AN96" s="1" t="s">
        <v>19</v>
      </c>
      <c r="AO96" s="2">
        <v>4.62</v>
      </c>
      <c r="AP96" s="2">
        <v>4.62</v>
      </c>
      <c r="AQ96" s="2">
        <v>5.25</v>
      </c>
      <c r="AR96" s="2">
        <v>5.25</v>
      </c>
      <c r="AS96" s="2">
        <v>10.46</v>
      </c>
      <c r="AT96" s="2">
        <v>5.88</v>
      </c>
      <c r="AU96" s="2">
        <v>6.18</v>
      </c>
      <c r="AV96" s="2">
        <v>2.67</v>
      </c>
      <c r="AW96" s="2">
        <v>1.67</v>
      </c>
      <c r="AX96" s="2">
        <v>1.68</v>
      </c>
    </row>
    <row r="97" spans="2:50" x14ac:dyDescent="0.3">
      <c r="B97" s="1" t="s">
        <v>20</v>
      </c>
      <c r="C97" s="2">
        <v>2281.13</v>
      </c>
      <c r="D97" s="2">
        <v>2707.9</v>
      </c>
      <c r="E97" s="2">
        <v>4982.3999999999996</v>
      </c>
      <c r="F97" s="2">
        <v>4462.1499999999996</v>
      </c>
      <c r="G97" s="2">
        <v>2500.98</v>
      </c>
      <c r="H97" s="2">
        <v>2171.0100000000002</v>
      </c>
      <c r="I97" s="2">
        <v>960.35</v>
      </c>
      <c r="J97" s="2">
        <v>625</v>
      </c>
      <c r="K97" s="2">
        <v>1252.74</v>
      </c>
      <c r="L97" s="2">
        <v>1410.31</v>
      </c>
      <c r="N97" s="1" t="s">
        <v>20</v>
      </c>
      <c r="O97" s="2">
        <v>10772.41</v>
      </c>
      <c r="P97" s="2">
        <v>15094.49</v>
      </c>
      <c r="Q97" s="2">
        <v>17762.98</v>
      </c>
      <c r="R97" s="2">
        <v>14121.76</v>
      </c>
      <c r="S97" s="2">
        <v>4026.47</v>
      </c>
      <c r="T97" s="2">
        <v>8536.09</v>
      </c>
      <c r="U97" s="2">
        <v>14919</v>
      </c>
      <c r="V97" s="2">
        <v>20482.89</v>
      </c>
      <c r="W97" s="2">
        <v>17275.310000000001</v>
      </c>
      <c r="X97" s="2">
        <v>4690.63</v>
      </c>
      <c r="AA97" s="1" t="s">
        <v>20</v>
      </c>
      <c r="AB97" s="2">
        <v>34183.72</v>
      </c>
      <c r="AC97" s="2">
        <v>51114.63</v>
      </c>
      <c r="AD97" s="2">
        <v>67758.820000000007</v>
      </c>
      <c r="AE97" s="2">
        <v>71072.69</v>
      </c>
      <c r="AF97" s="2">
        <v>14685.53</v>
      </c>
      <c r="AG97" s="2">
        <v>42474.74</v>
      </c>
      <c r="AH97" s="2">
        <v>49489.75</v>
      </c>
      <c r="AI97" s="2">
        <v>80777.710000000006</v>
      </c>
      <c r="AJ97" s="2">
        <v>87653.14</v>
      </c>
      <c r="AK97" s="2">
        <v>14597.37</v>
      </c>
      <c r="AN97" s="1" t="s">
        <v>20</v>
      </c>
      <c r="AO97" s="2">
        <v>4.62</v>
      </c>
      <c r="AP97" s="2">
        <v>7.96</v>
      </c>
      <c r="AQ97" s="2">
        <v>5.25</v>
      </c>
      <c r="AR97" s="2">
        <v>5.25</v>
      </c>
      <c r="AS97" s="2">
        <v>5.88</v>
      </c>
      <c r="AT97" s="2">
        <v>5.88</v>
      </c>
      <c r="AU97" s="2">
        <v>4.13</v>
      </c>
      <c r="AV97" s="2">
        <v>2.2200000000000002</v>
      </c>
      <c r="AW97" s="2">
        <v>1.68</v>
      </c>
      <c r="AX97" s="2">
        <v>1.68</v>
      </c>
    </row>
    <row r="98" spans="2:50" x14ac:dyDescent="0.3">
      <c r="B98" s="1" t="s">
        <v>21</v>
      </c>
      <c r="C98" s="2">
        <v>419.82</v>
      </c>
      <c r="D98" s="2">
        <v>379.99</v>
      </c>
      <c r="E98" s="2">
        <v>911.46</v>
      </c>
      <c r="F98" s="2">
        <v>624.6</v>
      </c>
      <c r="G98" s="2">
        <v>403.11</v>
      </c>
      <c r="H98" s="2">
        <v>486.39</v>
      </c>
      <c r="I98" s="2">
        <v>284.64999999999998</v>
      </c>
      <c r="J98" s="2">
        <v>560.6</v>
      </c>
      <c r="K98" s="2">
        <v>267.73</v>
      </c>
      <c r="L98" s="2">
        <v>153.96</v>
      </c>
      <c r="N98" s="1" t="s">
        <v>21</v>
      </c>
      <c r="O98" s="2">
        <v>2937.4</v>
      </c>
      <c r="P98" s="2">
        <v>3907.2</v>
      </c>
      <c r="Q98" s="2">
        <v>5068.9799999999996</v>
      </c>
      <c r="R98" s="2">
        <v>4522.99</v>
      </c>
      <c r="S98" s="2">
        <v>1105.44</v>
      </c>
      <c r="T98" s="2">
        <v>2262.91</v>
      </c>
      <c r="U98" s="2">
        <v>4642.13</v>
      </c>
      <c r="V98" s="2">
        <v>4617.29</v>
      </c>
      <c r="W98" s="2">
        <v>5703.28</v>
      </c>
      <c r="X98" s="2">
        <v>960.53</v>
      </c>
      <c r="AA98" s="1" t="s">
        <v>21</v>
      </c>
      <c r="AB98" s="2">
        <v>9349.01</v>
      </c>
      <c r="AC98" s="2">
        <v>13089.66</v>
      </c>
      <c r="AD98" s="2">
        <v>18305.419999999998</v>
      </c>
      <c r="AE98" s="2">
        <v>19613.87</v>
      </c>
      <c r="AF98" s="2">
        <v>3084.96</v>
      </c>
      <c r="AG98" s="2">
        <v>8992.3700000000008</v>
      </c>
      <c r="AH98" s="2">
        <v>17887.14</v>
      </c>
      <c r="AI98" s="2">
        <v>22067.03</v>
      </c>
      <c r="AJ98" s="2">
        <v>33577.81</v>
      </c>
      <c r="AK98" s="2">
        <v>2192.1999999999998</v>
      </c>
      <c r="AN98" s="1" t="s">
        <v>21</v>
      </c>
      <c r="AO98" s="2">
        <v>4.62</v>
      </c>
      <c r="AP98" s="2">
        <v>6.57</v>
      </c>
      <c r="AQ98" s="2">
        <v>5.25</v>
      </c>
      <c r="AR98" s="2">
        <v>5.25</v>
      </c>
      <c r="AS98" s="2">
        <v>5.88</v>
      </c>
      <c r="AT98" s="2">
        <v>8.64</v>
      </c>
      <c r="AU98" s="2">
        <v>5.21</v>
      </c>
      <c r="AV98" s="2">
        <v>10.62</v>
      </c>
      <c r="AW98" s="2">
        <v>1.68</v>
      </c>
      <c r="AX98" s="2">
        <v>1.68</v>
      </c>
    </row>
    <row r="99" spans="2:50" x14ac:dyDescent="0.3">
      <c r="B99" s="1" t="s">
        <v>22</v>
      </c>
      <c r="C99" s="2">
        <v>4024.63</v>
      </c>
      <c r="D99" s="2">
        <v>3987.98</v>
      </c>
      <c r="E99" s="2">
        <v>3124.21</v>
      </c>
      <c r="F99" s="2">
        <v>2852.51</v>
      </c>
      <c r="G99" s="2">
        <v>2480.0100000000002</v>
      </c>
      <c r="H99" s="2">
        <v>2048.11</v>
      </c>
      <c r="I99" s="2">
        <v>1254.74</v>
      </c>
      <c r="J99" s="2">
        <v>527.1</v>
      </c>
      <c r="K99" s="2">
        <v>516.11</v>
      </c>
      <c r="L99" s="2">
        <v>521.30999999999995</v>
      </c>
      <c r="N99" s="1" t="s">
        <v>22</v>
      </c>
      <c r="O99" s="2">
        <v>11938.11</v>
      </c>
      <c r="P99" s="2">
        <v>13659.93</v>
      </c>
      <c r="Q99" s="2">
        <v>13137.79</v>
      </c>
      <c r="R99" s="2">
        <v>12872.43</v>
      </c>
      <c r="S99" s="2">
        <v>2154.0700000000002</v>
      </c>
      <c r="T99" s="2">
        <v>11322.56</v>
      </c>
      <c r="U99" s="2">
        <v>14046.31</v>
      </c>
      <c r="V99" s="2">
        <v>16457.84</v>
      </c>
      <c r="W99" s="2">
        <v>14834.17</v>
      </c>
      <c r="X99" s="2">
        <v>2440.5700000000002</v>
      </c>
      <c r="AA99" s="1" t="s">
        <v>22</v>
      </c>
      <c r="AB99" s="2">
        <v>41645.74</v>
      </c>
      <c r="AC99" s="2">
        <v>34086.35</v>
      </c>
      <c r="AD99" s="2">
        <v>61397.8</v>
      </c>
      <c r="AE99" s="2">
        <v>57094.77</v>
      </c>
      <c r="AF99" s="2">
        <v>5226.17</v>
      </c>
      <c r="AG99" s="2">
        <v>40543.54</v>
      </c>
      <c r="AH99" s="2">
        <v>45192.44</v>
      </c>
      <c r="AI99" s="2">
        <v>67002.67</v>
      </c>
      <c r="AJ99" s="2">
        <v>69716.09</v>
      </c>
      <c r="AK99" s="2">
        <v>6703.31</v>
      </c>
      <c r="AN99" s="1" t="s">
        <v>22</v>
      </c>
      <c r="AO99" s="2">
        <v>13.86</v>
      </c>
      <c r="AP99" s="2">
        <v>13.86</v>
      </c>
      <c r="AQ99" s="2">
        <v>5.25</v>
      </c>
      <c r="AR99" s="2">
        <v>5.25</v>
      </c>
      <c r="AS99" s="2">
        <v>11.76</v>
      </c>
      <c r="AT99" s="2">
        <v>11.76</v>
      </c>
      <c r="AU99" s="2">
        <v>6.92</v>
      </c>
      <c r="AV99" s="2">
        <v>3.6</v>
      </c>
      <c r="AW99" s="2">
        <v>1.68</v>
      </c>
      <c r="AX99" s="2">
        <v>1.68</v>
      </c>
    </row>
    <row r="100" spans="2:50" x14ac:dyDescent="0.3">
      <c r="B100" s="1" t="s">
        <v>23</v>
      </c>
      <c r="C100" s="2">
        <v>544.76</v>
      </c>
      <c r="D100" s="2">
        <v>542.25</v>
      </c>
      <c r="E100" s="2">
        <v>1376.92</v>
      </c>
      <c r="F100" s="2">
        <v>289.62</v>
      </c>
      <c r="G100" s="2">
        <v>734.28</v>
      </c>
      <c r="H100" s="2">
        <v>579.96</v>
      </c>
      <c r="I100" s="2">
        <v>492.31</v>
      </c>
      <c r="J100" s="2">
        <v>379.39</v>
      </c>
      <c r="K100" s="2">
        <v>297.11</v>
      </c>
      <c r="L100" s="2">
        <v>520.46</v>
      </c>
      <c r="N100" s="1" t="s">
        <v>23</v>
      </c>
      <c r="O100" s="2">
        <v>4817.76</v>
      </c>
      <c r="P100" s="2">
        <v>4442.76</v>
      </c>
      <c r="Q100" s="2">
        <v>5359.38</v>
      </c>
      <c r="R100" s="2">
        <v>4743.63</v>
      </c>
      <c r="S100" s="2">
        <v>1353.15</v>
      </c>
      <c r="T100" s="2">
        <v>6436.58</v>
      </c>
      <c r="U100" s="2">
        <v>5564.57</v>
      </c>
      <c r="V100" s="2">
        <v>6211.5</v>
      </c>
      <c r="W100" s="2">
        <v>1608.79</v>
      </c>
      <c r="X100" s="2">
        <v>1956.15</v>
      </c>
      <c r="AA100" s="1" t="s">
        <v>23</v>
      </c>
      <c r="AB100" s="2">
        <v>19207.560000000001</v>
      </c>
      <c r="AC100" s="2">
        <v>17552.490000000002</v>
      </c>
      <c r="AD100" s="2">
        <v>18806.580000000002</v>
      </c>
      <c r="AE100" s="2">
        <v>18039.240000000002</v>
      </c>
      <c r="AF100" s="2">
        <v>4882.05</v>
      </c>
      <c r="AG100" s="2">
        <v>24927.94</v>
      </c>
      <c r="AH100" s="2">
        <v>21346.93</v>
      </c>
      <c r="AI100" s="2">
        <v>23438.82</v>
      </c>
      <c r="AJ100" s="2">
        <v>31324.55</v>
      </c>
      <c r="AK100" s="2">
        <v>5635.05</v>
      </c>
      <c r="AN100" s="1" t="s">
        <v>23</v>
      </c>
      <c r="AO100" s="2">
        <v>3.68</v>
      </c>
      <c r="AP100" s="2">
        <v>3.3</v>
      </c>
      <c r="AQ100" s="2">
        <v>5.18</v>
      </c>
      <c r="AR100" s="2">
        <v>1.1200000000000001</v>
      </c>
      <c r="AS100" s="2">
        <v>5.88</v>
      </c>
      <c r="AT100" s="2">
        <v>5.53</v>
      </c>
      <c r="AU100" s="2">
        <v>5.16</v>
      </c>
      <c r="AV100" s="2">
        <v>4.46</v>
      </c>
      <c r="AW100" s="2">
        <v>1.17</v>
      </c>
      <c r="AX100" s="2">
        <v>1.68</v>
      </c>
    </row>
    <row r="103" spans="2:50" x14ac:dyDescent="0.3">
      <c r="B103" t="s">
        <v>48</v>
      </c>
      <c r="N103" t="s">
        <v>49</v>
      </c>
      <c r="AA103" t="s">
        <v>50</v>
      </c>
      <c r="AN103" t="s">
        <v>51</v>
      </c>
    </row>
    <row r="104" spans="2:50" x14ac:dyDescent="0.3">
      <c r="B104" s="1" t="s">
        <v>11</v>
      </c>
      <c r="C104" s="1" t="s">
        <v>12</v>
      </c>
      <c r="D104" s="1" t="s">
        <v>13</v>
      </c>
      <c r="E104" s="1" t="s">
        <v>12</v>
      </c>
      <c r="F104" s="1" t="s">
        <v>13</v>
      </c>
      <c r="G104" s="1" t="s">
        <v>12</v>
      </c>
      <c r="H104" s="1" t="s">
        <v>13</v>
      </c>
      <c r="I104" s="1" t="s">
        <v>12</v>
      </c>
      <c r="J104" s="1" t="s">
        <v>13</v>
      </c>
      <c r="K104" s="1" t="s">
        <v>12</v>
      </c>
      <c r="L104" s="1" t="s">
        <v>13</v>
      </c>
      <c r="N104" s="1" t="s">
        <v>11</v>
      </c>
      <c r="O104" s="1" t="s">
        <v>12</v>
      </c>
      <c r="P104" s="1" t="s">
        <v>13</v>
      </c>
      <c r="Q104" s="1" t="s">
        <v>12</v>
      </c>
      <c r="R104" s="1" t="s">
        <v>13</v>
      </c>
      <c r="S104" s="1" t="s">
        <v>12</v>
      </c>
      <c r="T104" s="1" t="s">
        <v>13</v>
      </c>
      <c r="U104" s="1" t="s">
        <v>12</v>
      </c>
      <c r="V104" s="1" t="s">
        <v>13</v>
      </c>
      <c r="W104" s="1" t="s">
        <v>12</v>
      </c>
      <c r="X104" s="1" t="s">
        <v>13</v>
      </c>
      <c r="AA104" s="1" t="s">
        <v>11</v>
      </c>
      <c r="AB104" s="1" t="s">
        <v>12</v>
      </c>
      <c r="AC104" s="1" t="s">
        <v>13</v>
      </c>
      <c r="AD104" s="1" t="s">
        <v>12</v>
      </c>
      <c r="AE104" s="1" t="s">
        <v>13</v>
      </c>
      <c r="AF104" s="1" t="s">
        <v>12</v>
      </c>
      <c r="AG104" s="1" t="s">
        <v>13</v>
      </c>
      <c r="AH104" s="1" t="s">
        <v>12</v>
      </c>
      <c r="AI104" s="1" t="s">
        <v>13</v>
      </c>
      <c r="AJ104" s="1" t="s">
        <v>12</v>
      </c>
      <c r="AK104" s="1" t="s">
        <v>13</v>
      </c>
      <c r="AN104" s="1" t="s">
        <v>11</v>
      </c>
      <c r="AO104" s="1" t="s">
        <v>12</v>
      </c>
      <c r="AP104" s="1" t="s">
        <v>13</v>
      </c>
      <c r="AQ104" s="1" t="s">
        <v>12</v>
      </c>
      <c r="AR104" s="1" t="s">
        <v>13</v>
      </c>
      <c r="AS104" s="1" t="s">
        <v>12</v>
      </c>
      <c r="AT104" s="1" t="s">
        <v>13</v>
      </c>
      <c r="AU104" s="1" t="s">
        <v>12</v>
      </c>
      <c r="AV104" s="1" t="s">
        <v>13</v>
      </c>
      <c r="AW104" s="1" t="s">
        <v>12</v>
      </c>
      <c r="AX104" s="1" t="s">
        <v>13</v>
      </c>
    </row>
    <row r="105" spans="2:50" x14ac:dyDescent="0.3">
      <c r="B105" s="1" t="s">
        <v>14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N105" s="1" t="s">
        <v>14</v>
      </c>
      <c r="O105" s="1" t="s">
        <v>1</v>
      </c>
      <c r="P105" s="1" t="s">
        <v>1</v>
      </c>
      <c r="Q105" s="1" t="s">
        <v>2</v>
      </c>
      <c r="R105" s="1" t="s">
        <v>2</v>
      </c>
      <c r="S105" s="1" t="s">
        <v>3</v>
      </c>
      <c r="T105" s="1" t="s">
        <v>3</v>
      </c>
      <c r="U105" s="1" t="s">
        <v>4</v>
      </c>
      <c r="V105" s="1" t="s">
        <v>4</v>
      </c>
      <c r="W105" s="1" t="s">
        <v>5</v>
      </c>
      <c r="X105" s="1" t="s">
        <v>5</v>
      </c>
      <c r="AA105" s="1" t="s">
        <v>14</v>
      </c>
      <c r="AB105" s="1" t="s">
        <v>1</v>
      </c>
      <c r="AC105" s="1" t="s">
        <v>1</v>
      </c>
      <c r="AD105" s="1" t="s">
        <v>2</v>
      </c>
      <c r="AE105" s="1" t="s">
        <v>2</v>
      </c>
      <c r="AF105" s="1" t="s">
        <v>3</v>
      </c>
      <c r="AG105" s="1" t="s">
        <v>3</v>
      </c>
      <c r="AH105" s="1" t="s">
        <v>4</v>
      </c>
      <c r="AI105" s="1" t="s">
        <v>4</v>
      </c>
      <c r="AJ105" s="1" t="s">
        <v>5</v>
      </c>
      <c r="AK105" s="1" t="s">
        <v>5</v>
      </c>
      <c r="AN105" s="1" t="s">
        <v>14</v>
      </c>
      <c r="AO105" s="1" t="s">
        <v>1</v>
      </c>
      <c r="AP105" s="1" t="s">
        <v>1</v>
      </c>
      <c r="AQ105" s="1" t="s">
        <v>2</v>
      </c>
      <c r="AR105" s="1" t="s">
        <v>2</v>
      </c>
      <c r="AS105" s="1" t="s">
        <v>3</v>
      </c>
      <c r="AT105" s="1" t="s">
        <v>3</v>
      </c>
      <c r="AU105" s="1" t="s">
        <v>4</v>
      </c>
      <c r="AV105" s="1" t="s">
        <v>4</v>
      </c>
      <c r="AW105" s="1" t="s">
        <v>5</v>
      </c>
      <c r="AX105" s="1" t="s">
        <v>5</v>
      </c>
    </row>
    <row r="106" spans="2:50" x14ac:dyDescent="0.3">
      <c r="B106" s="1" t="s">
        <v>15</v>
      </c>
      <c r="N106" s="1" t="s">
        <v>15</v>
      </c>
      <c r="AA106" s="1" t="s">
        <v>15</v>
      </c>
      <c r="AN106" s="1" t="s">
        <v>15</v>
      </c>
    </row>
    <row r="107" spans="2:50" x14ac:dyDescent="0.3">
      <c r="B107" s="1" t="s">
        <v>16</v>
      </c>
      <c r="C107" s="2">
        <v>3.7745921894151309E-3</v>
      </c>
      <c r="D107" s="2">
        <v>5.6734537539064843E-3</v>
      </c>
      <c r="E107" s="2">
        <v>7.6426327589604586E-3</v>
      </c>
      <c r="F107" s="2">
        <v>3.171057710044944E-3</v>
      </c>
      <c r="G107" s="2">
        <v>2.7239658724750281E-3</v>
      </c>
      <c r="H107" s="2">
        <v>3.4676356268823678E-3</v>
      </c>
      <c r="I107" s="2">
        <v>2.86044482411447E-3</v>
      </c>
      <c r="J107" s="2">
        <v>5.4518225767874809E-3</v>
      </c>
      <c r="K107" s="2">
        <v>1.169319991900758E-2</v>
      </c>
      <c r="L107" s="2">
        <v>7.9106225289636463E-3</v>
      </c>
      <c r="N107" s="1" t="s">
        <v>16</v>
      </c>
      <c r="O107" s="2">
        <v>1295.27</v>
      </c>
      <c r="P107" s="2">
        <v>1265.23</v>
      </c>
      <c r="Q107" s="2">
        <v>1395.91</v>
      </c>
      <c r="R107" s="2">
        <v>513.92999999999995</v>
      </c>
      <c r="S107" s="2">
        <v>1159.27</v>
      </c>
      <c r="T107" s="2">
        <v>966.77</v>
      </c>
      <c r="U107" s="2">
        <v>612.64</v>
      </c>
      <c r="V107" s="2">
        <v>367.95</v>
      </c>
      <c r="W107" s="2">
        <v>1199.53</v>
      </c>
      <c r="X107" s="2">
        <v>771.93</v>
      </c>
      <c r="AA107" s="1" t="s">
        <v>16</v>
      </c>
      <c r="AB107" s="2">
        <v>11758.33</v>
      </c>
      <c r="AC107" s="2">
        <v>11414.57</v>
      </c>
      <c r="AD107" s="2">
        <v>12648.19</v>
      </c>
      <c r="AE107" s="2">
        <v>7932.97</v>
      </c>
      <c r="AF107" s="2">
        <v>10492.93</v>
      </c>
      <c r="AG107" s="2">
        <v>8751.33</v>
      </c>
      <c r="AH107" s="2">
        <v>9456.86</v>
      </c>
      <c r="AI107" s="2">
        <v>6847.65</v>
      </c>
      <c r="AJ107" s="2">
        <v>10868.47</v>
      </c>
      <c r="AK107" s="2">
        <v>7075.07</v>
      </c>
      <c r="AN107" s="1" t="s">
        <v>16</v>
      </c>
      <c r="AO107" s="2">
        <v>1.32</v>
      </c>
      <c r="AP107" s="2">
        <v>1.32</v>
      </c>
      <c r="AQ107" s="2">
        <v>1.5</v>
      </c>
      <c r="AR107" s="2">
        <v>1.5</v>
      </c>
      <c r="AS107" s="2">
        <v>1.68</v>
      </c>
      <c r="AT107" s="2">
        <v>1.68</v>
      </c>
      <c r="AU107" s="2">
        <v>1.98</v>
      </c>
      <c r="AV107" s="2">
        <v>1.98</v>
      </c>
      <c r="AW107" s="2">
        <v>0.48</v>
      </c>
      <c r="AX107" s="2">
        <v>0.48</v>
      </c>
    </row>
    <row r="108" spans="2:50" x14ac:dyDescent="0.3">
      <c r="B108" s="1" t="s">
        <v>17</v>
      </c>
      <c r="C108" s="2">
        <v>2.9741268810904251E-2</v>
      </c>
      <c r="D108" s="2">
        <v>1.7967877227774921E-2</v>
      </c>
      <c r="E108" s="2">
        <v>3.5824570321092639E-2</v>
      </c>
      <c r="F108" s="2">
        <v>2.9553694807587402E-2</v>
      </c>
      <c r="G108" s="2">
        <v>4.0703318964577108E-2</v>
      </c>
      <c r="H108" s="2">
        <v>2.9020751170233769E-2</v>
      </c>
      <c r="I108" s="2">
        <v>6.0111029075266199E-2</v>
      </c>
      <c r="J108" s="2">
        <v>1.6994675071137489E-2</v>
      </c>
      <c r="K108" s="2">
        <v>8.6461687365994438E-2</v>
      </c>
      <c r="L108" s="2">
        <v>3.985921119698034E-2</v>
      </c>
      <c r="N108" s="1" t="s">
        <v>17</v>
      </c>
      <c r="O108" s="2">
        <v>1343.89</v>
      </c>
      <c r="P108" s="2">
        <v>681.6</v>
      </c>
      <c r="Q108" s="2">
        <v>1230.5999999999999</v>
      </c>
      <c r="R108" s="2">
        <v>780.33</v>
      </c>
      <c r="S108" s="2">
        <v>1853</v>
      </c>
      <c r="T108" s="2">
        <v>836.93</v>
      </c>
      <c r="U108" s="2">
        <v>1585.36</v>
      </c>
      <c r="V108" s="2">
        <v>334.37</v>
      </c>
      <c r="W108" s="2">
        <v>1329.1</v>
      </c>
      <c r="X108" s="2">
        <v>706.8</v>
      </c>
      <c r="AA108" s="1" t="s">
        <v>17</v>
      </c>
      <c r="AB108" s="2">
        <v>4871.26</v>
      </c>
      <c r="AC108" s="2">
        <v>3376.5</v>
      </c>
      <c r="AD108" s="2">
        <v>6766.7</v>
      </c>
      <c r="AE108" s="2">
        <v>2239.8200000000002</v>
      </c>
      <c r="AF108" s="2">
        <v>7264.32</v>
      </c>
      <c r="AG108" s="2">
        <v>3238.67</v>
      </c>
      <c r="AH108" s="2">
        <v>6193.6</v>
      </c>
      <c r="AI108" s="2">
        <v>3368.73</v>
      </c>
      <c r="AJ108" s="2">
        <v>4835.12</v>
      </c>
      <c r="AK108" s="2">
        <v>3328.2</v>
      </c>
      <c r="AN108" s="1" t="s">
        <v>17</v>
      </c>
      <c r="AO108" s="2">
        <v>13.86</v>
      </c>
      <c r="AP108" s="2">
        <v>10.41</v>
      </c>
      <c r="AQ108" s="2">
        <v>12.36</v>
      </c>
      <c r="AR108" s="2">
        <v>15.75</v>
      </c>
      <c r="AS108" s="2">
        <v>17.64</v>
      </c>
      <c r="AT108" s="2">
        <v>17.64</v>
      </c>
      <c r="AU108" s="2">
        <v>20.79</v>
      </c>
      <c r="AV108" s="2">
        <v>8.91</v>
      </c>
      <c r="AW108" s="2">
        <v>5.04</v>
      </c>
      <c r="AX108" s="2">
        <v>4.5599999999999996</v>
      </c>
    </row>
    <row r="109" spans="2:50" x14ac:dyDescent="0.3">
      <c r="B109" s="1" t="s">
        <v>18</v>
      </c>
      <c r="C109" s="2">
        <v>0.41305595633485542</v>
      </c>
      <c r="D109" s="2">
        <v>0.1089668961266498</v>
      </c>
      <c r="E109" s="2">
        <v>0.31481089950574331</v>
      </c>
      <c r="F109" s="2">
        <v>0.44341544883812678</v>
      </c>
      <c r="G109" s="2">
        <v>0.46900420290109501</v>
      </c>
      <c r="H109" s="2">
        <v>0.15719925568539739</v>
      </c>
      <c r="I109" s="2">
        <v>0.55856933825548405</v>
      </c>
      <c r="J109" s="2">
        <v>0.21759033838630951</v>
      </c>
      <c r="K109" s="2">
        <v>0.14601061936778459</v>
      </c>
      <c r="L109" s="2">
        <v>0.19180366712126851</v>
      </c>
      <c r="N109" s="1" t="s">
        <v>18</v>
      </c>
      <c r="O109" s="2">
        <v>5966.61</v>
      </c>
      <c r="P109" s="2">
        <v>2991.6</v>
      </c>
      <c r="Q109" s="2">
        <v>4037.49</v>
      </c>
      <c r="R109" s="2">
        <v>3830.11</v>
      </c>
      <c r="S109" s="2">
        <v>6782.14</v>
      </c>
      <c r="T109" s="2">
        <v>4412.95</v>
      </c>
      <c r="U109" s="2">
        <v>4721.78</v>
      </c>
      <c r="V109" s="2">
        <v>2947.72</v>
      </c>
      <c r="W109" s="2">
        <v>2163.0500000000002</v>
      </c>
      <c r="X109" s="2">
        <v>3085.7</v>
      </c>
      <c r="AA109" s="1" t="s">
        <v>18</v>
      </c>
      <c r="AB109" s="2">
        <v>18614.080000000002</v>
      </c>
      <c r="AC109" s="2">
        <v>8388.23</v>
      </c>
      <c r="AD109" s="2">
        <v>24656.01</v>
      </c>
      <c r="AE109" s="2">
        <v>10077.15</v>
      </c>
      <c r="AF109" s="2">
        <v>25351.8</v>
      </c>
      <c r="AG109" s="2">
        <v>17058.650000000001</v>
      </c>
      <c r="AH109" s="2">
        <v>24072.38</v>
      </c>
      <c r="AI109" s="2">
        <v>15737.14</v>
      </c>
      <c r="AJ109" s="2">
        <v>9221.9500000000007</v>
      </c>
      <c r="AK109" s="2">
        <v>8842.2999999999993</v>
      </c>
      <c r="AN109" s="1" t="s">
        <v>18</v>
      </c>
      <c r="AO109" s="2">
        <v>41.58</v>
      </c>
      <c r="AP109" s="2">
        <v>13.86</v>
      </c>
      <c r="AQ109" s="2">
        <v>31.5</v>
      </c>
      <c r="AR109" s="2">
        <v>47.25</v>
      </c>
      <c r="AS109" s="2">
        <v>52.92</v>
      </c>
      <c r="AT109" s="2">
        <v>17.64</v>
      </c>
      <c r="AU109" s="2">
        <v>61.37</v>
      </c>
      <c r="AV109" s="2">
        <v>12.97</v>
      </c>
      <c r="AW109" s="2">
        <v>5.04</v>
      </c>
      <c r="AX109" s="2">
        <v>5.04</v>
      </c>
    </row>
    <row r="110" spans="2:50" x14ac:dyDescent="0.3">
      <c r="B110" s="1" t="s">
        <v>19</v>
      </c>
      <c r="C110" s="2">
        <v>3.020893539171142E-2</v>
      </c>
      <c r="D110" s="2">
        <v>3.3778014655076162E-2</v>
      </c>
      <c r="E110" s="2">
        <v>5.8592904643714583E-2</v>
      </c>
      <c r="F110" s="2">
        <v>4.890031531328963E-2</v>
      </c>
      <c r="G110" s="2">
        <v>5.1003665070197303E-2</v>
      </c>
      <c r="H110" s="2">
        <v>5.7012285686438E-2</v>
      </c>
      <c r="I110" s="2">
        <v>4.3093632730268179E-2</v>
      </c>
      <c r="J110" s="2">
        <v>4.3822165041071323E-2</v>
      </c>
      <c r="K110" s="2">
        <v>4.0204678124992892E-2</v>
      </c>
      <c r="L110" s="2">
        <v>3.8128693639707403E-2</v>
      </c>
      <c r="N110" s="1" t="s">
        <v>19</v>
      </c>
      <c r="O110" s="2">
        <v>1252.6500000000001</v>
      </c>
      <c r="P110" s="2">
        <v>915.27</v>
      </c>
      <c r="Q110" s="2">
        <v>1372.48</v>
      </c>
      <c r="R110" s="2">
        <v>1253.93</v>
      </c>
      <c r="S110" s="2">
        <v>1194.02</v>
      </c>
      <c r="T110" s="2">
        <v>1534.61</v>
      </c>
      <c r="U110" s="2">
        <v>1115.3699999999999</v>
      </c>
      <c r="V110" s="2">
        <v>983.64</v>
      </c>
      <c r="W110" s="2">
        <v>543.69000000000005</v>
      </c>
      <c r="X110" s="2">
        <v>590.21</v>
      </c>
      <c r="AA110" s="1" t="s">
        <v>19</v>
      </c>
      <c r="AB110" s="2">
        <v>4384.05</v>
      </c>
      <c r="AC110" s="2">
        <v>2887.2</v>
      </c>
      <c r="AD110" s="2">
        <v>5944.02</v>
      </c>
      <c r="AE110" s="2">
        <v>4361</v>
      </c>
      <c r="AF110" s="2">
        <v>6608.31</v>
      </c>
      <c r="AG110" s="2">
        <v>5539.8</v>
      </c>
      <c r="AH110" s="2">
        <v>6057.93</v>
      </c>
      <c r="AI110" s="2">
        <v>5028.8599999999997</v>
      </c>
      <c r="AJ110" s="2">
        <v>2548.31</v>
      </c>
      <c r="AK110" s="2">
        <v>2520.1799999999998</v>
      </c>
      <c r="AN110" s="1" t="s">
        <v>19</v>
      </c>
      <c r="AO110" s="2">
        <v>13.86</v>
      </c>
      <c r="AP110" s="2">
        <v>13.86</v>
      </c>
      <c r="AQ110" s="2">
        <v>15.75</v>
      </c>
      <c r="AR110" s="2">
        <v>15.75</v>
      </c>
      <c r="AS110" s="2">
        <v>31.38</v>
      </c>
      <c r="AT110" s="2">
        <v>17.64</v>
      </c>
      <c r="AU110" s="2">
        <v>18.54</v>
      </c>
      <c r="AV110" s="2">
        <v>8</v>
      </c>
      <c r="AW110" s="2">
        <v>5.0199999999999996</v>
      </c>
      <c r="AX110" s="2">
        <v>5.04</v>
      </c>
    </row>
    <row r="111" spans="2:50" x14ac:dyDescent="0.3">
      <c r="B111" s="1" t="s">
        <v>20</v>
      </c>
      <c r="C111" s="2">
        <v>0.11370181355993191</v>
      </c>
      <c r="D111" s="2">
        <v>0.22962807148774819</v>
      </c>
      <c r="E111" s="2">
        <v>0.25355311660920721</v>
      </c>
      <c r="F111" s="2">
        <v>0.21844738532060029</v>
      </c>
      <c r="G111" s="2">
        <v>0.15042817005031989</v>
      </c>
      <c r="H111" s="2">
        <v>0.24800972577281349</v>
      </c>
      <c r="I111" s="2">
        <v>0.1050356530493944</v>
      </c>
      <c r="J111" s="2">
        <v>0.18315409596192339</v>
      </c>
      <c r="K111" s="2">
        <v>0.36740886971042608</v>
      </c>
      <c r="L111" s="2">
        <v>0.35893540521552258</v>
      </c>
      <c r="N111" s="1" t="s">
        <v>20</v>
      </c>
      <c r="O111" s="2">
        <v>4896.55</v>
      </c>
      <c r="P111" s="2">
        <v>3880.04</v>
      </c>
      <c r="Q111" s="2">
        <v>6037.8</v>
      </c>
      <c r="R111" s="2">
        <v>5967.6</v>
      </c>
      <c r="S111" s="2">
        <v>6343.92</v>
      </c>
      <c r="T111" s="2">
        <v>7315.32</v>
      </c>
      <c r="U111" s="2">
        <v>4279.32</v>
      </c>
      <c r="V111" s="2">
        <v>5234.9399999999996</v>
      </c>
      <c r="W111" s="2">
        <v>5033.08</v>
      </c>
      <c r="X111" s="2">
        <v>5863.29</v>
      </c>
      <c r="AA111" s="1" t="s">
        <v>20</v>
      </c>
      <c r="AB111" s="2">
        <v>15538.05</v>
      </c>
      <c r="AC111" s="2">
        <v>19306.7</v>
      </c>
      <c r="AD111" s="2">
        <v>20445.849999999999</v>
      </c>
      <c r="AE111" s="2">
        <v>19795.900000000001</v>
      </c>
      <c r="AF111" s="2">
        <v>24199.58</v>
      </c>
      <c r="AG111" s="2">
        <v>28849.18</v>
      </c>
      <c r="AH111" s="2">
        <v>21537.18</v>
      </c>
      <c r="AI111" s="2">
        <v>26561.56</v>
      </c>
      <c r="AJ111" s="2">
        <v>18356.919999999998</v>
      </c>
      <c r="AK111" s="2">
        <v>18246.71</v>
      </c>
      <c r="AN111" s="1" t="s">
        <v>20</v>
      </c>
      <c r="AO111" s="2">
        <v>13.86</v>
      </c>
      <c r="AP111" s="2">
        <v>23.89</v>
      </c>
      <c r="AQ111" s="2">
        <v>15.75</v>
      </c>
      <c r="AR111" s="2">
        <v>15.75</v>
      </c>
      <c r="AS111" s="2">
        <v>17.64</v>
      </c>
      <c r="AT111" s="2">
        <v>17.64</v>
      </c>
      <c r="AU111" s="2">
        <v>12.4</v>
      </c>
      <c r="AV111" s="2">
        <v>6.65</v>
      </c>
      <c r="AW111" s="2">
        <v>5.04</v>
      </c>
      <c r="AX111" s="2">
        <v>5.04</v>
      </c>
    </row>
    <row r="112" spans="2:50" x14ac:dyDescent="0.3">
      <c r="B112" s="1" t="s">
        <v>21</v>
      </c>
      <c r="C112" s="2">
        <v>2.9267137355610179E-2</v>
      </c>
      <c r="D112" s="2">
        <v>4.6666426105091932E-2</v>
      </c>
      <c r="E112" s="2">
        <v>5.991938014892674E-2</v>
      </c>
      <c r="F112" s="2">
        <v>5.906679518406649E-2</v>
      </c>
      <c r="G112" s="2">
        <v>4.0826904365580313E-2</v>
      </c>
      <c r="H112" s="2">
        <v>7.6782682109728467E-2</v>
      </c>
      <c r="I112" s="2">
        <v>4.0109881929401722E-2</v>
      </c>
      <c r="J112" s="2">
        <v>0.26839626484929602</v>
      </c>
      <c r="K112" s="2">
        <v>9.3106836222073941E-2</v>
      </c>
      <c r="L112" s="2">
        <v>6.4514058216583334E-2</v>
      </c>
      <c r="N112" s="1" t="s">
        <v>21</v>
      </c>
      <c r="O112" s="2">
        <v>1335.18</v>
      </c>
      <c r="P112" s="2">
        <v>1028.5999999999999</v>
      </c>
      <c r="Q112" s="2">
        <v>1562.88</v>
      </c>
      <c r="R112" s="2">
        <v>1856.85</v>
      </c>
      <c r="S112" s="2">
        <v>1810.35</v>
      </c>
      <c r="T112" s="2">
        <v>1649.03</v>
      </c>
      <c r="U112" s="2">
        <v>1370.6</v>
      </c>
      <c r="V112" s="2">
        <v>1728.27</v>
      </c>
      <c r="W112" s="2">
        <v>1381.8</v>
      </c>
      <c r="X112" s="2">
        <v>1200.6600000000001</v>
      </c>
      <c r="AA112" s="1" t="s">
        <v>21</v>
      </c>
      <c r="AB112" s="2">
        <v>4249.55</v>
      </c>
      <c r="AC112" s="2">
        <v>4087.44</v>
      </c>
      <c r="AD112" s="2">
        <v>5235.8599999999997</v>
      </c>
      <c r="AE112" s="2">
        <v>7154.86</v>
      </c>
      <c r="AF112" s="2">
        <v>6537.65</v>
      </c>
      <c r="AG112" s="2">
        <v>7881.08</v>
      </c>
      <c r="AH112" s="2">
        <v>5943.6</v>
      </c>
      <c r="AI112" s="2">
        <v>10175.09</v>
      </c>
      <c r="AJ112" s="2">
        <v>3856.2</v>
      </c>
      <c r="AK112" s="2">
        <v>2740.24</v>
      </c>
      <c r="AN112" s="1" t="s">
        <v>21</v>
      </c>
      <c r="AO112" s="2">
        <v>13.86</v>
      </c>
      <c r="AP112" s="2">
        <v>19.71</v>
      </c>
      <c r="AQ112" s="2">
        <v>15.75</v>
      </c>
      <c r="AR112" s="2">
        <v>15.75</v>
      </c>
      <c r="AS112" s="2">
        <v>17.64</v>
      </c>
      <c r="AT112" s="2">
        <v>25.93</v>
      </c>
      <c r="AU112" s="2">
        <v>15.62</v>
      </c>
      <c r="AV112" s="2">
        <v>31.87</v>
      </c>
      <c r="AW112" s="2">
        <v>5.04</v>
      </c>
      <c r="AX112" s="2">
        <v>5.04</v>
      </c>
    </row>
    <row r="113" spans="2:50" x14ac:dyDescent="0.3">
      <c r="B113" s="1" t="s">
        <v>22</v>
      </c>
      <c r="C113" s="2">
        <v>0.34327942752926532</v>
      </c>
      <c r="D113" s="2">
        <v>0.49282399133588228</v>
      </c>
      <c r="E113" s="2">
        <v>0.20286126830972639</v>
      </c>
      <c r="F113" s="2">
        <v>0.18214204581909249</v>
      </c>
      <c r="G113" s="2">
        <v>0.20322257660898421</v>
      </c>
      <c r="H113" s="2">
        <v>0.36313990816399488</v>
      </c>
      <c r="I113" s="2">
        <v>0.14978137108338169</v>
      </c>
      <c r="J113" s="2">
        <v>0.23062353386094259</v>
      </c>
      <c r="K113" s="2">
        <v>0.1761724969619716</v>
      </c>
      <c r="L113" s="2">
        <v>0.16606549021228531</v>
      </c>
      <c r="N113" s="1" t="s">
        <v>22</v>
      </c>
      <c r="O113" s="2">
        <v>5426.41</v>
      </c>
      <c r="P113" s="2">
        <v>5146.62</v>
      </c>
      <c r="Q113" s="2">
        <v>5463.97</v>
      </c>
      <c r="R113" s="2">
        <v>5618.52</v>
      </c>
      <c r="S113" s="2">
        <v>4692.07</v>
      </c>
      <c r="T113" s="2">
        <v>5877.8</v>
      </c>
      <c r="U113" s="2">
        <v>3900.74</v>
      </c>
      <c r="V113" s="2">
        <v>4495.2</v>
      </c>
      <c r="W113" s="2">
        <v>2692.59</v>
      </c>
      <c r="X113" s="2">
        <v>3050.72</v>
      </c>
      <c r="AA113" s="1" t="s">
        <v>22</v>
      </c>
      <c r="AB113" s="2">
        <v>18929.88</v>
      </c>
      <c r="AC113" s="2">
        <v>18428.88</v>
      </c>
      <c r="AD113" s="2">
        <v>13634.54</v>
      </c>
      <c r="AE113" s="2">
        <v>18076.98</v>
      </c>
      <c r="AF113" s="2">
        <v>21927.78</v>
      </c>
      <c r="AG113" s="2">
        <v>23929.53</v>
      </c>
      <c r="AH113" s="2">
        <v>17301.45</v>
      </c>
      <c r="AI113" s="2">
        <v>21126.09</v>
      </c>
      <c r="AJ113" s="2">
        <v>6532.71</v>
      </c>
      <c r="AK113" s="2">
        <v>8379.1299999999992</v>
      </c>
      <c r="AN113" s="1" t="s">
        <v>22</v>
      </c>
      <c r="AO113" s="2">
        <v>41.58</v>
      </c>
      <c r="AP113" s="2">
        <v>41.58</v>
      </c>
      <c r="AQ113" s="2">
        <v>15.75</v>
      </c>
      <c r="AR113" s="2">
        <v>15.75</v>
      </c>
      <c r="AS113" s="2">
        <v>35.28</v>
      </c>
      <c r="AT113" s="2">
        <v>35.28</v>
      </c>
      <c r="AU113" s="2">
        <v>20.75</v>
      </c>
      <c r="AV113" s="2">
        <v>10.81</v>
      </c>
      <c r="AW113" s="2">
        <v>5.04</v>
      </c>
      <c r="AX113" s="2">
        <v>5.04</v>
      </c>
    </row>
    <row r="114" spans="2:50" x14ac:dyDescent="0.3">
      <c r="B114" s="1" t="s">
        <v>23</v>
      </c>
      <c r="C114" s="2">
        <v>3.6970868828306559E-2</v>
      </c>
      <c r="D114" s="2">
        <v>6.4495269307870209E-2</v>
      </c>
      <c r="E114" s="2">
        <v>6.6795227702628565E-2</v>
      </c>
      <c r="F114" s="2">
        <v>1.5303257007191909E-2</v>
      </c>
      <c r="G114" s="2">
        <v>4.2087196166771201E-2</v>
      </c>
      <c r="H114" s="2">
        <v>6.5367755784511511E-2</v>
      </c>
      <c r="I114" s="2">
        <v>4.0438649052689388E-2</v>
      </c>
      <c r="J114" s="2">
        <v>3.3967104252532181E-2</v>
      </c>
      <c r="K114" s="2">
        <v>7.894161232774892E-2</v>
      </c>
      <c r="L114" s="2">
        <v>0.13278285186868899</v>
      </c>
      <c r="N114" s="1" t="s">
        <v>23</v>
      </c>
      <c r="O114" s="2">
        <v>2189.89</v>
      </c>
      <c r="P114" s="2">
        <v>2925.72</v>
      </c>
      <c r="Q114" s="2">
        <v>1777.1</v>
      </c>
      <c r="R114" s="2">
        <v>2225.83</v>
      </c>
      <c r="S114" s="2">
        <v>1914.06</v>
      </c>
      <c r="T114" s="2">
        <v>2218.39</v>
      </c>
      <c r="U114" s="2">
        <v>1437.46</v>
      </c>
      <c r="V114" s="2">
        <v>487.51</v>
      </c>
      <c r="W114" s="2">
        <v>1691.44</v>
      </c>
      <c r="X114" s="2">
        <v>2445.1799999999998</v>
      </c>
      <c r="AA114" s="1" t="s">
        <v>23</v>
      </c>
      <c r="AB114" s="2">
        <v>8730.7099999999991</v>
      </c>
      <c r="AC114" s="2">
        <v>11330.88</v>
      </c>
      <c r="AD114" s="2">
        <v>7021</v>
      </c>
      <c r="AE114" s="2">
        <v>8538.77</v>
      </c>
      <c r="AF114" s="2">
        <v>6716.64</v>
      </c>
      <c r="AG114" s="2">
        <v>8371.01</v>
      </c>
      <c r="AH114" s="2">
        <v>5466.44</v>
      </c>
      <c r="AI114" s="2">
        <v>9492.2900000000009</v>
      </c>
      <c r="AJ114" s="2">
        <v>6102.56</v>
      </c>
      <c r="AK114" s="2">
        <v>7043.82</v>
      </c>
      <c r="AN114" s="1" t="s">
        <v>23</v>
      </c>
      <c r="AO114" s="2">
        <v>11.03</v>
      </c>
      <c r="AP114" s="2">
        <v>9.89</v>
      </c>
      <c r="AQ114" s="2">
        <v>15.55</v>
      </c>
      <c r="AR114" s="2">
        <v>3.36</v>
      </c>
      <c r="AS114" s="2">
        <v>17.64</v>
      </c>
      <c r="AT114" s="2">
        <v>16.600000000000001</v>
      </c>
      <c r="AU114" s="2">
        <v>15.47</v>
      </c>
      <c r="AV114" s="2">
        <v>13.37</v>
      </c>
      <c r="AW114" s="2">
        <v>3.52</v>
      </c>
      <c r="AX114" s="2">
        <v>5.04</v>
      </c>
    </row>
    <row r="117" spans="2:50" x14ac:dyDescent="0.3">
      <c r="N117" t="s">
        <v>52</v>
      </c>
      <c r="AA117" t="s">
        <v>53</v>
      </c>
      <c r="AN117" t="s">
        <v>54</v>
      </c>
    </row>
    <row r="118" spans="2:50" x14ac:dyDescent="0.3">
      <c r="N118" s="1" t="s">
        <v>11</v>
      </c>
      <c r="O118" s="3" t="s">
        <v>12</v>
      </c>
      <c r="P118" s="3"/>
      <c r="Q118" s="3"/>
      <c r="R118" s="3"/>
      <c r="S118" s="3"/>
      <c r="T118" s="3" t="s">
        <v>13</v>
      </c>
      <c r="U118" s="3"/>
      <c r="V118" s="3"/>
      <c r="W118" s="3"/>
      <c r="X118" s="3"/>
      <c r="AA118" s="1" t="s">
        <v>11</v>
      </c>
      <c r="AB118" s="3" t="s">
        <v>12</v>
      </c>
      <c r="AC118" s="3"/>
      <c r="AD118" s="3"/>
      <c r="AE118" s="3"/>
      <c r="AF118" s="3"/>
      <c r="AG118" s="3" t="s">
        <v>13</v>
      </c>
      <c r="AH118" s="3"/>
      <c r="AI118" s="3"/>
      <c r="AJ118" s="3"/>
      <c r="AK118" s="3"/>
      <c r="AN118" s="1" t="s">
        <v>11</v>
      </c>
      <c r="AO118" s="1" t="s">
        <v>12</v>
      </c>
      <c r="AP118" s="1" t="s">
        <v>13</v>
      </c>
      <c r="AQ118" s="1" t="s">
        <v>12</v>
      </c>
      <c r="AR118" s="1" t="s">
        <v>13</v>
      </c>
      <c r="AS118" s="1" t="s">
        <v>12</v>
      </c>
      <c r="AT118" s="1" t="s">
        <v>13</v>
      </c>
      <c r="AU118" s="1" t="s">
        <v>12</v>
      </c>
      <c r="AV118" s="1" t="s">
        <v>13</v>
      </c>
      <c r="AW118" s="1" t="s">
        <v>12</v>
      </c>
      <c r="AX118" s="1" t="s">
        <v>13</v>
      </c>
    </row>
    <row r="119" spans="2:50" x14ac:dyDescent="0.3">
      <c r="N119" s="1" t="s">
        <v>14</v>
      </c>
      <c r="O119" s="1" t="s">
        <v>1</v>
      </c>
      <c r="P119" s="1" t="s">
        <v>2</v>
      </c>
      <c r="Q119" s="1" t="s">
        <v>3</v>
      </c>
      <c r="R119" s="1" t="s">
        <v>4</v>
      </c>
      <c r="S119" s="1" t="s">
        <v>5</v>
      </c>
      <c r="T119" s="1" t="s">
        <v>1</v>
      </c>
      <c r="U119" s="1" t="s">
        <v>2</v>
      </c>
      <c r="V119" s="1" t="s">
        <v>3</v>
      </c>
      <c r="W119" s="1" t="s">
        <v>4</v>
      </c>
      <c r="X119" s="1" t="s">
        <v>5</v>
      </c>
      <c r="AA119" s="1" t="s">
        <v>14</v>
      </c>
      <c r="AB119" s="1" t="s">
        <v>1</v>
      </c>
      <c r="AC119" s="1" t="s">
        <v>2</v>
      </c>
      <c r="AD119" s="1" t="s">
        <v>3</v>
      </c>
      <c r="AE119" s="1" t="s">
        <v>4</v>
      </c>
      <c r="AF119" s="1" t="s">
        <v>5</v>
      </c>
      <c r="AG119" s="1" t="s">
        <v>1</v>
      </c>
      <c r="AH119" s="1" t="s">
        <v>2</v>
      </c>
      <c r="AI119" s="1" t="s">
        <v>3</v>
      </c>
      <c r="AJ119" s="1" t="s">
        <v>4</v>
      </c>
      <c r="AK119" s="1" t="s">
        <v>5</v>
      </c>
      <c r="AN119" s="1" t="s">
        <v>14</v>
      </c>
      <c r="AO119" s="1" t="s">
        <v>1</v>
      </c>
      <c r="AP119" s="1" t="s">
        <v>1</v>
      </c>
      <c r="AQ119" s="1" t="s">
        <v>2</v>
      </c>
      <c r="AR119" s="1" t="s">
        <v>2</v>
      </c>
      <c r="AS119" s="1" t="s">
        <v>3</v>
      </c>
      <c r="AT119" s="1" t="s">
        <v>3</v>
      </c>
      <c r="AU119" s="1" t="s">
        <v>4</v>
      </c>
      <c r="AV119" s="1" t="s">
        <v>4</v>
      </c>
      <c r="AW119" s="1" t="s">
        <v>5</v>
      </c>
      <c r="AX119" s="1" t="s">
        <v>5</v>
      </c>
    </row>
    <row r="120" spans="2:50" x14ac:dyDescent="0.3">
      <c r="N120" s="1" t="s">
        <v>15</v>
      </c>
      <c r="AA120" s="1" t="s">
        <v>15</v>
      </c>
      <c r="AN120" s="1" t="s">
        <v>15</v>
      </c>
    </row>
    <row r="121" spans="2:50" x14ac:dyDescent="0.3">
      <c r="N121" s="1" t="s">
        <v>16</v>
      </c>
      <c r="O121" s="2">
        <v>74.290000000000006</v>
      </c>
      <c r="P121" s="2">
        <v>105.44</v>
      </c>
      <c r="Q121" s="2">
        <v>79.17</v>
      </c>
      <c r="R121" s="2">
        <v>45.68</v>
      </c>
      <c r="S121" s="2">
        <v>29.35</v>
      </c>
      <c r="T121" s="2">
        <v>79.69</v>
      </c>
      <c r="U121" s="2">
        <v>73.89</v>
      </c>
      <c r="V121" s="2">
        <v>79.16</v>
      </c>
      <c r="W121" s="2">
        <v>51.01</v>
      </c>
      <c r="X121" s="2">
        <v>35.369999999999997</v>
      </c>
      <c r="AA121" s="1" t="s">
        <v>16</v>
      </c>
      <c r="AB121" s="2">
        <v>686.47</v>
      </c>
      <c r="AC121" s="2">
        <v>969.06</v>
      </c>
      <c r="AD121" s="2">
        <v>716.59</v>
      </c>
      <c r="AE121" s="2">
        <v>705.07</v>
      </c>
      <c r="AF121" s="2">
        <v>267.45</v>
      </c>
      <c r="AG121" s="2">
        <v>722.65</v>
      </c>
      <c r="AH121" s="2">
        <v>1140.6099999999999</v>
      </c>
      <c r="AI121" s="2">
        <v>716.6</v>
      </c>
      <c r="AJ121" s="2">
        <v>949.22</v>
      </c>
      <c r="AK121" s="2">
        <v>328.63</v>
      </c>
      <c r="AN121" s="1" t="s">
        <v>16</v>
      </c>
      <c r="AO121" s="2">
        <v>5691.39</v>
      </c>
      <c r="AP121" s="2">
        <v>5958.28</v>
      </c>
      <c r="AQ121" s="2">
        <v>8282.39</v>
      </c>
      <c r="AR121" s="2">
        <v>31192.69</v>
      </c>
      <c r="AS121" s="2">
        <v>131.83000000000001</v>
      </c>
      <c r="AT121" s="2">
        <v>131.91</v>
      </c>
      <c r="AU121" s="2">
        <v>202778.65</v>
      </c>
      <c r="AV121" s="2">
        <v>502709.91</v>
      </c>
      <c r="AW121" s="2">
        <v>879.9</v>
      </c>
      <c r="AX121" s="2">
        <v>2991.75</v>
      </c>
    </row>
    <row r="122" spans="2:50" x14ac:dyDescent="0.3">
      <c r="N122" s="1" t="s">
        <v>17</v>
      </c>
      <c r="O122" s="2">
        <v>84.94</v>
      </c>
      <c r="P122" s="2">
        <v>94.02</v>
      </c>
      <c r="Q122" s="2">
        <v>94.8</v>
      </c>
      <c r="R122" s="2">
        <v>92.63</v>
      </c>
      <c r="S122" s="2">
        <v>32.18</v>
      </c>
      <c r="T122" s="2">
        <v>58.89</v>
      </c>
      <c r="U122" s="2">
        <v>79.3</v>
      </c>
      <c r="V122" s="2">
        <v>84.41</v>
      </c>
      <c r="W122" s="2">
        <v>43.44</v>
      </c>
      <c r="X122" s="2">
        <v>22.87</v>
      </c>
      <c r="AA122" s="1" t="s">
        <v>17</v>
      </c>
      <c r="AB122" s="2">
        <v>306.31</v>
      </c>
      <c r="AC122" s="2">
        <v>509.98</v>
      </c>
      <c r="AD122" s="2">
        <v>367.3</v>
      </c>
      <c r="AE122" s="2">
        <v>357.78</v>
      </c>
      <c r="AF122" s="2">
        <v>116.82</v>
      </c>
      <c r="AG122" s="2">
        <v>290.69</v>
      </c>
      <c r="AH122" s="2">
        <v>227.03</v>
      </c>
      <c r="AI122" s="2">
        <v>325.23</v>
      </c>
      <c r="AJ122" s="2">
        <v>416.91</v>
      </c>
      <c r="AK122" s="2">
        <v>107.53</v>
      </c>
      <c r="AN122" s="1" t="s">
        <v>17</v>
      </c>
      <c r="AO122" s="2">
        <v>305.97000000000003</v>
      </c>
      <c r="AP122" s="2">
        <v>905.07</v>
      </c>
      <c r="AQ122" s="2">
        <v>496.29</v>
      </c>
      <c r="AR122" s="2">
        <v>344.02</v>
      </c>
      <c r="AS122" s="2">
        <v>242.74</v>
      </c>
      <c r="AT122" s="2">
        <v>369.68</v>
      </c>
      <c r="AU122" s="2">
        <v>302.10000000000002</v>
      </c>
      <c r="AV122" s="2">
        <v>22672.38</v>
      </c>
      <c r="AW122" s="2">
        <v>325.52</v>
      </c>
      <c r="AX122" s="2">
        <v>635.02</v>
      </c>
    </row>
    <row r="123" spans="2:50" x14ac:dyDescent="0.3">
      <c r="N123" s="1" t="s">
        <v>18</v>
      </c>
      <c r="O123" s="2">
        <v>519.26</v>
      </c>
      <c r="P123" s="2">
        <v>402.73</v>
      </c>
      <c r="Q123" s="2">
        <v>581.29999999999995</v>
      </c>
      <c r="R123" s="2">
        <v>548.32000000000005</v>
      </c>
      <c r="S123" s="2">
        <v>67.099999999999994</v>
      </c>
      <c r="T123" s="2">
        <v>298.93</v>
      </c>
      <c r="U123" s="2">
        <v>449.93</v>
      </c>
      <c r="V123" s="2">
        <v>578.4</v>
      </c>
      <c r="W123" s="2">
        <v>542.99</v>
      </c>
      <c r="X123" s="2">
        <v>105.64</v>
      </c>
      <c r="AA123" s="1" t="s">
        <v>18</v>
      </c>
      <c r="AB123" s="2">
        <v>1593.55</v>
      </c>
      <c r="AC123" s="2">
        <v>2370.77</v>
      </c>
      <c r="AD123" s="2">
        <v>2102.38</v>
      </c>
      <c r="AE123" s="2">
        <v>2692.21</v>
      </c>
      <c r="AF123" s="2">
        <v>285.7</v>
      </c>
      <c r="AG123" s="2">
        <v>835.78</v>
      </c>
      <c r="AH123" s="2">
        <v>1171.95</v>
      </c>
      <c r="AI123" s="2">
        <v>2216.4299999999998</v>
      </c>
      <c r="AJ123" s="2">
        <v>2857.96</v>
      </c>
      <c r="AK123" s="2">
        <v>302.36</v>
      </c>
      <c r="AN123" s="1" t="s">
        <v>18</v>
      </c>
      <c r="AO123" s="2">
        <v>210.3</v>
      </c>
      <c r="AP123" s="2">
        <v>674.19</v>
      </c>
      <c r="AQ123" s="2">
        <v>389.84</v>
      </c>
      <c r="AR123" s="2">
        <v>204.22</v>
      </c>
      <c r="AS123" s="2">
        <v>208.56</v>
      </c>
      <c r="AT123" s="2">
        <v>341.84</v>
      </c>
      <c r="AU123" s="2">
        <v>286.35000000000002</v>
      </c>
      <c r="AV123" s="2">
        <v>1604.9</v>
      </c>
      <c r="AW123" s="2">
        <v>1281.3</v>
      </c>
      <c r="AX123" s="2">
        <v>495.18</v>
      </c>
    </row>
    <row r="124" spans="2:50" x14ac:dyDescent="0.3">
      <c r="N124" s="1" t="s">
        <v>19</v>
      </c>
      <c r="O124" s="2">
        <v>122.51</v>
      </c>
      <c r="P124" s="2">
        <v>177.64</v>
      </c>
      <c r="Q124" s="2">
        <v>127.21</v>
      </c>
      <c r="R124" s="2">
        <v>202.25</v>
      </c>
      <c r="S124" s="2">
        <v>22.39</v>
      </c>
      <c r="T124" s="2">
        <v>81.48</v>
      </c>
      <c r="U124" s="2">
        <v>169.58</v>
      </c>
      <c r="V124" s="2">
        <v>208.65</v>
      </c>
      <c r="W124" s="2">
        <v>134.08000000000001</v>
      </c>
      <c r="X124" s="2">
        <v>25.55</v>
      </c>
      <c r="AA124" s="1" t="s">
        <v>19</v>
      </c>
      <c r="AB124" s="2">
        <v>426.82</v>
      </c>
      <c r="AC124" s="2">
        <v>763.36</v>
      </c>
      <c r="AD124" s="2">
        <v>685.79</v>
      </c>
      <c r="AE124" s="2">
        <v>1080.46</v>
      </c>
      <c r="AF124" s="2">
        <v>104.81</v>
      </c>
      <c r="AG124" s="2">
        <v>256.27</v>
      </c>
      <c r="AH124" s="2">
        <v>586.51</v>
      </c>
      <c r="AI124" s="2">
        <v>746.95</v>
      </c>
      <c r="AJ124" s="2">
        <v>679.37</v>
      </c>
      <c r="AK124" s="2">
        <v>108.98</v>
      </c>
      <c r="AN124" s="1" t="s">
        <v>19</v>
      </c>
      <c r="AO124" s="2">
        <v>296.14999999999998</v>
      </c>
      <c r="AP124" s="2">
        <v>344.78</v>
      </c>
      <c r="AQ124" s="2">
        <v>302.07</v>
      </c>
      <c r="AR124" s="2">
        <v>284.55</v>
      </c>
      <c r="AS124" s="2">
        <v>294.39999999999998</v>
      </c>
      <c r="AT124" s="2">
        <v>240.54</v>
      </c>
      <c r="AU124" s="2">
        <v>472.31</v>
      </c>
      <c r="AV124" s="2">
        <v>1240.9000000000001</v>
      </c>
      <c r="AW124" s="2">
        <v>675.9</v>
      </c>
      <c r="AX124" s="2">
        <v>577.38</v>
      </c>
    </row>
    <row r="125" spans="2:50" x14ac:dyDescent="0.3">
      <c r="N125" s="1" t="s">
        <v>20</v>
      </c>
      <c r="O125" s="2">
        <v>381.68</v>
      </c>
      <c r="P125" s="2">
        <v>724.45</v>
      </c>
      <c r="Q125" s="2">
        <v>594.14</v>
      </c>
      <c r="R125" s="2">
        <v>532.96</v>
      </c>
      <c r="S125" s="2">
        <v>191.31</v>
      </c>
      <c r="T125" s="2">
        <v>285.3</v>
      </c>
      <c r="U125" s="2">
        <v>662.25</v>
      </c>
      <c r="V125" s="2">
        <v>668.26</v>
      </c>
      <c r="W125" s="2">
        <v>604.47</v>
      </c>
      <c r="X125" s="2">
        <v>207.44</v>
      </c>
      <c r="AA125" s="1" t="s">
        <v>20</v>
      </c>
      <c r="AB125" s="2">
        <v>1207.5</v>
      </c>
      <c r="AC125" s="2">
        <v>2441.4699999999998</v>
      </c>
      <c r="AD125" s="2">
        <v>2250.66</v>
      </c>
      <c r="AE125" s="2">
        <v>2663.09</v>
      </c>
      <c r="AF125" s="2">
        <v>696.69</v>
      </c>
      <c r="AG125" s="2">
        <v>1406.33</v>
      </c>
      <c r="AH125" s="2">
        <v>2185.92</v>
      </c>
      <c r="AI125" s="2">
        <v>2611.94</v>
      </c>
      <c r="AJ125" s="2">
        <v>3038.73</v>
      </c>
      <c r="AK125" s="2">
        <v>644.55999999999995</v>
      </c>
      <c r="AN125" s="1" t="s">
        <v>20</v>
      </c>
      <c r="AO125" s="2">
        <v>332.51</v>
      </c>
      <c r="AP125" s="2">
        <v>361.69</v>
      </c>
      <c r="AQ125" s="2">
        <v>287.14999999999998</v>
      </c>
      <c r="AR125" s="2">
        <v>297.61</v>
      </c>
      <c r="AS125" s="2">
        <v>284.93</v>
      </c>
      <c r="AT125" s="2">
        <v>271.52999999999997</v>
      </c>
      <c r="AU125" s="2">
        <v>976.47</v>
      </c>
      <c r="AV125" s="2">
        <v>1477.12</v>
      </c>
      <c r="AW125" s="2">
        <v>365.31</v>
      </c>
      <c r="AX125" s="2">
        <v>298.89999999999998</v>
      </c>
    </row>
    <row r="126" spans="2:50" x14ac:dyDescent="0.3">
      <c r="N126" s="1" t="s">
        <v>21</v>
      </c>
      <c r="O126" s="2">
        <v>72.41</v>
      </c>
      <c r="P126" s="2">
        <v>115.33</v>
      </c>
      <c r="Q126" s="2">
        <v>149.99</v>
      </c>
      <c r="R126" s="2">
        <v>133.44</v>
      </c>
      <c r="S126" s="2">
        <v>32.54</v>
      </c>
      <c r="T126" s="2">
        <v>51.04</v>
      </c>
      <c r="U126" s="2">
        <v>84.71</v>
      </c>
      <c r="V126" s="2">
        <v>98.98</v>
      </c>
      <c r="W126" s="2">
        <v>104.62</v>
      </c>
      <c r="X126" s="2">
        <v>17.38</v>
      </c>
      <c r="AA126" s="1" t="s">
        <v>21</v>
      </c>
      <c r="AB126" s="2">
        <v>229.39</v>
      </c>
      <c r="AC126" s="2">
        <v>383.69</v>
      </c>
      <c r="AD126" s="2">
        <v>536.03</v>
      </c>
      <c r="AE126" s="2">
        <v>568.47</v>
      </c>
      <c r="AF126" s="2">
        <v>90.66</v>
      </c>
      <c r="AG126" s="2">
        <v>200.79</v>
      </c>
      <c r="AH126" s="2">
        <v>322.32</v>
      </c>
      <c r="AI126" s="2">
        <v>455.75</v>
      </c>
      <c r="AJ126" s="2">
        <v>576.44000000000005</v>
      </c>
      <c r="AK126" s="2">
        <v>39.619999999999997</v>
      </c>
      <c r="AN126" s="1" t="s">
        <v>21</v>
      </c>
      <c r="AO126" s="2">
        <v>334.45</v>
      </c>
      <c r="AP126" s="2">
        <v>375.06</v>
      </c>
      <c r="AQ126" s="2">
        <v>295.62</v>
      </c>
      <c r="AR126" s="2">
        <v>301.91000000000003</v>
      </c>
      <c r="AS126" s="2">
        <v>260.27999999999997</v>
      </c>
      <c r="AT126" s="2">
        <v>288.22000000000003</v>
      </c>
      <c r="AU126" s="2">
        <v>470.19</v>
      </c>
      <c r="AV126" s="2">
        <v>329.99</v>
      </c>
      <c r="AW126" s="2">
        <v>308.14999999999998</v>
      </c>
      <c r="AX126" s="2">
        <v>317.39999999999998</v>
      </c>
    </row>
    <row r="127" spans="2:50" x14ac:dyDescent="0.3">
      <c r="N127" s="1" t="s">
        <v>22</v>
      </c>
      <c r="O127" s="2">
        <v>225.38</v>
      </c>
      <c r="P127" s="2">
        <v>327.64</v>
      </c>
      <c r="Q127" s="2">
        <v>222.87</v>
      </c>
      <c r="R127" s="2">
        <v>324.91000000000003</v>
      </c>
      <c r="S127" s="2">
        <v>53.2</v>
      </c>
      <c r="T127" s="2">
        <v>245.92</v>
      </c>
      <c r="U127" s="2">
        <v>282.08</v>
      </c>
      <c r="V127" s="2">
        <v>247.9</v>
      </c>
      <c r="W127" s="2">
        <v>180.71</v>
      </c>
      <c r="X127" s="2">
        <v>48.66</v>
      </c>
      <c r="AA127" s="1" t="s">
        <v>22</v>
      </c>
      <c r="AB127" s="2">
        <v>772.11</v>
      </c>
      <c r="AC127" s="2">
        <v>812.59</v>
      </c>
      <c r="AD127" s="2">
        <v>1001.89</v>
      </c>
      <c r="AE127" s="2">
        <v>1409.57</v>
      </c>
      <c r="AF127" s="2">
        <v>128.96</v>
      </c>
      <c r="AG127" s="2">
        <v>864.2</v>
      </c>
      <c r="AH127" s="2">
        <v>899.17</v>
      </c>
      <c r="AI127" s="2">
        <v>975.87</v>
      </c>
      <c r="AJ127" s="2">
        <v>825.99</v>
      </c>
      <c r="AK127" s="2">
        <v>133.5</v>
      </c>
      <c r="AN127" s="1" t="s">
        <v>22</v>
      </c>
      <c r="AO127" s="2">
        <v>275.77</v>
      </c>
      <c r="AP127" s="2">
        <v>291.51</v>
      </c>
      <c r="AQ127" s="2">
        <v>308.39999999999998</v>
      </c>
      <c r="AR127" s="2">
        <v>356.33</v>
      </c>
      <c r="AS127" s="2">
        <v>340.95</v>
      </c>
      <c r="AT127" s="2">
        <v>286.67</v>
      </c>
      <c r="AU127" s="2">
        <v>709.07</v>
      </c>
      <c r="AV127" s="2">
        <v>1091.2</v>
      </c>
      <c r="AW127" s="2">
        <v>745.81</v>
      </c>
      <c r="AX127" s="2">
        <v>719.47</v>
      </c>
    </row>
    <row r="128" spans="2:50" x14ac:dyDescent="0.3">
      <c r="N128" s="1" t="s">
        <v>23</v>
      </c>
      <c r="O128" s="2">
        <v>90.35</v>
      </c>
      <c r="P128" s="2">
        <v>97.33</v>
      </c>
      <c r="Q128" s="2">
        <v>88.5</v>
      </c>
      <c r="R128" s="2">
        <v>78.260000000000005</v>
      </c>
      <c r="S128" s="2">
        <v>29.7</v>
      </c>
      <c r="T128" s="2">
        <v>70.849999999999994</v>
      </c>
      <c r="U128" s="2">
        <v>68.510000000000005</v>
      </c>
      <c r="V128" s="2">
        <v>78.95</v>
      </c>
      <c r="W128" s="2">
        <v>6.53</v>
      </c>
      <c r="X128" s="2">
        <v>24.14</v>
      </c>
      <c r="AA128" s="1" t="s">
        <v>23</v>
      </c>
      <c r="AB128" s="2">
        <v>359.11</v>
      </c>
      <c r="AC128" s="2">
        <v>383.42</v>
      </c>
      <c r="AD128" s="2">
        <v>309.66000000000003</v>
      </c>
      <c r="AE128" s="2">
        <v>296.95</v>
      </c>
      <c r="AF128" s="2">
        <v>107.1</v>
      </c>
      <c r="AG128" s="2">
        <v>273.01</v>
      </c>
      <c r="AH128" s="2">
        <v>262.24</v>
      </c>
      <c r="AI128" s="2">
        <v>296.52999999999997</v>
      </c>
      <c r="AJ128" s="2">
        <v>127.12</v>
      </c>
      <c r="AK128" s="2">
        <v>69.459999999999994</v>
      </c>
      <c r="AN128" s="1" t="s">
        <v>23</v>
      </c>
      <c r="AO128" s="2">
        <v>821.98</v>
      </c>
      <c r="AP128" s="2">
        <v>729.83</v>
      </c>
      <c r="AQ128" s="2">
        <v>667.04</v>
      </c>
      <c r="AR128" s="2">
        <v>7162.91</v>
      </c>
      <c r="AS128" s="2">
        <v>470.59</v>
      </c>
      <c r="AT128" s="2">
        <v>486.18</v>
      </c>
      <c r="AU128" s="2">
        <v>1343.97</v>
      </c>
      <c r="AV128" s="2">
        <v>106211.01</v>
      </c>
      <c r="AW128" s="2">
        <v>1205.18</v>
      </c>
      <c r="AX128" s="2">
        <v>468.25</v>
      </c>
    </row>
    <row r="131" spans="14:37" x14ac:dyDescent="0.3">
      <c r="N131" t="s">
        <v>55</v>
      </c>
      <c r="AA131" t="s">
        <v>56</v>
      </c>
    </row>
    <row r="132" spans="14:37" x14ac:dyDescent="0.3">
      <c r="N132" s="1" t="s">
        <v>11</v>
      </c>
      <c r="O132" s="1" t="s">
        <v>12</v>
      </c>
      <c r="P132" s="1" t="s">
        <v>13</v>
      </c>
      <c r="Q132" s="1" t="s">
        <v>12</v>
      </c>
      <c r="R132" s="1" t="s">
        <v>13</v>
      </c>
      <c r="S132" s="1" t="s">
        <v>12</v>
      </c>
      <c r="T132" s="1" t="s">
        <v>13</v>
      </c>
      <c r="U132" s="1" t="s">
        <v>12</v>
      </c>
      <c r="V132" s="1" t="s">
        <v>13</v>
      </c>
      <c r="W132" s="1" t="s">
        <v>12</v>
      </c>
      <c r="X132" s="1" t="s">
        <v>13</v>
      </c>
      <c r="AA132" s="1" t="s">
        <v>11</v>
      </c>
      <c r="AB132" s="1" t="s">
        <v>12</v>
      </c>
      <c r="AC132" s="1" t="s">
        <v>13</v>
      </c>
      <c r="AD132" s="1" t="s">
        <v>12</v>
      </c>
      <c r="AE132" s="1" t="s">
        <v>13</v>
      </c>
      <c r="AF132" s="1" t="s">
        <v>12</v>
      </c>
      <c r="AG132" s="1" t="s">
        <v>13</v>
      </c>
      <c r="AH132" s="1" t="s">
        <v>12</v>
      </c>
      <c r="AI132" s="1" t="s">
        <v>13</v>
      </c>
      <c r="AJ132" s="1" t="s">
        <v>12</v>
      </c>
      <c r="AK132" s="1" t="s">
        <v>13</v>
      </c>
    </row>
    <row r="133" spans="14:37" x14ac:dyDescent="0.3">
      <c r="N133" s="1" t="s">
        <v>14</v>
      </c>
      <c r="O133" s="1" t="s">
        <v>1</v>
      </c>
      <c r="P133" s="1" t="s">
        <v>1</v>
      </c>
      <c r="Q133" s="1" t="s">
        <v>2</v>
      </c>
      <c r="R133" s="1" t="s">
        <v>2</v>
      </c>
      <c r="S133" s="1" t="s">
        <v>3</v>
      </c>
      <c r="T133" s="1" t="s">
        <v>3</v>
      </c>
      <c r="U133" s="1" t="s">
        <v>4</v>
      </c>
      <c r="V133" s="1" t="s">
        <v>4</v>
      </c>
      <c r="W133" s="1" t="s">
        <v>5</v>
      </c>
      <c r="X133" s="1" t="s">
        <v>5</v>
      </c>
      <c r="AA133" s="1" t="s">
        <v>14</v>
      </c>
      <c r="AB133" s="1" t="s">
        <v>1</v>
      </c>
      <c r="AC133" s="1" t="s">
        <v>1</v>
      </c>
      <c r="AD133" s="1" t="s">
        <v>2</v>
      </c>
      <c r="AE133" s="1" t="s">
        <v>2</v>
      </c>
      <c r="AF133" s="1" t="s">
        <v>3</v>
      </c>
      <c r="AG133" s="1" t="s">
        <v>3</v>
      </c>
      <c r="AH133" s="1" t="s">
        <v>4</v>
      </c>
      <c r="AI133" s="1" t="s">
        <v>4</v>
      </c>
      <c r="AJ133" s="1" t="s">
        <v>5</v>
      </c>
      <c r="AK133" s="1" t="s">
        <v>5</v>
      </c>
    </row>
    <row r="134" spans="14:37" x14ac:dyDescent="0.3">
      <c r="N134" s="1" t="s">
        <v>15</v>
      </c>
      <c r="AA134" s="1" t="s">
        <v>15</v>
      </c>
    </row>
    <row r="135" spans="14:37" x14ac:dyDescent="0.3">
      <c r="N135" s="1" t="s">
        <v>16</v>
      </c>
      <c r="O135" s="2">
        <v>33.770000000000003</v>
      </c>
      <c r="P135" s="2">
        <v>36.22</v>
      </c>
      <c r="Q135" s="2">
        <v>42.18</v>
      </c>
      <c r="R135" s="2">
        <v>29.56</v>
      </c>
      <c r="S135" s="2">
        <v>28.28</v>
      </c>
      <c r="T135" s="2">
        <v>28.27</v>
      </c>
      <c r="U135" s="2">
        <v>13.84</v>
      </c>
      <c r="V135" s="2">
        <v>15.46</v>
      </c>
      <c r="W135" s="2">
        <v>36.69</v>
      </c>
      <c r="X135" s="2">
        <v>44.21</v>
      </c>
      <c r="AA135" s="1" t="s">
        <v>16</v>
      </c>
      <c r="AB135" s="2">
        <v>312.02999999999997</v>
      </c>
      <c r="AC135" s="2">
        <v>328.48</v>
      </c>
      <c r="AD135" s="2">
        <v>387.62</v>
      </c>
      <c r="AE135" s="2">
        <v>456.24</v>
      </c>
      <c r="AF135" s="2">
        <v>255.92</v>
      </c>
      <c r="AG135" s="2">
        <v>255.93</v>
      </c>
      <c r="AH135" s="2">
        <v>213.66</v>
      </c>
      <c r="AI135" s="2">
        <v>287.64</v>
      </c>
      <c r="AJ135" s="2">
        <v>334.31</v>
      </c>
      <c r="AK135" s="2">
        <v>410.79</v>
      </c>
    </row>
    <row r="136" spans="14:37" x14ac:dyDescent="0.3">
      <c r="N136" s="1" t="s">
        <v>17</v>
      </c>
      <c r="O136" s="2">
        <v>38.61</v>
      </c>
      <c r="P136" s="2">
        <v>26.77</v>
      </c>
      <c r="Q136" s="2">
        <v>37.61</v>
      </c>
      <c r="R136" s="2">
        <v>31.72</v>
      </c>
      <c r="S136" s="2">
        <v>33.86</v>
      </c>
      <c r="T136" s="2">
        <v>30.15</v>
      </c>
      <c r="U136" s="2">
        <v>28.07</v>
      </c>
      <c r="V136" s="2">
        <v>13.16</v>
      </c>
      <c r="W136" s="2">
        <v>40.229999999999997</v>
      </c>
      <c r="X136" s="2">
        <v>28.59</v>
      </c>
      <c r="AA136" s="1" t="s">
        <v>17</v>
      </c>
      <c r="AB136" s="2">
        <v>139.22999999999999</v>
      </c>
      <c r="AC136" s="2">
        <v>132.13</v>
      </c>
      <c r="AD136" s="2">
        <v>203.99</v>
      </c>
      <c r="AE136" s="2">
        <v>90.81</v>
      </c>
      <c r="AF136" s="2">
        <v>131.18</v>
      </c>
      <c r="AG136" s="2">
        <v>116.15</v>
      </c>
      <c r="AH136" s="2">
        <v>108.42</v>
      </c>
      <c r="AI136" s="2">
        <v>126.34</v>
      </c>
      <c r="AJ136" s="2">
        <v>146.03</v>
      </c>
      <c r="AK136" s="2">
        <v>134.41</v>
      </c>
    </row>
    <row r="137" spans="14:37" x14ac:dyDescent="0.3">
      <c r="N137" s="1" t="s">
        <v>18</v>
      </c>
      <c r="O137" s="2">
        <v>236.03</v>
      </c>
      <c r="P137" s="2">
        <v>135.88</v>
      </c>
      <c r="Q137" s="2">
        <v>161.09</v>
      </c>
      <c r="R137" s="2">
        <v>179.97</v>
      </c>
      <c r="S137" s="2">
        <v>207.61</v>
      </c>
      <c r="T137" s="2">
        <v>206.57</v>
      </c>
      <c r="U137" s="2">
        <v>166.16</v>
      </c>
      <c r="V137" s="2">
        <v>164.54</v>
      </c>
      <c r="W137" s="2">
        <v>83.87</v>
      </c>
      <c r="X137" s="2">
        <v>132.05000000000001</v>
      </c>
      <c r="AA137" s="1" t="s">
        <v>18</v>
      </c>
      <c r="AB137" s="2">
        <v>724.34</v>
      </c>
      <c r="AC137" s="2">
        <v>379.9</v>
      </c>
      <c r="AD137" s="2">
        <v>948.31</v>
      </c>
      <c r="AE137" s="2">
        <v>468.78</v>
      </c>
      <c r="AF137" s="2">
        <v>750.85</v>
      </c>
      <c r="AG137" s="2">
        <v>791.58</v>
      </c>
      <c r="AH137" s="2">
        <v>815.82</v>
      </c>
      <c r="AI137" s="2">
        <v>866.05</v>
      </c>
      <c r="AJ137" s="2">
        <v>357.13</v>
      </c>
      <c r="AK137" s="2">
        <v>377.95</v>
      </c>
    </row>
    <row r="138" spans="14:37" x14ac:dyDescent="0.3">
      <c r="N138" s="1" t="s">
        <v>19</v>
      </c>
      <c r="O138" s="2">
        <v>55.69</v>
      </c>
      <c r="P138" s="2">
        <v>37.04</v>
      </c>
      <c r="Q138" s="2">
        <v>71.06</v>
      </c>
      <c r="R138" s="2">
        <v>67.83</v>
      </c>
      <c r="S138" s="2">
        <v>45.43</v>
      </c>
      <c r="T138" s="2">
        <v>74.52</v>
      </c>
      <c r="U138" s="2">
        <v>61.29</v>
      </c>
      <c r="V138" s="2">
        <v>40.630000000000003</v>
      </c>
      <c r="W138" s="2">
        <v>27.98</v>
      </c>
      <c r="X138" s="2">
        <v>31.93</v>
      </c>
      <c r="AA138" s="1" t="s">
        <v>19</v>
      </c>
      <c r="AB138" s="2">
        <v>194.01</v>
      </c>
      <c r="AC138" s="2">
        <v>116.49</v>
      </c>
      <c r="AD138" s="2">
        <v>305.33999999999997</v>
      </c>
      <c r="AE138" s="2">
        <v>234.61</v>
      </c>
      <c r="AF138" s="2">
        <v>244.92</v>
      </c>
      <c r="AG138" s="2">
        <v>266.77</v>
      </c>
      <c r="AH138" s="2">
        <v>327.41000000000003</v>
      </c>
      <c r="AI138" s="2">
        <v>205.87</v>
      </c>
      <c r="AJ138" s="2">
        <v>131.02000000000001</v>
      </c>
      <c r="AK138" s="2">
        <v>136.22</v>
      </c>
    </row>
    <row r="139" spans="14:37" x14ac:dyDescent="0.3">
      <c r="N139" s="1" t="s">
        <v>20</v>
      </c>
      <c r="O139" s="2">
        <v>173.49</v>
      </c>
      <c r="P139" s="2">
        <v>129.68</v>
      </c>
      <c r="Q139" s="2">
        <v>289.77999999999997</v>
      </c>
      <c r="R139" s="2">
        <v>264.89999999999998</v>
      </c>
      <c r="S139" s="2">
        <v>212.19</v>
      </c>
      <c r="T139" s="2">
        <v>238.66</v>
      </c>
      <c r="U139" s="2">
        <v>161.5</v>
      </c>
      <c r="V139" s="2">
        <v>183.17</v>
      </c>
      <c r="W139" s="2">
        <v>239.14</v>
      </c>
      <c r="X139" s="2">
        <v>259.3</v>
      </c>
      <c r="AA139" s="1" t="s">
        <v>20</v>
      </c>
      <c r="AB139" s="2">
        <v>548.86</v>
      </c>
      <c r="AC139" s="2">
        <v>639.24</v>
      </c>
      <c r="AD139" s="2">
        <v>976.59</v>
      </c>
      <c r="AE139" s="2">
        <v>874.37</v>
      </c>
      <c r="AF139" s="2">
        <v>803.81</v>
      </c>
      <c r="AG139" s="2">
        <v>932.84</v>
      </c>
      <c r="AH139" s="2">
        <v>807</v>
      </c>
      <c r="AI139" s="2">
        <v>920.83</v>
      </c>
      <c r="AJ139" s="2">
        <v>870.86</v>
      </c>
      <c r="AK139" s="2">
        <v>805.7</v>
      </c>
    </row>
    <row r="140" spans="14:37" x14ac:dyDescent="0.3">
      <c r="N140" s="1" t="s">
        <v>21</v>
      </c>
      <c r="O140" s="2">
        <v>32.909999999999997</v>
      </c>
      <c r="P140" s="2">
        <v>23.2</v>
      </c>
      <c r="Q140" s="2">
        <v>46.13</v>
      </c>
      <c r="R140" s="2">
        <v>33.880000000000003</v>
      </c>
      <c r="S140" s="2">
        <v>53.57</v>
      </c>
      <c r="T140" s="2">
        <v>35.35</v>
      </c>
      <c r="U140" s="2">
        <v>40.44</v>
      </c>
      <c r="V140" s="2">
        <v>31.7</v>
      </c>
      <c r="W140" s="2">
        <v>40.68</v>
      </c>
      <c r="X140" s="2">
        <v>21.72</v>
      </c>
      <c r="AA140" s="1" t="s">
        <v>21</v>
      </c>
      <c r="AB140" s="2">
        <v>104.27</v>
      </c>
      <c r="AC140" s="2">
        <v>91.27</v>
      </c>
      <c r="AD140" s="2">
        <v>153.47999999999999</v>
      </c>
      <c r="AE140" s="2">
        <v>128.93</v>
      </c>
      <c r="AF140" s="2">
        <v>191.44</v>
      </c>
      <c r="AG140" s="2">
        <v>162.77000000000001</v>
      </c>
      <c r="AH140" s="2">
        <v>172.26</v>
      </c>
      <c r="AI140" s="2">
        <v>174.68</v>
      </c>
      <c r="AJ140" s="2">
        <v>113.32</v>
      </c>
      <c r="AK140" s="2">
        <v>49.52</v>
      </c>
    </row>
    <row r="141" spans="14:37" x14ac:dyDescent="0.3">
      <c r="N141" s="1" t="s">
        <v>22</v>
      </c>
      <c r="O141" s="2">
        <v>102.44</v>
      </c>
      <c r="P141" s="2">
        <v>111.78</v>
      </c>
      <c r="Q141" s="2">
        <v>131.05000000000001</v>
      </c>
      <c r="R141" s="2">
        <v>112.83</v>
      </c>
      <c r="S141" s="2">
        <v>79.599999999999994</v>
      </c>
      <c r="T141" s="2">
        <v>88.54</v>
      </c>
      <c r="U141" s="2">
        <v>98.46</v>
      </c>
      <c r="V141" s="2">
        <v>54.76</v>
      </c>
      <c r="W141" s="2">
        <v>66.5</v>
      </c>
      <c r="X141" s="2">
        <v>60.83</v>
      </c>
      <c r="AA141" s="1" t="s">
        <v>22</v>
      </c>
      <c r="AB141" s="2">
        <v>350.96</v>
      </c>
      <c r="AC141" s="2">
        <v>392.82</v>
      </c>
      <c r="AD141" s="2">
        <v>325.04000000000002</v>
      </c>
      <c r="AE141" s="2">
        <v>359.67</v>
      </c>
      <c r="AF141" s="2">
        <v>357.82</v>
      </c>
      <c r="AG141" s="2">
        <v>348.52</v>
      </c>
      <c r="AH141" s="2">
        <v>427.14</v>
      </c>
      <c r="AI141" s="2">
        <v>250.3</v>
      </c>
      <c r="AJ141" s="2">
        <v>161.19999999999999</v>
      </c>
      <c r="AK141" s="2">
        <v>166.87</v>
      </c>
    </row>
    <row r="142" spans="14:37" x14ac:dyDescent="0.3">
      <c r="N142" s="1" t="s">
        <v>23</v>
      </c>
      <c r="O142" s="2">
        <v>41.07</v>
      </c>
      <c r="P142" s="2">
        <v>32.21</v>
      </c>
      <c r="Q142" s="2">
        <v>38.93</v>
      </c>
      <c r="R142" s="2">
        <v>27.41</v>
      </c>
      <c r="S142" s="2">
        <v>31.61</v>
      </c>
      <c r="T142" s="2">
        <v>28.2</v>
      </c>
      <c r="U142" s="2">
        <v>23.71</v>
      </c>
      <c r="V142" s="2">
        <v>1.98</v>
      </c>
      <c r="W142" s="2">
        <v>37.130000000000003</v>
      </c>
      <c r="X142" s="2">
        <v>30.17</v>
      </c>
      <c r="AA142" s="1" t="s">
        <v>23</v>
      </c>
      <c r="AB142" s="2">
        <v>163.22999999999999</v>
      </c>
      <c r="AC142" s="2">
        <v>124.09</v>
      </c>
      <c r="AD142" s="2">
        <v>153.37</v>
      </c>
      <c r="AE142" s="2">
        <v>104.89</v>
      </c>
      <c r="AF142" s="2">
        <v>110.59</v>
      </c>
      <c r="AG142" s="2">
        <v>105.9</v>
      </c>
      <c r="AH142" s="2">
        <v>89.99</v>
      </c>
      <c r="AI142" s="2">
        <v>38.520000000000003</v>
      </c>
      <c r="AJ142" s="2">
        <v>133.87</v>
      </c>
      <c r="AK142" s="2">
        <v>86.83</v>
      </c>
    </row>
    <row r="145" spans="14:37" x14ac:dyDescent="0.3">
      <c r="N145" t="s">
        <v>57</v>
      </c>
      <c r="AA145" t="s">
        <v>58</v>
      </c>
    </row>
    <row r="146" spans="14:37" x14ac:dyDescent="0.3">
      <c r="N146" s="1" t="s">
        <v>11</v>
      </c>
      <c r="O146" s="3" t="s">
        <v>12</v>
      </c>
      <c r="P146" s="3"/>
      <c r="Q146" s="3"/>
      <c r="R146" s="3"/>
      <c r="S146" s="3"/>
      <c r="T146" s="3" t="s">
        <v>13</v>
      </c>
      <c r="U146" s="3"/>
      <c r="V146" s="3"/>
      <c r="W146" s="3"/>
      <c r="X146" s="3"/>
      <c r="AA146" s="1" t="s">
        <v>11</v>
      </c>
      <c r="AB146" s="3" t="s">
        <v>12</v>
      </c>
      <c r="AC146" s="3"/>
      <c r="AD146" s="3"/>
      <c r="AE146" s="3"/>
      <c r="AF146" s="3"/>
      <c r="AG146" s="3" t="s">
        <v>13</v>
      </c>
      <c r="AH146" s="3"/>
      <c r="AI146" s="3"/>
      <c r="AJ146" s="3"/>
      <c r="AK146" s="3"/>
    </row>
    <row r="147" spans="14:37" x14ac:dyDescent="0.3">
      <c r="N147" s="1" t="s">
        <v>14</v>
      </c>
      <c r="O147" s="1" t="s">
        <v>1</v>
      </c>
      <c r="P147" s="1" t="s">
        <v>2</v>
      </c>
      <c r="Q147" s="1" t="s">
        <v>3</v>
      </c>
      <c r="R147" s="1" t="s">
        <v>4</v>
      </c>
      <c r="S147" s="1" t="s">
        <v>5</v>
      </c>
      <c r="T147" s="1" t="s">
        <v>1</v>
      </c>
      <c r="U147" s="1" t="s">
        <v>2</v>
      </c>
      <c r="V147" s="1" t="s">
        <v>3</v>
      </c>
      <c r="W147" s="1" t="s">
        <v>4</v>
      </c>
      <c r="X147" s="1" t="s">
        <v>5</v>
      </c>
      <c r="AA147" s="1" t="s">
        <v>14</v>
      </c>
      <c r="AB147" s="1" t="s">
        <v>1</v>
      </c>
      <c r="AC147" s="1" t="s">
        <v>2</v>
      </c>
      <c r="AD147" s="1" t="s">
        <v>3</v>
      </c>
      <c r="AE147" s="1" t="s">
        <v>4</v>
      </c>
      <c r="AF147" s="1" t="s">
        <v>5</v>
      </c>
      <c r="AG147" s="1" t="s">
        <v>1</v>
      </c>
      <c r="AH147" s="1" t="s">
        <v>2</v>
      </c>
      <c r="AI147" s="1" t="s">
        <v>3</v>
      </c>
      <c r="AJ147" s="1" t="s">
        <v>4</v>
      </c>
      <c r="AK147" s="1" t="s">
        <v>5</v>
      </c>
    </row>
    <row r="148" spans="14:37" x14ac:dyDescent="0.3">
      <c r="N148" s="1" t="s">
        <v>15</v>
      </c>
      <c r="AA148" s="1" t="s">
        <v>15</v>
      </c>
    </row>
    <row r="149" spans="14:37" x14ac:dyDescent="0.3">
      <c r="N149" s="1" t="s">
        <v>16</v>
      </c>
      <c r="O149" s="2">
        <v>19.97</v>
      </c>
      <c r="P149" s="2">
        <v>9.0299999999999994</v>
      </c>
      <c r="Q149" s="2">
        <v>18.53</v>
      </c>
      <c r="R149" s="2">
        <v>9.56</v>
      </c>
      <c r="S149" s="2">
        <v>2.76</v>
      </c>
      <c r="T149" s="2">
        <v>32.81</v>
      </c>
      <c r="U149" s="2">
        <v>11.39</v>
      </c>
      <c r="V149" s="2">
        <v>29.05</v>
      </c>
      <c r="W149" s="2">
        <v>4.83</v>
      </c>
      <c r="X149" s="2">
        <v>5.42</v>
      </c>
      <c r="AA149" s="1" t="s">
        <v>16</v>
      </c>
      <c r="AB149" s="2">
        <v>184.85</v>
      </c>
      <c r="AC149" s="2">
        <v>83.72</v>
      </c>
      <c r="AD149" s="2">
        <v>167.67</v>
      </c>
      <c r="AE149" s="2">
        <v>147.52000000000001</v>
      </c>
      <c r="AF149" s="2">
        <v>25.24</v>
      </c>
      <c r="AG149" s="2">
        <v>296.75</v>
      </c>
      <c r="AH149" s="2">
        <v>175.86</v>
      </c>
      <c r="AI149" s="2">
        <v>262.99</v>
      </c>
      <c r="AJ149" s="2">
        <v>89.88</v>
      </c>
      <c r="AK149" s="2">
        <v>50.58</v>
      </c>
    </row>
    <row r="150" spans="14:37" x14ac:dyDescent="0.3">
      <c r="N150" s="1" t="s">
        <v>17</v>
      </c>
      <c r="O150" s="2">
        <v>44.46</v>
      </c>
      <c r="P150" s="2">
        <v>38.47</v>
      </c>
      <c r="Q150" s="2">
        <v>73.25</v>
      </c>
      <c r="R150" s="2">
        <v>74.59</v>
      </c>
      <c r="S150" s="2">
        <v>13.2</v>
      </c>
      <c r="T150" s="2">
        <v>26.21</v>
      </c>
      <c r="U150" s="2">
        <v>74.650000000000006</v>
      </c>
      <c r="V150" s="2">
        <v>46.91</v>
      </c>
      <c r="W150" s="2">
        <v>23.69</v>
      </c>
      <c r="X150" s="2">
        <v>21.75</v>
      </c>
      <c r="AA150" s="1" t="s">
        <v>17</v>
      </c>
      <c r="AB150" s="2">
        <v>160.29</v>
      </c>
      <c r="AC150" s="2">
        <v>208.53</v>
      </c>
      <c r="AD150" s="2">
        <v>283.74</v>
      </c>
      <c r="AE150" s="2">
        <v>288.08</v>
      </c>
      <c r="AF150" s="2">
        <v>47.9</v>
      </c>
      <c r="AG150" s="2">
        <v>129.33000000000001</v>
      </c>
      <c r="AH150" s="2">
        <v>213.71</v>
      </c>
      <c r="AI150" s="2">
        <v>180.73</v>
      </c>
      <c r="AJ150" s="2">
        <v>226.78</v>
      </c>
      <c r="AK150" s="2">
        <v>102.25</v>
      </c>
    </row>
    <row r="151" spans="14:37" x14ac:dyDescent="0.3">
      <c r="N151" s="1" t="s">
        <v>18</v>
      </c>
      <c r="O151" s="2">
        <v>128.66</v>
      </c>
      <c r="P151" s="2">
        <v>123.95</v>
      </c>
      <c r="Q151" s="2">
        <v>254.48</v>
      </c>
      <c r="R151" s="2">
        <v>192.06</v>
      </c>
      <c r="S151" s="2">
        <v>20.54</v>
      </c>
      <c r="T151" s="2">
        <v>104.2</v>
      </c>
      <c r="U151" s="2">
        <v>270.04000000000002</v>
      </c>
      <c r="V151" s="2">
        <v>220.01</v>
      </c>
      <c r="W151" s="2">
        <v>170.24</v>
      </c>
      <c r="X151" s="2">
        <v>62.15</v>
      </c>
      <c r="AA151" s="1" t="s">
        <v>18</v>
      </c>
      <c r="AB151" s="2">
        <v>394.19</v>
      </c>
      <c r="AC151" s="2">
        <v>727.3</v>
      </c>
      <c r="AD151" s="2">
        <v>918.71</v>
      </c>
      <c r="AE151" s="2">
        <v>940.39</v>
      </c>
      <c r="AF151" s="2">
        <v>87.46</v>
      </c>
      <c r="AG151" s="2">
        <v>291.24</v>
      </c>
      <c r="AH151" s="2">
        <v>702.92</v>
      </c>
      <c r="AI151" s="2">
        <v>842.33</v>
      </c>
      <c r="AJ151" s="2">
        <v>894.34</v>
      </c>
      <c r="AK151" s="2">
        <v>177.85</v>
      </c>
    </row>
    <row r="152" spans="14:37" x14ac:dyDescent="0.3">
      <c r="N152" s="1" t="s">
        <v>19</v>
      </c>
      <c r="O152" s="2">
        <v>34.020000000000003</v>
      </c>
      <c r="P152" s="2">
        <v>58.61</v>
      </c>
      <c r="Q152" s="2">
        <v>55.49</v>
      </c>
      <c r="R152" s="2">
        <v>63.54</v>
      </c>
      <c r="S152" s="2">
        <v>7.32</v>
      </c>
      <c r="T152" s="2">
        <v>31.81</v>
      </c>
      <c r="U152" s="2">
        <v>88.89</v>
      </c>
      <c r="V152" s="2">
        <v>97.43</v>
      </c>
      <c r="W152" s="2">
        <v>64.11</v>
      </c>
      <c r="X152" s="2">
        <v>13.35</v>
      </c>
      <c r="AA152" s="1" t="s">
        <v>19</v>
      </c>
      <c r="AB152" s="2">
        <v>118.45</v>
      </c>
      <c r="AC152" s="2">
        <v>251.64</v>
      </c>
      <c r="AD152" s="2">
        <v>298.61</v>
      </c>
      <c r="AE152" s="2">
        <v>338.73</v>
      </c>
      <c r="AF152" s="2">
        <v>34.28</v>
      </c>
      <c r="AG152" s="2">
        <v>100.01</v>
      </c>
      <c r="AH152" s="2">
        <v>307.3</v>
      </c>
      <c r="AI152" s="2">
        <v>348.55</v>
      </c>
      <c r="AJ152" s="2">
        <v>324.63</v>
      </c>
      <c r="AK152" s="2">
        <v>56.95</v>
      </c>
    </row>
    <row r="153" spans="14:37" x14ac:dyDescent="0.3">
      <c r="N153" s="1" t="s">
        <v>20</v>
      </c>
      <c r="O153" s="2">
        <v>104.21</v>
      </c>
      <c r="P153" s="2">
        <v>235.61</v>
      </c>
      <c r="Q153" s="2">
        <v>269.38</v>
      </c>
      <c r="R153" s="2">
        <v>231.22</v>
      </c>
      <c r="S153" s="2">
        <v>62.06</v>
      </c>
      <c r="T153" s="2">
        <v>88.96</v>
      </c>
      <c r="U153" s="2">
        <v>233.52</v>
      </c>
      <c r="V153" s="2">
        <v>285.91000000000003</v>
      </c>
      <c r="W153" s="2">
        <v>230.09</v>
      </c>
      <c r="X153" s="2">
        <v>73.05</v>
      </c>
      <c r="AA153" s="1" t="s">
        <v>20</v>
      </c>
      <c r="AB153" s="2">
        <v>329.61</v>
      </c>
      <c r="AC153" s="2">
        <v>793.61</v>
      </c>
      <c r="AD153" s="2">
        <v>1020.02</v>
      </c>
      <c r="AE153" s="2">
        <v>1154.78</v>
      </c>
      <c r="AF153" s="2">
        <v>225.94</v>
      </c>
      <c r="AG153" s="2">
        <v>438.19</v>
      </c>
      <c r="AH153" s="2">
        <v>770.41</v>
      </c>
      <c r="AI153" s="2">
        <v>1116.8900000000001</v>
      </c>
      <c r="AJ153" s="2">
        <v>1155.9100000000001</v>
      </c>
      <c r="AK153" s="2">
        <v>226.95</v>
      </c>
    </row>
    <row r="154" spans="14:37" x14ac:dyDescent="0.3">
      <c r="N154" s="1" t="s">
        <v>21</v>
      </c>
      <c r="O154" s="2">
        <v>24.38</v>
      </c>
      <c r="P154" s="2">
        <v>40.4</v>
      </c>
      <c r="Q154" s="2">
        <v>45.45</v>
      </c>
      <c r="R154" s="2">
        <v>34.85</v>
      </c>
      <c r="S154" s="2">
        <v>11.2</v>
      </c>
      <c r="T154" s="2">
        <v>6.89</v>
      </c>
      <c r="U154" s="2">
        <v>47.16</v>
      </c>
      <c r="V154" s="2">
        <v>21.16</v>
      </c>
      <c r="W154" s="2">
        <v>47.31</v>
      </c>
      <c r="X154" s="2">
        <v>9.68</v>
      </c>
      <c r="AA154" s="1" t="s">
        <v>21</v>
      </c>
      <c r="AB154" s="2">
        <v>77.2</v>
      </c>
      <c r="AC154" s="2">
        <v>134.35</v>
      </c>
      <c r="AD154" s="2">
        <v>162.32</v>
      </c>
      <c r="AE154" s="2">
        <v>148.30000000000001</v>
      </c>
      <c r="AF154" s="2">
        <v>31.2</v>
      </c>
      <c r="AG154" s="2">
        <v>27.09</v>
      </c>
      <c r="AH154" s="2">
        <v>179.4</v>
      </c>
      <c r="AI154" s="2">
        <v>97.24</v>
      </c>
      <c r="AJ154" s="2">
        <v>260.13</v>
      </c>
      <c r="AK154" s="2">
        <v>22.07</v>
      </c>
    </row>
    <row r="155" spans="14:37" x14ac:dyDescent="0.3">
      <c r="N155" s="1" t="s">
        <v>22</v>
      </c>
      <c r="O155" s="2">
        <v>49.38</v>
      </c>
      <c r="P155" s="2">
        <v>49.58</v>
      </c>
      <c r="Q155" s="2">
        <v>51.99</v>
      </c>
      <c r="R155" s="2">
        <v>63.99</v>
      </c>
      <c r="S155" s="2">
        <v>7.26</v>
      </c>
      <c r="T155" s="2">
        <v>46.82</v>
      </c>
      <c r="U155" s="2">
        <v>67.010000000000005</v>
      </c>
      <c r="V155" s="2">
        <v>53.01</v>
      </c>
      <c r="W155" s="2">
        <v>60.27</v>
      </c>
      <c r="X155" s="2">
        <v>11.8</v>
      </c>
      <c r="AA155" s="1" t="s">
        <v>22</v>
      </c>
      <c r="AB155" s="2">
        <v>169.04</v>
      </c>
      <c r="AC155" s="2">
        <v>122.92</v>
      </c>
      <c r="AD155" s="2">
        <v>233.35</v>
      </c>
      <c r="AE155" s="2">
        <v>277.23</v>
      </c>
      <c r="AF155" s="2">
        <v>17.579999999999998</v>
      </c>
      <c r="AG155" s="2">
        <v>164.38</v>
      </c>
      <c r="AH155" s="2">
        <v>213.49</v>
      </c>
      <c r="AI155" s="2">
        <v>208.41</v>
      </c>
      <c r="AJ155" s="2">
        <v>275.3</v>
      </c>
      <c r="AK155" s="2">
        <v>32.36</v>
      </c>
    </row>
    <row r="156" spans="14:37" x14ac:dyDescent="0.3">
      <c r="N156" s="1" t="s">
        <v>23</v>
      </c>
      <c r="O156" s="2">
        <v>8.89</v>
      </c>
      <c r="P156" s="2">
        <v>10.17</v>
      </c>
      <c r="Q156" s="2">
        <v>17.739999999999998</v>
      </c>
      <c r="R156" s="2">
        <v>2.89</v>
      </c>
      <c r="S156" s="2">
        <v>3.13</v>
      </c>
      <c r="T156" s="2">
        <v>16.32</v>
      </c>
      <c r="U156" s="2">
        <v>18.64</v>
      </c>
      <c r="V156" s="2">
        <v>28.79</v>
      </c>
      <c r="W156" s="2">
        <v>0.68</v>
      </c>
      <c r="X156" s="2">
        <v>6.19</v>
      </c>
      <c r="AA156" s="1" t="s">
        <v>23</v>
      </c>
      <c r="AB156" s="2">
        <v>35.33</v>
      </c>
      <c r="AC156" s="2">
        <v>40.08</v>
      </c>
      <c r="AD156" s="2">
        <v>62.06</v>
      </c>
      <c r="AE156" s="2">
        <v>10.97</v>
      </c>
      <c r="AF156" s="2">
        <v>11.27</v>
      </c>
      <c r="AG156" s="2">
        <v>62.88</v>
      </c>
      <c r="AH156" s="2">
        <v>71.36</v>
      </c>
      <c r="AI156" s="2">
        <v>108.13</v>
      </c>
      <c r="AJ156" s="2">
        <v>13.18</v>
      </c>
      <c r="AK156" s="2">
        <v>17.809999999999999</v>
      </c>
    </row>
    <row r="159" spans="14:37" x14ac:dyDescent="0.3">
      <c r="N159" t="s">
        <v>59</v>
      </c>
      <c r="AA159" t="s">
        <v>60</v>
      </c>
    </row>
    <row r="160" spans="14:37" x14ac:dyDescent="0.3">
      <c r="N160" s="1" t="s">
        <v>11</v>
      </c>
      <c r="O160" s="1" t="s">
        <v>12</v>
      </c>
      <c r="P160" s="1" t="s">
        <v>13</v>
      </c>
      <c r="Q160" s="1" t="s">
        <v>12</v>
      </c>
      <c r="R160" s="1" t="s">
        <v>13</v>
      </c>
      <c r="S160" s="1" t="s">
        <v>12</v>
      </c>
      <c r="T160" s="1" t="s">
        <v>13</v>
      </c>
      <c r="U160" s="1" t="s">
        <v>12</v>
      </c>
      <c r="V160" s="1" t="s">
        <v>13</v>
      </c>
      <c r="W160" s="1" t="s">
        <v>12</v>
      </c>
      <c r="X160" s="1" t="s">
        <v>13</v>
      </c>
      <c r="AA160" s="1" t="s">
        <v>11</v>
      </c>
      <c r="AB160" s="1" t="s">
        <v>12</v>
      </c>
      <c r="AC160" s="1" t="s">
        <v>13</v>
      </c>
      <c r="AD160" s="1" t="s">
        <v>12</v>
      </c>
      <c r="AE160" s="1" t="s">
        <v>13</v>
      </c>
      <c r="AF160" s="1" t="s">
        <v>12</v>
      </c>
      <c r="AG160" s="1" t="s">
        <v>13</v>
      </c>
      <c r="AH160" s="1" t="s">
        <v>12</v>
      </c>
      <c r="AI160" s="1" t="s">
        <v>13</v>
      </c>
      <c r="AJ160" s="1" t="s">
        <v>12</v>
      </c>
      <c r="AK160" s="1" t="s">
        <v>13</v>
      </c>
    </row>
    <row r="161" spans="14:37" x14ac:dyDescent="0.3">
      <c r="N161" s="1" t="s">
        <v>14</v>
      </c>
      <c r="O161" s="1" t="s">
        <v>1</v>
      </c>
      <c r="P161" s="1" t="s">
        <v>1</v>
      </c>
      <c r="Q161" s="1" t="s">
        <v>2</v>
      </c>
      <c r="R161" s="1" t="s">
        <v>2</v>
      </c>
      <c r="S161" s="1" t="s">
        <v>3</v>
      </c>
      <c r="T161" s="1" t="s">
        <v>3</v>
      </c>
      <c r="U161" s="1" t="s">
        <v>4</v>
      </c>
      <c r="V161" s="1" t="s">
        <v>4</v>
      </c>
      <c r="W161" s="1" t="s">
        <v>5</v>
      </c>
      <c r="X161" s="1" t="s">
        <v>5</v>
      </c>
      <c r="AA161" s="1" t="s">
        <v>14</v>
      </c>
      <c r="AB161" s="1" t="s">
        <v>1</v>
      </c>
      <c r="AC161" s="1" t="s">
        <v>1</v>
      </c>
      <c r="AD161" s="1" t="s">
        <v>2</v>
      </c>
      <c r="AE161" s="1" t="s">
        <v>2</v>
      </c>
      <c r="AF161" s="1" t="s">
        <v>3</v>
      </c>
      <c r="AG161" s="1" t="s">
        <v>3</v>
      </c>
      <c r="AH161" s="1" t="s">
        <v>4</v>
      </c>
      <c r="AI161" s="1" t="s">
        <v>4</v>
      </c>
      <c r="AJ161" s="1" t="s">
        <v>5</v>
      </c>
      <c r="AK161" s="1" t="s">
        <v>5</v>
      </c>
    </row>
    <row r="162" spans="14:37" x14ac:dyDescent="0.3">
      <c r="N162" s="1" t="s">
        <v>15</v>
      </c>
      <c r="AA162" s="1" t="s">
        <v>15</v>
      </c>
    </row>
    <row r="163" spans="14:37" x14ac:dyDescent="0.3">
      <c r="N163" s="1" t="s">
        <v>16</v>
      </c>
      <c r="O163" s="2">
        <v>9.08</v>
      </c>
      <c r="P163" s="2">
        <v>14.91</v>
      </c>
      <c r="Q163" s="2">
        <v>3.61</v>
      </c>
      <c r="R163" s="2">
        <v>4.5599999999999996</v>
      </c>
      <c r="S163" s="2">
        <v>6.62</v>
      </c>
      <c r="T163" s="2">
        <v>10.38</v>
      </c>
      <c r="U163" s="2">
        <v>2.9</v>
      </c>
      <c r="V163" s="2">
        <v>1.46</v>
      </c>
      <c r="W163" s="2">
        <v>3.45</v>
      </c>
      <c r="X163" s="2">
        <v>6.77</v>
      </c>
      <c r="AA163" s="1" t="s">
        <v>16</v>
      </c>
      <c r="AB163" s="2">
        <v>84.02</v>
      </c>
      <c r="AC163" s="2">
        <v>134.88999999999999</v>
      </c>
      <c r="AD163" s="2">
        <v>33.49</v>
      </c>
      <c r="AE163" s="2">
        <v>70.34</v>
      </c>
      <c r="AF163" s="2">
        <v>59.88</v>
      </c>
      <c r="AG163" s="2">
        <v>93.92</v>
      </c>
      <c r="AH163" s="2">
        <v>44.7</v>
      </c>
      <c r="AI163" s="2">
        <v>27.24</v>
      </c>
      <c r="AJ163" s="2">
        <v>31.55</v>
      </c>
      <c r="AK163" s="2">
        <v>63.23</v>
      </c>
    </row>
    <row r="164" spans="14:37" x14ac:dyDescent="0.3">
      <c r="N164" s="1" t="s">
        <v>17</v>
      </c>
      <c r="O164" s="2">
        <v>20.21</v>
      </c>
      <c r="P164" s="2">
        <v>11.91</v>
      </c>
      <c r="Q164" s="2">
        <v>15.39</v>
      </c>
      <c r="R164" s="2">
        <v>29.86</v>
      </c>
      <c r="S164" s="2">
        <v>26.16</v>
      </c>
      <c r="T164" s="2">
        <v>16.760000000000002</v>
      </c>
      <c r="U164" s="2">
        <v>22.6</v>
      </c>
      <c r="V164" s="2">
        <v>7.18</v>
      </c>
      <c r="W164" s="2">
        <v>16.5</v>
      </c>
      <c r="X164" s="2">
        <v>27.19</v>
      </c>
      <c r="AA164" s="1" t="s">
        <v>17</v>
      </c>
      <c r="AB164" s="2">
        <v>72.86</v>
      </c>
      <c r="AC164" s="2">
        <v>58.79</v>
      </c>
      <c r="AD164" s="2">
        <v>83.41</v>
      </c>
      <c r="AE164" s="2">
        <v>85.48</v>
      </c>
      <c r="AF164" s="2">
        <v>101.33</v>
      </c>
      <c r="AG164" s="2">
        <v>64.540000000000006</v>
      </c>
      <c r="AH164" s="2">
        <v>87.3</v>
      </c>
      <c r="AI164" s="2">
        <v>68.72</v>
      </c>
      <c r="AJ164" s="2">
        <v>59.87</v>
      </c>
      <c r="AK164" s="2">
        <v>127.81</v>
      </c>
    </row>
    <row r="165" spans="14:37" x14ac:dyDescent="0.3">
      <c r="N165" s="1" t="s">
        <v>18</v>
      </c>
      <c r="O165" s="2">
        <v>58.48</v>
      </c>
      <c r="P165" s="2">
        <v>47.36</v>
      </c>
      <c r="Q165" s="2">
        <v>49.58</v>
      </c>
      <c r="R165" s="2">
        <v>108.01</v>
      </c>
      <c r="S165" s="2">
        <v>90.89</v>
      </c>
      <c r="T165" s="2">
        <v>78.569999999999993</v>
      </c>
      <c r="U165" s="2">
        <v>58.2</v>
      </c>
      <c r="V165" s="2">
        <v>51.59</v>
      </c>
      <c r="W165" s="2">
        <v>25.68</v>
      </c>
      <c r="X165" s="2">
        <v>77.680000000000007</v>
      </c>
      <c r="AA165" s="1" t="s">
        <v>18</v>
      </c>
      <c r="AB165" s="2">
        <v>179.18</v>
      </c>
      <c r="AC165" s="2">
        <v>132.38</v>
      </c>
      <c r="AD165" s="2">
        <v>290.92</v>
      </c>
      <c r="AE165" s="2">
        <v>281.17</v>
      </c>
      <c r="AF165" s="2">
        <v>328.11</v>
      </c>
      <c r="AG165" s="2">
        <v>300.83</v>
      </c>
      <c r="AH165" s="2">
        <v>284.97000000000003</v>
      </c>
      <c r="AI165" s="2">
        <v>271.01</v>
      </c>
      <c r="AJ165" s="2">
        <v>109.32</v>
      </c>
      <c r="AK165" s="2">
        <v>222.32</v>
      </c>
    </row>
    <row r="166" spans="14:37" x14ac:dyDescent="0.3">
      <c r="N166" s="1" t="s">
        <v>19</v>
      </c>
      <c r="O166" s="2">
        <v>15.46</v>
      </c>
      <c r="P166" s="2">
        <v>14.46</v>
      </c>
      <c r="Q166" s="2">
        <v>23.45</v>
      </c>
      <c r="R166" s="2">
        <v>35.56</v>
      </c>
      <c r="S166" s="2">
        <v>19.82</v>
      </c>
      <c r="T166" s="2">
        <v>34.799999999999997</v>
      </c>
      <c r="U166" s="2">
        <v>19.260000000000002</v>
      </c>
      <c r="V166" s="2">
        <v>19.43</v>
      </c>
      <c r="W166" s="2">
        <v>9.15</v>
      </c>
      <c r="X166" s="2">
        <v>16.690000000000001</v>
      </c>
      <c r="AA166" s="1" t="s">
        <v>19</v>
      </c>
      <c r="AB166" s="2">
        <v>53.84</v>
      </c>
      <c r="AC166" s="2">
        <v>45.46</v>
      </c>
      <c r="AD166" s="2">
        <v>100.65</v>
      </c>
      <c r="AE166" s="2">
        <v>122.92</v>
      </c>
      <c r="AF166" s="2">
        <v>106.65</v>
      </c>
      <c r="AG166" s="2">
        <v>124.48</v>
      </c>
      <c r="AH166" s="2">
        <v>102.64</v>
      </c>
      <c r="AI166" s="2">
        <v>98.37</v>
      </c>
      <c r="AJ166" s="2">
        <v>42.85</v>
      </c>
      <c r="AK166" s="2">
        <v>71.19</v>
      </c>
    </row>
    <row r="167" spans="14:37" x14ac:dyDescent="0.3">
      <c r="N167" s="1" t="s">
        <v>20</v>
      </c>
      <c r="O167" s="2">
        <v>47.37</v>
      </c>
      <c r="P167" s="2">
        <v>40.44</v>
      </c>
      <c r="Q167" s="2">
        <v>94.24</v>
      </c>
      <c r="R167" s="2">
        <v>93.41</v>
      </c>
      <c r="S167" s="2">
        <v>96.21</v>
      </c>
      <c r="T167" s="2">
        <v>102.11</v>
      </c>
      <c r="U167" s="2">
        <v>70.069999999999993</v>
      </c>
      <c r="V167" s="2">
        <v>69.72</v>
      </c>
      <c r="W167" s="2">
        <v>77.569999999999993</v>
      </c>
      <c r="X167" s="2">
        <v>91.31</v>
      </c>
      <c r="AA167" s="1" t="s">
        <v>20</v>
      </c>
      <c r="AB167" s="2">
        <v>149.82</v>
      </c>
      <c r="AC167" s="2">
        <v>199.18</v>
      </c>
      <c r="AD167" s="2">
        <v>317.44</v>
      </c>
      <c r="AE167" s="2">
        <v>308.17</v>
      </c>
      <c r="AF167" s="2">
        <v>364.29</v>
      </c>
      <c r="AG167" s="2">
        <v>398.89</v>
      </c>
      <c r="AH167" s="2">
        <v>349.93</v>
      </c>
      <c r="AI167" s="2">
        <v>350.28</v>
      </c>
      <c r="AJ167" s="2">
        <v>282.43</v>
      </c>
      <c r="AK167" s="2">
        <v>283.69</v>
      </c>
    </row>
    <row r="168" spans="14:37" x14ac:dyDescent="0.3">
      <c r="N168" s="1" t="s">
        <v>21</v>
      </c>
      <c r="O168" s="2">
        <v>11.08</v>
      </c>
      <c r="P168" s="2">
        <v>3.13</v>
      </c>
      <c r="Q168" s="2">
        <v>16.16</v>
      </c>
      <c r="R168" s="2">
        <v>18.86</v>
      </c>
      <c r="S168" s="2">
        <v>16.23</v>
      </c>
      <c r="T168" s="2">
        <v>7.56</v>
      </c>
      <c r="U168" s="2">
        <v>10.56</v>
      </c>
      <c r="V168" s="2">
        <v>14.34</v>
      </c>
      <c r="W168" s="2">
        <v>14</v>
      </c>
      <c r="X168" s="2">
        <v>12.1</v>
      </c>
      <c r="AA168" s="1" t="s">
        <v>21</v>
      </c>
      <c r="AB168" s="2">
        <v>35.090000000000003</v>
      </c>
      <c r="AC168" s="2">
        <v>12.32</v>
      </c>
      <c r="AD168" s="2">
        <v>53.74</v>
      </c>
      <c r="AE168" s="2">
        <v>71.760000000000005</v>
      </c>
      <c r="AF168" s="2">
        <v>57.97</v>
      </c>
      <c r="AG168" s="2">
        <v>34.729999999999997</v>
      </c>
      <c r="AH168" s="2">
        <v>44.94</v>
      </c>
      <c r="AI168" s="2">
        <v>78.83</v>
      </c>
      <c r="AJ168" s="2">
        <v>39</v>
      </c>
      <c r="AK168" s="2">
        <v>27.59</v>
      </c>
    </row>
    <row r="169" spans="14:37" x14ac:dyDescent="0.3">
      <c r="N169" s="1" t="s">
        <v>22</v>
      </c>
      <c r="O169" s="2">
        <v>22.45</v>
      </c>
      <c r="P169" s="2">
        <v>21.28</v>
      </c>
      <c r="Q169" s="2">
        <v>19.829999999999998</v>
      </c>
      <c r="R169" s="2">
        <v>26.8</v>
      </c>
      <c r="S169" s="2">
        <v>18.57</v>
      </c>
      <c r="T169" s="2">
        <v>18.93</v>
      </c>
      <c r="U169" s="2">
        <v>19.39</v>
      </c>
      <c r="V169" s="2">
        <v>18.260000000000002</v>
      </c>
      <c r="W169" s="2">
        <v>9.07</v>
      </c>
      <c r="X169" s="2">
        <v>14.75</v>
      </c>
      <c r="AA169" s="1" t="s">
        <v>22</v>
      </c>
      <c r="AB169" s="2">
        <v>76.84</v>
      </c>
      <c r="AC169" s="2">
        <v>74.72</v>
      </c>
      <c r="AD169" s="2">
        <v>49.17</v>
      </c>
      <c r="AE169" s="2">
        <v>85.4</v>
      </c>
      <c r="AF169" s="2">
        <v>83.34</v>
      </c>
      <c r="AG169" s="2">
        <v>74.430000000000007</v>
      </c>
      <c r="AH169" s="2">
        <v>84.01</v>
      </c>
      <c r="AI169" s="2">
        <v>83.42</v>
      </c>
      <c r="AJ169" s="2">
        <v>21.98</v>
      </c>
      <c r="AK169" s="2">
        <v>40.450000000000003</v>
      </c>
    </row>
    <row r="170" spans="14:37" x14ac:dyDescent="0.3">
      <c r="N170" s="1" t="s">
        <v>23</v>
      </c>
      <c r="O170" s="2">
        <v>4.04</v>
      </c>
      <c r="P170" s="2">
        <v>7.42</v>
      </c>
      <c r="Q170" s="2">
        <v>4.07</v>
      </c>
      <c r="R170" s="2">
        <v>7.46</v>
      </c>
      <c r="S170" s="2">
        <v>6.34</v>
      </c>
      <c r="T170" s="2">
        <v>10.28</v>
      </c>
      <c r="U170" s="2">
        <v>0.88</v>
      </c>
      <c r="V170" s="2">
        <v>0.21</v>
      </c>
      <c r="W170" s="2">
        <v>3.91</v>
      </c>
      <c r="X170" s="2">
        <v>7.74</v>
      </c>
      <c r="AA170" s="1" t="s">
        <v>23</v>
      </c>
      <c r="AB170" s="2">
        <v>16.059999999999999</v>
      </c>
      <c r="AC170" s="2">
        <v>28.58</v>
      </c>
      <c r="AD170" s="2">
        <v>16.03</v>
      </c>
      <c r="AE170" s="2">
        <v>28.54</v>
      </c>
      <c r="AF170" s="2">
        <v>22.16</v>
      </c>
      <c r="AG170" s="2">
        <v>38.619999999999997</v>
      </c>
      <c r="AH170" s="2">
        <v>3.32</v>
      </c>
      <c r="AI170" s="2">
        <v>3.99</v>
      </c>
      <c r="AJ170" s="2">
        <v>14.09</v>
      </c>
      <c r="AK170" s="2">
        <v>22.26</v>
      </c>
    </row>
    <row r="173" spans="14:37" x14ac:dyDescent="0.3">
      <c r="N173" t="s">
        <v>61</v>
      </c>
      <c r="AA173" t="s">
        <v>62</v>
      </c>
    </row>
    <row r="174" spans="14:37" x14ac:dyDescent="0.3">
      <c r="N174" s="1" t="s">
        <v>11</v>
      </c>
      <c r="O174" s="3" t="s">
        <v>12</v>
      </c>
      <c r="P174" s="3"/>
      <c r="Q174" s="3"/>
      <c r="R174" s="3"/>
      <c r="S174" s="3"/>
      <c r="T174" s="3" t="s">
        <v>13</v>
      </c>
      <c r="U174" s="3"/>
      <c r="V174" s="3"/>
      <c r="W174" s="3"/>
      <c r="X174" s="3"/>
      <c r="AA174" s="1" t="s">
        <v>11</v>
      </c>
      <c r="AB174" s="3" t="s">
        <v>12</v>
      </c>
      <c r="AC174" s="3"/>
      <c r="AD174" s="3"/>
      <c r="AE174" s="3"/>
      <c r="AF174" s="3"/>
      <c r="AG174" s="3" t="s">
        <v>13</v>
      </c>
      <c r="AH174" s="3"/>
      <c r="AI174" s="3"/>
      <c r="AJ174" s="3"/>
      <c r="AK174" s="3"/>
    </row>
    <row r="175" spans="14:37" x14ac:dyDescent="0.3">
      <c r="N175" s="1" t="s">
        <v>14</v>
      </c>
      <c r="O175" s="1" t="s">
        <v>1</v>
      </c>
      <c r="P175" s="1" t="s">
        <v>2</v>
      </c>
      <c r="Q175" s="1" t="s">
        <v>3</v>
      </c>
      <c r="R175" s="1" t="s">
        <v>4</v>
      </c>
      <c r="S175" s="1" t="s">
        <v>5</v>
      </c>
      <c r="T175" s="1" t="s">
        <v>1</v>
      </c>
      <c r="U175" s="1" t="s">
        <v>2</v>
      </c>
      <c r="V175" s="1" t="s">
        <v>3</v>
      </c>
      <c r="W175" s="1" t="s">
        <v>4</v>
      </c>
      <c r="X175" s="1" t="s">
        <v>5</v>
      </c>
      <c r="AA175" s="1" t="s">
        <v>14</v>
      </c>
      <c r="AB175" s="1" t="s">
        <v>1</v>
      </c>
      <c r="AC175" s="1" t="s">
        <v>2</v>
      </c>
      <c r="AD175" s="1" t="s">
        <v>3</v>
      </c>
      <c r="AE175" s="1" t="s">
        <v>4</v>
      </c>
      <c r="AF175" s="1" t="s">
        <v>5</v>
      </c>
      <c r="AG175" s="1" t="s">
        <v>1</v>
      </c>
      <c r="AH175" s="1" t="s">
        <v>2</v>
      </c>
      <c r="AI175" s="1" t="s">
        <v>3</v>
      </c>
      <c r="AJ175" s="1" t="s">
        <v>4</v>
      </c>
      <c r="AK175" s="1" t="s">
        <v>5</v>
      </c>
    </row>
    <row r="176" spans="14:37" x14ac:dyDescent="0.3">
      <c r="N176" s="1" t="s">
        <v>15</v>
      </c>
      <c r="AA176" s="1" t="s">
        <v>15</v>
      </c>
    </row>
    <row r="177" spans="14:37" x14ac:dyDescent="0.3">
      <c r="N177" s="1" t="s">
        <v>16</v>
      </c>
      <c r="O177" s="2">
        <v>503.11</v>
      </c>
      <c r="P177" s="2">
        <v>868.86</v>
      </c>
      <c r="Q177" s="2">
        <v>185.77</v>
      </c>
      <c r="R177" s="2">
        <v>247.5</v>
      </c>
      <c r="S177" s="2">
        <v>247.65</v>
      </c>
      <c r="T177" s="2">
        <v>510.98</v>
      </c>
      <c r="U177" s="2">
        <v>488.93</v>
      </c>
      <c r="V177" s="2">
        <v>182.5</v>
      </c>
      <c r="W177" s="2">
        <v>229.7</v>
      </c>
      <c r="X177" s="2">
        <v>231.91</v>
      </c>
      <c r="AA177" s="1" t="s">
        <v>16</v>
      </c>
      <c r="AB177" s="2">
        <v>4595.83</v>
      </c>
      <c r="AC177" s="2">
        <v>7891.64</v>
      </c>
      <c r="AD177" s="2">
        <v>3265.79</v>
      </c>
      <c r="AE177" s="2">
        <v>3820.41</v>
      </c>
      <c r="AF177" s="2">
        <v>2244.35</v>
      </c>
      <c r="AG177" s="2">
        <v>4628</v>
      </c>
      <c r="AH177" s="2">
        <v>7547.07</v>
      </c>
      <c r="AI177" s="2">
        <v>3188.7</v>
      </c>
      <c r="AJ177" s="2">
        <v>4274.8</v>
      </c>
      <c r="AK177" s="2">
        <v>2125.69</v>
      </c>
    </row>
    <row r="178" spans="14:37" x14ac:dyDescent="0.3">
      <c r="N178" s="1" t="s">
        <v>17</v>
      </c>
      <c r="O178" s="2">
        <v>46.14</v>
      </c>
      <c r="P178" s="2">
        <v>63.54</v>
      </c>
      <c r="Q178" s="2">
        <v>45.67</v>
      </c>
      <c r="R178" s="2">
        <v>43.5</v>
      </c>
      <c r="S178" s="2">
        <v>22.46</v>
      </c>
      <c r="T178" s="2">
        <v>37.93</v>
      </c>
      <c r="U178" s="2">
        <v>85.59</v>
      </c>
      <c r="V178" s="2">
        <v>38.450000000000003</v>
      </c>
      <c r="W178" s="2">
        <v>43.24</v>
      </c>
      <c r="X178" s="2">
        <v>20.76</v>
      </c>
      <c r="AA178" s="1" t="s">
        <v>17</v>
      </c>
      <c r="AB178" s="2">
        <v>619.72</v>
      </c>
      <c r="AC178" s="2">
        <v>1301.46</v>
      </c>
      <c r="AD178" s="2">
        <v>679.39</v>
      </c>
      <c r="AE178" s="2">
        <v>644.59</v>
      </c>
      <c r="AF178" s="2">
        <v>314.29000000000002</v>
      </c>
      <c r="AG178" s="2">
        <v>749.01</v>
      </c>
      <c r="AH178" s="2">
        <v>886.94</v>
      </c>
      <c r="AI178" s="2">
        <v>572.23</v>
      </c>
      <c r="AJ178" s="2">
        <v>841.82</v>
      </c>
      <c r="AK178" s="2">
        <v>394.44</v>
      </c>
    </row>
    <row r="179" spans="14:37" x14ac:dyDescent="0.3">
      <c r="N179" s="1" t="s">
        <v>18</v>
      </c>
      <c r="O179" s="2">
        <v>351.64</v>
      </c>
      <c r="P179" s="2">
        <v>319.25</v>
      </c>
      <c r="Q179" s="2">
        <v>297.69</v>
      </c>
      <c r="R179" s="2">
        <v>218.44</v>
      </c>
      <c r="S179" s="2">
        <v>48.64</v>
      </c>
      <c r="T179" s="2">
        <v>240.68</v>
      </c>
      <c r="U179" s="2">
        <v>538.41999999999996</v>
      </c>
      <c r="V179" s="2">
        <v>233.7</v>
      </c>
      <c r="W179" s="2">
        <v>250.55</v>
      </c>
      <c r="X179" s="2">
        <v>114.37</v>
      </c>
      <c r="AA179" s="1" t="s">
        <v>18</v>
      </c>
      <c r="AB179" s="2">
        <v>3913.18</v>
      </c>
      <c r="AC179" s="2">
        <v>6538.75</v>
      </c>
      <c r="AD179" s="2">
        <v>4108.45</v>
      </c>
      <c r="AE179" s="2">
        <v>4327.6000000000004</v>
      </c>
      <c r="AF179" s="2">
        <v>824.96</v>
      </c>
      <c r="AG179" s="2">
        <v>2424.17</v>
      </c>
      <c r="AH179" s="2">
        <v>5031.1899999999996</v>
      </c>
      <c r="AI179" s="2">
        <v>3461.48</v>
      </c>
      <c r="AJ179" s="2">
        <v>4878.43</v>
      </c>
      <c r="AK179" s="2">
        <v>1205.6300000000001</v>
      </c>
    </row>
    <row r="180" spans="14:37" x14ac:dyDescent="0.3">
      <c r="N180" s="1" t="s">
        <v>19</v>
      </c>
      <c r="O180" s="2">
        <v>104.19</v>
      </c>
      <c r="P180" s="2">
        <v>187.35</v>
      </c>
      <c r="Q180" s="2">
        <v>71.510000000000005</v>
      </c>
      <c r="R180" s="2">
        <v>78.39</v>
      </c>
      <c r="S180" s="2">
        <v>22.56</v>
      </c>
      <c r="T180" s="2">
        <v>95.14</v>
      </c>
      <c r="U180" s="2">
        <v>168.89</v>
      </c>
      <c r="V180" s="2">
        <v>129.71</v>
      </c>
      <c r="W180" s="2">
        <v>93.24</v>
      </c>
      <c r="X180" s="2">
        <v>23.38</v>
      </c>
      <c r="AA180" s="1" t="s">
        <v>19</v>
      </c>
      <c r="AB180" s="2">
        <v>1345.46</v>
      </c>
      <c r="AC180" s="2">
        <v>3149.9</v>
      </c>
      <c r="AD180" s="2">
        <v>1416.76</v>
      </c>
      <c r="AE180" s="2">
        <v>1553.13</v>
      </c>
      <c r="AF180" s="2">
        <v>428.64</v>
      </c>
      <c r="AG180" s="2">
        <v>1103.83</v>
      </c>
      <c r="AH180" s="2">
        <v>2205.8000000000002</v>
      </c>
      <c r="AI180" s="2">
        <v>1774.02</v>
      </c>
      <c r="AJ180" s="2">
        <v>1815.48</v>
      </c>
      <c r="AK180" s="2">
        <v>397.56</v>
      </c>
    </row>
    <row r="181" spans="14:37" x14ac:dyDescent="0.3">
      <c r="N181" s="1" t="s">
        <v>20</v>
      </c>
      <c r="O181" s="2">
        <v>362.08</v>
      </c>
      <c r="P181" s="2">
        <v>790.86</v>
      </c>
      <c r="Q181" s="2">
        <v>396.98</v>
      </c>
      <c r="R181" s="2">
        <v>255.61</v>
      </c>
      <c r="S181" s="2">
        <v>198.85</v>
      </c>
      <c r="T181" s="2">
        <v>249.35</v>
      </c>
      <c r="U181" s="2">
        <v>708.28</v>
      </c>
      <c r="V181" s="2">
        <v>344.61</v>
      </c>
      <c r="W181" s="2">
        <v>310.08</v>
      </c>
      <c r="X181" s="2">
        <v>223.86</v>
      </c>
      <c r="AA181" s="1" t="s">
        <v>20</v>
      </c>
      <c r="AB181" s="2">
        <v>4213.3500000000004</v>
      </c>
      <c r="AC181" s="2">
        <v>9972.07</v>
      </c>
      <c r="AD181" s="2">
        <v>5841.42</v>
      </c>
      <c r="AE181" s="2">
        <v>5063.99</v>
      </c>
      <c r="AF181" s="2">
        <v>2837.15</v>
      </c>
      <c r="AG181" s="2">
        <v>4923.83</v>
      </c>
      <c r="AH181" s="2">
        <v>8855.6299999999992</v>
      </c>
      <c r="AI181" s="2">
        <v>5305.79</v>
      </c>
      <c r="AJ181" s="2">
        <v>6037.47</v>
      </c>
      <c r="AK181" s="2">
        <v>2640.14</v>
      </c>
    </row>
    <row r="182" spans="14:37" x14ac:dyDescent="0.3">
      <c r="N182" s="1" t="s">
        <v>21</v>
      </c>
      <c r="O182" s="2">
        <v>66.64</v>
      </c>
      <c r="P182" s="2">
        <v>144.68</v>
      </c>
      <c r="Q182" s="2">
        <v>63.99</v>
      </c>
      <c r="R182" s="2">
        <v>60.14</v>
      </c>
      <c r="S182" s="2">
        <v>42.5</v>
      </c>
      <c r="T182" s="2">
        <v>42.42</v>
      </c>
      <c r="U182" s="2">
        <v>99.14</v>
      </c>
      <c r="V182" s="2">
        <v>52.53</v>
      </c>
      <c r="W182" s="2">
        <v>58.04</v>
      </c>
      <c r="X182" s="2">
        <v>24.44</v>
      </c>
      <c r="AA182" s="1" t="s">
        <v>21</v>
      </c>
      <c r="AB182" s="2">
        <v>1036.8399999999999</v>
      </c>
      <c r="AC182" s="2">
        <v>2410.4499999999998</v>
      </c>
      <c r="AD182" s="2">
        <v>1181.8499999999999</v>
      </c>
      <c r="AE182" s="2">
        <v>1191.55</v>
      </c>
      <c r="AF182" s="2">
        <v>587.1</v>
      </c>
      <c r="AG182" s="2">
        <v>837.62</v>
      </c>
      <c r="AH182" s="2">
        <v>1957.77</v>
      </c>
      <c r="AI182" s="2">
        <v>1022.77</v>
      </c>
      <c r="AJ182" s="2">
        <v>1130.1300000000001</v>
      </c>
      <c r="AK182" s="2">
        <v>263.8</v>
      </c>
    </row>
    <row r="183" spans="14:37" x14ac:dyDescent="0.3">
      <c r="N183" s="1" t="s">
        <v>22</v>
      </c>
      <c r="O183" s="2">
        <v>212.94</v>
      </c>
      <c r="P183" s="2">
        <v>495.91</v>
      </c>
      <c r="Q183" s="2">
        <v>196.83</v>
      </c>
      <c r="R183" s="2">
        <v>199.53</v>
      </c>
      <c r="S183" s="2">
        <v>81.92</v>
      </c>
      <c r="T183" s="2">
        <v>211</v>
      </c>
      <c r="U183" s="2">
        <v>452.78</v>
      </c>
      <c r="V183" s="2">
        <v>162.55000000000001</v>
      </c>
      <c r="W183" s="2">
        <v>160.85</v>
      </c>
      <c r="X183" s="2">
        <v>82.75</v>
      </c>
      <c r="AA183" s="1" t="s">
        <v>22</v>
      </c>
      <c r="AB183" s="2">
        <v>3690.2</v>
      </c>
      <c r="AC183" s="2">
        <v>5698.57</v>
      </c>
      <c r="AD183" s="2">
        <v>3899.44</v>
      </c>
      <c r="AE183" s="2">
        <v>3952.94</v>
      </c>
      <c r="AF183" s="2">
        <v>953.08</v>
      </c>
      <c r="AG183" s="2">
        <v>3859.22</v>
      </c>
      <c r="AH183" s="2">
        <v>7305.97</v>
      </c>
      <c r="AI183" s="2">
        <v>3164.89</v>
      </c>
      <c r="AJ183" s="2">
        <v>3131.89</v>
      </c>
      <c r="AK183" s="2">
        <v>1120.6099999999999</v>
      </c>
    </row>
    <row r="184" spans="14:37" x14ac:dyDescent="0.3">
      <c r="N184" s="1" t="s">
        <v>23</v>
      </c>
      <c r="O184" s="2">
        <v>108.67</v>
      </c>
      <c r="P184" s="2">
        <v>221.38</v>
      </c>
      <c r="Q184" s="2">
        <v>116.55</v>
      </c>
      <c r="R184" s="2">
        <v>105.03</v>
      </c>
      <c r="S184" s="2">
        <v>67.44</v>
      </c>
      <c r="T184" s="2">
        <v>120.6</v>
      </c>
      <c r="U184" s="2">
        <v>215.24</v>
      </c>
      <c r="V184" s="2">
        <v>97.83</v>
      </c>
      <c r="W184" s="2">
        <v>93.68</v>
      </c>
      <c r="X184" s="2">
        <v>82.61</v>
      </c>
      <c r="AA184" s="1" t="s">
        <v>23</v>
      </c>
      <c r="AB184" s="2">
        <v>2225.75</v>
      </c>
      <c r="AC184" s="2">
        <v>4534.37</v>
      </c>
      <c r="AD184" s="2">
        <v>2090.9699999999998</v>
      </c>
      <c r="AE184" s="2">
        <v>2080.89</v>
      </c>
      <c r="AF184" s="2">
        <v>1281.3599999999999</v>
      </c>
      <c r="AG184" s="2">
        <v>2381.46</v>
      </c>
      <c r="AH184" s="2">
        <v>4250.26</v>
      </c>
      <c r="AI184" s="2">
        <v>1904.73</v>
      </c>
      <c r="AJ184" s="2">
        <v>1823.95</v>
      </c>
      <c r="AK184" s="2">
        <v>1186.99</v>
      </c>
    </row>
    <row r="187" spans="14:37" x14ac:dyDescent="0.3">
      <c r="N187" t="s">
        <v>63</v>
      </c>
      <c r="AA187" t="s">
        <v>64</v>
      </c>
    </row>
    <row r="188" spans="14:37" x14ac:dyDescent="0.3">
      <c r="N188" s="1" t="s">
        <v>11</v>
      </c>
      <c r="O188" s="1" t="s">
        <v>12</v>
      </c>
      <c r="P188" s="1" t="s">
        <v>13</v>
      </c>
      <c r="Q188" s="1" t="s">
        <v>12</v>
      </c>
      <c r="R188" s="1" t="s">
        <v>13</v>
      </c>
      <c r="S188" s="1" t="s">
        <v>12</v>
      </c>
      <c r="T188" s="1" t="s">
        <v>13</v>
      </c>
      <c r="U188" s="1" t="s">
        <v>12</v>
      </c>
      <c r="V188" s="1" t="s">
        <v>13</v>
      </c>
      <c r="W188" s="1" t="s">
        <v>12</v>
      </c>
      <c r="X188" s="1" t="s">
        <v>13</v>
      </c>
      <c r="AA188" s="1" t="s">
        <v>11</v>
      </c>
      <c r="AB188" s="1" t="s">
        <v>12</v>
      </c>
      <c r="AC188" s="1" t="s">
        <v>13</v>
      </c>
      <c r="AD188" s="1" t="s">
        <v>12</v>
      </c>
      <c r="AE188" s="1" t="s">
        <v>13</v>
      </c>
      <c r="AF188" s="1" t="s">
        <v>12</v>
      </c>
      <c r="AG188" s="1" t="s">
        <v>13</v>
      </c>
      <c r="AH188" s="1" t="s">
        <v>12</v>
      </c>
      <c r="AI188" s="1" t="s">
        <v>13</v>
      </c>
      <c r="AJ188" s="1" t="s">
        <v>12</v>
      </c>
      <c r="AK188" s="1" t="s">
        <v>13</v>
      </c>
    </row>
    <row r="189" spans="14:37" x14ac:dyDescent="0.3">
      <c r="N189" s="1" t="s">
        <v>14</v>
      </c>
      <c r="O189" s="1" t="s">
        <v>1</v>
      </c>
      <c r="P189" s="1" t="s">
        <v>1</v>
      </c>
      <c r="Q189" s="1" t="s">
        <v>2</v>
      </c>
      <c r="R189" s="1" t="s">
        <v>2</v>
      </c>
      <c r="S189" s="1" t="s">
        <v>3</v>
      </c>
      <c r="T189" s="1" t="s">
        <v>3</v>
      </c>
      <c r="U189" s="1" t="s">
        <v>4</v>
      </c>
      <c r="V189" s="1" t="s">
        <v>4</v>
      </c>
      <c r="W189" s="1" t="s">
        <v>5</v>
      </c>
      <c r="X189" s="1" t="s">
        <v>5</v>
      </c>
      <c r="AA189" s="1" t="s">
        <v>14</v>
      </c>
      <c r="AB189" s="1" t="s">
        <v>1</v>
      </c>
      <c r="AC189" s="1" t="s">
        <v>1</v>
      </c>
      <c r="AD189" s="1" t="s">
        <v>2</v>
      </c>
      <c r="AE189" s="1" t="s">
        <v>2</v>
      </c>
      <c r="AF189" s="1" t="s">
        <v>3</v>
      </c>
      <c r="AG189" s="1" t="s">
        <v>3</v>
      </c>
      <c r="AH189" s="1" t="s">
        <v>4</v>
      </c>
      <c r="AI189" s="1" t="s">
        <v>4</v>
      </c>
      <c r="AJ189" s="1" t="s">
        <v>5</v>
      </c>
      <c r="AK189" s="1" t="s">
        <v>5</v>
      </c>
    </row>
    <row r="190" spans="14:37" x14ac:dyDescent="0.3">
      <c r="N190" s="1" t="s">
        <v>15</v>
      </c>
      <c r="AA190" s="1" t="s">
        <v>15</v>
      </c>
    </row>
    <row r="191" spans="14:37" x14ac:dyDescent="0.3">
      <c r="N191" s="1" t="s">
        <v>16</v>
      </c>
      <c r="O191" s="2">
        <v>228.69</v>
      </c>
      <c r="P191" s="2">
        <v>232.26</v>
      </c>
      <c r="Q191" s="2">
        <v>347.54</v>
      </c>
      <c r="R191" s="2">
        <v>195.57</v>
      </c>
      <c r="S191" s="2">
        <v>66.349999999999994</v>
      </c>
      <c r="T191" s="2">
        <v>65.180000000000007</v>
      </c>
      <c r="U191" s="2">
        <v>75</v>
      </c>
      <c r="V191" s="2">
        <v>69.61</v>
      </c>
      <c r="W191" s="2">
        <v>309.57</v>
      </c>
      <c r="X191" s="2">
        <v>289.89</v>
      </c>
      <c r="AA191" s="1" t="s">
        <v>16</v>
      </c>
      <c r="AB191" s="2">
        <v>2089.0100000000002</v>
      </c>
      <c r="AC191" s="2">
        <v>2103.64</v>
      </c>
      <c r="AD191" s="2">
        <v>3156.66</v>
      </c>
      <c r="AE191" s="2">
        <v>3018.83</v>
      </c>
      <c r="AF191" s="2">
        <v>1166.3499999999999</v>
      </c>
      <c r="AG191" s="2">
        <v>1138.82</v>
      </c>
      <c r="AH191" s="2">
        <v>1157.7</v>
      </c>
      <c r="AI191" s="2">
        <v>1295.3900000000001</v>
      </c>
      <c r="AJ191" s="2">
        <v>2805.43</v>
      </c>
      <c r="AK191" s="2">
        <v>2657.11</v>
      </c>
    </row>
    <row r="192" spans="14:37" x14ac:dyDescent="0.3">
      <c r="N192" s="1" t="s">
        <v>17</v>
      </c>
      <c r="O192" s="2">
        <v>20.97</v>
      </c>
      <c r="P192" s="2">
        <v>17.239999999999998</v>
      </c>
      <c r="Q192" s="2">
        <v>25.42</v>
      </c>
      <c r="R192" s="2">
        <v>34.229999999999997</v>
      </c>
      <c r="S192" s="2">
        <v>16.309999999999999</v>
      </c>
      <c r="T192" s="2">
        <v>13.73</v>
      </c>
      <c r="U192" s="2">
        <v>13.18</v>
      </c>
      <c r="V192" s="2">
        <v>13.1</v>
      </c>
      <c r="W192" s="2">
        <v>28.08</v>
      </c>
      <c r="X192" s="2">
        <v>25.95</v>
      </c>
      <c r="AA192" s="1" t="s">
        <v>17</v>
      </c>
      <c r="AB192" s="2">
        <v>281.69</v>
      </c>
      <c r="AC192" s="2">
        <v>340.46</v>
      </c>
      <c r="AD192" s="2">
        <v>520.58000000000004</v>
      </c>
      <c r="AE192" s="2">
        <v>354.78</v>
      </c>
      <c r="AF192" s="2">
        <v>242.64</v>
      </c>
      <c r="AG192" s="2">
        <v>204.37</v>
      </c>
      <c r="AH192" s="2">
        <v>195.33</v>
      </c>
      <c r="AI192" s="2">
        <v>255.1</v>
      </c>
      <c r="AJ192" s="2">
        <v>392.86</v>
      </c>
      <c r="AK192" s="2">
        <v>493.05</v>
      </c>
    </row>
    <row r="193" spans="14:37" x14ac:dyDescent="0.3">
      <c r="N193" s="1" t="s">
        <v>18</v>
      </c>
      <c r="O193" s="2">
        <v>159.84</v>
      </c>
      <c r="P193" s="2">
        <v>109.4</v>
      </c>
      <c r="Q193" s="2">
        <v>127.7</v>
      </c>
      <c r="R193" s="2">
        <v>215.37</v>
      </c>
      <c r="S193" s="2">
        <v>106.32</v>
      </c>
      <c r="T193" s="2">
        <v>83.47</v>
      </c>
      <c r="U193" s="2">
        <v>66.19</v>
      </c>
      <c r="V193" s="2">
        <v>75.92</v>
      </c>
      <c r="W193" s="2">
        <v>60.8</v>
      </c>
      <c r="X193" s="2">
        <v>142.97</v>
      </c>
      <c r="AA193" s="1" t="s">
        <v>18</v>
      </c>
      <c r="AB193" s="2">
        <v>1778.72</v>
      </c>
      <c r="AC193" s="2">
        <v>1101.8900000000001</v>
      </c>
      <c r="AD193" s="2">
        <v>2615.5</v>
      </c>
      <c r="AE193" s="2">
        <v>2012.48</v>
      </c>
      <c r="AF193" s="2">
        <v>1467.3</v>
      </c>
      <c r="AG193" s="2">
        <v>1236.24</v>
      </c>
      <c r="AH193" s="2">
        <v>1311.39</v>
      </c>
      <c r="AI193" s="2">
        <v>1478.31</v>
      </c>
      <c r="AJ193" s="2">
        <v>1031.2</v>
      </c>
      <c r="AK193" s="2">
        <v>1507.03</v>
      </c>
    </row>
    <row r="194" spans="14:37" x14ac:dyDescent="0.3">
      <c r="N194" s="1" t="s">
        <v>19</v>
      </c>
      <c r="O194" s="2">
        <v>47.36</v>
      </c>
      <c r="P194" s="2">
        <v>43.24</v>
      </c>
      <c r="Q194" s="2">
        <v>74.94</v>
      </c>
      <c r="R194" s="2">
        <v>67.55</v>
      </c>
      <c r="S194" s="2">
        <v>25.54</v>
      </c>
      <c r="T194" s="2">
        <v>46.32</v>
      </c>
      <c r="U194" s="2">
        <v>23.76</v>
      </c>
      <c r="V194" s="2">
        <v>28.25</v>
      </c>
      <c r="W194" s="2">
        <v>28.2</v>
      </c>
      <c r="X194" s="2">
        <v>29.22</v>
      </c>
      <c r="AA194" s="1" t="s">
        <v>19</v>
      </c>
      <c r="AB194" s="2">
        <v>611.57000000000005</v>
      </c>
      <c r="AC194" s="2">
        <v>501.74</v>
      </c>
      <c r="AD194" s="2">
        <v>1259.96</v>
      </c>
      <c r="AE194" s="2">
        <v>882.32</v>
      </c>
      <c r="AF194" s="2">
        <v>505.99</v>
      </c>
      <c r="AG194" s="2">
        <v>633.58000000000004</v>
      </c>
      <c r="AH194" s="2">
        <v>470.64</v>
      </c>
      <c r="AI194" s="2">
        <v>550.15</v>
      </c>
      <c r="AJ194" s="2">
        <v>535.79999999999995</v>
      </c>
      <c r="AK194" s="2">
        <v>496.95</v>
      </c>
    </row>
    <row r="195" spans="14:37" x14ac:dyDescent="0.3">
      <c r="N195" s="1" t="s">
        <v>20</v>
      </c>
      <c r="O195" s="2">
        <v>164.58</v>
      </c>
      <c r="P195" s="2">
        <v>113.34</v>
      </c>
      <c r="Q195" s="2">
        <v>316.33999999999997</v>
      </c>
      <c r="R195" s="2">
        <v>283.31</v>
      </c>
      <c r="S195" s="2">
        <v>141.78</v>
      </c>
      <c r="T195" s="2">
        <v>123.07</v>
      </c>
      <c r="U195" s="2">
        <v>77.459999999999994</v>
      </c>
      <c r="V195" s="2">
        <v>93.96</v>
      </c>
      <c r="W195" s="2">
        <v>248.56</v>
      </c>
      <c r="X195" s="2">
        <v>279.82</v>
      </c>
      <c r="AA195" s="1" t="s">
        <v>20</v>
      </c>
      <c r="AB195" s="2">
        <v>1915.16</v>
      </c>
      <c r="AC195" s="2">
        <v>2238.1</v>
      </c>
      <c r="AD195" s="2">
        <v>3988.83</v>
      </c>
      <c r="AE195" s="2">
        <v>3542.25</v>
      </c>
      <c r="AF195" s="2">
        <v>2086.2199999999998</v>
      </c>
      <c r="AG195" s="2">
        <v>1894.93</v>
      </c>
      <c r="AH195" s="2">
        <v>1534.54</v>
      </c>
      <c r="AI195" s="2">
        <v>1829.54</v>
      </c>
      <c r="AJ195" s="2">
        <v>3546.44</v>
      </c>
      <c r="AK195" s="2">
        <v>3300.18</v>
      </c>
    </row>
    <row r="196" spans="14:37" x14ac:dyDescent="0.3">
      <c r="N196" s="1" t="s">
        <v>21</v>
      </c>
      <c r="O196" s="2">
        <v>30.29</v>
      </c>
      <c r="P196" s="2">
        <v>19.28</v>
      </c>
      <c r="Q196" s="2">
        <v>57.87</v>
      </c>
      <c r="R196" s="2">
        <v>39.659999999999997</v>
      </c>
      <c r="S196" s="2">
        <v>22.85</v>
      </c>
      <c r="T196" s="2">
        <v>18.760000000000002</v>
      </c>
      <c r="U196" s="2">
        <v>18.23</v>
      </c>
      <c r="V196" s="2">
        <v>17.59</v>
      </c>
      <c r="W196" s="2">
        <v>53.12</v>
      </c>
      <c r="X196" s="2">
        <v>30.55</v>
      </c>
      <c r="AA196" s="1" t="s">
        <v>21</v>
      </c>
      <c r="AB196" s="2">
        <v>471.29</v>
      </c>
      <c r="AC196" s="2">
        <v>380.74</v>
      </c>
      <c r="AD196" s="2">
        <v>964.18</v>
      </c>
      <c r="AE196" s="2">
        <v>783.11</v>
      </c>
      <c r="AF196" s="2">
        <v>422.09</v>
      </c>
      <c r="AG196" s="2">
        <v>365.28</v>
      </c>
      <c r="AH196" s="2">
        <v>361.07</v>
      </c>
      <c r="AI196" s="2">
        <v>342.46</v>
      </c>
      <c r="AJ196" s="2">
        <v>733.88</v>
      </c>
      <c r="AK196" s="2">
        <v>329.75</v>
      </c>
    </row>
    <row r="197" spans="14:37" x14ac:dyDescent="0.3">
      <c r="N197" s="1" t="s">
        <v>22</v>
      </c>
      <c r="O197" s="2">
        <v>96.79</v>
      </c>
      <c r="P197" s="2">
        <v>95.91</v>
      </c>
      <c r="Q197" s="2">
        <v>198.36</v>
      </c>
      <c r="R197" s="2">
        <v>181.11</v>
      </c>
      <c r="S197" s="2">
        <v>70.3</v>
      </c>
      <c r="T197" s="2">
        <v>58.05</v>
      </c>
      <c r="U197" s="2">
        <v>60.46</v>
      </c>
      <c r="V197" s="2">
        <v>48.74</v>
      </c>
      <c r="W197" s="2">
        <v>102.4</v>
      </c>
      <c r="X197" s="2">
        <v>103.44</v>
      </c>
      <c r="AA197" s="1" t="s">
        <v>22</v>
      </c>
      <c r="AB197" s="2">
        <v>1677.36</v>
      </c>
      <c r="AC197" s="2">
        <v>1754.19</v>
      </c>
      <c r="AD197" s="2">
        <v>2279.4299999999998</v>
      </c>
      <c r="AE197" s="2">
        <v>2922.39</v>
      </c>
      <c r="AF197" s="2">
        <v>1392.66</v>
      </c>
      <c r="AG197" s="2">
        <v>1130.32</v>
      </c>
      <c r="AH197" s="2">
        <v>1197.8599999999999</v>
      </c>
      <c r="AI197" s="2">
        <v>949.06</v>
      </c>
      <c r="AJ197" s="2">
        <v>1191.3499999999999</v>
      </c>
      <c r="AK197" s="2">
        <v>1400.76</v>
      </c>
    </row>
    <row r="198" spans="14:37" x14ac:dyDescent="0.3">
      <c r="N198" s="1" t="s">
        <v>23</v>
      </c>
      <c r="O198" s="2">
        <v>49.39</v>
      </c>
      <c r="P198" s="2">
        <v>54.82</v>
      </c>
      <c r="Q198" s="2">
        <v>88.55</v>
      </c>
      <c r="R198" s="2">
        <v>86.09</v>
      </c>
      <c r="S198" s="2">
        <v>41.63</v>
      </c>
      <c r="T198" s="2">
        <v>34.94</v>
      </c>
      <c r="U198" s="2">
        <v>31.83</v>
      </c>
      <c r="V198" s="2">
        <v>28.39</v>
      </c>
      <c r="W198" s="2">
        <v>84.3</v>
      </c>
      <c r="X198" s="2">
        <v>103.27</v>
      </c>
      <c r="AA198" s="1" t="s">
        <v>23</v>
      </c>
      <c r="AB198" s="2">
        <v>1011.71</v>
      </c>
      <c r="AC198" s="2">
        <v>1082.48</v>
      </c>
      <c r="AD198" s="2">
        <v>1813.75</v>
      </c>
      <c r="AE198" s="2">
        <v>1700.11</v>
      </c>
      <c r="AF198" s="2">
        <v>746.77</v>
      </c>
      <c r="AG198" s="2">
        <v>680.26</v>
      </c>
      <c r="AH198" s="2">
        <v>630.57000000000005</v>
      </c>
      <c r="AI198" s="2">
        <v>552.71</v>
      </c>
      <c r="AJ198" s="2">
        <v>1601.7</v>
      </c>
      <c r="AK198" s="2">
        <v>1483.73</v>
      </c>
    </row>
    <row r="201" spans="14:37" x14ac:dyDescent="0.3">
      <c r="N201" t="s">
        <v>65</v>
      </c>
      <c r="AA201" t="s">
        <v>66</v>
      </c>
    </row>
    <row r="202" spans="14:37" x14ac:dyDescent="0.3">
      <c r="N202" s="1" t="s">
        <v>11</v>
      </c>
      <c r="O202" s="1" t="s">
        <v>12</v>
      </c>
      <c r="P202" s="1" t="s">
        <v>13</v>
      </c>
      <c r="Q202" s="1" t="s">
        <v>12</v>
      </c>
      <c r="R202" s="1" t="s">
        <v>13</v>
      </c>
      <c r="S202" s="1" t="s">
        <v>12</v>
      </c>
      <c r="T202" s="1" t="s">
        <v>13</v>
      </c>
      <c r="U202" s="1" t="s">
        <v>12</v>
      </c>
      <c r="V202" s="1" t="s">
        <v>13</v>
      </c>
      <c r="W202" s="1" t="s">
        <v>12</v>
      </c>
      <c r="X202" s="1" t="s">
        <v>13</v>
      </c>
      <c r="AA202" s="1" t="s">
        <v>11</v>
      </c>
      <c r="AB202" s="3" t="s">
        <v>12</v>
      </c>
      <c r="AC202" s="3"/>
      <c r="AD202" s="3"/>
      <c r="AE202" s="3"/>
      <c r="AF202" s="3"/>
      <c r="AG202" s="3" t="s">
        <v>13</v>
      </c>
      <c r="AH202" s="3"/>
      <c r="AI202" s="3"/>
      <c r="AJ202" s="3"/>
      <c r="AK202" s="3"/>
    </row>
    <row r="203" spans="14:37" x14ac:dyDescent="0.3">
      <c r="N203" s="1" t="s">
        <v>14</v>
      </c>
      <c r="O203" s="1" t="s">
        <v>1</v>
      </c>
      <c r="P203" s="1" t="s">
        <v>1</v>
      </c>
      <c r="Q203" s="1" t="s">
        <v>2</v>
      </c>
      <c r="R203" s="1" t="s">
        <v>2</v>
      </c>
      <c r="S203" s="1" t="s">
        <v>3</v>
      </c>
      <c r="T203" s="1" t="s">
        <v>3</v>
      </c>
      <c r="U203" s="1" t="s">
        <v>4</v>
      </c>
      <c r="V203" s="1" t="s">
        <v>4</v>
      </c>
      <c r="W203" s="1" t="s">
        <v>5</v>
      </c>
      <c r="X203" s="1" t="s">
        <v>5</v>
      </c>
      <c r="AA203" s="1" t="s">
        <v>14</v>
      </c>
      <c r="AB203" s="1" t="s">
        <v>1</v>
      </c>
      <c r="AC203" s="1" t="s">
        <v>2</v>
      </c>
      <c r="AD203" s="1" t="s">
        <v>3</v>
      </c>
      <c r="AE203" s="1" t="s">
        <v>4</v>
      </c>
      <c r="AF203" s="1" t="s">
        <v>5</v>
      </c>
      <c r="AG203" s="1" t="s">
        <v>1</v>
      </c>
      <c r="AH203" s="1" t="s">
        <v>2</v>
      </c>
      <c r="AI203" s="1" t="s">
        <v>3</v>
      </c>
      <c r="AJ203" s="1" t="s">
        <v>4</v>
      </c>
      <c r="AK203" s="1" t="s">
        <v>5</v>
      </c>
    </row>
    <row r="204" spans="14:37" x14ac:dyDescent="0.3">
      <c r="N204" s="1" t="s">
        <v>15</v>
      </c>
      <c r="AA204" s="1" t="s">
        <v>15</v>
      </c>
    </row>
    <row r="205" spans="14:37" x14ac:dyDescent="0.3">
      <c r="N205" s="1" t="s">
        <v>16</v>
      </c>
      <c r="O205" s="2">
        <v>0</v>
      </c>
      <c r="P205" s="2">
        <v>0</v>
      </c>
      <c r="Q205" s="2">
        <v>0</v>
      </c>
      <c r="R205" s="2">
        <v>0.59</v>
      </c>
      <c r="S205" s="2">
        <v>1</v>
      </c>
      <c r="T205" s="2">
        <v>1</v>
      </c>
      <c r="U205" s="2">
        <v>0.59</v>
      </c>
      <c r="V205" s="2">
        <v>0.59</v>
      </c>
      <c r="W205" s="2">
        <v>0.02</v>
      </c>
      <c r="X205" s="2">
        <v>0.01</v>
      </c>
      <c r="AA205" s="1" t="s">
        <v>16</v>
      </c>
      <c r="AB205" s="2">
        <v>616</v>
      </c>
      <c r="AC205" s="2">
        <v>140</v>
      </c>
      <c r="AD205" s="2">
        <v>344.96</v>
      </c>
      <c r="AE205" s="2">
        <v>124.74</v>
      </c>
      <c r="AF205" s="2">
        <v>39.200000000000003</v>
      </c>
      <c r="AG205" s="2">
        <v>575.96</v>
      </c>
      <c r="AH205" s="2">
        <v>257.25</v>
      </c>
      <c r="AI205" s="2">
        <v>397.88</v>
      </c>
      <c r="AJ205" s="2">
        <v>219.45</v>
      </c>
      <c r="AK205" s="2">
        <v>72.8</v>
      </c>
    </row>
    <row r="206" spans="14:37" x14ac:dyDescent="0.3">
      <c r="N206" s="1" t="s">
        <v>17</v>
      </c>
      <c r="O206" s="2">
        <v>0.3</v>
      </c>
      <c r="P206" s="2">
        <v>0.12</v>
      </c>
      <c r="Q206" s="2">
        <v>0.22</v>
      </c>
      <c r="R206" s="2">
        <v>0.24</v>
      </c>
      <c r="S206" s="2">
        <v>0.39</v>
      </c>
      <c r="T206" s="2">
        <v>0.26</v>
      </c>
      <c r="U206" s="2">
        <v>0.31</v>
      </c>
      <c r="V206" s="2">
        <v>0.01</v>
      </c>
      <c r="W206" s="2">
        <v>0.28999999999999998</v>
      </c>
      <c r="X206" s="2">
        <v>0.17</v>
      </c>
      <c r="AA206" s="1" t="s">
        <v>17</v>
      </c>
      <c r="AB206" s="2">
        <v>31.05</v>
      </c>
      <c r="AC206" s="2">
        <v>56.75</v>
      </c>
      <c r="AD206" s="2">
        <v>26.35</v>
      </c>
      <c r="AE206" s="2">
        <v>29.25</v>
      </c>
      <c r="AF206" s="2">
        <v>14.16</v>
      </c>
      <c r="AG206" s="2">
        <v>41.14</v>
      </c>
      <c r="AH206" s="2">
        <v>25.43</v>
      </c>
      <c r="AI206" s="2">
        <v>49.28</v>
      </c>
      <c r="AJ206" s="2">
        <v>35.64</v>
      </c>
      <c r="AK206" s="2">
        <v>11.2</v>
      </c>
    </row>
    <row r="207" spans="14:37" x14ac:dyDescent="0.3">
      <c r="N207" s="1" t="s">
        <v>18</v>
      </c>
      <c r="O207" s="2">
        <v>0.4</v>
      </c>
      <c r="P207" s="2">
        <v>0.12</v>
      </c>
      <c r="Q207" s="2">
        <v>0.28000000000000003</v>
      </c>
      <c r="R207" s="2">
        <v>0.39</v>
      </c>
      <c r="S207" s="2">
        <v>0.44</v>
      </c>
      <c r="T207" s="2">
        <v>0.28000000000000003</v>
      </c>
      <c r="U207" s="2">
        <v>0.37</v>
      </c>
      <c r="V207" s="2">
        <v>7.0000000000000007E-2</v>
      </c>
      <c r="W207" s="2">
        <v>0.08</v>
      </c>
      <c r="X207" s="2">
        <v>0.17</v>
      </c>
      <c r="AA207" s="1" t="s">
        <v>18</v>
      </c>
      <c r="AB207" s="2">
        <v>98.36</v>
      </c>
      <c r="AC207" s="2">
        <v>140.25</v>
      </c>
      <c r="AD207" s="2">
        <v>87.55</v>
      </c>
      <c r="AE207" s="2">
        <v>141.69999999999999</v>
      </c>
      <c r="AF207" s="2">
        <v>19.2</v>
      </c>
      <c r="AG207" s="2">
        <v>100.95</v>
      </c>
      <c r="AH207" s="2">
        <v>129.62</v>
      </c>
      <c r="AI207" s="2">
        <v>150.06</v>
      </c>
      <c r="AJ207" s="2">
        <v>207.2</v>
      </c>
      <c r="AK207" s="2">
        <v>38.4</v>
      </c>
    </row>
    <row r="208" spans="14:37" x14ac:dyDescent="0.3">
      <c r="N208" s="1" t="s">
        <v>19</v>
      </c>
      <c r="O208" s="2">
        <v>0.3</v>
      </c>
      <c r="P208" s="2">
        <v>0.25</v>
      </c>
      <c r="Q208" s="2">
        <v>0.32</v>
      </c>
      <c r="R208" s="2">
        <v>0.32</v>
      </c>
      <c r="S208" s="2">
        <v>0.37</v>
      </c>
      <c r="T208" s="2">
        <v>0.39</v>
      </c>
      <c r="U208" s="2">
        <v>0.23</v>
      </c>
      <c r="V208" s="2">
        <v>0.09</v>
      </c>
      <c r="W208" s="2">
        <v>0.16</v>
      </c>
      <c r="X208" s="2">
        <v>0.18</v>
      </c>
      <c r="AA208" s="1" t="s">
        <v>19</v>
      </c>
      <c r="AB208" s="2">
        <v>43.51</v>
      </c>
      <c r="AC208" s="2">
        <v>53.5</v>
      </c>
      <c r="AD208" s="2">
        <v>49.13</v>
      </c>
      <c r="AE208" s="2">
        <v>49.17</v>
      </c>
      <c r="AF208" s="2">
        <v>7.2</v>
      </c>
      <c r="AG208" s="2">
        <v>37.19</v>
      </c>
      <c r="AH208" s="2">
        <v>36.54</v>
      </c>
      <c r="AI208" s="2">
        <v>78.569999999999993</v>
      </c>
      <c r="AJ208" s="2">
        <v>49.17</v>
      </c>
      <c r="AK208" s="2">
        <v>6.08</v>
      </c>
    </row>
    <row r="209" spans="14:37" x14ac:dyDescent="0.3">
      <c r="N209" s="1" t="s">
        <v>20</v>
      </c>
      <c r="O209" s="2">
        <v>0.26</v>
      </c>
      <c r="P209" s="2">
        <v>0.28999999999999998</v>
      </c>
      <c r="Q209" s="2">
        <v>0.31</v>
      </c>
      <c r="R209" s="2">
        <v>0.3</v>
      </c>
      <c r="S209" s="2">
        <v>0.33</v>
      </c>
      <c r="T209" s="2">
        <v>0.35</v>
      </c>
      <c r="U209" s="2">
        <v>0.11</v>
      </c>
      <c r="V209" s="2">
        <v>7.0000000000000007E-2</v>
      </c>
      <c r="W209" s="2">
        <v>0.26</v>
      </c>
      <c r="X209" s="2">
        <v>0.3</v>
      </c>
      <c r="AA209" s="1" t="s">
        <v>20</v>
      </c>
      <c r="AB209" s="2">
        <v>132.58000000000001</v>
      </c>
      <c r="AC209" s="2">
        <v>237.15</v>
      </c>
      <c r="AD209" s="2">
        <v>246.4</v>
      </c>
      <c r="AE209" s="2">
        <v>201.3</v>
      </c>
      <c r="AF209" s="2">
        <v>68</v>
      </c>
      <c r="AG209" s="2">
        <v>122.14</v>
      </c>
      <c r="AH209" s="2">
        <v>221.13</v>
      </c>
      <c r="AI209" s="2">
        <v>170.8</v>
      </c>
      <c r="AJ209" s="2">
        <v>268.95</v>
      </c>
      <c r="AK209" s="2">
        <v>64</v>
      </c>
    </row>
    <row r="210" spans="14:37" x14ac:dyDescent="0.3">
      <c r="N210" s="1" t="s">
        <v>21</v>
      </c>
      <c r="O210" s="2">
        <v>0.28999999999999998</v>
      </c>
      <c r="P210" s="2">
        <v>0.28000000000000003</v>
      </c>
      <c r="Q210" s="2">
        <v>0.33</v>
      </c>
      <c r="R210" s="2">
        <v>0.34</v>
      </c>
      <c r="S210" s="2">
        <v>0.39</v>
      </c>
      <c r="T210" s="2">
        <v>0.39</v>
      </c>
      <c r="U210" s="2">
        <v>0.23</v>
      </c>
      <c r="V210" s="2">
        <v>0.36</v>
      </c>
      <c r="W210" s="2">
        <v>0.31</v>
      </c>
      <c r="X210" s="2">
        <v>0.28000000000000003</v>
      </c>
      <c r="AA210" s="1" t="s">
        <v>21</v>
      </c>
      <c r="AB210" s="2">
        <v>28.66</v>
      </c>
      <c r="AC210" s="2">
        <v>22.14</v>
      </c>
      <c r="AD210" s="2">
        <v>55.57</v>
      </c>
      <c r="AE210" s="2">
        <v>35.64</v>
      </c>
      <c r="AF210" s="2">
        <v>5.6</v>
      </c>
      <c r="AG210" s="2">
        <v>13.59</v>
      </c>
      <c r="AH210" s="2">
        <v>21.33</v>
      </c>
      <c r="AI210" s="2">
        <v>44.64</v>
      </c>
      <c r="AJ210" s="2">
        <v>30.63</v>
      </c>
      <c r="AK210" s="2">
        <v>3.26</v>
      </c>
    </row>
    <row r="211" spans="14:37" x14ac:dyDescent="0.3">
      <c r="N211" s="1" t="s">
        <v>22</v>
      </c>
      <c r="O211" s="2">
        <v>0.36</v>
      </c>
      <c r="P211" s="2">
        <v>0.35</v>
      </c>
      <c r="Q211" s="2">
        <v>0.28000000000000003</v>
      </c>
      <c r="R211" s="2">
        <v>0.27</v>
      </c>
      <c r="S211" s="2">
        <v>0.32</v>
      </c>
      <c r="T211" s="2">
        <v>0.37</v>
      </c>
      <c r="U211" s="2">
        <v>0.15</v>
      </c>
      <c r="V211" s="2">
        <v>0.1</v>
      </c>
      <c r="W211" s="2">
        <v>0.12</v>
      </c>
      <c r="X211" s="2">
        <v>0.13</v>
      </c>
      <c r="AA211" s="1" t="s">
        <v>22</v>
      </c>
      <c r="AB211" s="2">
        <v>133.05000000000001</v>
      </c>
      <c r="AC211" s="2">
        <v>126.79</v>
      </c>
      <c r="AD211" s="2">
        <v>176.83</v>
      </c>
      <c r="AE211" s="2">
        <v>199.49</v>
      </c>
      <c r="AF211" s="2">
        <v>19.32</v>
      </c>
      <c r="AG211" s="2">
        <v>176.22</v>
      </c>
      <c r="AH211" s="2">
        <v>120</v>
      </c>
      <c r="AI211" s="2">
        <v>154.4</v>
      </c>
      <c r="AJ211" s="2">
        <v>102.96</v>
      </c>
      <c r="AK211" s="2">
        <v>19.32</v>
      </c>
    </row>
    <row r="212" spans="14:37" x14ac:dyDescent="0.3">
      <c r="N212" s="1" t="s">
        <v>23</v>
      </c>
      <c r="O212" s="2">
        <v>0.13</v>
      </c>
      <c r="P212" s="2">
        <v>0.14000000000000001</v>
      </c>
      <c r="Q212" s="2">
        <v>0.15</v>
      </c>
      <c r="R212" s="2">
        <v>0.01</v>
      </c>
      <c r="S212" s="2">
        <v>0.21</v>
      </c>
      <c r="T212" s="2">
        <v>0.21</v>
      </c>
      <c r="U212" s="2">
        <v>0.08</v>
      </c>
      <c r="V212" s="2">
        <v>0</v>
      </c>
      <c r="W212" s="2">
        <v>0.09</v>
      </c>
      <c r="X212" s="2">
        <v>0.2</v>
      </c>
      <c r="AA212" s="1" t="s">
        <v>23</v>
      </c>
      <c r="AB212" s="2">
        <v>255.42</v>
      </c>
      <c r="AC212" s="2">
        <v>120</v>
      </c>
      <c r="AD212" s="2">
        <v>170.52</v>
      </c>
      <c r="AE212" s="2">
        <v>67.319999999999993</v>
      </c>
      <c r="AF212" s="2">
        <v>33.6</v>
      </c>
      <c r="AG212" s="2">
        <v>202.62</v>
      </c>
      <c r="AH212" s="2">
        <v>30</v>
      </c>
      <c r="AI212" s="2">
        <v>125.16</v>
      </c>
      <c r="AJ212" s="2">
        <v>26.73</v>
      </c>
      <c r="AK212" s="2">
        <v>9.6</v>
      </c>
    </row>
    <row r="215" spans="14:37" x14ac:dyDescent="0.3">
      <c r="N215" t="s">
        <v>67</v>
      </c>
      <c r="AA215" t="s">
        <v>68</v>
      </c>
    </row>
    <row r="216" spans="14:37" x14ac:dyDescent="0.3">
      <c r="N216" s="1" t="s">
        <v>11</v>
      </c>
      <c r="O216" s="1" t="s">
        <v>12</v>
      </c>
      <c r="P216" s="1" t="s">
        <v>13</v>
      </c>
      <c r="Q216" s="1" t="s">
        <v>12</v>
      </c>
      <c r="R216" s="1" t="s">
        <v>13</v>
      </c>
      <c r="S216" s="1" t="s">
        <v>12</v>
      </c>
      <c r="T216" s="1" t="s">
        <v>13</v>
      </c>
      <c r="U216" s="1" t="s">
        <v>12</v>
      </c>
      <c r="V216" s="1" t="s">
        <v>13</v>
      </c>
      <c r="W216" s="1" t="s">
        <v>12</v>
      </c>
      <c r="X216" s="1" t="s">
        <v>13</v>
      </c>
      <c r="AA216" s="1" t="s">
        <v>11</v>
      </c>
      <c r="AB216" s="1" t="s">
        <v>12</v>
      </c>
      <c r="AC216" s="1" t="s">
        <v>13</v>
      </c>
      <c r="AD216" s="1" t="s">
        <v>12</v>
      </c>
      <c r="AE216" s="1" t="s">
        <v>13</v>
      </c>
      <c r="AF216" s="1" t="s">
        <v>12</v>
      </c>
      <c r="AG216" s="1" t="s">
        <v>13</v>
      </c>
      <c r="AH216" s="1" t="s">
        <v>12</v>
      </c>
      <c r="AI216" s="1" t="s">
        <v>13</v>
      </c>
      <c r="AJ216" s="1" t="s">
        <v>12</v>
      </c>
      <c r="AK216" s="1" t="s">
        <v>13</v>
      </c>
    </row>
    <row r="217" spans="14:37" x14ac:dyDescent="0.3">
      <c r="N217" s="1" t="s">
        <v>14</v>
      </c>
      <c r="O217" s="1" t="s">
        <v>1</v>
      </c>
      <c r="P217" s="1" t="s">
        <v>1</v>
      </c>
      <c r="Q217" s="1" t="s">
        <v>2</v>
      </c>
      <c r="R217" s="1" t="s">
        <v>2</v>
      </c>
      <c r="S217" s="1" t="s">
        <v>3</v>
      </c>
      <c r="T217" s="1" t="s">
        <v>3</v>
      </c>
      <c r="U217" s="1" t="s">
        <v>4</v>
      </c>
      <c r="V217" s="1" t="s">
        <v>4</v>
      </c>
      <c r="W217" s="1" t="s">
        <v>5</v>
      </c>
      <c r="X217" s="1" t="s">
        <v>5</v>
      </c>
      <c r="AA217" s="1" t="s">
        <v>14</v>
      </c>
      <c r="AB217" s="1" t="s">
        <v>1</v>
      </c>
      <c r="AC217" s="1" t="s">
        <v>1</v>
      </c>
      <c r="AD217" s="1" t="s">
        <v>2</v>
      </c>
      <c r="AE217" s="1" t="s">
        <v>2</v>
      </c>
      <c r="AF217" s="1" t="s">
        <v>3</v>
      </c>
      <c r="AG217" s="1" t="s">
        <v>3</v>
      </c>
      <c r="AH217" s="1" t="s">
        <v>4</v>
      </c>
      <c r="AI217" s="1" t="s">
        <v>4</v>
      </c>
      <c r="AJ217" s="1" t="s">
        <v>5</v>
      </c>
      <c r="AK217" s="1" t="s">
        <v>5</v>
      </c>
    </row>
    <row r="218" spans="14:37" x14ac:dyDescent="0.3">
      <c r="N218" s="1" t="s">
        <v>15</v>
      </c>
      <c r="AA218" s="1" t="s">
        <v>15</v>
      </c>
    </row>
    <row r="219" spans="14:37" x14ac:dyDescent="0.3">
      <c r="N219" s="1" t="s">
        <v>16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0.01</v>
      </c>
      <c r="X219" s="2">
        <v>0</v>
      </c>
      <c r="AA219" s="1" t="s">
        <v>16</v>
      </c>
      <c r="AB219" s="2">
        <v>280</v>
      </c>
      <c r="AC219" s="2">
        <v>261.8</v>
      </c>
      <c r="AD219" s="2">
        <v>56</v>
      </c>
      <c r="AE219" s="2">
        <v>102.9</v>
      </c>
      <c r="AF219" s="2">
        <v>123.2</v>
      </c>
      <c r="AG219" s="2">
        <v>142.1</v>
      </c>
      <c r="AH219" s="2">
        <v>37.799999999999997</v>
      </c>
      <c r="AI219" s="2">
        <v>66.5</v>
      </c>
      <c r="AJ219" s="2">
        <v>49</v>
      </c>
      <c r="AK219" s="2">
        <v>91</v>
      </c>
    </row>
    <row r="220" spans="14:37" x14ac:dyDescent="0.3">
      <c r="N220" s="1" t="s">
        <v>17</v>
      </c>
      <c r="O220" s="2">
        <v>0.65</v>
      </c>
      <c r="P220" s="2">
        <v>0.16</v>
      </c>
      <c r="Q220" s="2">
        <v>0.36</v>
      </c>
      <c r="R220" s="2">
        <v>0.64</v>
      </c>
      <c r="S220" s="2">
        <v>0.94</v>
      </c>
      <c r="T220" s="2">
        <v>0.49</v>
      </c>
      <c r="U220" s="2">
        <v>1.01</v>
      </c>
      <c r="V220" s="2">
        <v>0.01</v>
      </c>
      <c r="W220" s="2">
        <v>0.22</v>
      </c>
      <c r="X220" s="2">
        <v>0.1</v>
      </c>
      <c r="AA220" s="1" t="s">
        <v>17</v>
      </c>
      <c r="AB220" s="2">
        <v>14.11</v>
      </c>
      <c r="AC220" s="2">
        <v>18.7</v>
      </c>
      <c r="AD220" s="2">
        <v>22.7</v>
      </c>
      <c r="AE220" s="2">
        <v>10.17</v>
      </c>
      <c r="AF220" s="2">
        <v>9.41</v>
      </c>
      <c r="AG220" s="2">
        <v>17.600000000000001</v>
      </c>
      <c r="AH220" s="2">
        <v>8.86</v>
      </c>
      <c r="AI220" s="2">
        <v>10.8</v>
      </c>
      <c r="AJ220" s="2">
        <v>17.690000000000001</v>
      </c>
      <c r="AK220" s="2">
        <v>14</v>
      </c>
    </row>
    <row r="221" spans="14:37" x14ac:dyDescent="0.3">
      <c r="N221" s="1" t="s">
        <v>18</v>
      </c>
      <c r="O221" s="2">
        <v>2.98</v>
      </c>
      <c r="P221" s="2">
        <v>0.28999999999999998</v>
      </c>
      <c r="Q221" s="2">
        <v>1.1499999999999999</v>
      </c>
      <c r="R221" s="2">
        <v>3.27</v>
      </c>
      <c r="S221" s="2">
        <v>3.85</v>
      </c>
      <c r="T221" s="2">
        <v>0.59</v>
      </c>
      <c r="U221" s="2">
        <v>3.06</v>
      </c>
      <c r="V221" s="2">
        <v>0.12</v>
      </c>
      <c r="W221" s="2">
        <v>0.06</v>
      </c>
      <c r="X221" s="2">
        <v>0.14000000000000001</v>
      </c>
      <c r="AA221" s="1" t="s">
        <v>18</v>
      </c>
      <c r="AB221" s="2">
        <v>44.71</v>
      </c>
      <c r="AC221" s="2">
        <v>45.88</v>
      </c>
      <c r="AD221" s="2">
        <v>56.1</v>
      </c>
      <c r="AE221" s="2">
        <v>51.85</v>
      </c>
      <c r="AF221" s="2">
        <v>31.27</v>
      </c>
      <c r="AG221" s="2">
        <v>53.59</v>
      </c>
      <c r="AH221" s="2">
        <v>42.94</v>
      </c>
      <c r="AI221" s="2">
        <v>62.79</v>
      </c>
      <c r="AJ221" s="2">
        <v>24</v>
      </c>
      <c r="AK221" s="2">
        <v>48</v>
      </c>
    </row>
    <row r="222" spans="14:37" x14ac:dyDescent="0.3">
      <c r="N222" s="1" t="s">
        <v>19</v>
      </c>
      <c r="O222" s="2">
        <v>0.67</v>
      </c>
      <c r="P222" s="2">
        <v>0.56999999999999995</v>
      </c>
      <c r="Q222" s="2">
        <v>0.78</v>
      </c>
      <c r="R222" s="2">
        <v>0.81</v>
      </c>
      <c r="S222" s="2">
        <v>1.33</v>
      </c>
      <c r="T222" s="2">
        <v>0.93</v>
      </c>
      <c r="U222" s="2">
        <v>0.56000000000000005</v>
      </c>
      <c r="V222" s="2">
        <v>0.09</v>
      </c>
      <c r="W222" s="2">
        <v>0.1</v>
      </c>
      <c r="X222" s="2">
        <v>0.12</v>
      </c>
      <c r="AA222" s="1" t="s">
        <v>19</v>
      </c>
      <c r="AB222" s="2">
        <v>19.78</v>
      </c>
      <c r="AC222" s="2">
        <v>16.899999999999999</v>
      </c>
      <c r="AD222" s="2">
        <v>21.4</v>
      </c>
      <c r="AE222" s="2">
        <v>14.61</v>
      </c>
      <c r="AF222" s="2">
        <v>17.55</v>
      </c>
      <c r="AG222" s="2">
        <v>28.06</v>
      </c>
      <c r="AH222" s="2">
        <v>14.9</v>
      </c>
      <c r="AI222" s="2">
        <v>14.9</v>
      </c>
      <c r="AJ222" s="2">
        <v>9</v>
      </c>
      <c r="AK222" s="2">
        <v>7.59</v>
      </c>
    </row>
    <row r="223" spans="14:37" x14ac:dyDescent="0.3">
      <c r="N223" s="1" t="s">
        <v>20</v>
      </c>
      <c r="O223" s="2">
        <v>0.59</v>
      </c>
      <c r="P223" s="2">
        <v>0.93</v>
      </c>
      <c r="Q223" s="2">
        <v>0.79</v>
      </c>
      <c r="R223" s="2">
        <v>0.76</v>
      </c>
      <c r="S223" s="2">
        <v>0.7</v>
      </c>
      <c r="T223" s="2">
        <v>0.76</v>
      </c>
      <c r="U223" s="2">
        <v>0.18</v>
      </c>
      <c r="V223" s="2">
        <v>7.0000000000000007E-2</v>
      </c>
      <c r="W223" s="2">
        <v>0.19</v>
      </c>
      <c r="X223" s="2">
        <v>0.24</v>
      </c>
      <c r="AA223" s="1" t="s">
        <v>20</v>
      </c>
      <c r="AB223" s="2">
        <v>60.26</v>
      </c>
      <c r="AC223" s="2">
        <v>55.52</v>
      </c>
      <c r="AD223" s="2">
        <v>94.86</v>
      </c>
      <c r="AE223" s="2">
        <v>88.45</v>
      </c>
      <c r="AF223" s="2">
        <v>88</v>
      </c>
      <c r="AG223" s="2">
        <v>61</v>
      </c>
      <c r="AH223" s="2">
        <v>61</v>
      </c>
      <c r="AI223" s="2">
        <v>81.5</v>
      </c>
      <c r="AJ223" s="2">
        <v>85</v>
      </c>
      <c r="AK223" s="2">
        <v>80</v>
      </c>
    </row>
    <row r="224" spans="14:37" x14ac:dyDescent="0.3">
      <c r="N224" s="1" t="s">
        <v>21</v>
      </c>
      <c r="O224" s="2">
        <v>0.59</v>
      </c>
      <c r="P224" s="2">
        <v>0.74</v>
      </c>
      <c r="Q224" s="2">
        <v>0.8</v>
      </c>
      <c r="R224" s="2">
        <v>0.83</v>
      </c>
      <c r="S224" s="2">
        <v>0.87</v>
      </c>
      <c r="T224" s="2">
        <v>1.1299999999999999</v>
      </c>
      <c r="U224" s="2">
        <v>0.49</v>
      </c>
      <c r="V224" s="2">
        <v>1.42</v>
      </c>
      <c r="W224" s="2">
        <v>0.24</v>
      </c>
      <c r="X224" s="2">
        <v>0.22</v>
      </c>
      <c r="AA224" s="1" t="s">
        <v>21</v>
      </c>
      <c r="AB224" s="2">
        <v>13.03</v>
      </c>
      <c r="AC224" s="2">
        <v>6.18</v>
      </c>
      <c r="AD224" s="2">
        <v>8.86</v>
      </c>
      <c r="AE224" s="2">
        <v>8.5299999999999994</v>
      </c>
      <c r="AF224" s="2">
        <v>19.850000000000001</v>
      </c>
      <c r="AG224" s="2">
        <v>15.94</v>
      </c>
      <c r="AH224" s="2">
        <v>10.8</v>
      </c>
      <c r="AI224" s="2">
        <v>9.2799999999999994</v>
      </c>
      <c r="AJ224" s="2">
        <v>7</v>
      </c>
      <c r="AK224" s="2">
        <v>4.07</v>
      </c>
    </row>
    <row r="225" spans="14:37" x14ac:dyDescent="0.3">
      <c r="N225" s="1" t="s">
        <v>22</v>
      </c>
      <c r="O225" s="2">
        <v>2.1800000000000002</v>
      </c>
      <c r="P225" s="2">
        <v>2.0499999999999998</v>
      </c>
      <c r="Q225" s="2">
        <v>0.83</v>
      </c>
      <c r="R225" s="2">
        <v>0.74</v>
      </c>
      <c r="S225" s="2">
        <v>1.3</v>
      </c>
      <c r="T225" s="2">
        <v>1.66</v>
      </c>
      <c r="U225" s="2">
        <v>0.42</v>
      </c>
      <c r="V225" s="2">
        <v>0.16</v>
      </c>
      <c r="W225" s="2">
        <v>0.1</v>
      </c>
      <c r="X225" s="2">
        <v>0.1</v>
      </c>
      <c r="AA225" s="1" t="s">
        <v>22</v>
      </c>
      <c r="AB225" s="2">
        <v>60.48</v>
      </c>
      <c r="AC225" s="2">
        <v>80.099999999999994</v>
      </c>
      <c r="AD225" s="2">
        <v>50.71</v>
      </c>
      <c r="AE225" s="2">
        <v>48</v>
      </c>
      <c r="AF225" s="2">
        <v>63.15</v>
      </c>
      <c r="AG225" s="2">
        <v>55.14</v>
      </c>
      <c r="AH225" s="2">
        <v>60.45</v>
      </c>
      <c r="AI225" s="2">
        <v>31.2</v>
      </c>
      <c r="AJ225" s="2">
        <v>24.15</v>
      </c>
      <c r="AK225" s="2">
        <v>24.15</v>
      </c>
    </row>
    <row r="226" spans="14:37" x14ac:dyDescent="0.3">
      <c r="N226" s="1" t="s">
        <v>23</v>
      </c>
      <c r="O226" s="2">
        <v>0.19</v>
      </c>
      <c r="P226" s="2">
        <v>0.19</v>
      </c>
      <c r="Q226" s="2">
        <v>0.33</v>
      </c>
      <c r="R226" s="2">
        <v>0.01</v>
      </c>
      <c r="S226" s="2">
        <v>0.35</v>
      </c>
      <c r="T226" s="2">
        <v>0.3</v>
      </c>
      <c r="U226" s="2">
        <v>0.16</v>
      </c>
      <c r="V226" s="2">
        <v>0</v>
      </c>
      <c r="W226" s="2">
        <v>0.04</v>
      </c>
      <c r="X226" s="2">
        <v>0.15</v>
      </c>
      <c r="AA226" s="1" t="s">
        <v>23</v>
      </c>
      <c r="AB226" s="2">
        <v>116.1</v>
      </c>
      <c r="AC226" s="2">
        <v>92.1</v>
      </c>
      <c r="AD226" s="2">
        <v>48</v>
      </c>
      <c r="AE226" s="2">
        <v>12</v>
      </c>
      <c r="AF226" s="2">
        <v>60.9</v>
      </c>
      <c r="AG226" s="2">
        <v>44.7</v>
      </c>
      <c r="AH226" s="2">
        <v>20.399999999999999</v>
      </c>
      <c r="AI226" s="2">
        <v>8.1</v>
      </c>
      <c r="AJ226" s="2">
        <v>42</v>
      </c>
      <c r="AK226" s="2">
        <v>12</v>
      </c>
    </row>
  </sheetData>
  <mergeCells count="18">
    <mergeCell ref="AG202:AK202"/>
    <mergeCell ref="AG90:AK90"/>
    <mergeCell ref="AB202:AF202"/>
    <mergeCell ref="O146:S146"/>
    <mergeCell ref="AB118:AF118"/>
    <mergeCell ref="AG146:AK146"/>
    <mergeCell ref="O118:S118"/>
    <mergeCell ref="O174:S174"/>
    <mergeCell ref="T90:X90"/>
    <mergeCell ref="AG174:AK174"/>
    <mergeCell ref="AB90:AF90"/>
    <mergeCell ref="T118:X118"/>
    <mergeCell ref="O90:S90"/>
    <mergeCell ref="T146:X146"/>
    <mergeCell ref="AB174:AF174"/>
    <mergeCell ref="AG118:AK118"/>
    <mergeCell ref="T174:X174"/>
    <mergeCell ref="AB146:AF146"/>
  </mergeCells>
  <conditionalFormatting sqref="C9:L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X226"/>
  <sheetViews>
    <sheetView workbookViewId="0">
      <selection activeCell="K10" sqref="K10"/>
    </sheetView>
  </sheetViews>
  <sheetFormatPr defaultRowHeight="14.4" x14ac:dyDescent="0.3"/>
  <sheetData>
    <row r="1" spans="2:50" x14ac:dyDescent="0.3">
      <c r="B1" t="s">
        <v>0</v>
      </c>
    </row>
    <row r="2" spans="2:5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50" x14ac:dyDescent="0.3">
      <c r="B3" s="1" t="s">
        <v>6</v>
      </c>
      <c r="C3">
        <v>2.2000000000000002</v>
      </c>
      <c r="D3">
        <v>2.5</v>
      </c>
      <c r="E3">
        <v>2.8</v>
      </c>
      <c r="F3">
        <v>3.3</v>
      </c>
      <c r="G3">
        <v>0.8</v>
      </c>
    </row>
    <row r="5" spans="2:50" x14ac:dyDescent="0.3">
      <c r="B5" t="s">
        <v>7</v>
      </c>
      <c r="N5" t="s">
        <v>8</v>
      </c>
      <c r="AA5" t="s">
        <v>9</v>
      </c>
      <c r="AN5" t="s">
        <v>10</v>
      </c>
    </row>
    <row r="6" spans="2:50" x14ac:dyDescent="0.3">
      <c r="B6" s="1" t="s">
        <v>11</v>
      </c>
      <c r="C6" s="1" t="s">
        <v>12</v>
      </c>
      <c r="D6" s="1" t="s">
        <v>13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12</v>
      </c>
      <c r="J6" s="1" t="s">
        <v>13</v>
      </c>
      <c r="K6" s="1" t="s">
        <v>12</v>
      </c>
      <c r="L6" s="1" t="s">
        <v>13</v>
      </c>
      <c r="N6" s="1" t="s">
        <v>11</v>
      </c>
      <c r="O6" s="1" t="s">
        <v>12</v>
      </c>
      <c r="P6" s="1" t="s">
        <v>13</v>
      </c>
      <c r="Q6" s="1" t="s">
        <v>12</v>
      </c>
      <c r="R6" s="1" t="s">
        <v>13</v>
      </c>
      <c r="S6" s="1" t="s">
        <v>12</v>
      </c>
      <c r="T6" s="1" t="s">
        <v>13</v>
      </c>
      <c r="U6" s="1" t="s">
        <v>12</v>
      </c>
      <c r="V6" s="1" t="s">
        <v>13</v>
      </c>
      <c r="W6" s="1" t="s">
        <v>12</v>
      </c>
      <c r="X6" s="1" t="s">
        <v>13</v>
      </c>
      <c r="AA6" s="1" t="s">
        <v>11</v>
      </c>
      <c r="AB6" s="1" t="s">
        <v>12</v>
      </c>
      <c r="AC6" s="1" t="s">
        <v>13</v>
      </c>
      <c r="AD6" s="1" t="s">
        <v>12</v>
      </c>
      <c r="AE6" s="1" t="s">
        <v>13</v>
      </c>
      <c r="AF6" s="1" t="s">
        <v>12</v>
      </c>
      <c r="AG6" s="1" t="s">
        <v>13</v>
      </c>
      <c r="AH6" s="1" t="s">
        <v>12</v>
      </c>
      <c r="AI6" s="1" t="s">
        <v>13</v>
      </c>
      <c r="AJ6" s="1" t="s">
        <v>12</v>
      </c>
      <c r="AK6" s="1" t="s">
        <v>13</v>
      </c>
      <c r="AN6" s="1" t="s">
        <v>11</v>
      </c>
      <c r="AO6" s="1" t="s">
        <v>12</v>
      </c>
      <c r="AP6" s="1" t="s">
        <v>13</v>
      </c>
      <c r="AQ6" s="1" t="s">
        <v>12</v>
      </c>
      <c r="AR6" s="1" t="s">
        <v>13</v>
      </c>
      <c r="AS6" s="1" t="s">
        <v>12</v>
      </c>
      <c r="AT6" s="1" t="s">
        <v>13</v>
      </c>
      <c r="AU6" s="1" t="s">
        <v>12</v>
      </c>
      <c r="AV6" s="1" t="s">
        <v>13</v>
      </c>
      <c r="AW6" s="1" t="s">
        <v>12</v>
      </c>
      <c r="AX6" s="1" t="s">
        <v>13</v>
      </c>
    </row>
    <row r="7" spans="2:50" x14ac:dyDescent="0.3">
      <c r="B7" s="1" t="s">
        <v>14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N7" s="1" t="s">
        <v>14</v>
      </c>
      <c r="O7" s="1" t="s">
        <v>1</v>
      </c>
      <c r="P7" s="1" t="s">
        <v>1</v>
      </c>
      <c r="Q7" s="1" t="s">
        <v>2</v>
      </c>
      <c r="R7" s="1" t="s">
        <v>2</v>
      </c>
      <c r="S7" s="1" t="s">
        <v>3</v>
      </c>
      <c r="T7" s="1" t="s">
        <v>3</v>
      </c>
      <c r="U7" s="1" t="s">
        <v>4</v>
      </c>
      <c r="V7" s="1" t="s">
        <v>4</v>
      </c>
      <c r="W7" s="1" t="s">
        <v>5</v>
      </c>
      <c r="X7" s="1" t="s">
        <v>5</v>
      </c>
      <c r="AA7" s="1" t="s">
        <v>14</v>
      </c>
      <c r="AB7" s="1" t="s">
        <v>1</v>
      </c>
      <c r="AC7" s="1" t="s">
        <v>1</v>
      </c>
      <c r="AD7" s="1" t="s">
        <v>2</v>
      </c>
      <c r="AE7" s="1" t="s">
        <v>2</v>
      </c>
      <c r="AF7" s="1" t="s">
        <v>3</v>
      </c>
      <c r="AG7" s="1" t="s">
        <v>3</v>
      </c>
      <c r="AH7" s="1" t="s">
        <v>4</v>
      </c>
      <c r="AI7" s="1" t="s">
        <v>4</v>
      </c>
      <c r="AJ7" s="1" t="s">
        <v>5</v>
      </c>
      <c r="AK7" s="1" t="s">
        <v>5</v>
      </c>
      <c r="AN7" s="1" t="s">
        <v>14</v>
      </c>
      <c r="AO7" s="1" t="s">
        <v>1</v>
      </c>
      <c r="AP7" s="1" t="s">
        <v>1</v>
      </c>
      <c r="AQ7" s="1" t="s">
        <v>2</v>
      </c>
      <c r="AR7" s="1" t="s">
        <v>2</v>
      </c>
      <c r="AS7" s="1" t="s">
        <v>3</v>
      </c>
      <c r="AT7" s="1" t="s">
        <v>3</v>
      </c>
      <c r="AU7" s="1" t="s">
        <v>4</v>
      </c>
      <c r="AV7" s="1" t="s">
        <v>4</v>
      </c>
      <c r="AW7" s="1" t="s">
        <v>5</v>
      </c>
      <c r="AX7" s="1" t="s">
        <v>5</v>
      </c>
    </row>
    <row r="8" spans="2:50" x14ac:dyDescent="0.3">
      <c r="B8" s="1" t="s">
        <v>15</v>
      </c>
      <c r="N8" s="1" t="s">
        <v>15</v>
      </c>
      <c r="AA8" s="1" t="s">
        <v>15</v>
      </c>
      <c r="AN8" s="1" t="s">
        <v>15</v>
      </c>
    </row>
    <row r="9" spans="2:50" x14ac:dyDescent="0.3">
      <c r="B9" s="1" t="s">
        <v>16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N9" s="1" t="s">
        <v>16</v>
      </c>
      <c r="O9" s="2">
        <v>5287.66</v>
      </c>
      <c r="P9" s="2">
        <v>5254.73</v>
      </c>
      <c r="Q9" s="2">
        <v>7324.96</v>
      </c>
      <c r="R9" s="2">
        <v>4438</v>
      </c>
      <c r="S9" s="2">
        <v>5192.3</v>
      </c>
      <c r="T9" s="2">
        <v>4587.91</v>
      </c>
      <c r="U9" s="2">
        <v>3350.84</v>
      </c>
      <c r="V9" s="2">
        <v>2368.7399999999998</v>
      </c>
      <c r="W9" s="2">
        <v>1800.46</v>
      </c>
      <c r="X9" s="2">
        <v>1446.92</v>
      </c>
      <c r="AA9" s="1" t="s">
        <v>16</v>
      </c>
      <c r="AB9" s="2">
        <v>50015.28</v>
      </c>
      <c r="AC9" s="2">
        <v>49675.53</v>
      </c>
      <c r="AD9" s="2">
        <v>66759.539999999994</v>
      </c>
      <c r="AE9" s="2">
        <v>52500</v>
      </c>
      <c r="AF9" s="2">
        <v>48519.54</v>
      </c>
      <c r="AG9" s="2">
        <v>43206.69</v>
      </c>
      <c r="AH9" s="2">
        <v>52153.84</v>
      </c>
      <c r="AI9" s="2">
        <v>44831.49</v>
      </c>
      <c r="AJ9" s="2">
        <v>16421.939999999999</v>
      </c>
      <c r="AK9" s="2">
        <v>13381.88</v>
      </c>
      <c r="AN9" s="1" t="s">
        <v>16</v>
      </c>
      <c r="AO9" s="2">
        <v>55302.94</v>
      </c>
      <c r="AP9" s="2">
        <v>54930.26</v>
      </c>
      <c r="AQ9" s="2">
        <v>74084.5</v>
      </c>
      <c r="AR9" s="2">
        <v>56938</v>
      </c>
      <c r="AS9" s="2">
        <v>53711.839999999997</v>
      </c>
      <c r="AT9" s="2">
        <v>47794.6</v>
      </c>
      <c r="AU9" s="2">
        <v>55504.68</v>
      </c>
      <c r="AV9" s="2">
        <v>47200.23</v>
      </c>
      <c r="AW9" s="2">
        <v>18222.400000000001</v>
      </c>
      <c r="AX9" s="2">
        <v>14828.8</v>
      </c>
    </row>
    <row r="10" spans="2:50" x14ac:dyDescent="0.3">
      <c r="B10" s="1" t="s">
        <v>17</v>
      </c>
      <c r="C10" s="2">
        <v>2.57</v>
      </c>
      <c r="D10" s="2">
        <v>2.57</v>
      </c>
      <c r="E10" s="2">
        <v>4.12</v>
      </c>
      <c r="F10" s="2">
        <v>2.57</v>
      </c>
      <c r="G10" s="2">
        <v>2.57</v>
      </c>
      <c r="H10" s="2">
        <v>2.57</v>
      </c>
      <c r="I10" s="2">
        <v>2.57</v>
      </c>
      <c r="J10" s="2">
        <v>0.9</v>
      </c>
      <c r="K10" s="2">
        <v>5.15</v>
      </c>
      <c r="L10" s="2">
        <v>2.57</v>
      </c>
      <c r="N10" s="1" t="s">
        <v>17</v>
      </c>
      <c r="O10" s="2">
        <v>3883.87</v>
      </c>
      <c r="P10" s="2">
        <v>2426.69</v>
      </c>
      <c r="Q10" s="2">
        <v>3874.19</v>
      </c>
      <c r="R10" s="2">
        <v>3021.8</v>
      </c>
      <c r="S10" s="2">
        <v>6368.11</v>
      </c>
      <c r="T10" s="2">
        <v>4317.04</v>
      </c>
      <c r="U10" s="2">
        <v>6488.05</v>
      </c>
      <c r="V10" s="2">
        <v>2448.38</v>
      </c>
      <c r="W10" s="2">
        <v>1036.0899999999999</v>
      </c>
      <c r="X10" s="2">
        <v>815.83</v>
      </c>
      <c r="AA10" s="1" t="s">
        <v>17</v>
      </c>
      <c r="AB10" s="2">
        <v>13830.7</v>
      </c>
      <c r="AC10" s="2">
        <v>12236.09</v>
      </c>
      <c r="AD10" s="2">
        <v>26534.31</v>
      </c>
      <c r="AE10" s="2">
        <v>9420.68</v>
      </c>
      <c r="AF10" s="2">
        <v>24151.89</v>
      </c>
      <c r="AG10" s="2">
        <v>13025.75</v>
      </c>
      <c r="AH10" s="2">
        <v>24053.99</v>
      </c>
      <c r="AI10" s="2">
        <v>17128.87</v>
      </c>
      <c r="AJ10" s="2">
        <v>5765.51</v>
      </c>
      <c r="AK10" s="2">
        <v>4454.57</v>
      </c>
      <c r="AN10" s="1" t="s">
        <v>17</v>
      </c>
      <c r="AO10" s="2">
        <v>17714.57</v>
      </c>
      <c r="AP10" s="2">
        <v>14662.78</v>
      </c>
      <c r="AQ10" s="2">
        <v>30408.5</v>
      </c>
      <c r="AR10" s="2">
        <v>12442.48</v>
      </c>
      <c r="AS10" s="2">
        <v>30520</v>
      </c>
      <c r="AT10" s="2">
        <v>17342.78</v>
      </c>
      <c r="AU10" s="2">
        <v>30542.05</v>
      </c>
      <c r="AV10" s="2">
        <v>19577.25</v>
      </c>
      <c r="AW10" s="2">
        <v>6801.6</v>
      </c>
      <c r="AX10" s="2">
        <v>5270.4</v>
      </c>
    </row>
    <row r="11" spans="2:50" x14ac:dyDescent="0.3">
      <c r="B11" s="1" t="s">
        <v>18</v>
      </c>
      <c r="C11" s="2">
        <v>8.1999999999999993</v>
      </c>
      <c r="D11" s="2">
        <v>2.57</v>
      </c>
      <c r="E11" s="2">
        <v>7.72</v>
      </c>
      <c r="F11" s="2">
        <v>8.6199999999999992</v>
      </c>
      <c r="G11" s="2">
        <v>10.3</v>
      </c>
      <c r="H11" s="2">
        <v>6.87</v>
      </c>
      <c r="I11" s="2">
        <v>10.050000000000001</v>
      </c>
      <c r="J11" s="2">
        <v>2.57</v>
      </c>
      <c r="K11" s="2">
        <v>2.57</v>
      </c>
      <c r="L11" s="2">
        <v>2.57</v>
      </c>
      <c r="N11" s="1" t="s">
        <v>18</v>
      </c>
      <c r="O11" s="2">
        <v>17773.099999999999</v>
      </c>
      <c r="P11" s="2">
        <v>11687.58</v>
      </c>
      <c r="Q11" s="2">
        <v>16725.009999999998</v>
      </c>
      <c r="R11" s="2">
        <v>14435.57</v>
      </c>
      <c r="S11" s="2">
        <v>25213.279999999999</v>
      </c>
      <c r="T11" s="2">
        <v>14788.67</v>
      </c>
      <c r="U11" s="2">
        <v>27002.26</v>
      </c>
      <c r="V11" s="2">
        <v>14169.44</v>
      </c>
      <c r="W11" s="2">
        <v>2431.34</v>
      </c>
      <c r="X11" s="2">
        <v>3618.82</v>
      </c>
      <c r="AA11" s="1" t="s">
        <v>18</v>
      </c>
      <c r="AB11" s="2">
        <v>58786.9</v>
      </c>
      <c r="AC11" s="2">
        <v>31324.19</v>
      </c>
      <c r="AD11" s="2">
        <v>100780.49</v>
      </c>
      <c r="AE11" s="2">
        <v>46049.02</v>
      </c>
      <c r="AF11" s="2">
        <v>96586.72</v>
      </c>
      <c r="AG11" s="2">
        <v>80407.05</v>
      </c>
      <c r="AH11" s="2">
        <v>112771.49</v>
      </c>
      <c r="AI11" s="2">
        <v>89991.23</v>
      </c>
      <c r="AJ11" s="2">
        <v>10737.46</v>
      </c>
      <c r="AK11" s="2">
        <v>11942.78</v>
      </c>
      <c r="AN11" s="1" t="s">
        <v>18</v>
      </c>
      <c r="AO11" s="2">
        <v>76560</v>
      </c>
      <c r="AP11" s="2">
        <v>43011.77</v>
      </c>
      <c r="AQ11" s="2">
        <v>117505.5</v>
      </c>
      <c r="AR11" s="2">
        <v>60484.59</v>
      </c>
      <c r="AS11" s="2">
        <v>121800</v>
      </c>
      <c r="AT11" s="2">
        <v>95195.72</v>
      </c>
      <c r="AU11" s="2">
        <v>139773.76000000001</v>
      </c>
      <c r="AV11" s="2">
        <v>104160.66</v>
      </c>
      <c r="AW11" s="2">
        <v>13168.8</v>
      </c>
      <c r="AX11" s="2">
        <v>15561.6</v>
      </c>
    </row>
    <row r="12" spans="2:50" x14ac:dyDescent="0.3">
      <c r="B12" s="1" t="s">
        <v>19</v>
      </c>
      <c r="C12" s="2">
        <v>2.57</v>
      </c>
      <c r="D12" s="2">
        <v>2.57</v>
      </c>
      <c r="E12" s="2">
        <v>5.15</v>
      </c>
      <c r="F12" s="2">
        <v>5.15</v>
      </c>
      <c r="G12" s="2">
        <v>5.15</v>
      </c>
      <c r="H12" s="2">
        <v>5.15</v>
      </c>
      <c r="I12" s="2">
        <v>5.08</v>
      </c>
      <c r="J12" s="2">
        <v>1.73</v>
      </c>
      <c r="K12" s="2">
        <v>2.57</v>
      </c>
      <c r="L12" s="2">
        <v>2.57</v>
      </c>
      <c r="N12" s="1" t="s">
        <v>19</v>
      </c>
      <c r="O12" s="2">
        <v>4607.53</v>
      </c>
      <c r="P12" s="2">
        <v>3642.45</v>
      </c>
      <c r="Q12" s="2">
        <v>5248.58</v>
      </c>
      <c r="R12" s="2">
        <v>4244.6099999999997</v>
      </c>
      <c r="S12" s="2">
        <v>5475.4</v>
      </c>
      <c r="T12" s="2">
        <v>5450.01</v>
      </c>
      <c r="U12" s="2">
        <v>4881.8599999999997</v>
      </c>
      <c r="V12" s="2">
        <v>4497.21</v>
      </c>
      <c r="W12" s="2">
        <v>690.4</v>
      </c>
      <c r="X12" s="2">
        <v>760.6</v>
      </c>
      <c r="AA12" s="1" t="s">
        <v>19</v>
      </c>
      <c r="AB12" s="2">
        <v>15797.61</v>
      </c>
      <c r="AC12" s="2">
        <v>11095.2</v>
      </c>
      <c r="AD12" s="2">
        <v>30980.55</v>
      </c>
      <c r="AE12" s="2">
        <v>22332.06</v>
      </c>
      <c r="AF12" s="2">
        <v>26724.6</v>
      </c>
      <c r="AG12" s="2">
        <v>26749.99</v>
      </c>
      <c r="AH12" s="2">
        <v>33742.660000000003</v>
      </c>
      <c r="AI12" s="2">
        <v>29040.69</v>
      </c>
      <c r="AJ12" s="2">
        <v>3664.8</v>
      </c>
      <c r="AK12" s="2">
        <v>3623.24</v>
      </c>
      <c r="AN12" s="1" t="s">
        <v>19</v>
      </c>
      <c r="AO12" s="2">
        <v>20405.14</v>
      </c>
      <c r="AP12" s="2">
        <v>14737.64</v>
      </c>
      <c r="AQ12" s="2">
        <v>36229.129999999997</v>
      </c>
      <c r="AR12" s="2">
        <v>26576.66</v>
      </c>
      <c r="AS12" s="2">
        <v>32200</v>
      </c>
      <c r="AT12" s="2">
        <v>32200</v>
      </c>
      <c r="AU12" s="2">
        <v>38624.519999999997</v>
      </c>
      <c r="AV12" s="2">
        <v>33537.9</v>
      </c>
      <c r="AW12" s="2">
        <v>4355.2</v>
      </c>
      <c r="AX12" s="2">
        <v>4383.84</v>
      </c>
    </row>
    <row r="13" spans="2:50" x14ac:dyDescent="0.3">
      <c r="B13" s="1" t="s">
        <v>20</v>
      </c>
      <c r="C13" s="2">
        <v>2.57</v>
      </c>
      <c r="D13" s="2">
        <v>5.15</v>
      </c>
      <c r="E13" s="2">
        <v>2.57</v>
      </c>
      <c r="F13" s="2">
        <v>2.57</v>
      </c>
      <c r="G13" s="2">
        <v>2.57</v>
      </c>
      <c r="H13" s="2">
        <v>5.15</v>
      </c>
      <c r="I13" s="2">
        <v>2.57</v>
      </c>
      <c r="J13" s="2">
        <v>1.44</v>
      </c>
      <c r="K13" s="2">
        <v>2.57</v>
      </c>
      <c r="L13" s="2">
        <v>2.57</v>
      </c>
      <c r="N13" s="1" t="s">
        <v>20</v>
      </c>
      <c r="O13" s="2">
        <v>17549.900000000001</v>
      </c>
      <c r="P13" s="2">
        <v>13857.13</v>
      </c>
      <c r="Q13" s="2">
        <v>26573.93</v>
      </c>
      <c r="R13" s="2">
        <v>25756.560000000001</v>
      </c>
      <c r="S13" s="2">
        <v>31423.15</v>
      </c>
      <c r="T13" s="2">
        <v>25900.44</v>
      </c>
      <c r="U13" s="2">
        <v>19322.3</v>
      </c>
      <c r="V13" s="2">
        <v>22492.17</v>
      </c>
      <c r="W13" s="2">
        <v>5983.34</v>
      </c>
      <c r="X13" s="2">
        <v>6782.95</v>
      </c>
      <c r="AA13" s="1" t="s">
        <v>20</v>
      </c>
      <c r="AB13" s="2">
        <v>52470.25</v>
      </c>
      <c r="AC13" s="2">
        <v>65195.29</v>
      </c>
      <c r="AD13" s="2">
        <v>93579.3</v>
      </c>
      <c r="AE13" s="2">
        <v>87437.98</v>
      </c>
      <c r="AF13" s="2">
        <v>101222.72</v>
      </c>
      <c r="AG13" s="2">
        <v>122088.49</v>
      </c>
      <c r="AH13" s="2">
        <v>112783.3</v>
      </c>
      <c r="AI13" s="2">
        <v>137481.93</v>
      </c>
      <c r="AJ13" s="2">
        <v>25568.66</v>
      </c>
      <c r="AK13" s="2">
        <v>24745.05</v>
      </c>
      <c r="AN13" s="1" t="s">
        <v>20</v>
      </c>
      <c r="AO13" s="2">
        <v>70020.149999999994</v>
      </c>
      <c r="AP13" s="2">
        <v>79052.42</v>
      </c>
      <c r="AQ13" s="2">
        <v>120153.23</v>
      </c>
      <c r="AR13" s="2">
        <v>113194.54</v>
      </c>
      <c r="AS13" s="2">
        <v>132645.87</v>
      </c>
      <c r="AT13" s="2">
        <v>147988.92000000001</v>
      </c>
      <c r="AU13" s="2">
        <v>132105.60000000001</v>
      </c>
      <c r="AV13" s="2">
        <v>159974.1</v>
      </c>
      <c r="AW13" s="2">
        <v>31552</v>
      </c>
      <c r="AX13" s="2">
        <v>31528</v>
      </c>
    </row>
    <row r="14" spans="2:50" x14ac:dyDescent="0.3">
      <c r="B14" s="1" t="s">
        <v>21</v>
      </c>
      <c r="C14" s="2">
        <v>2.57</v>
      </c>
      <c r="D14" s="2">
        <v>5.15</v>
      </c>
      <c r="E14" s="2">
        <v>5.15</v>
      </c>
      <c r="F14" s="2">
        <v>5.15</v>
      </c>
      <c r="G14" s="2">
        <v>5.15</v>
      </c>
      <c r="H14" s="2">
        <v>5.15</v>
      </c>
      <c r="I14" s="2">
        <v>2.57</v>
      </c>
      <c r="J14" s="2">
        <v>5.15</v>
      </c>
      <c r="K14" s="2">
        <v>2.57</v>
      </c>
      <c r="L14" s="2">
        <v>2.57</v>
      </c>
      <c r="N14" s="1" t="s">
        <v>21</v>
      </c>
      <c r="O14" s="2">
        <v>4465.05</v>
      </c>
      <c r="P14" s="2">
        <v>2991.69</v>
      </c>
      <c r="Q14" s="2">
        <v>4714.92</v>
      </c>
      <c r="R14" s="2">
        <v>5312.87</v>
      </c>
      <c r="S14" s="2">
        <v>5774.04</v>
      </c>
      <c r="T14" s="2">
        <v>6086.15</v>
      </c>
      <c r="U14" s="2">
        <v>6977.11</v>
      </c>
      <c r="V14" s="2">
        <v>7723.97</v>
      </c>
      <c r="W14" s="2">
        <v>1491.07</v>
      </c>
      <c r="X14" s="2">
        <v>1336.33</v>
      </c>
      <c r="AA14" s="1" t="s">
        <v>21</v>
      </c>
      <c r="AB14" s="2">
        <v>13690.89</v>
      </c>
      <c r="AC14" s="2">
        <v>12907.99</v>
      </c>
      <c r="AD14" s="2">
        <v>24035.08</v>
      </c>
      <c r="AE14" s="2">
        <v>27644.560000000001</v>
      </c>
      <c r="AF14" s="2">
        <v>26425.96</v>
      </c>
      <c r="AG14" s="2">
        <v>28374.65</v>
      </c>
      <c r="AH14" s="2">
        <v>28084.400000000001</v>
      </c>
      <c r="AI14" s="2">
        <v>41611.03</v>
      </c>
      <c r="AJ14" s="2">
        <v>5101.7299999999996</v>
      </c>
      <c r="AK14" s="2">
        <v>3142.2</v>
      </c>
      <c r="AN14" s="1" t="s">
        <v>21</v>
      </c>
      <c r="AO14" s="2">
        <v>18155.95</v>
      </c>
      <c r="AP14" s="2">
        <v>15899.68</v>
      </c>
      <c r="AQ14" s="2">
        <v>28750</v>
      </c>
      <c r="AR14" s="2">
        <v>32957.43</v>
      </c>
      <c r="AS14" s="2">
        <v>32200</v>
      </c>
      <c r="AT14" s="2">
        <v>34460.800000000003</v>
      </c>
      <c r="AU14" s="2">
        <v>35061.51</v>
      </c>
      <c r="AV14" s="2">
        <v>49335</v>
      </c>
      <c r="AW14" s="2">
        <v>6592.8</v>
      </c>
      <c r="AX14" s="2">
        <v>4478.54</v>
      </c>
    </row>
    <row r="15" spans="2:50" x14ac:dyDescent="0.3">
      <c r="B15" s="1" t="s">
        <v>22</v>
      </c>
      <c r="C15" s="2">
        <v>10.3</v>
      </c>
      <c r="D15" s="2">
        <v>10.3</v>
      </c>
      <c r="E15" s="2">
        <v>7.72</v>
      </c>
      <c r="F15" s="2">
        <v>7.72</v>
      </c>
      <c r="G15" s="2">
        <v>7.73</v>
      </c>
      <c r="H15" s="2">
        <v>8.02</v>
      </c>
      <c r="I15" s="2">
        <v>2.57</v>
      </c>
      <c r="J15" s="2">
        <v>3.35</v>
      </c>
      <c r="K15" s="2">
        <v>2.57</v>
      </c>
      <c r="L15" s="2">
        <v>2.57</v>
      </c>
      <c r="N15" s="1" t="s">
        <v>22</v>
      </c>
      <c r="O15" s="2">
        <v>17175.45</v>
      </c>
      <c r="P15" s="2">
        <v>17326.490000000002</v>
      </c>
      <c r="Q15" s="2">
        <v>15918.82</v>
      </c>
      <c r="R15" s="2">
        <v>15763.4</v>
      </c>
      <c r="S15" s="2">
        <v>19547.34</v>
      </c>
      <c r="T15" s="2">
        <v>23245.48</v>
      </c>
      <c r="U15" s="2">
        <v>20974.400000000001</v>
      </c>
      <c r="V15" s="2">
        <v>15462.97</v>
      </c>
      <c r="W15" s="2">
        <v>2882.86</v>
      </c>
      <c r="X15" s="2">
        <v>3195.89</v>
      </c>
      <c r="AA15" s="1" t="s">
        <v>22</v>
      </c>
      <c r="AB15" s="2">
        <v>59384.55</v>
      </c>
      <c r="AC15" s="2">
        <v>59741.3</v>
      </c>
      <c r="AD15" s="2">
        <v>64211.74</v>
      </c>
      <c r="AE15" s="2">
        <v>83212.600000000006</v>
      </c>
      <c r="AF15" s="2">
        <v>85549</v>
      </c>
      <c r="AG15" s="2">
        <v>89261.02</v>
      </c>
      <c r="AH15" s="2">
        <v>81112.210000000006</v>
      </c>
      <c r="AI15" s="2">
        <v>97507.45</v>
      </c>
      <c r="AJ15" s="2">
        <v>8281.34</v>
      </c>
      <c r="AK15" s="2">
        <v>10294.99</v>
      </c>
      <c r="AN15" s="1" t="s">
        <v>22</v>
      </c>
      <c r="AO15" s="2">
        <v>76560</v>
      </c>
      <c r="AP15" s="2">
        <v>77067.789999999994</v>
      </c>
      <c r="AQ15" s="2">
        <v>80130.559999999998</v>
      </c>
      <c r="AR15" s="2">
        <v>98976</v>
      </c>
      <c r="AS15" s="2">
        <v>105096.33</v>
      </c>
      <c r="AT15" s="2">
        <v>112506.5</v>
      </c>
      <c r="AU15" s="2">
        <v>102086.6</v>
      </c>
      <c r="AV15" s="2">
        <v>112970.42</v>
      </c>
      <c r="AW15" s="2">
        <v>11164.2</v>
      </c>
      <c r="AX15" s="2">
        <v>13490.88</v>
      </c>
    </row>
    <row r="16" spans="2:50" x14ac:dyDescent="0.3">
      <c r="B16" s="1" t="s">
        <v>23</v>
      </c>
      <c r="C16" s="2">
        <v>2.57</v>
      </c>
      <c r="D16" s="2">
        <v>3.26</v>
      </c>
      <c r="E16" s="2">
        <v>2.57</v>
      </c>
      <c r="F16" s="2">
        <v>0.81</v>
      </c>
      <c r="G16" s="2">
        <v>2.57</v>
      </c>
      <c r="H16" s="2">
        <v>2.57</v>
      </c>
      <c r="I16" s="2">
        <v>2.57</v>
      </c>
      <c r="J16" s="2">
        <v>1.35</v>
      </c>
      <c r="K16" s="2">
        <v>2.23</v>
      </c>
      <c r="L16" s="2">
        <v>2.57</v>
      </c>
      <c r="N16" s="1" t="s">
        <v>23</v>
      </c>
      <c r="O16" s="2">
        <v>7462.91</v>
      </c>
      <c r="P16" s="2">
        <v>7797.21</v>
      </c>
      <c r="Q16" s="2">
        <v>8946.84</v>
      </c>
      <c r="R16" s="2">
        <v>7263.84</v>
      </c>
      <c r="S16" s="2">
        <v>9576.5300000000007</v>
      </c>
      <c r="T16" s="2">
        <v>10465.76</v>
      </c>
      <c r="U16" s="2">
        <v>6965.7</v>
      </c>
      <c r="V16" s="2">
        <v>3613.21</v>
      </c>
      <c r="W16" s="2">
        <v>1653.66</v>
      </c>
      <c r="X16" s="2">
        <v>2617.71</v>
      </c>
      <c r="AA16" s="1" t="s">
        <v>23</v>
      </c>
      <c r="AB16" s="2">
        <v>30279.19</v>
      </c>
      <c r="AC16" s="2">
        <v>38417.31</v>
      </c>
      <c r="AD16" s="2">
        <v>34399.410000000003</v>
      </c>
      <c r="AE16" s="2">
        <v>39986.160000000003</v>
      </c>
      <c r="AF16" s="2">
        <v>27862.27</v>
      </c>
      <c r="AG16" s="2">
        <v>32505.279999999999</v>
      </c>
      <c r="AH16" s="2">
        <v>28154.55</v>
      </c>
      <c r="AI16" s="2">
        <v>41231.81</v>
      </c>
      <c r="AJ16" s="2">
        <v>9182.34</v>
      </c>
      <c r="AK16" s="2">
        <v>9163.89</v>
      </c>
      <c r="AN16" s="1" t="s">
        <v>23</v>
      </c>
      <c r="AO16" s="2">
        <v>37742.1</v>
      </c>
      <c r="AP16" s="2">
        <v>46214.52</v>
      </c>
      <c r="AQ16" s="2">
        <v>43346.25</v>
      </c>
      <c r="AR16" s="2">
        <v>47250</v>
      </c>
      <c r="AS16" s="2">
        <v>37438.800000000003</v>
      </c>
      <c r="AT16" s="2">
        <v>42971.040000000001</v>
      </c>
      <c r="AU16" s="2">
        <v>35120.25</v>
      </c>
      <c r="AV16" s="2">
        <v>44845.02</v>
      </c>
      <c r="AW16" s="2">
        <v>10836</v>
      </c>
      <c r="AX16" s="2">
        <v>11781.6</v>
      </c>
    </row>
    <row r="19" spans="2:50" x14ac:dyDescent="0.3">
      <c r="B19" t="s">
        <v>24</v>
      </c>
      <c r="N19" t="s">
        <v>25</v>
      </c>
      <c r="AA19" t="s">
        <v>26</v>
      </c>
      <c r="AN19" t="s">
        <v>27</v>
      </c>
    </row>
    <row r="20" spans="2:50" x14ac:dyDescent="0.3">
      <c r="B20" s="1" t="s">
        <v>11</v>
      </c>
      <c r="C20" s="1" t="s">
        <v>12</v>
      </c>
      <c r="D20" s="1" t="s">
        <v>13</v>
      </c>
      <c r="E20" s="1" t="s">
        <v>12</v>
      </c>
      <c r="F20" s="1" t="s">
        <v>13</v>
      </c>
      <c r="G20" s="1" t="s">
        <v>12</v>
      </c>
      <c r="H20" s="1" t="s">
        <v>13</v>
      </c>
      <c r="I20" s="1" t="s">
        <v>12</v>
      </c>
      <c r="J20" s="1" t="s">
        <v>13</v>
      </c>
      <c r="K20" s="1" t="s">
        <v>12</v>
      </c>
      <c r="L20" s="1" t="s">
        <v>13</v>
      </c>
      <c r="N20" s="1" t="s">
        <v>11</v>
      </c>
      <c r="O20" s="1" t="s">
        <v>12</v>
      </c>
      <c r="P20" s="1" t="s">
        <v>13</v>
      </c>
      <c r="Q20" s="1" t="s">
        <v>12</v>
      </c>
      <c r="R20" s="1" t="s">
        <v>13</v>
      </c>
      <c r="S20" s="1" t="s">
        <v>12</v>
      </c>
      <c r="T20" s="1" t="s">
        <v>13</v>
      </c>
      <c r="U20" s="1" t="s">
        <v>12</v>
      </c>
      <c r="V20" s="1" t="s">
        <v>13</v>
      </c>
      <c r="W20" s="1" t="s">
        <v>12</v>
      </c>
      <c r="X20" s="1" t="s">
        <v>13</v>
      </c>
      <c r="AA20" s="1" t="s">
        <v>11</v>
      </c>
      <c r="AB20" s="1" t="s">
        <v>12</v>
      </c>
      <c r="AC20" s="1" t="s">
        <v>13</v>
      </c>
      <c r="AD20" s="1" t="s">
        <v>12</v>
      </c>
      <c r="AE20" s="1" t="s">
        <v>13</v>
      </c>
      <c r="AF20" s="1" t="s">
        <v>12</v>
      </c>
      <c r="AG20" s="1" t="s">
        <v>13</v>
      </c>
      <c r="AH20" s="1" t="s">
        <v>12</v>
      </c>
      <c r="AI20" s="1" t="s">
        <v>13</v>
      </c>
      <c r="AJ20" s="1" t="s">
        <v>12</v>
      </c>
      <c r="AK20" s="1" t="s">
        <v>13</v>
      </c>
      <c r="AN20" s="1" t="s">
        <v>11</v>
      </c>
      <c r="AO20" s="1" t="s">
        <v>12</v>
      </c>
      <c r="AP20" s="1" t="s">
        <v>13</v>
      </c>
      <c r="AQ20" s="1" t="s">
        <v>12</v>
      </c>
      <c r="AR20" s="1" t="s">
        <v>13</v>
      </c>
      <c r="AS20" s="1" t="s">
        <v>12</v>
      </c>
      <c r="AT20" s="1" t="s">
        <v>13</v>
      </c>
      <c r="AU20" s="1" t="s">
        <v>12</v>
      </c>
      <c r="AV20" s="1" t="s">
        <v>13</v>
      </c>
      <c r="AW20" s="1" t="s">
        <v>12</v>
      </c>
      <c r="AX20" s="1" t="s">
        <v>13</v>
      </c>
    </row>
    <row r="21" spans="2:50" x14ac:dyDescent="0.3">
      <c r="B21" s="1" t="s">
        <v>14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N21" s="1" t="s">
        <v>14</v>
      </c>
      <c r="O21" s="1" t="s">
        <v>1</v>
      </c>
      <c r="P21" s="1" t="s">
        <v>1</v>
      </c>
      <c r="Q21" s="1" t="s">
        <v>2</v>
      </c>
      <c r="R21" s="1" t="s">
        <v>2</v>
      </c>
      <c r="S21" s="1" t="s">
        <v>3</v>
      </c>
      <c r="T21" s="1" t="s">
        <v>3</v>
      </c>
      <c r="U21" s="1" t="s">
        <v>4</v>
      </c>
      <c r="V21" s="1" t="s">
        <v>4</v>
      </c>
      <c r="W21" s="1" t="s">
        <v>5</v>
      </c>
      <c r="X21" s="1" t="s">
        <v>5</v>
      </c>
      <c r="AA21" s="1" t="s">
        <v>14</v>
      </c>
      <c r="AB21" s="1" t="s">
        <v>1</v>
      </c>
      <c r="AC21" s="1" t="s">
        <v>1</v>
      </c>
      <c r="AD21" s="1" t="s">
        <v>2</v>
      </c>
      <c r="AE21" s="1" t="s">
        <v>2</v>
      </c>
      <c r="AF21" s="1" t="s">
        <v>3</v>
      </c>
      <c r="AG21" s="1" t="s">
        <v>3</v>
      </c>
      <c r="AH21" s="1" t="s">
        <v>4</v>
      </c>
      <c r="AI21" s="1" t="s">
        <v>4</v>
      </c>
      <c r="AJ21" s="1" t="s">
        <v>5</v>
      </c>
      <c r="AK21" s="1" t="s">
        <v>5</v>
      </c>
      <c r="AN21" s="1" t="s">
        <v>14</v>
      </c>
      <c r="AO21" s="1" t="s">
        <v>1</v>
      </c>
      <c r="AP21" s="1" t="s">
        <v>1</v>
      </c>
      <c r="AQ21" s="1" t="s">
        <v>2</v>
      </c>
      <c r="AR21" s="1" t="s">
        <v>2</v>
      </c>
      <c r="AS21" s="1" t="s">
        <v>3</v>
      </c>
      <c r="AT21" s="1" t="s">
        <v>3</v>
      </c>
      <c r="AU21" s="1" t="s">
        <v>4</v>
      </c>
      <c r="AV21" s="1" t="s">
        <v>4</v>
      </c>
      <c r="AW21" s="1" t="s">
        <v>5</v>
      </c>
      <c r="AX21" s="1" t="s">
        <v>5</v>
      </c>
    </row>
    <row r="22" spans="2:50" x14ac:dyDescent="0.3">
      <c r="B22" s="1" t="s">
        <v>15</v>
      </c>
      <c r="N22" s="1" t="s">
        <v>15</v>
      </c>
      <c r="AA22" s="1" t="s">
        <v>15</v>
      </c>
      <c r="AN22" s="1" t="s">
        <v>15</v>
      </c>
    </row>
    <row r="23" spans="2:50" x14ac:dyDescent="0.3">
      <c r="B23" s="1" t="s">
        <v>16</v>
      </c>
      <c r="C23" s="2">
        <v>0.1</v>
      </c>
      <c r="D23" s="2">
        <v>0.1</v>
      </c>
      <c r="E23" s="2">
        <v>0.1</v>
      </c>
      <c r="F23" s="2">
        <v>7.0000000000000007E-2</v>
      </c>
      <c r="G23" s="2">
        <v>0.1</v>
      </c>
      <c r="H23" s="2">
        <v>0.1</v>
      </c>
      <c r="I23" s="2">
        <v>0.06</v>
      </c>
      <c r="J23" s="2">
        <v>0.05</v>
      </c>
      <c r="K23" s="2">
        <v>0.1</v>
      </c>
      <c r="L23" s="2">
        <v>0.1</v>
      </c>
      <c r="N23" s="1" t="s">
        <v>16</v>
      </c>
      <c r="O23" s="2">
        <v>2403.48</v>
      </c>
      <c r="P23" s="2">
        <v>2388.5100000000002</v>
      </c>
      <c r="Q23" s="2">
        <v>2929.98</v>
      </c>
      <c r="R23" s="2">
        <v>1775.2</v>
      </c>
      <c r="S23" s="2">
        <v>1854.39</v>
      </c>
      <c r="T23" s="2">
        <v>1638.54</v>
      </c>
      <c r="U23" s="2">
        <v>1015.41</v>
      </c>
      <c r="V23" s="2">
        <v>717.8</v>
      </c>
      <c r="W23" s="2">
        <v>2250.58</v>
      </c>
      <c r="X23" s="2">
        <v>1808.65</v>
      </c>
      <c r="AA23" s="1" t="s">
        <v>16</v>
      </c>
      <c r="AB23" s="2">
        <v>22734.22</v>
      </c>
      <c r="AC23" s="2">
        <v>22579.79</v>
      </c>
      <c r="AD23" s="2">
        <v>26703.82</v>
      </c>
      <c r="AE23" s="2">
        <v>21000</v>
      </c>
      <c r="AF23" s="2">
        <v>17328.41</v>
      </c>
      <c r="AG23" s="2">
        <v>15430.96</v>
      </c>
      <c r="AH23" s="2">
        <v>15804.19</v>
      </c>
      <c r="AI23" s="2">
        <v>13585.3</v>
      </c>
      <c r="AJ23" s="2">
        <v>20527.419999999998</v>
      </c>
      <c r="AK23" s="2">
        <v>16727.349999999999</v>
      </c>
      <c r="AN23" s="1" t="s">
        <v>16</v>
      </c>
      <c r="AO23" s="2">
        <v>25137.7</v>
      </c>
      <c r="AP23" s="2">
        <v>24968.3</v>
      </c>
      <c r="AQ23" s="2">
        <v>29633.8</v>
      </c>
      <c r="AR23" s="2">
        <v>22775.200000000001</v>
      </c>
      <c r="AS23" s="2">
        <v>19182.8</v>
      </c>
      <c r="AT23" s="2">
        <v>17069.5</v>
      </c>
      <c r="AU23" s="2">
        <v>16819.599999999999</v>
      </c>
      <c r="AV23" s="2">
        <v>14303.1</v>
      </c>
      <c r="AW23" s="2">
        <v>22778</v>
      </c>
      <c r="AX23" s="2">
        <v>18536</v>
      </c>
    </row>
    <row r="24" spans="2:50" x14ac:dyDescent="0.3">
      <c r="B24" s="1" t="s">
        <v>17</v>
      </c>
      <c r="C24" s="2">
        <v>0.24</v>
      </c>
      <c r="D24" s="2">
        <v>0.19</v>
      </c>
      <c r="E24" s="2">
        <v>0.14000000000000001</v>
      </c>
      <c r="F24" s="2">
        <v>0.28999999999999998</v>
      </c>
      <c r="G24" s="2">
        <v>0.22</v>
      </c>
      <c r="H24" s="2">
        <v>0.27</v>
      </c>
      <c r="I24" s="2">
        <v>0.22</v>
      </c>
      <c r="J24" s="2">
        <v>0.14000000000000001</v>
      </c>
      <c r="K24" s="2">
        <v>0.17</v>
      </c>
      <c r="L24" s="2">
        <v>0.19</v>
      </c>
      <c r="N24" s="1" t="s">
        <v>17</v>
      </c>
      <c r="O24" s="2">
        <v>1765.39</v>
      </c>
      <c r="P24" s="2">
        <v>1103.04</v>
      </c>
      <c r="Q24" s="2">
        <v>1549.68</v>
      </c>
      <c r="R24" s="2">
        <v>1208.72</v>
      </c>
      <c r="S24" s="2">
        <v>2274.3200000000002</v>
      </c>
      <c r="T24" s="2">
        <v>1541.8</v>
      </c>
      <c r="U24" s="2">
        <v>1966.08</v>
      </c>
      <c r="V24" s="2">
        <v>741.93</v>
      </c>
      <c r="W24" s="2">
        <v>1295.1199999999999</v>
      </c>
      <c r="X24" s="2">
        <v>1019.78</v>
      </c>
      <c r="AA24" s="1" t="s">
        <v>17</v>
      </c>
      <c r="AB24" s="2">
        <v>6286.68</v>
      </c>
      <c r="AC24" s="2">
        <v>5561.86</v>
      </c>
      <c r="AD24" s="2">
        <v>10613.72</v>
      </c>
      <c r="AE24" s="2">
        <v>3768.27</v>
      </c>
      <c r="AF24" s="2">
        <v>8625.68</v>
      </c>
      <c r="AG24" s="2">
        <v>4652.05</v>
      </c>
      <c r="AH24" s="2">
        <v>7289.09</v>
      </c>
      <c r="AI24" s="2">
        <v>5190.57</v>
      </c>
      <c r="AJ24" s="2">
        <v>7206.88</v>
      </c>
      <c r="AK24" s="2">
        <v>5568.22</v>
      </c>
      <c r="AN24" s="1" t="s">
        <v>17</v>
      </c>
      <c r="AO24" s="2">
        <v>8052.08</v>
      </c>
      <c r="AP24" s="2">
        <v>6664.9</v>
      </c>
      <c r="AQ24" s="2">
        <v>12163.4</v>
      </c>
      <c r="AR24" s="2">
        <v>4976.99</v>
      </c>
      <c r="AS24" s="2">
        <v>10900</v>
      </c>
      <c r="AT24" s="2">
        <v>6193.85</v>
      </c>
      <c r="AU24" s="2">
        <v>9255.17</v>
      </c>
      <c r="AV24" s="2">
        <v>5932.5</v>
      </c>
      <c r="AW24" s="2">
        <v>8502</v>
      </c>
      <c r="AX24" s="2">
        <v>6588</v>
      </c>
    </row>
    <row r="25" spans="2:50" x14ac:dyDescent="0.3">
      <c r="B25" s="1" t="s">
        <v>18</v>
      </c>
      <c r="C25" s="2">
        <v>0.26</v>
      </c>
      <c r="D25" s="2">
        <v>0.32</v>
      </c>
      <c r="E25" s="2">
        <v>0.17</v>
      </c>
      <c r="F25" s="2">
        <v>0.28999999999999998</v>
      </c>
      <c r="G25" s="2">
        <v>0.22</v>
      </c>
      <c r="H25" s="2">
        <v>0.17</v>
      </c>
      <c r="I25" s="2">
        <v>0.21</v>
      </c>
      <c r="J25" s="2">
        <v>0.15</v>
      </c>
      <c r="K25" s="2">
        <v>0.22</v>
      </c>
      <c r="L25" s="2">
        <v>0.28000000000000003</v>
      </c>
      <c r="N25" s="1" t="s">
        <v>18</v>
      </c>
      <c r="O25" s="2">
        <v>8078.68</v>
      </c>
      <c r="P25" s="2">
        <v>5312.54</v>
      </c>
      <c r="Q25" s="2">
        <v>6690</v>
      </c>
      <c r="R25" s="2">
        <v>5774.23</v>
      </c>
      <c r="S25" s="2">
        <v>9004.74</v>
      </c>
      <c r="T25" s="2">
        <v>5281.67</v>
      </c>
      <c r="U25" s="2">
        <v>8182.5</v>
      </c>
      <c r="V25" s="2">
        <v>4293.7700000000004</v>
      </c>
      <c r="W25" s="2">
        <v>3039.17</v>
      </c>
      <c r="X25" s="2">
        <v>4523.53</v>
      </c>
      <c r="AA25" s="1" t="s">
        <v>18</v>
      </c>
      <c r="AB25" s="2">
        <v>26721.32</v>
      </c>
      <c r="AC25" s="2">
        <v>14238.27</v>
      </c>
      <c r="AD25" s="2">
        <v>40312.199999999997</v>
      </c>
      <c r="AE25" s="2">
        <v>18419.61</v>
      </c>
      <c r="AF25" s="2">
        <v>34495.26</v>
      </c>
      <c r="AG25" s="2">
        <v>28716.799999999999</v>
      </c>
      <c r="AH25" s="2">
        <v>34173.18</v>
      </c>
      <c r="AI25" s="2">
        <v>27270.07</v>
      </c>
      <c r="AJ25" s="2">
        <v>13421.83</v>
      </c>
      <c r="AK25" s="2">
        <v>14928.47</v>
      </c>
      <c r="AN25" s="1" t="s">
        <v>18</v>
      </c>
      <c r="AO25" s="2">
        <v>34800</v>
      </c>
      <c r="AP25" s="2">
        <v>19550.8</v>
      </c>
      <c r="AQ25" s="2">
        <v>47002.2</v>
      </c>
      <c r="AR25" s="2">
        <v>24193.84</v>
      </c>
      <c r="AS25" s="2">
        <v>43500</v>
      </c>
      <c r="AT25" s="2">
        <v>33998.47</v>
      </c>
      <c r="AU25" s="2">
        <v>42355.68</v>
      </c>
      <c r="AV25" s="2">
        <v>31563.84</v>
      </c>
      <c r="AW25" s="2">
        <v>16461</v>
      </c>
      <c r="AX25" s="2">
        <v>19452</v>
      </c>
    </row>
    <row r="26" spans="2:50" x14ac:dyDescent="0.3">
      <c r="B26" s="1" t="s">
        <v>19</v>
      </c>
      <c r="C26" s="2">
        <v>0.27</v>
      </c>
      <c r="D26" s="2">
        <v>0.3</v>
      </c>
      <c r="E26" s="2">
        <v>0.19</v>
      </c>
      <c r="F26" s="2">
        <v>0.2</v>
      </c>
      <c r="G26" s="2">
        <v>0.19</v>
      </c>
      <c r="H26" s="2">
        <v>0.2</v>
      </c>
      <c r="I26" s="2">
        <v>0.14000000000000001</v>
      </c>
      <c r="J26" s="2">
        <v>0.16</v>
      </c>
      <c r="K26" s="2">
        <v>0.2</v>
      </c>
      <c r="L26" s="2">
        <v>0.22</v>
      </c>
      <c r="N26" s="1" t="s">
        <v>19</v>
      </c>
      <c r="O26" s="2">
        <v>2094.33</v>
      </c>
      <c r="P26" s="2">
        <v>1655.66</v>
      </c>
      <c r="Q26" s="2">
        <v>2099.4299999999998</v>
      </c>
      <c r="R26" s="2">
        <v>1697.84</v>
      </c>
      <c r="S26" s="2">
        <v>1955.5</v>
      </c>
      <c r="T26" s="2">
        <v>1946.43</v>
      </c>
      <c r="U26" s="2">
        <v>1479.35</v>
      </c>
      <c r="V26" s="2">
        <v>1362.79</v>
      </c>
      <c r="W26" s="2">
        <v>863</v>
      </c>
      <c r="X26" s="2">
        <v>950.75</v>
      </c>
      <c r="AA26" s="1" t="s">
        <v>19</v>
      </c>
      <c r="AB26" s="2">
        <v>7180.73</v>
      </c>
      <c r="AC26" s="2">
        <v>5043.2700000000004</v>
      </c>
      <c r="AD26" s="2">
        <v>12392.22</v>
      </c>
      <c r="AE26" s="2">
        <v>8932.82</v>
      </c>
      <c r="AF26" s="2">
        <v>9544.5</v>
      </c>
      <c r="AG26" s="2">
        <v>9553.57</v>
      </c>
      <c r="AH26" s="2">
        <v>10225.049999999999</v>
      </c>
      <c r="AI26" s="2">
        <v>8800.2099999999991</v>
      </c>
      <c r="AJ26" s="2">
        <v>4581</v>
      </c>
      <c r="AK26" s="2">
        <v>4529.05</v>
      </c>
      <c r="AN26" s="1" t="s">
        <v>19</v>
      </c>
      <c r="AO26" s="2">
        <v>9275.06</v>
      </c>
      <c r="AP26" s="2">
        <v>6698.93</v>
      </c>
      <c r="AQ26" s="2">
        <v>14491.65</v>
      </c>
      <c r="AR26" s="2">
        <v>10630.67</v>
      </c>
      <c r="AS26" s="2">
        <v>11500</v>
      </c>
      <c r="AT26" s="2">
        <v>11500</v>
      </c>
      <c r="AU26" s="2">
        <v>11704.4</v>
      </c>
      <c r="AV26" s="2">
        <v>10163</v>
      </c>
      <c r="AW26" s="2">
        <v>5444</v>
      </c>
      <c r="AX26" s="2">
        <v>5479.8</v>
      </c>
    </row>
    <row r="27" spans="2:50" x14ac:dyDescent="0.3">
      <c r="B27" s="1" t="s">
        <v>20</v>
      </c>
      <c r="C27" s="2">
        <v>0.28999999999999998</v>
      </c>
      <c r="D27" s="2">
        <v>0.21</v>
      </c>
      <c r="E27" s="2">
        <v>0.27</v>
      </c>
      <c r="F27" s="2">
        <v>0.28000000000000003</v>
      </c>
      <c r="G27" s="2">
        <v>0.27</v>
      </c>
      <c r="H27" s="2">
        <v>0.19</v>
      </c>
      <c r="I27" s="2">
        <v>0.16</v>
      </c>
      <c r="J27" s="2">
        <v>0.16</v>
      </c>
      <c r="K27" s="2">
        <v>0.24</v>
      </c>
      <c r="L27" s="2">
        <v>0.26</v>
      </c>
      <c r="N27" s="1" t="s">
        <v>20</v>
      </c>
      <c r="O27" s="2">
        <v>7977.23</v>
      </c>
      <c r="P27" s="2">
        <v>6298.7</v>
      </c>
      <c r="Q27" s="2">
        <v>10629.57</v>
      </c>
      <c r="R27" s="2">
        <v>10302.620000000001</v>
      </c>
      <c r="S27" s="2">
        <v>11222.55</v>
      </c>
      <c r="T27" s="2">
        <v>9250.16</v>
      </c>
      <c r="U27" s="2">
        <v>5855.24</v>
      </c>
      <c r="V27" s="2">
        <v>6815.81</v>
      </c>
      <c r="W27" s="2">
        <v>7479.17</v>
      </c>
      <c r="X27" s="2">
        <v>8478.69</v>
      </c>
      <c r="AA27" s="1" t="s">
        <v>20</v>
      </c>
      <c r="AB27" s="2">
        <v>23850.12</v>
      </c>
      <c r="AC27" s="2">
        <v>29634.22</v>
      </c>
      <c r="AD27" s="2">
        <v>37431.72</v>
      </c>
      <c r="AE27" s="2">
        <v>34975.19</v>
      </c>
      <c r="AF27" s="2">
        <v>36150.97</v>
      </c>
      <c r="AG27" s="2">
        <v>43603.03</v>
      </c>
      <c r="AH27" s="2">
        <v>34176.76</v>
      </c>
      <c r="AI27" s="2">
        <v>41661.19</v>
      </c>
      <c r="AJ27" s="2">
        <v>31960.83</v>
      </c>
      <c r="AK27" s="2">
        <v>30931.31</v>
      </c>
      <c r="AN27" s="1" t="s">
        <v>20</v>
      </c>
      <c r="AO27" s="2">
        <v>31827.34</v>
      </c>
      <c r="AP27" s="2">
        <v>35932.92</v>
      </c>
      <c r="AQ27" s="2">
        <v>48061.29</v>
      </c>
      <c r="AR27" s="2">
        <v>45277.82</v>
      </c>
      <c r="AS27" s="2">
        <v>47373.53</v>
      </c>
      <c r="AT27" s="2">
        <v>52853.19</v>
      </c>
      <c r="AU27" s="2">
        <v>40032</v>
      </c>
      <c r="AV27" s="2">
        <v>48477</v>
      </c>
      <c r="AW27" s="2">
        <v>39440</v>
      </c>
      <c r="AX27" s="2">
        <v>39410</v>
      </c>
    </row>
    <row r="28" spans="2:50" x14ac:dyDescent="0.3">
      <c r="B28" s="1" t="s">
        <v>21</v>
      </c>
      <c r="C28" s="2">
        <v>0.28999999999999998</v>
      </c>
      <c r="D28" s="2">
        <v>0.22</v>
      </c>
      <c r="E28" s="2">
        <v>0.21</v>
      </c>
      <c r="F28" s="2">
        <v>0.19</v>
      </c>
      <c r="G28" s="2">
        <v>0.2</v>
      </c>
      <c r="H28" s="2">
        <v>0.19</v>
      </c>
      <c r="I28" s="2">
        <v>0.22</v>
      </c>
      <c r="J28" s="2">
        <v>0.17</v>
      </c>
      <c r="K28" s="2">
        <v>0.28999999999999998</v>
      </c>
      <c r="L28" s="2">
        <v>0.35</v>
      </c>
      <c r="N28" s="1" t="s">
        <v>21</v>
      </c>
      <c r="O28" s="2">
        <v>2029.57</v>
      </c>
      <c r="P28" s="2">
        <v>1359.86</v>
      </c>
      <c r="Q28" s="2">
        <v>1885.97</v>
      </c>
      <c r="R28" s="2">
        <v>2125.15</v>
      </c>
      <c r="S28" s="2">
        <v>2062.16</v>
      </c>
      <c r="T28" s="2">
        <v>2173.63</v>
      </c>
      <c r="U28" s="2">
        <v>2114.27</v>
      </c>
      <c r="V28" s="2">
        <v>2340.6</v>
      </c>
      <c r="W28" s="2">
        <v>1863.83</v>
      </c>
      <c r="X28" s="2">
        <v>1670.41</v>
      </c>
      <c r="AA28" s="1" t="s">
        <v>21</v>
      </c>
      <c r="AB28" s="2">
        <v>6223.13</v>
      </c>
      <c r="AC28" s="2">
        <v>5867.27</v>
      </c>
      <c r="AD28" s="2">
        <v>9614.0300000000007</v>
      </c>
      <c r="AE28" s="2">
        <v>11057.82</v>
      </c>
      <c r="AF28" s="2">
        <v>9437.84</v>
      </c>
      <c r="AG28" s="2">
        <v>10133.799999999999</v>
      </c>
      <c r="AH28" s="2">
        <v>8510.43</v>
      </c>
      <c r="AI28" s="2">
        <v>12609.4</v>
      </c>
      <c r="AJ28" s="2">
        <v>6377.17</v>
      </c>
      <c r="AK28" s="2">
        <v>3927.76</v>
      </c>
      <c r="AN28" s="1" t="s">
        <v>21</v>
      </c>
      <c r="AO28" s="2">
        <v>8252.7000000000007</v>
      </c>
      <c r="AP28" s="2">
        <v>7227.13</v>
      </c>
      <c r="AQ28" s="2">
        <v>11500</v>
      </c>
      <c r="AR28" s="2">
        <v>13182.97</v>
      </c>
      <c r="AS28" s="2">
        <v>11500</v>
      </c>
      <c r="AT28" s="2">
        <v>12307.43</v>
      </c>
      <c r="AU28" s="2">
        <v>10624.7</v>
      </c>
      <c r="AV28" s="2">
        <v>14950</v>
      </c>
      <c r="AW28" s="2">
        <v>8241</v>
      </c>
      <c r="AX28" s="2">
        <v>5598.17</v>
      </c>
    </row>
    <row r="29" spans="2:50" x14ac:dyDescent="0.3">
      <c r="B29" s="1" t="s">
        <v>22</v>
      </c>
      <c r="C29" s="2">
        <v>0.26</v>
      </c>
      <c r="D29" s="2">
        <v>0.26</v>
      </c>
      <c r="E29" s="2">
        <v>0.25</v>
      </c>
      <c r="F29" s="2">
        <v>0.2</v>
      </c>
      <c r="G29" s="2">
        <v>0.21</v>
      </c>
      <c r="H29" s="2">
        <v>0.22</v>
      </c>
      <c r="I29" s="2">
        <v>0.23</v>
      </c>
      <c r="J29" s="2">
        <v>0.15</v>
      </c>
      <c r="K29" s="2">
        <v>0.32</v>
      </c>
      <c r="L29" s="2">
        <v>0.3</v>
      </c>
      <c r="N29" s="1" t="s">
        <v>22</v>
      </c>
      <c r="O29" s="2">
        <v>7807.02</v>
      </c>
      <c r="P29" s="2">
        <v>7875.68</v>
      </c>
      <c r="Q29" s="2">
        <v>6367.53</v>
      </c>
      <c r="R29" s="2">
        <v>6305.36</v>
      </c>
      <c r="S29" s="2">
        <v>6981.19</v>
      </c>
      <c r="T29" s="2">
        <v>8301.9599999999991</v>
      </c>
      <c r="U29" s="2">
        <v>6355.88</v>
      </c>
      <c r="V29" s="2">
        <v>4685.75</v>
      </c>
      <c r="W29" s="2">
        <v>3603.58</v>
      </c>
      <c r="X29" s="2">
        <v>3994.87</v>
      </c>
      <c r="AA29" s="1" t="s">
        <v>22</v>
      </c>
      <c r="AB29" s="2">
        <v>26992.98</v>
      </c>
      <c r="AC29" s="2">
        <v>27155.13</v>
      </c>
      <c r="AD29" s="2">
        <v>25684.7</v>
      </c>
      <c r="AE29" s="2">
        <v>33285.040000000001</v>
      </c>
      <c r="AF29" s="2">
        <v>30553.21</v>
      </c>
      <c r="AG29" s="2">
        <v>31878.94</v>
      </c>
      <c r="AH29" s="2">
        <v>24579.46</v>
      </c>
      <c r="AI29" s="2">
        <v>29547.71</v>
      </c>
      <c r="AJ29" s="2">
        <v>10351.67</v>
      </c>
      <c r="AK29" s="2">
        <v>12868.73</v>
      </c>
      <c r="AN29" s="1" t="s">
        <v>22</v>
      </c>
      <c r="AO29" s="2">
        <v>34800</v>
      </c>
      <c r="AP29" s="2">
        <v>35030.81</v>
      </c>
      <c r="AQ29" s="2">
        <v>32052.23</v>
      </c>
      <c r="AR29" s="2">
        <v>39590.400000000001</v>
      </c>
      <c r="AS29" s="2">
        <v>37534.400000000001</v>
      </c>
      <c r="AT29" s="2">
        <v>40180.89</v>
      </c>
      <c r="AU29" s="2">
        <v>30935.33</v>
      </c>
      <c r="AV29" s="2">
        <v>34233.46</v>
      </c>
      <c r="AW29" s="2">
        <v>13955.25</v>
      </c>
      <c r="AX29" s="2">
        <v>16863.599999999999</v>
      </c>
    </row>
    <row r="30" spans="2:50" x14ac:dyDescent="0.3">
      <c r="B30" s="1" t="s">
        <v>23</v>
      </c>
      <c r="C30" s="2">
        <v>0.24</v>
      </c>
      <c r="D30" s="2">
        <v>0.2</v>
      </c>
      <c r="E30" s="2">
        <v>0.28999999999999998</v>
      </c>
      <c r="F30" s="2">
        <v>0.2</v>
      </c>
      <c r="G30" s="2">
        <v>0.28999999999999998</v>
      </c>
      <c r="H30" s="2">
        <v>0.28000000000000003</v>
      </c>
      <c r="I30" s="2">
        <v>0.24</v>
      </c>
      <c r="J30" s="2">
        <v>0.09</v>
      </c>
      <c r="K30" s="2">
        <v>0.22</v>
      </c>
      <c r="L30" s="2">
        <v>0.28999999999999998</v>
      </c>
      <c r="N30" s="1" t="s">
        <v>23</v>
      </c>
      <c r="O30" s="2">
        <v>3392.23</v>
      </c>
      <c r="P30" s="2">
        <v>3544.18</v>
      </c>
      <c r="Q30" s="2">
        <v>3578.74</v>
      </c>
      <c r="R30" s="2">
        <v>2905.53</v>
      </c>
      <c r="S30" s="2">
        <v>3420.19</v>
      </c>
      <c r="T30" s="2">
        <v>3737.77</v>
      </c>
      <c r="U30" s="2">
        <v>2110.8200000000002</v>
      </c>
      <c r="V30" s="2">
        <v>1094.9100000000001</v>
      </c>
      <c r="W30" s="2">
        <v>2067.0700000000002</v>
      </c>
      <c r="X30" s="2">
        <v>3272.14</v>
      </c>
      <c r="AA30" s="1" t="s">
        <v>23</v>
      </c>
      <c r="AB30" s="2">
        <v>13763.27</v>
      </c>
      <c r="AC30" s="2">
        <v>17462.419999999998</v>
      </c>
      <c r="AD30" s="2">
        <v>13759.76</v>
      </c>
      <c r="AE30" s="2">
        <v>15994.47</v>
      </c>
      <c r="AF30" s="2">
        <v>9950.81</v>
      </c>
      <c r="AG30" s="2">
        <v>11609.03</v>
      </c>
      <c r="AH30" s="2">
        <v>8531.68</v>
      </c>
      <c r="AI30" s="2">
        <v>12494.49</v>
      </c>
      <c r="AJ30" s="2">
        <v>11477.93</v>
      </c>
      <c r="AK30" s="2">
        <v>11454.86</v>
      </c>
      <c r="AN30" s="1" t="s">
        <v>23</v>
      </c>
      <c r="AO30" s="2">
        <v>17155.5</v>
      </c>
      <c r="AP30" s="2">
        <v>21006.6</v>
      </c>
      <c r="AQ30" s="2">
        <v>17338.5</v>
      </c>
      <c r="AR30" s="2">
        <v>18900</v>
      </c>
      <c r="AS30" s="2">
        <v>13371</v>
      </c>
      <c r="AT30" s="2">
        <v>15346.8</v>
      </c>
      <c r="AU30" s="2">
        <v>10642.5</v>
      </c>
      <c r="AV30" s="2">
        <v>13589.4</v>
      </c>
      <c r="AW30" s="2">
        <v>13545</v>
      </c>
      <c r="AX30" s="2">
        <v>14727</v>
      </c>
    </row>
    <row r="33" spans="2:50" x14ac:dyDescent="0.3">
      <c r="B33" t="s">
        <v>28</v>
      </c>
      <c r="N33" t="s">
        <v>29</v>
      </c>
      <c r="AA33" t="s">
        <v>30</v>
      </c>
      <c r="AN33" t="s">
        <v>31</v>
      </c>
    </row>
    <row r="34" spans="2:50" x14ac:dyDescent="0.3">
      <c r="B34" s="1" t="s">
        <v>11</v>
      </c>
      <c r="C34" s="1" t="s">
        <v>12</v>
      </c>
      <c r="D34" s="1" t="s">
        <v>13</v>
      </c>
      <c r="E34" s="1" t="s">
        <v>12</v>
      </c>
      <c r="F34" s="1" t="s">
        <v>13</v>
      </c>
      <c r="G34" s="1" t="s">
        <v>12</v>
      </c>
      <c r="H34" s="1" t="s">
        <v>13</v>
      </c>
      <c r="I34" s="1" t="s">
        <v>12</v>
      </c>
      <c r="J34" s="1" t="s">
        <v>13</v>
      </c>
      <c r="K34" s="1" t="s">
        <v>12</v>
      </c>
      <c r="L34" s="1" t="s">
        <v>13</v>
      </c>
      <c r="N34" s="1" t="s">
        <v>11</v>
      </c>
      <c r="O34" s="1" t="s">
        <v>12</v>
      </c>
      <c r="P34" s="1" t="s">
        <v>13</v>
      </c>
      <c r="Q34" s="1" t="s">
        <v>12</v>
      </c>
      <c r="R34" s="1" t="s">
        <v>13</v>
      </c>
      <c r="S34" s="1" t="s">
        <v>12</v>
      </c>
      <c r="T34" s="1" t="s">
        <v>13</v>
      </c>
      <c r="U34" s="1" t="s">
        <v>12</v>
      </c>
      <c r="V34" s="1" t="s">
        <v>13</v>
      </c>
      <c r="W34" s="1" t="s">
        <v>12</v>
      </c>
      <c r="X34" s="1" t="s">
        <v>13</v>
      </c>
      <c r="AA34" s="1" t="s">
        <v>11</v>
      </c>
      <c r="AB34" s="1" t="s">
        <v>12</v>
      </c>
      <c r="AC34" s="1" t="s">
        <v>13</v>
      </c>
      <c r="AD34" s="1" t="s">
        <v>12</v>
      </c>
      <c r="AE34" s="1" t="s">
        <v>13</v>
      </c>
      <c r="AF34" s="1" t="s">
        <v>12</v>
      </c>
      <c r="AG34" s="1" t="s">
        <v>13</v>
      </c>
      <c r="AH34" s="1" t="s">
        <v>12</v>
      </c>
      <c r="AI34" s="1" t="s">
        <v>13</v>
      </c>
      <c r="AJ34" s="1" t="s">
        <v>12</v>
      </c>
      <c r="AK34" s="1" t="s">
        <v>13</v>
      </c>
      <c r="AN34" s="1" t="s">
        <v>11</v>
      </c>
      <c r="AO34" s="1" t="s">
        <v>12</v>
      </c>
      <c r="AP34" s="1" t="s">
        <v>13</v>
      </c>
      <c r="AQ34" s="1" t="s">
        <v>12</v>
      </c>
      <c r="AR34" s="1" t="s">
        <v>13</v>
      </c>
      <c r="AS34" s="1" t="s">
        <v>12</v>
      </c>
      <c r="AT34" s="1" t="s">
        <v>13</v>
      </c>
      <c r="AU34" s="1" t="s">
        <v>12</v>
      </c>
      <c r="AV34" s="1" t="s">
        <v>13</v>
      </c>
      <c r="AW34" s="1" t="s">
        <v>12</v>
      </c>
      <c r="AX34" s="1" t="s">
        <v>13</v>
      </c>
    </row>
    <row r="35" spans="2:50" x14ac:dyDescent="0.3">
      <c r="B35" s="1" t="s">
        <v>14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N35" s="1" t="s">
        <v>14</v>
      </c>
      <c r="O35" s="1" t="s">
        <v>1</v>
      </c>
      <c r="P35" s="1" t="s">
        <v>1</v>
      </c>
      <c r="Q35" s="1" t="s">
        <v>2</v>
      </c>
      <c r="R35" s="1" t="s">
        <v>2</v>
      </c>
      <c r="S35" s="1" t="s">
        <v>3</v>
      </c>
      <c r="T35" s="1" t="s">
        <v>3</v>
      </c>
      <c r="U35" s="1" t="s">
        <v>4</v>
      </c>
      <c r="V35" s="1" t="s">
        <v>4</v>
      </c>
      <c r="W35" s="1" t="s">
        <v>5</v>
      </c>
      <c r="X35" s="1" t="s">
        <v>5</v>
      </c>
      <c r="AA35" s="1" t="s">
        <v>14</v>
      </c>
      <c r="AB35" s="1" t="s">
        <v>1</v>
      </c>
      <c r="AC35" s="1" t="s">
        <v>1</v>
      </c>
      <c r="AD35" s="1" t="s">
        <v>2</v>
      </c>
      <c r="AE35" s="1" t="s">
        <v>2</v>
      </c>
      <c r="AF35" s="1" t="s">
        <v>3</v>
      </c>
      <c r="AG35" s="1" t="s">
        <v>3</v>
      </c>
      <c r="AH35" s="1" t="s">
        <v>4</v>
      </c>
      <c r="AI35" s="1" t="s">
        <v>4</v>
      </c>
      <c r="AJ35" s="1" t="s">
        <v>5</v>
      </c>
      <c r="AK35" s="1" t="s">
        <v>5</v>
      </c>
      <c r="AN35" s="1" t="s">
        <v>14</v>
      </c>
      <c r="AO35" s="1" t="s">
        <v>1</v>
      </c>
      <c r="AP35" s="1" t="s">
        <v>1</v>
      </c>
      <c r="AQ35" s="1" t="s">
        <v>2</v>
      </c>
      <c r="AR35" s="1" t="s">
        <v>2</v>
      </c>
      <c r="AS35" s="1" t="s">
        <v>3</v>
      </c>
      <c r="AT35" s="1" t="s">
        <v>3</v>
      </c>
      <c r="AU35" s="1" t="s">
        <v>4</v>
      </c>
      <c r="AV35" s="1" t="s">
        <v>4</v>
      </c>
      <c r="AW35" s="1" t="s">
        <v>5</v>
      </c>
      <c r="AX35" s="1" t="s">
        <v>5</v>
      </c>
    </row>
    <row r="36" spans="2:50" x14ac:dyDescent="0.3">
      <c r="B36" s="1" t="s">
        <v>15</v>
      </c>
      <c r="N36" s="1" t="s">
        <v>15</v>
      </c>
      <c r="AA36" s="1" t="s">
        <v>15</v>
      </c>
      <c r="AN36" s="1" t="s">
        <v>15</v>
      </c>
    </row>
    <row r="37" spans="2:50" x14ac:dyDescent="0.3">
      <c r="B37" s="1" t="s">
        <v>16</v>
      </c>
      <c r="C37" s="2">
        <v>1057.53</v>
      </c>
      <c r="D37" s="2">
        <v>1050.95</v>
      </c>
      <c r="E37" s="2">
        <v>1464.99</v>
      </c>
      <c r="F37" s="2">
        <v>887.6</v>
      </c>
      <c r="G37" s="2">
        <v>1038.46</v>
      </c>
      <c r="H37" s="2">
        <v>917.58</v>
      </c>
      <c r="I37" s="2">
        <v>670.17</v>
      </c>
      <c r="J37" s="2">
        <v>473.75</v>
      </c>
      <c r="K37" s="2">
        <v>360.09</v>
      </c>
      <c r="L37" s="2">
        <v>289.38</v>
      </c>
      <c r="N37" s="1" t="s">
        <v>16</v>
      </c>
      <c r="O37" s="2">
        <v>343.35</v>
      </c>
      <c r="P37" s="2">
        <v>341.22</v>
      </c>
      <c r="Q37" s="2">
        <v>418.57</v>
      </c>
      <c r="R37" s="2">
        <v>253.6</v>
      </c>
      <c r="S37" s="2">
        <v>264.91000000000003</v>
      </c>
      <c r="T37" s="2">
        <v>234.08</v>
      </c>
      <c r="U37" s="2">
        <v>145.06</v>
      </c>
      <c r="V37" s="2">
        <v>102.54</v>
      </c>
      <c r="W37" s="2">
        <v>321.51</v>
      </c>
      <c r="X37" s="2">
        <v>258.38</v>
      </c>
      <c r="AA37" s="1" t="s">
        <v>16</v>
      </c>
      <c r="AB37" s="2">
        <v>3247.75</v>
      </c>
      <c r="AC37" s="2">
        <v>3225.68</v>
      </c>
      <c r="AD37" s="2">
        <v>3814.83</v>
      </c>
      <c r="AE37" s="2">
        <v>3000</v>
      </c>
      <c r="AF37" s="2">
        <v>2475.4899999999998</v>
      </c>
      <c r="AG37" s="2">
        <v>2204.42</v>
      </c>
      <c r="AH37" s="2">
        <v>2257.7399999999998</v>
      </c>
      <c r="AI37" s="2">
        <v>1940.76</v>
      </c>
      <c r="AJ37" s="2">
        <v>2932.49</v>
      </c>
      <c r="AK37" s="2">
        <v>2389.62</v>
      </c>
      <c r="AN37" s="1" t="s">
        <v>16</v>
      </c>
      <c r="AO37" s="2">
        <v>3591.1</v>
      </c>
      <c r="AP37" s="2">
        <v>3566.9</v>
      </c>
      <c r="AQ37" s="2">
        <v>4233.3999999999996</v>
      </c>
      <c r="AR37" s="2">
        <v>3253.6</v>
      </c>
      <c r="AS37" s="2">
        <v>2740.4</v>
      </c>
      <c r="AT37" s="2">
        <v>2438.5</v>
      </c>
      <c r="AU37" s="2">
        <v>2402.8000000000002</v>
      </c>
      <c r="AV37" s="2">
        <v>2043.3</v>
      </c>
      <c r="AW37" s="2">
        <v>3254</v>
      </c>
      <c r="AX37" s="2">
        <v>2648</v>
      </c>
    </row>
    <row r="38" spans="2:50" x14ac:dyDescent="0.3">
      <c r="B38" s="1" t="s">
        <v>17</v>
      </c>
      <c r="C38" s="2">
        <v>10000.93</v>
      </c>
      <c r="D38" s="2">
        <v>6248.71</v>
      </c>
      <c r="E38" s="2">
        <v>15976.79</v>
      </c>
      <c r="F38" s="2">
        <v>7781.12</v>
      </c>
      <c r="G38" s="2">
        <v>16397.87</v>
      </c>
      <c r="H38" s="2">
        <v>11116.37</v>
      </c>
      <c r="I38" s="2">
        <v>16706.72</v>
      </c>
      <c r="J38" s="2">
        <v>2203.5500000000002</v>
      </c>
      <c r="K38" s="2">
        <v>5335.87</v>
      </c>
      <c r="L38" s="2">
        <v>2100.7600000000002</v>
      </c>
      <c r="N38" s="1" t="s">
        <v>17</v>
      </c>
      <c r="O38" s="2">
        <v>1765.39</v>
      </c>
      <c r="P38" s="2">
        <v>1103.04</v>
      </c>
      <c r="Q38" s="2">
        <v>1549.68</v>
      </c>
      <c r="R38" s="2">
        <v>1208.72</v>
      </c>
      <c r="S38" s="2">
        <v>2274.3200000000002</v>
      </c>
      <c r="T38" s="2">
        <v>1541.8</v>
      </c>
      <c r="U38" s="2">
        <v>1966.08</v>
      </c>
      <c r="V38" s="2">
        <v>741.93</v>
      </c>
      <c r="W38" s="2">
        <v>1295.1199999999999</v>
      </c>
      <c r="X38" s="2">
        <v>1019.78</v>
      </c>
      <c r="AA38" s="1" t="s">
        <v>17</v>
      </c>
      <c r="AB38" s="2">
        <v>6286.68</v>
      </c>
      <c r="AC38" s="2">
        <v>5561.86</v>
      </c>
      <c r="AD38" s="2">
        <v>10613.72</v>
      </c>
      <c r="AE38" s="2">
        <v>3768.27</v>
      </c>
      <c r="AF38" s="2">
        <v>8625.68</v>
      </c>
      <c r="AG38" s="2">
        <v>4652.05</v>
      </c>
      <c r="AH38" s="2">
        <v>7289.09</v>
      </c>
      <c r="AI38" s="2">
        <v>5190.57</v>
      </c>
      <c r="AJ38" s="2">
        <v>7206.88</v>
      </c>
      <c r="AK38" s="2">
        <v>5568.22</v>
      </c>
      <c r="AN38" s="1" t="s">
        <v>17</v>
      </c>
      <c r="AO38" s="2">
        <v>8052.08</v>
      </c>
      <c r="AP38" s="2">
        <v>6664.9</v>
      </c>
      <c r="AQ38" s="2">
        <v>12163.4</v>
      </c>
      <c r="AR38" s="2">
        <v>4976.99</v>
      </c>
      <c r="AS38" s="2">
        <v>10900</v>
      </c>
      <c r="AT38" s="2">
        <v>6193.85</v>
      </c>
      <c r="AU38" s="2">
        <v>9255.17</v>
      </c>
      <c r="AV38" s="2">
        <v>5932.5</v>
      </c>
      <c r="AW38" s="2">
        <v>8502</v>
      </c>
      <c r="AX38" s="2">
        <v>6588</v>
      </c>
    </row>
    <row r="39" spans="2:50" x14ac:dyDescent="0.3">
      <c r="B39" s="1" t="s">
        <v>18</v>
      </c>
      <c r="C39" s="2">
        <v>145671.76</v>
      </c>
      <c r="D39" s="2">
        <v>30095.52</v>
      </c>
      <c r="E39" s="2">
        <v>129200.68</v>
      </c>
      <c r="F39" s="2">
        <v>124362.41</v>
      </c>
      <c r="G39" s="2">
        <v>259696.48</v>
      </c>
      <c r="H39" s="2">
        <v>101654.27</v>
      </c>
      <c r="I39" s="2">
        <v>271319.39</v>
      </c>
      <c r="J39" s="2">
        <v>36486.28</v>
      </c>
      <c r="K39" s="2">
        <v>6260.69</v>
      </c>
      <c r="L39" s="2">
        <v>9318.4599999999991</v>
      </c>
      <c r="N39" s="1" t="s">
        <v>18</v>
      </c>
      <c r="O39" s="2">
        <v>2692.89</v>
      </c>
      <c r="P39" s="2">
        <v>1770.85</v>
      </c>
      <c r="Q39" s="2">
        <v>2230</v>
      </c>
      <c r="R39" s="2">
        <v>1924.74</v>
      </c>
      <c r="S39" s="2">
        <v>3001.58</v>
      </c>
      <c r="T39" s="2">
        <v>1760.56</v>
      </c>
      <c r="U39" s="2">
        <v>2727.5</v>
      </c>
      <c r="V39" s="2">
        <v>1431.26</v>
      </c>
      <c r="W39" s="2">
        <v>1013.06</v>
      </c>
      <c r="X39" s="2">
        <v>1507.84</v>
      </c>
      <c r="AA39" s="1" t="s">
        <v>18</v>
      </c>
      <c r="AB39" s="2">
        <v>8907.11</v>
      </c>
      <c r="AC39" s="2">
        <v>4746.09</v>
      </c>
      <c r="AD39" s="2">
        <v>13437.4</v>
      </c>
      <c r="AE39" s="2">
        <v>6139.87</v>
      </c>
      <c r="AF39" s="2">
        <v>11498.42</v>
      </c>
      <c r="AG39" s="2">
        <v>9572.27</v>
      </c>
      <c r="AH39" s="2">
        <v>11391.06</v>
      </c>
      <c r="AI39" s="2">
        <v>9090.02</v>
      </c>
      <c r="AJ39" s="2">
        <v>4473.9399999999996</v>
      </c>
      <c r="AK39" s="2">
        <v>4976.16</v>
      </c>
      <c r="AN39" s="1" t="s">
        <v>18</v>
      </c>
      <c r="AO39" s="2">
        <v>11600</v>
      </c>
      <c r="AP39" s="2">
        <v>6516.94</v>
      </c>
      <c r="AQ39" s="2">
        <v>15667.4</v>
      </c>
      <c r="AR39" s="2">
        <v>8064.61</v>
      </c>
      <c r="AS39" s="2">
        <v>14500</v>
      </c>
      <c r="AT39" s="2">
        <v>11332.82</v>
      </c>
      <c r="AU39" s="2">
        <v>14118.56</v>
      </c>
      <c r="AV39" s="2">
        <v>10521.28</v>
      </c>
      <c r="AW39" s="2">
        <v>5487</v>
      </c>
      <c r="AX39" s="2">
        <v>6484</v>
      </c>
    </row>
    <row r="40" spans="2:50" x14ac:dyDescent="0.3">
      <c r="B40" s="1" t="s">
        <v>19</v>
      </c>
      <c r="C40" s="2">
        <v>11864.39</v>
      </c>
      <c r="D40" s="2">
        <v>9379.31</v>
      </c>
      <c r="E40" s="2">
        <v>27030.17</v>
      </c>
      <c r="F40" s="2">
        <v>21859.72</v>
      </c>
      <c r="G40" s="2">
        <v>28198.32</v>
      </c>
      <c r="H40" s="2">
        <v>28067.54</v>
      </c>
      <c r="I40" s="2">
        <v>24810.48</v>
      </c>
      <c r="J40" s="2">
        <v>7785.87</v>
      </c>
      <c r="K40" s="2">
        <v>1777.77</v>
      </c>
      <c r="L40" s="2">
        <v>1958.55</v>
      </c>
      <c r="N40" s="1" t="s">
        <v>19</v>
      </c>
      <c r="O40" s="2">
        <v>2094.33</v>
      </c>
      <c r="P40" s="2">
        <v>1655.66</v>
      </c>
      <c r="Q40" s="2">
        <v>2099.4299999999998</v>
      </c>
      <c r="R40" s="2">
        <v>1697.84</v>
      </c>
      <c r="S40" s="2">
        <v>1955.5</v>
      </c>
      <c r="T40" s="2">
        <v>1946.43</v>
      </c>
      <c r="U40" s="2">
        <v>1479.35</v>
      </c>
      <c r="V40" s="2">
        <v>1362.79</v>
      </c>
      <c r="W40" s="2">
        <v>863</v>
      </c>
      <c r="X40" s="2">
        <v>950.75</v>
      </c>
      <c r="AA40" s="1" t="s">
        <v>19</v>
      </c>
      <c r="AB40" s="2">
        <v>7180.73</v>
      </c>
      <c r="AC40" s="2">
        <v>5043.2700000000004</v>
      </c>
      <c r="AD40" s="2">
        <v>12392.22</v>
      </c>
      <c r="AE40" s="2">
        <v>8932.82</v>
      </c>
      <c r="AF40" s="2">
        <v>9544.5</v>
      </c>
      <c r="AG40" s="2">
        <v>9553.57</v>
      </c>
      <c r="AH40" s="2">
        <v>10225.049999999999</v>
      </c>
      <c r="AI40" s="2">
        <v>8800.2099999999991</v>
      </c>
      <c r="AJ40" s="2">
        <v>4581</v>
      </c>
      <c r="AK40" s="2">
        <v>4529.05</v>
      </c>
      <c r="AN40" s="1" t="s">
        <v>19</v>
      </c>
      <c r="AO40" s="2">
        <v>9275.06</v>
      </c>
      <c r="AP40" s="2">
        <v>6698.93</v>
      </c>
      <c r="AQ40" s="2">
        <v>14491.65</v>
      </c>
      <c r="AR40" s="2">
        <v>10630.67</v>
      </c>
      <c r="AS40" s="2">
        <v>11500</v>
      </c>
      <c r="AT40" s="2">
        <v>11500</v>
      </c>
      <c r="AU40" s="2">
        <v>11704.4</v>
      </c>
      <c r="AV40" s="2">
        <v>10163</v>
      </c>
      <c r="AW40" s="2">
        <v>5444</v>
      </c>
      <c r="AX40" s="2">
        <v>5479.8</v>
      </c>
    </row>
    <row r="41" spans="2:50" x14ac:dyDescent="0.3">
      <c r="B41" s="1" t="s">
        <v>20</v>
      </c>
      <c r="C41" s="2">
        <v>45190.98</v>
      </c>
      <c r="D41" s="2">
        <v>71364.240000000005</v>
      </c>
      <c r="E41" s="2">
        <v>68427.87</v>
      </c>
      <c r="F41" s="2">
        <v>66323.14</v>
      </c>
      <c r="G41" s="2">
        <v>80914.62</v>
      </c>
      <c r="H41" s="2">
        <v>133387.24</v>
      </c>
      <c r="I41" s="2">
        <v>49754.89</v>
      </c>
      <c r="J41" s="2">
        <v>32484.46</v>
      </c>
      <c r="K41" s="2">
        <v>15407.09</v>
      </c>
      <c r="L41" s="2">
        <v>17466.099999999999</v>
      </c>
      <c r="N41" s="1" t="s">
        <v>20</v>
      </c>
      <c r="O41" s="2">
        <v>1595.45</v>
      </c>
      <c r="P41" s="2">
        <v>1259.74</v>
      </c>
      <c r="Q41" s="2">
        <v>2125.91</v>
      </c>
      <c r="R41" s="2">
        <v>2060.52</v>
      </c>
      <c r="S41" s="2">
        <v>2244.5100000000002</v>
      </c>
      <c r="T41" s="2">
        <v>1850.03</v>
      </c>
      <c r="U41" s="2">
        <v>1171.05</v>
      </c>
      <c r="V41" s="2">
        <v>1363.16</v>
      </c>
      <c r="W41" s="2">
        <v>1495.83</v>
      </c>
      <c r="X41" s="2">
        <v>1695.74</v>
      </c>
      <c r="AA41" s="1" t="s">
        <v>20</v>
      </c>
      <c r="AB41" s="2">
        <v>4770.0200000000004</v>
      </c>
      <c r="AC41" s="2">
        <v>5926.84</v>
      </c>
      <c r="AD41" s="2">
        <v>7486.34</v>
      </c>
      <c r="AE41" s="2">
        <v>6995.04</v>
      </c>
      <c r="AF41" s="2">
        <v>7230.19</v>
      </c>
      <c r="AG41" s="2">
        <v>8720.61</v>
      </c>
      <c r="AH41" s="2">
        <v>6835.35</v>
      </c>
      <c r="AI41" s="2">
        <v>8332.24</v>
      </c>
      <c r="AJ41" s="2">
        <v>6392.17</v>
      </c>
      <c r="AK41" s="2">
        <v>6186.26</v>
      </c>
      <c r="AN41" s="1" t="s">
        <v>20</v>
      </c>
      <c r="AO41" s="2">
        <v>6365.47</v>
      </c>
      <c r="AP41" s="2">
        <v>7186.58</v>
      </c>
      <c r="AQ41" s="2">
        <v>9612.26</v>
      </c>
      <c r="AR41" s="2">
        <v>9055.56</v>
      </c>
      <c r="AS41" s="2">
        <v>9474.7099999999991</v>
      </c>
      <c r="AT41" s="2">
        <v>10570.64</v>
      </c>
      <c r="AU41" s="2">
        <v>8006.4</v>
      </c>
      <c r="AV41" s="2">
        <v>9695.4</v>
      </c>
      <c r="AW41" s="2">
        <v>7888</v>
      </c>
      <c r="AX41" s="2">
        <v>7882</v>
      </c>
    </row>
    <row r="42" spans="2:50" x14ac:dyDescent="0.3">
      <c r="B42" s="1" t="s">
        <v>21</v>
      </c>
      <c r="C42" s="2">
        <v>11497.51</v>
      </c>
      <c r="D42" s="2">
        <v>15407.21</v>
      </c>
      <c r="E42" s="2">
        <v>24281.84</v>
      </c>
      <c r="F42" s="2">
        <v>27361.3</v>
      </c>
      <c r="G42" s="2">
        <v>29736.32</v>
      </c>
      <c r="H42" s="2">
        <v>31343.69</v>
      </c>
      <c r="I42" s="2">
        <v>17966</v>
      </c>
      <c r="J42" s="2">
        <v>39778.44</v>
      </c>
      <c r="K42" s="2">
        <v>3839.49</v>
      </c>
      <c r="L42" s="2">
        <v>3441.05</v>
      </c>
      <c r="N42" s="1" t="s">
        <v>21</v>
      </c>
      <c r="O42" s="2">
        <v>2029.57</v>
      </c>
      <c r="P42" s="2">
        <v>1359.86</v>
      </c>
      <c r="Q42" s="2">
        <v>1885.97</v>
      </c>
      <c r="R42" s="2">
        <v>2125.15</v>
      </c>
      <c r="S42" s="2">
        <v>2062.16</v>
      </c>
      <c r="T42" s="2">
        <v>2173.63</v>
      </c>
      <c r="U42" s="2">
        <v>2114.27</v>
      </c>
      <c r="V42" s="2">
        <v>2340.6</v>
      </c>
      <c r="W42" s="2">
        <v>1863.83</v>
      </c>
      <c r="X42" s="2">
        <v>1670.41</v>
      </c>
      <c r="AA42" s="1" t="s">
        <v>21</v>
      </c>
      <c r="AB42" s="2">
        <v>6223.13</v>
      </c>
      <c r="AC42" s="2">
        <v>5867.27</v>
      </c>
      <c r="AD42" s="2">
        <v>9614.0300000000007</v>
      </c>
      <c r="AE42" s="2">
        <v>11057.82</v>
      </c>
      <c r="AF42" s="2">
        <v>9437.84</v>
      </c>
      <c r="AG42" s="2">
        <v>10133.799999999999</v>
      </c>
      <c r="AH42" s="2">
        <v>8510.43</v>
      </c>
      <c r="AI42" s="2">
        <v>12609.4</v>
      </c>
      <c r="AJ42" s="2">
        <v>6377.17</v>
      </c>
      <c r="AK42" s="2">
        <v>3927.76</v>
      </c>
      <c r="AN42" s="1" t="s">
        <v>21</v>
      </c>
      <c r="AO42" s="2">
        <v>8252.7000000000007</v>
      </c>
      <c r="AP42" s="2">
        <v>7227.13</v>
      </c>
      <c r="AQ42" s="2">
        <v>11500</v>
      </c>
      <c r="AR42" s="2">
        <v>13182.97</v>
      </c>
      <c r="AS42" s="2">
        <v>11500</v>
      </c>
      <c r="AT42" s="2">
        <v>12307.43</v>
      </c>
      <c r="AU42" s="2">
        <v>10624.7</v>
      </c>
      <c r="AV42" s="2">
        <v>14950</v>
      </c>
      <c r="AW42" s="2">
        <v>8241</v>
      </c>
      <c r="AX42" s="2">
        <v>5598.17</v>
      </c>
    </row>
    <row r="43" spans="2:50" x14ac:dyDescent="0.3">
      <c r="B43" s="1" t="s">
        <v>22</v>
      </c>
      <c r="C43" s="2">
        <v>176905.32</v>
      </c>
      <c r="D43" s="2">
        <v>178461.67</v>
      </c>
      <c r="E43" s="2">
        <v>122972.91</v>
      </c>
      <c r="F43" s="2">
        <v>121772.25</v>
      </c>
      <c r="G43" s="2">
        <v>151003.17000000001</v>
      </c>
      <c r="H43" s="2">
        <v>186318.14</v>
      </c>
      <c r="I43" s="2">
        <v>54009</v>
      </c>
      <c r="J43" s="2">
        <v>51728.480000000003</v>
      </c>
      <c r="K43" s="2">
        <v>7423.38</v>
      </c>
      <c r="L43" s="2">
        <v>8229.4</v>
      </c>
      <c r="N43" s="1" t="s">
        <v>22</v>
      </c>
      <c r="O43" s="2">
        <v>2602.34</v>
      </c>
      <c r="P43" s="2">
        <v>2625.23</v>
      </c>
      <c r="Q43" s="2">
        <v>2122.5100000000002</v>
      </c>
      <c r="R43" s="2">
        <v>2101.79</v>
      </c>
      <c r="S43" s="2">
        <v>2327.06</v>
      </c>
      <c r="T43" s="2">
        <v>2767.32</v>
      </c>
      <c r="U43" s="2">
        <v>2118.63</v>
      </c>
      <c r="V43" s="2">
        <v>1561.92</v>
      </c>
      <c r="W43" s="2">
        <v>1201.19</v>
      </c>
      <c r="X43" s="2">
        <v>1331.62</v>
      </c>
      <c r="AA43" s="1" t="s">
        <v>22</v>
      </c>
      <c r="AB43" s="2">
        <v>8997.66</v>
      </c>
      <c r="AC43" s="2">
        <v>9051.7099999999991</v>
      </c>
      <c r="AD43" s="2">
        <v>8561.57</v>
      </c>
      <c r="AE43" s="2">
        <v>11095.01</v>
      </c>
      <c r="AF43" s="2">
        <v>10184.4</v>
      </c>
      <c r="AG43" s="2">
        <v>10626.31</v>
      </c>
      <c r="AH43" s="2">
        <v>8193.15</v>
      </c>
      <c r="AI43" s="2">
        <v>9849.24</v>
      </c>
      <c r="AJ43" s="2">
        <v>3450.56</v>
      </c>
      <c r="AK43" s="2">
        <v>4289.58</v>
      </c>
      <c r="AN43" s="1" t="s">
        <v>22</v>
      </c>
      <c r="AO43" s="2">
        <v>11600</v>
      </c>
      <c r="AP43" s="2">
        <v>11676.94</v>
      </c>
      <c r="AQ43" s="2">
        <v>10684.08</v>
      </c>
      <c r="AR43" s="2">
        <v>13196.8</v>
      </c>
      <c r="AS43" s="2">
        <v>12511.47</v>
      </c>
      <c r="AT43" s="2">
        <v>13393.63</v>
      </c>
      <c r="AU43" s="2">
        <v>10311.780000000001</v>
      </c>
      <c r="AV43" s="2">
        <v>11411.15</v>
      </c>
      <c r="AW43" s="2">
        <v>4651.75</v>
      </c>
      <c r="AX43" s="2">
        <v>5621.2</v>
      </c>
    </row>
    <row r="44" spans="2:50" x14ac:dyDescent="0.3">
      <c r="B44" s="1" t="s">
        <v>23</v>
      </c>
      <c r="C44" s="2">
        <v>19216.990000000002</v>
      </c>
      <c r="D44" s="2">
        <v>25452.63</v>
      </c>
      <c r="E44" s="2">
        <v>23038.11</v>
      </c>
      <c r="F44" s="2">
        <v>5888.04</v>
      </c>
      <c r="G44" s="2">
        <v>24659.57</v>
      </c>
      <c r="H44" s="2">
        <v>26949.32</v>
      </c>
      <c r="I44" s="2">
        <v>17936.689999999999</v>
      </c>
      <c r="J44" s="2">
        <v>4877.83</v>
      </c>
      <c r="K44" s="2">
        <v>3695.65</v>
      </c>
      <c r="L44" s="2">
        <v>6740.6</v>
      </c>
      <c r="N44" s="1" t="s">
        <v>23</v>
      </c>
      <c r="O44" s="2">
        <v>1130.74</v>
      </c>
      <c r="P44" s="2">
        <v>1181.3900000000001</v>
      </c>
      <c r="Q44" s="2">
        <v>1192.9100000000001</v>
      </c>
      <c r="R44" s="2">
        <v>968.51</v>
      </c>
      <c r="S44" s="2">
        <v>1140.06</v>
      </c>
      <c r="T44" s="2">
        <v>1245.92</v>
      </c>
      <c r="U44" s="2">
        <v>703.61</v>
      </c>
      <c r="V44" s="2">
        <v>364.97</v>
      </c>
      <c r="W44" s="2">
        <v>689.02</v>
      </c>
      <c r="X44" s="2">
        <v>1090.71</v>
      </c>
      <c r="AA44" s="1" t="s">
        <v>23</v>
      </c>
      <c r="AB44" s="2">
        <v>4587.76</v>
      </c>
      <c r="AC44" s="2">
        <v>5820.81</v>
      </c>
      <c r="AD44" s="2">
        <v>4586.59</v>
      </c>
      <c r="AE44" s="2">
        <v>5331.49</v>
      </c>
      <c r="AF44" s="2">
        <v>3316.94</v>
      </c>
      <c r="AG44" s="2">
        <v>3869.68</v>
      </c>
      <c r="AH44" s="2">
        <v>2843.89</v>
      </c>
      <c r="AI44" s="2">
        <v>4164.83</v>
      </c>
      <c r="AJ44" s="2">
        <v>3825.98</v>
      </c>
      <c r="AK44" s="2">
        <v>3818.29</v>
      </c>
      <c r="AN44" s="1" t="s">
        <v>23</v>
      </c>
      <c r="AO44" s="2">
        <v>5718.5</v>
      </c>
      <c r="AP44" s="2">
        <v>7002.2</v>
      </c>
      <c r="AQ44" s="2">
        <v>5779.5</v>
      </c>
      <c r="AR44" s="2">
        <v>6300</v>
      </c>
      <c r="AS44" s="2">
        <v>4457</v>
      </c>
      <c r="AT44" s="2">
        <v>5115.6000000000004</v>
      </c>
      <c r="AU44" s="2">
        <v>3547.5</v>
      </c>
      <c r="AV44" s="2">
        <v>4529.8</v>
      </c>
      <c r="AW44" s="2">
        <v>4515</v>
      </c>
      <c r="AX44" s="2">
        <v>4909</v>
      </c>
    </row>
    <row r="47" spans="2:50" x14ac:dyDescent="0.3">
      <c r="B47" t="s">
        <v>32</v>
      </c>
      <c r="N47" t="s">
        <v>33</v>
      </c>
      <c r="AA47" t="s">
        <v>34</v>
      </c>
      <c r="AN47" t="s">
        <v>35</v>
      </c>
    </row>
    <row r="48" spans="2:50" x14ac:dyDescent="0.3">
      <c r="B48" s="1" t="s">
        <v>11</v>
      </c>
      <c r="C48" s="1" t="s">
        <v>12</v>
      </c>
      <c r="D48" s="1" t="s">
        <v>13</v>
      </c>
      <c r="E48" s="1" t="s">
        <v>12</v>
      </c>
      <c r="F48" s="1" t="s">
        <v>13</v>
      </c>
      <c r="G48" s="1" t="s">
        <v>12</v>
      </c>
      <c r="H48" s="1" t="s">
        <v>13</v>
      </c>
      <c r="I48" s="1" t="s">
        <v>12</v>
      </c>
      <c r="J48" s="1" t="s">
        <v>13</v>
      </c>
      <c r="K48" s="1" t="s">
        <v>12</v>
      </c>
      <c r="L48" s="1" t="s">
        <v>13</v>
      </c>
      <c r="N48" s="1" t="s">
        <v>11</v>
      </c>
      <c r="O48" s="1" t="s">
        <v>12</v>
      </c>
      <c r="P48" s="1" t="s">
        <v>13</v>
      </c>
      <c r="Q48" s="1" t="s">
        <v>12</v>
      </c>
      <c r="R48" s="1" t="s">
        <v>13</v>
      </c>
      <c r="S48" s="1" t="s">
        <v>12</v>
      </c>
      <c r="T48" s="1" t="s">
        <v>13</v>
      </c>
      <c r="U48" s="1" t="s">
        <v>12</v>
      </c>
      <c r="V48" s="1" t="s">
        <v>13</v>
      </c>
      <c r="W48" s="1" t="s">
        <v>12</v>
      </c>
      <c r="X48" s="1" t="s">
        <v>13</v>
      </c>
      <c r="AA48" s="1" t="s">
        <v>11</v>
      </c>
      <c r="AB48" s="1" t="s">
        <v>12</v>
      </c>
      <c r="AC48" s="1" t="s">
        <v>13</v>
      </c>
      <c r="AD48" s="1" t="s">
        <v>12</v>
      </c>
      <c r="AE48" s="1" t="s">
        <v>13</v>
      </c>
      <c r="AF48" s="1" t="s">
        <v>12</v>
      </c>
      <c r="AG48" s="1" t="s">
        <v>13</v>
      </c>
      <c r="AH48" s="1" t="s">
        <v>12</v>
      </c>
      <c r="AI48" s="1" t="s">
        <v>13</v>
      </c>
      <c r="AJ48" s="1" t="s">
        <v>12</v>
      </c>
      <c r="AK48" s="1" t="s">
        <v>13</v>
      </c>
      <c r="AN48" s="1" t="s">
        <v>11</v>
      </c>
      <c r="AO48" s="1" t="s">
        <v>12</v>
      </c>
      <c r="AP48" s="1" t="s">
        <v>13</v>
      </c>
      <c r="AQ48" s="1" t="s">
        <v>12</v>
      </c>
      <c r="AR48" s="1" t="s">
        <v>13</v>
      </c>
      <c r="AS48" s="1" t="s">
        <v>12</v>
      </c>
      <c r="AT48" s="1" t="s">
        <v>13</v>
      </c>
      <c r="AU48" s="1" t="s">
        <v>12</v>
      </c>
      <c r="AV48" s="1" t="s">
        <v>13</v>
      </c>
      <c r="AW48" s="1" t="s">
        <v>12</v>
      </c>
      <c r="AX48" s="1" t="s">
        <v>13</v>
      </c>
    </row>
    <row r="49" spans="2:50" x14ac:dyDescent="0.3">
      <c r="B49" s="1" t="s">
        <v>14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N49" s="1" t="s">
        <v>14</v>
      </c>
      <c r="O49" s="1" t="s">
        <v>1</v>
      </c>
      <c r="P49" s="1" t="s">
        <v>1</v>
      </c>
      <c r="Q49" s="1" t="s">
        <v>2</v>
      </c>
      <c r="R49" s="1" t="s">
        <v>2</v>
      </c>
      <c r="S49" s="1" t="s">
        <v>3</v>
      </c>
      <c r="T49" s="1" t="s">
        <v>3</v>
      </c>
      <c r="U49" s="1" t="s">
        <v>4</v>
      </c>
      <c r="V49" s="1" t="s">
        <v>4</v>
      </c>
      <c r="W49" s="1" t="s">
        <v>5</v>
      </c>
      <c r="X49" s="1" t="s">
        <v>5</v>
      </c>
      <c r="AA49" s="1" t="s">
        <v>14</v>
      </c>
      <c r="AB49" s="1" t="s">
        <v>1</v>
      </c>
      <c r="AC49" s="1" t="s">
        <v>1</v>
      </c>
      <c r="AD49" s="1" t="s">
        <v>2</v>
      </c>
      <c r="AE49" s="1" t="s">
        <v>2</v>
      </c>
      <c r="AF49" s="1" t="s">
        <v>3</v>
      </c>
      <c r="AG49" s="1" t="s">
        <v>3</v>
      </c>
      <c r="AH49" s="1" t="s">
        <v>4</v>
      </c>
      <c r="AI49" s="1" t="s">
        <v>4</v>
      </c>
      <c r="AJ49" s="1" t="s">
        <v>5</v>
      </c>
      <c r="AK49" s="1" t="s">
        <v>5</v>
      </c>
      <c r="AN49" s="1" t="s">
        <v>14</v>
      </c>
      <c r="AO49" s="1" t="s">
        <v>1</v>
      </c>
      <c r="AP49" s="1" t="s">
        <v>1</v>
      </c>
      <c r="AQ49" s="1" t="s">
        <v>2</v>
      </c>
      <c r="AR49" s="1" t="s">
        <v>2</v>
      </c>
      <c r="AS49" s="1" t="s">
        <v>3</v>
      </c>
      <c r="AT49" s="1" t="s">
        <v>3</v>
      </c>
      <c r="AU49" s="1" t="s">
        <v>4</v>
      </c>
      <c r="AV49" s="1" t="s">
        <v>4</v>
      </c>
      <c r="AW49" s="1" t="s">
        <v>5</v>
      </c>
      <c r="AX49" s="1" t="s">
        <v>5</v>
      </c>
    </row>
    <row r="50" spans="2:50" x14ac:dyDescent="0.3">
      <c r="B50" s="1" t="s">
        <v>15</v>
      </c>
      <c r="N50" s="1" t="s">
        <v>15</v>
      </c>
      <c r="AA50" s="1" t="s">
        <v>15</v>
      </c>
      <c r="AN50" s="1" t="s">
        <v>15</v>
      </c>
    </row>
    <row r="51" spans="2:50" x14ac:dyDescent="0.3">
      <c r="B51" s="1" t="s">
        <v>16</v>
      </c>
      <c r="C51" s="2">
        <v>648.11</v>
      </c>
      <c r="D51" s="2">
        <v>628.02</v>
      </c>
      <c r="E51" s="2">
        <v>792.43</v>
      </c>
      <c r="F51" s="2">
        <v>346.42</v>
      </c>
      <c r="G51" s="2">
        <v>740.06</v>
      </c>
      <c r="H51" s="2">
        <v>617.36</v>
      </c>
      <c r="I51" s="2">
        <v>462.47</v>
      </c>
      <c r="J51" s="2">
        <v>277.76</v>
      </c>
      <c r="K51" s="2">
        <v>192.41</v>
      </c>
      <c r="L51" s="2">
        <v>124.4</v>
      </c>
      <c r="N51" s="1" t="s">
        <v>16</v>
      </c>
      <c r="O51" s="2">
        <v>0.1</v>
      </c>
      <c r="P51" s="2">
        <v>0.09</v>
      </c>
      <c r="Q51" s="2">
        <v>0.12</v>
      </c>
      <c r="R51" s="2">
        <v>7.0000000000000007E-2</v>
      </c>
      <c r="S51" s="2">
        <v>7.0000000000000007E-2</v>
      </c>
      <c r="T51" s="2">
        <v>7.0000000000000007E-2</v>
      </c>
      <c r="U51" s="2">
        <v>0.04</v>
      </c>
      <c r="V51" s="2">
        <v>0.03</v>
      </c>
      <c r="W51" s="2">
        <v>0.09</v>
      </c>
      <c r="X51" s="2">
        <v>7.0000000000000007E-2</v>
      </c>
      <c r="AA51" s="1" t="s">
        <v>16</v>
      </c>
      <c r="AB51" s="2">
        <v>0.41</v>
      </c>
      <c r="AC51" s="2">
        <v>0.4</v>
      </c>
      <c r="AD51" s="2">
        <v>0.38</v>
      </c>
      <c r="AE51" s="2">
        <v>0.3</v>
      </c>
      <c r="AF51" s="2">
        <v>0.25</v>
      </c>
      <c r="AG51" s="2">
        <v>0.22</v>
      </c>
      <c r="AH51" s="2">
        <v>0.23</v>
      </c>
      <c r="AI51" s="2">
        <v>0.19</v>
      </c>
      <c r="AJ51" s="2">
        <v>0.49</v>
      </c>
      <c r="AK51" s="2">
        <v>0.4</v>
      </c>
      <c r="AN51" s="1" t="s">
        <v>16</v>
      </c>
      <c r="AO51" s="2">
        <v>0.45</v>
      </c>
      <c r="AP51" s="2">
        <v>0.45</v>
      </c>
      <c r="AQ51" s="2">
        <v>0.42</v>
      </c>
      <c r="AR51" s="2">
        <v>0.33</v>
      </c>
      <c r="AS51" s="2">
        <v>0.27</v>
      </c>
      <c r="AT51" s="2">
        <v>0.24</v>
      </c>
      <c r="AU51" s="2">
        <v>0.24</v>
      </c>
      <c r="AV51" s="2">
        <v>0.2</v>
      </c>
      <c r="AW51" s="2">
        <v>0.54</v>
      </c>
      <c r="AX51" s="2">
        <v>0.44</v>
      </c>
    </row>
    <row r="52" spans="2:50" x14ac:dyDescent="0.3">
      <c r="B52" s="1" t="s">
        <v>17</v>
      </c>
      <c r="C52" s="2">
        <v>8473.18</v>
      </c>
      <c r="D52" s="2">
        <v>5000.6000000000004</v>
      </c>
      <c r="E52" s="2">
        <v>13331.99</v>
      </c>
      <c r="F52" s="2">
        <v>5656.9</v>
      </c>
      <c r="G52" s="2">
        <v>14579.24</v>
      </c>
      <c r="H52" s="2">
        <v>9080.94</v>
      </c>
      <c r="I52" s="2">
        <v>14889.34</v>
      </c>
      <c r="J52" s="2">
        <v>1757.25</v>
      </c>
      <c r="K52" s="2">
        <v>4490.5600000000004</v>
      </c>
      <c r="L52" s="2">
        <v>1557.09</v>
      </c>
      <c r="N52" s="1" t="s">
        <v>17</v>
      </c>
      <c r="O52" s="2">
        <v>0.49</v>
      </c>
      <c r="P52" s="2">
        <v>0.31</v>
      </c>
      <c r="Q52" s="2">
        <v>0.43</v>
      </c>
      <c r="R52" s="2">
        <v>0.34</v>
      </c>
      <c r="S52" s="2">
        <v>0.63</v>
      </c>
      <c r="T52" s="2">
        <v>0.43</v>
      </c>
      <c r="U52" s="2">
        <v>0.55000000000000004</v>
      </c>
      <c r="V52" s="2">
        <v>0.21</v>
      </c>
      <c r="W52" s="2">
        <v>0.36</v>
      </c>
      <c r="X52" s="2">
        <v>0.28000000000000003</v>
      </c>
      <c r="AA52" s="1" t="s">
        <v>17</v>
      </c>
      <c r="AB52" s="2">
        <v>0.85</v>
      </c>
      <c r="AC52" s="2">
        <v>0.76</v>
      </c>
      <c r="AD52" s="2">
        <v>0.88</v>
      </c>
      <c r="AE52" s="2">
        <v>0.83</v>
      </c>
      <c r="AF52" s="2">
        <v>0.86</v>
      </c>
      <c r="AG52" s="2">
        <v>0.82</v>
      </c>
      <c r="AH52" s="2">
        <v>0.86</v>
      </c>
      <c r="AI52" s="2">
        <v>0.4</v>
      </c>
      <c r="AJ52" s="2">
        <v>0.92</v>
      </c>
      <c r="AK52" s="2">
        <v>0.74</v>
      </c>
      <c r="AN52" s="1" t="s">
        <v>17</v>
      </c>
      <c r="AO52" s="2">
        <v>1.0900000000000001</v>
      </c>
      <c r="AP52" s="2">
        <v>0.91</v>
      </c>
      <c r="AQ52" s="2">
        <v>1.01</v>
      </c>
      <c r="AR52" s="2">
        <v>1.0900000000000001</v>
      </c>
      <c r="AS52" s="2">
        <v>1.0900000000000001</v>
      </c>
      <c r="AT52" s="2">
        <v>1.0900000000000001</v>
      </c>
      <c r="AU52" s="2">
        <v>1.0900000000000001</v>
      </c>
      <c r="AV52" s="2">
        <v>0.46</v>
      </c>
      <c r="AW52" s="2">
        <v>1.0900000000000001</v>
      </c>
      <c r="AX52" s="2">
        <v>0.88</v>
      </c>
    </row>
    <row r="53" spans="2:50" x14ac:dyDescent="0.3">
      <c r="B53" s="1" t="s">
        <v>18</v>
      </c>
      <c r="C53" s="2">
        <v>118242.9</v>
      </c>
      <c r="D53" s="2">
        <v>23083.65</v>
      </c>
      <c r="E53" s="2">
        <v>104222.07</v>
      </c>
      <c r="F53" s="2">
        <v>88907.98</v>
      </c>
      <c r="G53" s="2">
        <v>219664.35</v>
      </c>
      <c r="H53" s="2">
        <v>81266.289999999994</v>
      </c>
      <c r="I53" s="2">
        <v>227888.44</v>
      </c>
      <c r="J53" s="2">
        <v>28049.79</v>
      </c>
      <c r="K53" s="2">
        <v>5045.5600000000004</v>
      </c>
      <c r="L53" s="2">
        <v>6910.47</v>
      </c>
      <c r="N53" s="1" t="s">
        <v>18</v>
      </c>
      <c r="O53" s="2">
        <v>0.75</v>
      </c>
      <c r="P53" s="2">
        <v>0.49</v>
      </c>
      <c r="Q53" s="2">
        <v>0.62</v>
      </c>
      <c r="R53" s="2">
        <v>0.53</v>
      </c>
      <c r="S53" s="2">
        <v>0.83</v>
      </c>
      <c r="T53" s="2">
        <v>0.49</v>
      </c>
      <c r="U53" s="2">
        <v>0.76</v>
      </c>
      <c r="V53" s="2">
        <v>0.4</v>
      </c>
      <c r="W53" s="2">
        <v>0.28000000000000003</v>
      </c>
      <c r="X53" s="2">
        <v>0.42</v>
      </c>
      <c r="AA53" s="1" t="s">
        <v>18</v>
      </c>
      <c r="AB53" s="2">
        <v>1.1100000000000001</v>
      </c>
      <c r="AC53" s="2">
        <v>0.81</v>
      </c>
      <c r="AD53" s="2">
        <v>1.03</v>
      </c>
      <c r="AE53" s="2">
        <v>1.1000000000000001</v>
      </c>
      <c r="AF53" s="2">
        <v>1.1499999999999999</v>
      </c>
      <c r="AG53" s="2">
        <v>0.96</v>
      </c>
      <c r="AH53" s="2">
        <v>1.1399999999999999</v>
      </c>
      <c r="AI53" s="2">
        <v>0.7</v>
      </c>
      <c r="AJ53" s="2">
        <v>0.66</v>
      </c>
      <c r="AK53" s="2">
        <v>0.78</v>
      </c>
      <c r="AN53" s="1" t="s">
        <v>18</v>
      </c>
      <c r="AO53" s="2">
        <v>1.45</v>
      </c>
      <c r="AP53" s="2">
        <v>1.1100000000000001</v>
      </c>
      <c r="AQ53" s="2">
        <v>1.21</v>
      </c>
      <c r="AR53" s="2">
        <v>1.45</v>
      </c>
      <c r="AS53" s="2">
        <v>1.45</v>
      </c>
      <c r="AT53" s="2">
        <v>1.1299999999999999</v>
      </c>
      <c r="AU53" s="2">
        <v>1.41</v>
      </c>
      <c r="AV53" s="2">
        <v>0.81</v>
      </c>
      <c r="AW53" s="2">
        <v>0.81</v>
      </c>
      <c r="AX53" s="2">
        <v>1.01</v>
      </c>
    </row>
    <row r="54" spans="2:50" x14ac:dyDescent="0.3">
      <c r="B54" s="1" t="s">
        <v>19</v>
      </c>
      <c r="C54" s="2">
        <v>9168.2199999999993</v>
      </c>
      <c r="D54" s="2">
        <v>7072.49</v>
      </c>
      <c r="E54" s="2">
        <v>19710.89</v>
      </c>
      <c r="F54" s="2">
        <v>15579.04</v>
      </c>
      <c r="G54" s="2">
        <v>23008.79</v>
      </c>
      <c r="H54" s="2">
        <v>21531.81</v>
      </c>
      <c r="I54" s="2">
        <v>19180.099999999999</v>
      </c>
      <c r="J54" s="2">
        <v>6103.52</v>
      </c>
      <c r="K54" s="2">
        <v>1297.76</v>
      </c>
      <c r="L54" s="2">
        <v>1394.43</v>
      </c>
      <c r="N54" s="1" t="s">
        <v>19</v>
      </c>
      <c r="O54" s="2">
        <v>0.57999999999999996</v>
      </c>
      <c r="P54" s="2">
        <v>0.46</v>
      </c>
      <c r="Q54" s="2">
        <v>0.57999999999999996</v>
      </c>
      <c r="R54" s="2">
        <v>0.47</v>
      </c>
      <c r="S54" s="2">
        <v>0.54</v>
      </c>
      <c r="T54" s="2">
        <v>0.54</v>
      </c>
      <c r="U54" s="2">
        <v>0.41</v>
      </c>
      <c r="V54" s="2">
        <v>0.38</v>
      </c>
      <c r="W54" s="2">
        <v>0.24</v>
      </c>
      <c r="X54" s="2">
        <v>0.26</v>
      </c>
      <c r="AA54" s="1" t="s">
        <v>19</v>
      </c>
      <c r="AB54" s="2">
        <v>0.89</v>
      </c>
      <c r="AC54" s="2">
        <v>0.87</v>
      </c>
      <c r="AD54" s="2">
        <v>0.98</v>
      </c>
      <c r="AE54" s="2">
        <v>0.97</v>
      </c>
      <c r="AF54" s="2">
        <v>0.95</v>
      </c>
      <c r="AG54" s="2">
        <v>0.96</v>
      </c>
      <c r="AH54" s="2">
        <v>0.92</v>
      </c>
      <c r="AI54" s="2">
        <v>0.68</v>
      </c>
      <c r="AJ54" s="2">
        <v>0.74</v>
      </c>
      <c r="AK54" s="2">
        <v>0.75</v>
      </c>
      <c r="AN54" s="1" t="s">
        <v>19</v>
      </c>
      <c r="AO54" s="2">
        <v>1.1499999999999999</v>
      </c>
      <c r="AP54" s="2">
        <v>1.1499999999999999</v>
      </c>
      <c r="AQ54" s="2">
        <v>1.1499999999999999</v>
      </c>
      <c r="AR54" s="2">
        <v>1.1499999999999999</v>
      </c>
      <c r="AS54" s="2">
        <v>1.1499999999999999</v>
      </c>
      <c r="AT54" s="2">
        <v>1.1499999999999999</v>
      </c>
      <c r="AU54" s="2">
        <v>1.05</v>
      </c>
      <c r="AV54" s="2">
        <v>0.78</v>
      </c>
      <c r="AW54" s="2">
        <v>0.87</v>
      </c>
      <c r="AX54" s="2">
        <v>0.91</v>
      </c>
    </row>
    <row r="55" spans="2:50" x14ac:dyDescent="0.3">
      <c r="B55" s="1" t="s">
        <v>20</v>
      </c>
      <c r="C55" s="2">
        <v>36263.97</v>
      </c>
      <c r="D55" s="2">
        <v>58284.46</v>
      </c>
      <c r="E55" s="2">
        <v>50225.56</v>
      </c>
      <c r="F55" s="2">
        <v>49657.59</v>
      </c>
      <c r="G55" s="2">
        <v>66259.28</v>
      </c>
      <c r="H55" s="2">
        <v>111937.85</v>
      </c>
      <c r="I55" s="2">
        <v>40826.18</v>
      </c>
      <c r="J55" s="2">
        <v>26999.24</v>
      </c>
      <c r="K55" s="2">
        <v>11466.1</v>
      </c>
      <c r="L55" s="2">
        <v>13149.1</v>
      </c>
      <c r="N55" s="1" t="s">
        <v>20</v>
      </c>
      <c r="O55" s="2">
        <v>0.44</v>
      </c>
      <c r="P55" s="2">
        <v>0.35</v>
      </c>
      <c r="Q55" s="2">
        <v>0.59</v>
      </c>
      <c r="R55" s="2">
        <v>0.56999999999999995</v>
      </c>
      <c r="S55" s="2">
        <v>0.62</v>
      </c>
      <c r="T55" s="2">
        <v>0.51</v>
      </c>
      <c r="U55" s="2">
        <v>0.33</v>
      </c>
      <c r="V55" s="2">
        <v>0.38</v>
      </c>
      <c r="W55" s="2">
        <v>0.42</v>
      </c>
      <c r="X55" s="2">
        <v>0.47</v>
      </c>
      <c r="AA55" s="1" t="s">
        <v>20</v>
      </c>
      <c r="AB55" s="2">
        <v>0.86</v>
      </c>
      <c r="AC55" s="2">
        <v>0.95</v>
      </c>
      <c r="AD55" s="2">
        <v>0.9</v>
      </c>
      <c r="AE55" s="2">
        <v>0.89</v>
      </c>
      <c r="AF55" s="2">
        <v>0.88</v>
      </c>
      <c r="AG55" s="2">
        <v>0.95</v>
      </c>
      <c r="AH55" s="2">
        <v>0.75</v>
      </c>
      <c r="AI55" s="2">
        <v>0.64</v>
      </c>
      <c r="AJ55" s="2">
        <v>0.82</v>
      </c>
      <c r="AK55" s="2">
        <v>0.85</v>
      </c>
      <c r="AN55" s="1" t="s">
        <v>20</v>
      </c>
      <c r="AO55" s="2">
        <v>1.1499999999999999</v>
      </c>
      <c r="AP55" s="2">
        <v>1.1499999999999999</v>
      </c>
      <c r="AQ55" s="2">
        <v>1.1499999999999999</v>
      </c>
      <c r="AR55" s="2">
        <v>1.1499999999999999</v>
      </c>
      <c r="AS55" s="2">
        <v>1.1499999999999999</v>
      </c>
      <c r="AT55" s="2">
        <v>1.1499999999999999</v>
      </c>
      <c r="AU55" s="2">
        <v>0.88</v>
      </c>
      <c r="AV55" s="2">
        <v>0.75</v>
      </c>
      <c r="AW55" s="2">
        <v>1.01</v>
      </c>
      <c r="AX55" s="2">
        <v>1.08</v>
      </c>
    </row>
    <row r="56" spans="2:50" x14ac:dyDescent="0.3">
      <c r="B56" s="1" t="s">
        <v>21</v>
      </c>
      <c r="C56" s="2">
        <v>9787.5300000000007</v>
      </c>
      <c r="D56" s="2">
        <v>13604.59</v>
      </c>
      <c r="E56" s="2">
        <v>19802.73</v>
      </c>
      <c r="F56" s="2">
        <v>23655.26</v>
      </c>
      <c r="G56" s="2">
        <v>25716.63</v>
      </c>
      <c r="H56" s="2">
        <v>28256.85</v>
      </c>
      <c r="I56" s="2">
        <v>15641.74</v>
      </c>
      <c r="J56" s="2">
        <v>35915.599999999999</v>
      </c>
      <c r="K56" s="2">
        <v>3096.94</v>
      </c>
      <c r="L56" s="2">
        <v>2947.71</v>
      </c>
      <c r="N56" s="1" t="s">
        <v>21</v>
      </c>
      <c r="O56" s="2">
        <v>0.56000000000000005</v>
      </c>
      <c r="P56" s="2">
        <v>0.38</v>
      </c>
      <c r="Q56" s="2">
        <v>0.52</v>
      </c>
      <c r="R56" s="2">
        <v>0.59</v>
      </c>
      <c r="S56" s="2">
        <v>0.56999999999999995</v>
      </c>
      <c r="T56" s="2">
        <v>0.6</v>
      </c>
      <c r="U56" s="2">
        <v>0.59</v>
      </c>
      <c r="V56" s="2">
        <v>0.65</v>
      </c>
      <c r="W56" s="2">
        <v>0.52</v>
      </c>
      <c r="X56" s="2">
        <v>0.46</v>
      </c>
      <c r="AA56" s="1" t="s">
        <v>21</v>
      </c>
      <c r="AB56" s="2">
        <v>0.87</v>
      </c>
      <c r="AC56" s="2">
        <v>0.93</v>
      </c>
      <c r="AD56" s="2">
        <v>0.96</v>
      </c>
      <c r="AE56" s="2">
        <v>0.96</v>
      </c>
      <c r="AF56" s="2">
        <v>0.94</v>
      </c>
      <c r="AG56" s="2">
        <v>0.95</v>
      </c>
      <c r="AH56" s="2">
        <v>0.85</v>
      </c>
      <c r="AI56" s="2">
        <v>0.97</v>
      </c>
      <c r="AJ56" s="2">
        <v>0.85</v>
      </c>
      <c r="AK56" s="2">
        <v>0.85</v>
      </c>
      <c r="AN56" s="1" t="s">
        <v>21</v>
      </c>
      <c r="AO56" s="2">
        <v>1.1499999999999999</v>
      </c>
      <c r="AP56" s="2">
        <v>1.1499999999999999</v>
      </c>
      <c r="AQ56" s="2">
        <v>1.1499999999999999</v>
      </c>
      <c r="AR56" s="2">
        <v>1.1499999999999999</v>
      </c>
      <c r="AS56" s="2">
        <v>1.1499999999999999</v>
      </c>
      <c r="AT56" s="2">
        <v>1.1499999999999999</v>
      </c>
      <c r="AU56" s="2">
        <v>1.06</v>
      </c>
      <c r="AV56" s="2">
        <v>1.1499999999999999</v>
      </c>
      <c r="AW56" s="2">
        <v>1.0900000000000001</v>
      </c>
      <c r="AX56" s="2">
        <v>1.21</v>
      </c>
    </row>
    <row r="57" spans="2:50" x14ac:dyDescent="0.3">
      <c r="B57" s="1" t="s">
        <v>22</v>
      </c>
      <c r="C57" s="2">
        <v>156868.43</v>
      </c>
      <c r="D57" s="2">
        <v>156545.34</v>
      </c>
      <c r="E57" s="2">
        <v>103850.02</v>
      </c>
      <c r="F57" s="2">
        <v>104005.95</v>
      </c>
      <c r="G57" s="2">
        <v>137184.34</v>
      </c>
      <c r="H57" s="2">
        <v>171730.53</v>
      </c>
      <c r="I57" s="2">
        <v>47634.9</v>
      </c>
      <c r="J57" s="2">
        <v>47493.24</v>
      </c>
      <c r="K57" s="2">
        <v>6157.15</v>
      </c>
      <c r="L57" s="2">
        <v>6960.95</v>
      </c>
      <c r="N57" s="1" t="s">
        <v>22</v>
      </c>
      <c r="O57" s="2">
        <v>0.72</v>
      </c>
      <c r="P57" s="2">
        <v>0.73</v>
      </c>
      <c r="Q57" s="2">
        <v>0.59</v>
      </c>
      <c r="R57" s="2">
        <v>0.57999999999999996</v>
      </c>
      <c r="S57" s="2">
        <v>0.65</v>
      </c>
      <c r="T57" s="2">
        <v>0.77</v>
      </c>
      <c r="U57" s="2">
        <v>0.59</v>
      </c>
      <c r="V57" s="2">
        <v>0.43</v>
      </c>
      <c r="W57" s="2">
        <v>0.33</v>
      </c>
      <c r="X57" s="2">
        <v>0.37</v>
      </c>
      <c r="AA57" s="1" t="s">
        <v>22</v>
      </c>
      <c r="AB57" s="2">
        <v>1.1200000000000001</v>
      </c>
      <c r="AC57" s="2">
        <v>1.1200000000000001</v>
      </c>
      <c r="AD57" s="2">
        <v>1.04</v>
      </c>
      <c r="AE57" s="2">
        <v>1.02</v>
      </c>
      <c r="AF57" s="2">
        <v>1.02</v>
      </c>
      <c r="AG57" s="2">
        <v>1.06</v>
      </c>
      <c r="AH57" s="2">
        <v>0.82</v>
      </c>
      <c r="AI57" s="2">
        <v>0.76</v>
      </c>
      <c r="AJ57" s="2">
        <v>0.72</v>
      </c>
      <c r="AK57" s="2">
        <v>0.73</v>
      </c>
      <c r="AN57" s="1" t="s">
        <v>22</v>
      </c>
      <c r="AO57" s="2">
        <v>1.45</v>
      </c>
      <c r="AP57" s="2">
        <v>1.45</v>
      </c>
      <c r="AQ57" s="2">
        <v>1.3</v>
      </c>
      <c r="AR57" s="2">
        <v>1.21</v>
      </c>
      <c r="AS57" s="2">
        <v>1.25</v>
      </c>
      <c r="AT57" s="2">
        <v>1.34</v>
      </c>
      <c r="AU57" s="2">
        <v>1.03</v>
      </c>
      <c r="AV57" s="2">
        <v>0.88</v>
      </c>
      <c r="AW57" s="2">
        <v>0.97</v>
      </c>
      <c r="AX57" s="2">
        <v>0.95</v>
      </c>
    </row>
    <row r="58" spans="2:50" x14ac:dyDescent="0.3">
      <c r="B58" s="1" t="s">
        <v>23</v>
      </c>
      <c r="C58" s="2">
        <v>16920.060000000001</v>
      </c>
      <c r="D58" s="2">
        <v>23167.42</v>
      </c>
      <c r="E58" s="2">
        <v>18378.009999999998</v>
      </c>
      <c r="F58" s="2">
        <v>5056.46</v>
      </c>
      <c r="G58" s="2">
        <v>20934.02</v>
      </c>
      <c r="H58" s="2">
        <v>24357.38</v>
      </c>
      <c r="I58" s="2">
        <v>15978.58</v>
      </c>
      <c r="J58" s="2">
        <v>4381.75</v>
      </c>
      <c r="K58" s="2">
        <v>3023.38</v>
      </c>
      <c r="L58" s="2">
        <v>5700.4</v>
      </c>
      <c r="N58" s="1" t="s">
        <v>23</v>
      </c>
      <c r="O58" s="2">
        <v>0.31</v>
      </c>
      <c r="P58" s="2">
        <v>0.33</v>
      </c>
      <c r="Q58" s="2">
        <v>0.33</v>
      </c>
      <c r="R58" s="2">
        <v>0.27</v>
      </c>
      <c r="S58" s="2">
        <v>0.32</v>
      </c>
      <c r="T58" s="2">
        <v>0.35</v>
      </c>
      <c r="U58" s="2">
        <v>0.2</v>
      </c>
      <c r="V58" s="2">
        <v>0.1</v>
      </c>
      <c r="W58" s="2">
        <v>0.19</v>
      </c>
      <c r="X58" s="2">
        <v>0.3</v>
      </c>
      <c r="AA58" s="1" t="s">
        <v>23</v>
      </c>
      <c r="AB58" s="2">
        <v>0.77</v>
      </c>
      <c r="AC58" s="2">
        <v>0.81</v>
      </c>
      <c r="AD58" s="2">
        <v>0.79</v>
      </c>
      <c r="AE58" s="2">
        <v>0.45</v>
      </c>
      <c r="AF58" s="2">
        <v>0.77</v>
      </c>
      <c r="AG58" s="2">
        <v>0.76</v>
      </c>
      <c r="AH58" s="2">
        <v>0.71</v>
      </c>
      <c r="AI58" s="2">
        <v>0.33</v>
      </c>
      <c r="AJ58" s="2">
        <v>0.65</v>
      </c>
      <c r="AK58" s="2">
        <v>0.78</v>
      </c>
      <c r="AN58" s="1" t="s">
        <v>23</v>
      </c>
      <c r="AO58" s="2">
        <v>0.96</v>
      </c>
      <c r="AP58" s="2">
        <v>0.97</v>
      </c>
      <c r="AQ58" s="2">
        <v>1</v>
      </c>
      <c r="AR58" s="2">
        <v>0.53</v>
      </c>
      <c r="AS58" s="2">
        <v>1.04</v>
      </c>
      <c r="AT58" s="2">
        <v>1.01</v>
      </c>
      <c r="AU58" s="2">
        <v>0.89</v>
      </c>
      <c r="AV58" s="2">
        <v>0.36</v>
      </c>
      <c r="AW58" s="2">
        <v>0.76</v>
      </c>
      <c r="AX58" s="2">
        <v>1</v>
      </c>
    </row>
    <row r="61" spans="2:50" x14ac:dyDescent="0.3">
      <c r="B61" t="s">
        <v>36</v>
      </c>
      <c r="N61" t="s">
        <v>37</v>
      </c>
      <c r="AA61" t="s">
        <v>38</v>
      </c>
      <c r="AN61" t="s">
        <v>39</v>
      </c>
    </row>
    <row r="62" spans="2:50" x14ac:dyDescent="0.3">
      <c r="B62" s="1" t="s">
        <v>11</v>
      </c>
      <c r="C62" s="1" t="s">
        <v>12</v>
      </c>
      <c r="D62" s="1" t="s">
        <v>13</v>
      </c>
      <c r="E62" s="1" t="s">
        <v>12</v>
      </c>
      <c r="F62" s="1" t="s">
        <v>13</v>
      </c>
      <c r="G62" s="1" t="s">
        <v>12</v>
      </c>
      <c r="H62" s="1" t="s">
        <v>13</v>
      </c>
      <c r="I62" s="1" t="s">
        <v>12</v>
      </c>
      <c r="J62" s="1" t="s">
        <v>13</v>
      </c>
      <c r="K62" s="1" t="s">
        <v>12</v>
      </c>
      <c r="L62" s="1" t="s">
        <v>13</v>
      </c>
      <c r="N62" s="1" t="s">
        <v>11</v>
      </c>
      <c r="O62" s="1" t="s">
        <v>12</v>
      </c>
      <c r="P62" s="1" t="s">
        <v>13</v>
      </c>
      <c r="Q62" s="1" t="s">
        <v>12</v>
      </c>
      <c r="R62" s="1" t="s">
        <v>13</v>
      </c>
      <c r="S62" s="1" t="s">
        <v>12</v>
      </c>
      <c r="T62" s="1" t="s">
        <v>13</v>
      </c>
      <c r="U62" s="1" t="s">
        <v>12</v>
      </c>
      <c r="V62" s="1" t="s">
        <v>13</v>
      </c>
      <c r="W62" s="1" t="s">
        <v>12</v>
      </c>
      <c r="X62" s="1" t="s">
        <v>13</v>
      </c>
      <c r="AA62" s="1" t="s">
        <v>11</v>
      </c>
      <c r="AB62" s="1" t="s">
        <v>12</v>
      </c>
      <c r="AC62" s="1" t="s">
        <v>13</v>
      </c>
      <c r="AD62" s="1" t="s">
        <v>12</v>
      </c>
      <c r="AE62" s="1" t="s">
        <v>13</v>
      </c>
      <c r="AF62" s="1" t="s">
        <v>12</v>
      </c>
      <c r="AG62" s="1" t="s">
        <v>13</v>
      </c>
      <c r="AH62" s="1" t="s">
        <v>12</v>
      </c>
      <c r="AI62" s="1" t="s">
        <v>13</v>
      </c>
      <c r="AJ62" s="1" t="s">
        <v>12</v>
      </c>
      <c r="AK62" s="1" t="s">
        <v>13</v>
      </c>
      <c r="AN62" s="1" t="s">
        <v>11</v>
      </c>
      <c r="AO62" s="1" t="s">
        <v>12</v>
      </c>
      <c r="AP62" s="1" t="s">
        <v>13</v>
      </c>
      <c r="AQ62" s="1" t="s">
        <v>12</v>
      </c>
      <c r="AR62" s="1" t="s">
        <v>13</v>
      </c>
      <c r="AS62" s="1" t="s">
        <v>12</v>
      </c>
      <c r="AT62" s="1" t="s">
        <v>13</v>
      </c>
      <c r="AU62" s="1" t="s">
        <v>12</v>
      </c>
      <c r="AV62" s="1" t="s">
        <v>13</v>
      </c>
      <c r="AW62" s="1" t="s">
        <v>12</v>
      </c>
      <c r="AX62" s="1" t="s">
        <v>13</v>
      </c>
    </row>
    <row r="63" spans="2:50" x14ac:dyDescent="0.3">
      <c r="B63" s="1" t="s">
        <v>14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N63" s="1" t="s">
        <v>14</v>
      </c>
      <c r="O63" s="1" t="s">
        <v>1</v>
      </c>
      <c r="P63" s="1" t="s">
        <v>1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4</v>
      </c>
      <c r="V63" s="1" t="s">
        <v>4</v>
      </c>
      <c r="W63" s="1" t="s">
        <v>5</v>
      </c>
      <c r="X63" s="1" t="s">
        <v>5</v>
      </c>
      <c r="AA63" s="1" t="s">
        <v>14</v>
      </c>
      <c r="AB63" s="1" t="s">
        <v>1</v>
      </c>
      <c r="AC63" s="1" t="s">
        <v>1</v>
      </c>
      <c r="AD63" s="1" t="s">
        <v>2</v>
      </c>
      <c r="AE63" s="1" t="s">
        <v>2</v>
      </c>
      <c r="AF63" s="1" t="s">
        <v>3</v>
      </c>
      <c r="AG63" s="1" t="s">
        <v>3</v>
      </c>
      <c r="AH63" s="1" t="s">
        <v>4</v>
      </c>
      <c r="AI63" s="1" t="s">
        <v>4</v>
      </c>
      <c r="AJ63" s="1" t="s">
        <v>5</v>
      </c>
      <c r="AK63" s="1" t="s">
        <v>5</v>
      </c>
      <c r="AN63" s="1" t="s">
        <v>14</v>
      </c>
      <c r="AO63" s="1" t="s">
        <v>1</v>
      </c>
      <c r="AP63" s="1" t="s">
        <v>1</v>
      </c>
      <c r="AQ63" s="1" t="s">
        <v>2</v>
      </c>
      <c r="AR63" s="1" t="s">
        <v>2</v>
      </c>
      <c r="AS63" s="1" t="s">
        <v>3</v>
      </c>
      <c r="AT63" s="1" t="s">
        <v>3</v>
      </c>
      <c r="AU63" s="1" t="s">
        <v>4</v>
      </c>
      <c r="AV63" s="1" t="s">
        <v>4</v>
      </c>
      <c r="AW63" s="1" t="s">
        <v>5</v>
      </c>
      <c r="AX63" s="1" t="s">
        <v>5</v>
      </c>
    </row>
    <row r="64" spans="2:50" x14ac:dyDescent="0.3">
      <c r="B64" s="1" t="s">
        <v>15</v>
      </c>
      <c r="N64" s="1" t="s">
        <v>15</v>
      </c>
      <c r="AA64" s="1" t="s">
        <v>15</v>
      </c>
      <c r="AN64" s="1" t="s">
        <v>15</v>
      </c>
    </row>
    <row r="65" spans="2:50" x14ac:dyDescent="0.3">
      <c r="B65" s="1" t="s">
        <v>16</v>
      </c>
      <c r="C65" s="2">
        <v>51.21</v>
      </c>
      <c r="D65" s="2">
        <v>53.61</v>
      </c>
      <c r="E65" s="2">
        <v>72.55</v>
      </c>
      <c r="F65" s="2">
        <v>41.32</v>
      </c>
      <c r="G65" s="2">
        <v>54.27</v>
      </c>
      <c r="H65" s="2">
        <v>54.25</v>
      </c>
      <c r="I65" s="2">
        <v>31.37</v>
      </c>
      <c r="J65" s="2">
        <v>35.06</v>
      </c>
      <c r="K65" s="2">
        <v>17.559999999999999</v>
      </c>
      <c r="L65" s="2">
        <v>21.52</v>
      </c>
      <c r="N65" s="1" t="s">
        <v>16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U65" s="2">
        <v>60</v>
      </c>
      <c r="V65" s="2">
        <v>60</v>
      </c>
      <c r="W65" s="2">
        <v>60</v>
      </c>
      <c r="X65" s="2">
        <v>60</v>
      </c>
      <c r="AA65" s="1" t="s">
        <v>16</v>
      </c>
      <c r="AB65" s="2">
        <v>59.73</v>
      </c>
      <c r="AC65" s="2">
        <v>59.74</v>
      </c>
      <c r="AD65" s="2">
        <v>59.82</v>
      </c>
      <c r="AE65" s="2">
        <v>59.96</v>
      </c>
      <c r="AF65" s="2">
        <v>54.99</v>
      </c>
      <c r="AG65" s="2">
        <v>54.99</v>
      </c>
      <c r="AH65" s="2">
        <v>59.99</v>
      </c>
      <c r="AI65" s="2">
        <v>60</v>
      </c>
      <c r="AJ65" s="2">
        <v>59.19</v>
      </c>
      <c r="AK65" s="2">
        <v>59.76</v>
      </c>
      <c r="AN65" s="1" t="s">
        <v>16</v>
      </c>
      <c r="AO65" s="2">
        <v>-0.01</v>
      </c>
      <c r="AP65" s="2">
        <v>-0.01</v>
      </c>
      <c r="AQ65" s="2">
        <v>-0.01</v>
      </c>
      <c r="AR65" s="2">
        <v>0</v>
      </c>
      <c r="AS65" s="2">
        <v>-0.26</v>
      </c>
      <c r="AT65" s="2">
        <v>-0.25</v>
      </c>
      <c r="AU65" s="2">
        <v>0</v>
      </c>
      <c r="AV65" s="2">
        <v>0</v>
      </c>
      <c r="AW65" s="2">
        <v>-0.01</v>
      </c>
      <c r="AX65" s="2">
        <v>0</v>
      </c>
    </row>
    <row r="66" spans="2:50" x14ac:dyDescent="0.3">
      <c r="B66" s="1" t="s">
        <v>17</v>
      </c>
      <c r="C66" s="2">
        <v>730.64</v>
      </c>
      <c r="D66" s="2">
        <v>589.70000000000005</v>
      </c>
      <c r="E66" s="2">
        <v>1243.96</v>
      </c>
      <c r="F66" s="2">
        <v>690.02</v>
      </c>
      <c r="G66" s="2">
        <v>800.85</v>
      </c>
      <c r="H66" s="2">
        <v>981.71</v>
      </c>
      <c r="I66" s="2">
        <v>792.01</v>
      </c>
      <c r="J66" s="2">
        <v>202.5</v>
      </c>
      <c r="K66" s="2">
        <v>409.74</v>
      </c>
      <c r="L66" s="2">
        <v>188.97</v>
      </c>
      <c r="N66" s="1" t="s">
        <v>17</v>
      </c>
      <c r="O66" s="2">
        <v>58.94</v>
      </c>
      <c r="P66" s="2">
        <v>59.94</v>
      </c>
      <c r="Q66" s="2">
        <v>59.53</v>
      </c>
      <c r="R66" s="2">
        <v>59.9</v>
      </c>
      <c r="S66" s="2">
        <v>55.12</v>
      </c>
      <c r="T66" s="2">
        <v>59.54</v>
      </c>
      <c r="U66" s="2">
        <v>57.95</v>
      </c>
      <c r="V66" s="2">
        <v>60</v>
      </c>
      <c r="W66" s="2">
        <v>59.85</v>
      </c>
      <c r="X66" s="2">
        <v>59.97</v>
      </c>
      <c r="AA66" s="1" t="s">
        <v>17</v>
      </c>
      <c r="AB66" s="2">
        <v>43.48</v>
      </c>
      <c r="AC66" s="2">
        <v>50.33</v>
      </c>
      <c r="AD66" s="2">
        <v>40.97</v>
      </c>
      <c r="AE66" s="2">
        <v>45.59</v>
      </c>
      <c r="AF66" s="2">
        <v>38.96</v>
      </c>
      <c r="AG66" s="2">
        <v>42.27</v>
      </c>
      <c r="AH66" s="2">
        <v>42.85</v>
      </c>
      <c r="AI66" s="2">
        <v>59.76</v>
      </c>
      <c r="AJ66" s="2">
        <v>36.99</v>
      </c>
      <c r="AK66" s="2">
        <v>51.4</v>
      </c>
      <c r="AN66" s="1" t="s">
        <v>17</v>
      </c>
      <c r="AO66" s="2">
        <v>-0.8</v>
      </c>
      <c r="AP66" s="2">
        <v>-0.42</v>
      </c>
      <c r="AQ66" s="2">
        <v>-1.1399999999999999</v>
      </c>
      <c r="AR66" s="2">
        <v>-0.79</v>
      </c>
      <c r="AS66" s="2">
        <v>-1.26</v>
      </c>
      <c r="AT66" s="2">
        <v>-1.1499999999999999</v>
      </c>
      <c r="AU66" s="2">
        <v>-1.2</v>
      </c>
      <c r="AV66" s="2">
        <v>-0.01</v>
      </c>
      <c r="AW66" s="2">
        <v>-0.5</v>
      </c>
      <c r="AX66" s="2">
        <v>-0.13</v>
      </c>
    </row>
    <row r="67" spans="2:50" x14ac:dyDescent="0.3">
      <c r="B67" s="1" t="s">
        <v>18</v>
      </c>
      <c r="C67" s="2">
        <v>14070.72</v>
      </c>
      <c r="D67" s="2">
        <v>3147.87</v>
      </c>
      <c r="E67" s="2">
        <v>12482.44</v>
      </c>
      <c r="F67" s="2">
        <v>12502.3</v>
      </c>
      <c r="G67" s="2">
        <v>20380.36</v>
      </c>
      <c r="H67" s="2">
        <v>11614.1</v>
      </c>
      <c r="I67" s="2">
        <v>24304.62</v>
      </c>
      <c r="J67" s="2">
        <v>4735.93</v>
      </c>
      <c r="K67" s="2">
        <v>587.02</v>
      </c>
      <c r="L67" s="2">
        <v>887.35</v>
      </c>
      <c r="N67" s="1" t="s">
        <v>18</v>
      </c>
      <c r="O67" s="2">
        <v>47.74</v>
      </c>
      <c r="P67" s="2">
        <v>58.92</v>
      </c>
      <c r="Q67" s="2">
        <v>55.64</v>
      </c>
      <c r="R67" s="2">
        <v>58.2</v>
      </c>
      <c r="S67" s="2">
        <v>39.76</v>
      </c>
      <c r="T67" s="2">
        <v>58.96</v>
      </c>
      <c r="U67" s="2">
        <v>46.93</v>
      </c>
      <c r="V67" s="2">
        <v>59.71</v>
      </c>
      <c r="W67" s="2">
        <v>59.97</v>
      </c>
      <c r="X67" s="2">
        <v>59.6</v>
      </c>
      <c r="AA67" s="1" t="s">
        <v>18</v>
      </c>
      <c r="AB67" s="2">
        <v>20.65</v>
      </c>
      <c r="AC67" s="2">
        <v>47.01</v>
      </c>
      <c r="AD67" s="2">
        <v>27.03</v>
      </c>
      <c r="AE67" s="2">
        <v>21.35</v>
      </c>
      <c r="AF67" s="2">
        <v>16.61</v>
      </c>
      <c r="AG67" s="2">
        <v>31.09</v>
      </c>
      <c r="AH67" s="2">
        <v>18.84</v>
      </c>
      <c r="AI67" s="2">
        <v>53.72</v>
      </c>
      <c r="AJ67" s="2">
        <v>55.35</v>
      </c>
      <c r="AK67" s="2">
        <v>49.09</v>
      </c>
      <c r="AN67" s="1" t="s">
        <v>18</v>
      </c>
      <c r="AO67" s="2">
        <v>-3.63</v>
      </c>
      <c r="AP67" s="2">
        <v>-0.56999999999999995</v>
      </c>
      <c r="AQ67" s="2">
        <v>-2.85</v>
      </c>
      <c r="AR67" s="2">
        <v>-4.45</v>
      </c>
      <c r="AS67" s="2">
        <v>-5.89</v>
      </c>
      <c r="AT67" s="2">
        <v>-2.5499999999999998</v>
      </c>
      <c r="AU67" s="2">
        <v>-6.29</v>
      </c>
      <c r="AV67" s="2">
        <v>-0.37</v>
      </c>
      <c r="AW67" s="2">
        <v>-7.0000000000000007E-2</v>
      </c>
      <c r="AX67" s="2">
        <v>-0.17</v>
      </c>
    </row>
    <row r="68" spans="2:50" x14ac:dyDescent="0.3">
      <c r="B68" s="1" t="s">
        <v>19</v>
      </c>
      <c r="C68" s="2">
        <v>1223.72</v>
      </c>
      <c r="D68" s="2">
        <v>858.9</v>
      </c>
      <c r="E68" s="2">
        <v>3095.63</v>
      </c>
      <c r="F68" s="2">
        <v>2547.17</v>
      </c>
      <c r="G68" s="2">
        <v>2621.25</v>
      </c>
      <c r="H68" s="2">
        <v>3172.79</v>
      </c>
      <c r="I68" s="2">
        <v>3241.68</v>
      </c>
      <c r="J68" s="2">
        <v>763.24</v>
      </c>
      <c r="K68" s="2">
        <v>200.39</v>
      </c>
      <c r="L68" s="2">
        <v>226.37</v>
      </c>
      <c r="N68" s="1" t="s">
        <v>19</v>
      </c>
      <c r="O68" s="2">
        <v>57</v>
      </c>
      <c r="P68" s="2">
        <v>59.29</v>
      </c>
      <c r="Q68" s="2">
        <v>56.95</v>
      </c>
      <c r="R68" s="2">
        <v>59.17</v>
      </c>
      <c r="S68" s="2">
        <v>58.01</v>
      </c>
      <c r="T68" s="2">
        <v>58.07</v>
      </c>
      <c r="U68" s="2">
        <v>59.65</v>
      </c>
      <c r="V68" s="2">
        <v>59.79</v>
      </c>
      <c r="W68" s="2">
        <v>59.99</v>
      </c>
      <c r="X68" s="2">
        <v>59.98</v>
      </c>
      <c r="AA68" s="1" t="s">
        <v>19</v>
      </c>
      <c r="AB68" s="2">
        <v>40.049999999999997</v>
      </c>
      <c r="AC68" s="2">
        <v>42.22</v>
      </c>
      <c r="AD68" s="2">
        <v>31.51</v>
      </c>
      <c r="AE68" s="2">
        <v>33.07</v>
      </c>
      <c r="AF68" s="2">
        <v>31.32</v>
      </c>
      <c r="AG68" s="2">
        <v>31.24</v>
      </c>
      <c r="AH68" s="2">
        <v>37.61</v>
      </c>
      <c r="AI68" s="2">
        <v>54.73</v>
      </c>
      <c r="AJ68" s="2">
        <v>51.8</v>
      </c>
      <c r="AK68" s="2">
        <v>50.63</v>
      </c>
      <c r="AN68" s="1" t="s">
        <v>19</v>
      </c>
      <c r="AO68" s="2">
        <v>-0.98</v>
      </c>
      <c r="AP68" s="2">
        <v>-0.9</v>
      </c>
      <c r="AQ68" s="2">
        <v>-2.13</v>
      </c>
      <c r="AR68" s="2">
        <v>-2</v>
      </c>
      <c r="AS68" s="2">
        <v>-2.4700000000000002</v>
      </c>
      <c r="AT68" s="2">
        <v>-2.48</v>
      </c>
      <c r="AU68" s="2">
        <v>-1.94</v>
      </c>
      <c r="AV68" s="2">
        <v>-0.31</v>
      </c>
      <c r="AW68" s="2">
        <v>-0.13</v>
      </c>
      <c r="AX68" s="2">
        <v>-0.15</v>
      </c>
    </row>
    <row r="69" spans="2:50" x14ac:dyDescent="0.3">
      <c r="B69" s="1" t="s">
        <v>20</v>
      </c>
      <c r="C69" s="2">
        <v>3857.28</v>
      </c>
      <c r="D69" s="2">
        <v>5847.1</v>
      </c>
      <c r="E69" s="2">
        <v>7236.42</v>
      </c>
      <c r="F69" s="2">
        <v>6618.65</v>
      </c>
      <c r="G69" s="2">
        <v>6656.82</v>
      </c>
      <c r="H69" s="2">
        <v>11097.42</v>
      </c>
      <c r="I69" s="2">
        <v>4650.9399999999996</v>
      </c>
      <c r="J69" s="2">
        <v>2859.13</v>
      </c>
      <c r="K69" s="2">
        <v>1634.74</v>
      </c>
      <c r="L69" s="2">
        <v>1744.91</v>
      </c>
      <c r="N69" s="1" t="s">
        <v>20</v>
      </c>
      <c r="O69" s="2">
        <v>59.44</v>
      </c>
      <c r="P69" s="2">
        <v>59.87</v>
      </c>
      <c r="Q69" s="2">
        <v>56.71</v>
      </c>
      <c r="R69" s="2">
        <v>57.27</v>
      </c>
      <c r="S69" s="2">
        <v>55.48</v>
      </c>
      <c r="T69" s="2">
        <v>58.59</v>
      </c>
      <c r="U69" s="2">
        <v>59.92</v>
      </c>
      <c r="V69" s="2">
        <v>59.79</v>
      </c>
      <c r="W69" s="2">
        <v>59.62</v>
      </c>
      <c r="X69" s="2">
        <v>59.17</v>
      </c>
      <c r="AA69" s="1" t="s">
        <v>20</v>
      </c>
      <c r="AB69" s="2">
        <v>42.57</v>
      </c>
      <c r="AC69" s="2">
        <v>34.729999999999997</v>
      </c>
      <c r="AD69" s="2">
        <v>39.57</v>
      </c>
      <c r="AE69" s="2">
        <v>40.229999999999997</v>
      </c>
      <c r="AF69" s="2">
        <v>37.75</v>
      </c>
      <c r="AG69" s="2">
        <v>31.81</v>
      </c>
      <c r="AH69" s="2">
        <v>50.99</v>
      </c>
      <c r="AI69" s="2">
        <v>56.11</v>
      </c>
      <c r="AJ69" s="2">
        <v>46.05</v>
      </c>
      <c r="AK69" s="2">
        <v>43.67</v>
      </c>
      <c r="AN69" s="1" t="s">
        <v>20</v>
      </c>
      <c r="AO69" s="2">
        <v>-0.88</v>
      </c>
      <c r="AP69" s="2">
        <v>-1.6</v>
      </c>
      <c r="AQ69" s="2">
        <v>-1.1499999999999999</v>
      </c>
      <c r="AR69" s="2">
        <v>-1.1100000000000001</v>
      </c>
      <c r="AS69" s="2">
        <v>-1.42</v>
      </c>
      <c r="AT69" s="2">
        <v>-2.41</v>
      </c>
      <c r="AU69" s="2">
        <v>-0.57999999999999996</v>
      </c>
      <c r="AV69" s="2">
        <v>-0.22</v>
      </c>
      <c r="AW69" s="2">
        <v>-0.24</v>
      </c>
      <c r="AX69" s="2">
        <v>-0.28999999999999998</v>
      </c>
    </row>
    <row r="70" spans="2:50" x14ac:dyDescent="0.3">
      <c r="B70" s="1" t="s">
        <v>21</v>
      </c>
      <c r="C70" s="2">
        <v>724.41</v>
      </c>
      <c r="D70" s="2">
        <v>922.05</v>
      </c>
      <c r="E70" s="2">
        <v>1769.82</v>
      </c>
      <c r="F70" s="2">
        <v>1323.24</v>
      </c>
      <c r="G70" s="2">
        <v>2321.1999999999998</v>
      </c>
      <c r="H70" s="2">
        <v>1824.85</v>
      </c>
      <c r="I70" s="2">
        <v>1380.5</v>
      </c>
      <c r="J70" s="2">
        <v>1996.4</v>
      </c>
      <c r="K70" s="2">
        <v>273.58</v>
      </c>
      <c r="L70" s="2">
        <v>160.03</v>
      </c>
      <c r="N70" s="1" t="s">
        <v>21</v>
      </c>
      <c r="O70" s="2">
        <v>57.51</v>
      </c>
      <c r="P70" s="2">
        <v>59.79</v>
      </c>
      <c r="Q70" s="2">
        <v>58.41</v>
      </c>
      <c r="R70" s="2">
        <v>56.72</v>
      </c>
      <c r="S70" s="2">
        <v>57.26</v>
      </c>
      <c r="T70" s="2">
        <v>56.25</v>
      </c>
      <c r="U70" s="2">
        <v>56.82</v>
      </c>
      <c r="V70" s="2">
        <v>54.24</v>
      </c>
      <c r="W70" s="2">
        <v>58.52</v>
      </c>
      <c r="X70" s="2">
        <v>59.25</v>
      </c>
      <c r="AA70" s="1" t="s">
        <v>21</v>
      </c>
      <c r="AB70" s="2">
        <v>42.1</v>
      </c>
      <c r="AC70" s="2">
        <v>36.1</v>
      </c>
      <c r="AD70" s="2">
        <v>33.53</v>
      </c>
      <c r="AE70" s="2">
        <v>33.229999999999997</v>
      </c>
      <c r="AF70" s="2">
        <v>32.229999999999997</v>
      </c>
      <c r="AG70" s="2">
        <v>31.96</v>
      </c>
      <c r="AH70" s="2">
        <v>43.48</v>
      </c>
      <c r="AI70" s="2">
        <v>32.74</v>
      </c>
      <c r="AJ70" s="2">
        <v>43.95</v>
      </c>
      <c r="AK70" s="2">
        <v>43.66</v>
      </c>
      <c r="AN70" s="1" t="s">
        <v>21</v>
      </c>
      <c r="AO70" s="2">
        <v>-0.84</v>
      </c>
      <c r="AP70" s="2">
        <v>-1.45</v>
      </c>
      <c r="AQ70" s="2">
        <v>-1.91</v>
      </c>
      <c r="AR70" s="2">
        <v>-1.87</v>
      </c>
      <c r="AS70" s="2">
        <v>-2.2799999999999998</v>
      </c>
      <c r="AT70" s="2">
        <v>-2.27</v>
      </c>
      <c r="AU70" s="2">
        <v>-1.07</v>
      </c>
      <c r="AV70" s="2">
        <v>-2.4</v>
      </c>
      <c r="AW70" s="2">
        <v>-0.27</v>
      </c>
      <c r="AX70" s="2">
        <v>-0.28999999999999998</v>
      </c>
    </row>
    <row r="71" spans="2:50" x14ac:dyDescent="0.3">
      <c r="B71" s="1" t="s">
        <v>22</v>
      </c>
      <c r="C71" s="2">
        <v>8929.9599999999991</v>
      </c>
      <c r="D71" s="2">
        <v>10257.049999999999</v>
      </c>
      <c r="E71" s="2">
        <v>7558.81</v>
      </c>
      <c r="F71" s="2">
        <v>6412.1</v>
      </c>
      <c r="G71" s="2">
        <v>6972.66</v>
      </c>
      <c r="H71" s="2">
        <v>7838.05</v>
      </c>
      <c r="I71" s="2">
        <v>3584.21</v>
      </c>
      <c r="J71" s="2">
        <v>1790.55</v>
      </c>
      <c r="K71" s="2">
        <v>456.26</v>
      </c>
      <c r="L71" s="2">
        <v>416.46</v>
      </c>
      <c r="N71" s="1" t="s">
        <v>22</v>
      </c>
      <c r="O71" s="2">
        <v>49.71</v>
      </c>
      <c r="P71" s="2">
        <v>49.23</v>
      </c>
      <c r="Q71" s="2">
        <v>56.75</v>
      </c>
      <c r="R71" s="2">
        <v>56.93</v>
      </c>
      <c r="S71" s="2">
        <v>54.43</v>
      </c>
      <c r="T71" s="2">
        <v>45.97</v>
      </c>
      <c r="U71" s="2">
        <v>56.78</v>
      </c>
      <c r="V71" s="2">
        <v>59.51</v>
      </c>
      <c r="W71" s="2">
        <v>59.9</v>
      </c>
      <c r="X71" s="2">
        <v>59.82</v>
      </c>
      <c r="AA71" s="1" t="s">
        <v>22</v>
      </c>
      <c r="AB71" s="2">
        <v>19.84</v>
      </c>
      <c r="AC71" s="2">
        <v>19.89</v>
      </c>
      <c r="AD71" s="2">
        <v>26.22</v>
      </c>
      <c r="AE71" s="2">
        <v>28.34</v>
      </c>
      <c r="AF71" s="2">
        <v>25.99</v>
      </c>
      <c r="AG71" s="2">
        <v>22.54</v>
      </c>
      <c r="AH71" s="2">
        <v>46.07</v>
      </c>
      <c r="AI71" s="2">
        <v>50.46</v>
      </c>
      <c r="AJ71" s="2">
        <v>52.77</v>
      </c>
      <c r="AK71" s="2">
        <v>52.33</v>
      </c>
      <c r="AN71" s="1" t="s">
        <v>22</v>
      </c>
      <c r="AO71" s="2">
        <v>-4</v>
      </c>
      <c r="AP71" s="2">
        <v>-3.96</v>
      </c>
      <c r="AQ71" s="2">
        <v>-3.08</v>
      </c>
      <c r="AR71" s="2">
        <v>-2.66</v>
      </c>
      <c r="AS71" s="2">
        <v>-3.38</v>
      </c>
      <c r="AT71" s="2">
        <v>-3.8</v>
      </c>
      <c r="AU71" s="2">
        <v>-0.81</v>
      </c>
      <c r="AV71" s="2">
        <v>-0.6</v>
      </c>
      <c r="AW71" s="2">
        <v>-0.11</v>
      </c>
      <c r="AX71" s="2">
        <v>-0.11</v>
      </c>
    </row>
    <row r="72" spans="2:50" x14ac:dyDescent="0.3">
      <c r="B72" s="1" t="s">
        <v>23</v>
      </c>
      <c r="C72" s="2">
        <v>952.04</v>
      </c>
      <c r="D72" s="2">
        <v>768.44</v>
      </c>
      <c r="E72" s="2">
        <v>1208.04</v>
      </c>
      <c r="F72" s="2">
        <v>187.04</v>
      </c>
      <c r="G72" s="2">
        <v>1034.42</v>
      </c>
      <c r="H72" s="2">
        <v>928.36</v>
      </c>
      <c r="I72" s="2">
        <v>792.67</v>
      </c>
      <c r="J72" s="2">
        <v>56.75</v>
      </c>
      <c r="K72" s="2">
        <v>199.16</v>
      </c>
      <c r="L72" s="2">
        <v>211.04</v>
      </c>
      <c r="N72" s="1" t="s">
        <v>23</v>
      </c>
      <c r="O72" s="2">
        <v>59.93</v>
      </c>
      <c r="P72" s="2">
        <v>59.91</v>
      </c>
      <c r="Q72" s="2">
        <v>59.91</v>
      </c>
      <c r="R72" s="2">
        <v>59.98</v>
      </c>
      <c r="S72" s="2">
        <v>59.93</v>
      </c>
      <c r="T72" s="2">
        <v>59.88</v>
      </c>
      <c r="U72" s="2">
        <v>60</v>
      </c>
      <c r="V72" s="2">
        <v>60</v>
      </c>
      <c r="W72" s="2">
        <v>60</v>
      </c>
      <c r="X72" s="2">
        <v>59.95</v>
      </c>
      <c r="AA72" s="1" t="s">
        <v>23</v>
      </c>
      <c r="AB72" s="2">
        <v>49.9</v>
      </c>
      <c r="AC72" s="2">
        <v>47.14</v>
      </c>
      <c r="AD72" s="2">
        <v>48.04</v>
      </c>
      <c r="AE72" s="2">
        <v>59.49</v>
      </c>
      <c r="AF72" s="2">
        <v>45.49</v>
      </c>
      <c r="AG72" s="2">
        <v>45.98</v>
      </c>
      <c r="AH72" s="2">
        <v>53.14</v>
      </c>
      <c r="AI72" s="2">
        <v>59.92</v>
      </c>
      <c r="AJ72" s="2">
        <v>55.91</v>
      </c>
      <c r="AK72" s="2">
        <v>49.22</v>
      </c>
      <c r="AN72" s="1" t="s">
        <v>23</v>
      </c>
      <c r="AO72" s="2">
        <v>-0.44</v>
      </c>
      <c r="AP72" s="2">
        <v>-0.6</v>
      </c>
      <c r="AQ72" s="2">
        <v>-0.62</v>
      </c>
      <c r="AR72" s="2">
        <v>-0.02</v>
      </c>
      <c r="AS72" s="2">
        <v>-0.89</v>
      </c>
      <c r="AT72" s="2">
        <v>-0.85</v>
      </c>
      <c r="AU72" s="2">
        <v>-0.43</v>
      </c>
      <c r="AV72" s="2">
        <v>0</v>
      </c>
      <c r="AW72" s="2">
        <v>-0.06</v>
      </c>
      <c r="AX72" s="2">
        <v>-0.17</v>
      </c>
    </row>
    <row r="75" spans="2:50" x14ac:dyDescent="0.3">
      <c r="B75" t="s">
        <v>40</v>
      </c>
      <c r="N75" t="s">
        <v>41</v>
      </c>
      <c r="AA75" t="s">
        <v>42</v>
      </c>
      <c r="AN75" t="s">
        <v>43</v>
      </c>
    </row>
    <row r="76" spans="2:50" x14ac:dyDescent="0.3">
      <c r="B76" s="1" t="s">
        <v>11</v>
      </c>
      <c r="C76" s="1" t="s">
        <v>12</v>
      </c>
      <c r="D76" s="1" t="s">
        <v>13</v>
      </c>
      <c r="E76" s="1" t="s">
        <v>12</v>
      </c>
      <c r="F76" s="1" t="s">
        <v>13</v>
      </c>
      <c r="G76" s="1" t="s">
        <v>12</v>
      </c>
      <c r="H76" s="1" t="s">
        <v>13</v>
      </c>
      <c r="I76" s="1" t="s">
        <v>12</v>
      </c>
      <c r="J76" s="1" t="s">
        <v>13</v>
      </c>
      <c r="K76" s="1" t="s">
        <v>12</v>
      </c>
      <c r="L76" s="1" t="s">
        <v>13</v>
      </c>
      <c r="N76" s="1" t="s">
        <v>11</v>
      </c>
      <c r="O76" s="1" t="s">
        <v>12</v>
      </c>
      <c r="P76" s="1" t="s">
        <v>13</v>
      </c>
      <c r="Q76" s="1" t="s">
        <v>12</v>
      </c>
      <c r="R76" s="1" t="s">
        <v>13</v>
      </c>
      <c r="S76" s="1" t="s">
        <v>12</v>
      </c>
      <c r="T76" s="1" t="s">
        <v>13</v>
      </c>
      <c r="U76" s="1" t="s">
        <v>12</v>
      </c>
      <c r="V76" s="1" t="s">
        <v>13</v>
      </c>
      <c r="W76" s="1" t="s">
        <v>12</v>
      </c>
      <c r="X76" s="1" t="s">
        <v>13</v>
      </c>
      <c r="AA76" s="1" t="s">
        <v>11</v>
      </c>
      <c r="AB76" s="1" t="s">
        <v>12</v>
      </c>
      <c r="AC76" s="1" t="s">
        <v>13</v>
      </c>
      <c r="AD76" s="1" t="s">
        <v>12</v>
      </c>
      <c r="AE76" s="1" t="s">
        <v>13</v>
      </c>
      <c r="AF76" s="1" t="s">
        <v>12</v>
      </c>
      <c r="AG76" s="1" t="s">
        <v>13</v>
      </c>
      <c r="AH76" s="1" t="s">
        <v>12</v>
      </c>
      <c r="AI76" s="1" t="s">
        <v>13</v>
      </c>
      <c r="AJ76" s="1" t="s">
        <v>12</v>
      </c>
      <c r="AK76" s="1" t="s">
        <v>13</v>
      </c>
      <c r="AN76" s="1" t="s">
        <v>11</v>
      </c>
      <c r="AO76" s="1" t="s">
        <v>12</v>
      </c>
      <c r="AP76" s="1" t="s">
        <v>13</v>
      </c>
      <c r="AQ76" s="1" t="s">
        <v>12</v>
      </c>
      <c r="AR76" s="1" t="s">
        <v>13</v>
      </c>
      <c r="AS76" s="1" t="s">
        <v>12</v>
      </c>
      <c r="AT76" s="1" t="s">
        <v>13</v>
      </c>
      <c r="AU76" s="1" t="s">
        <v>12</v>
      </c>
      <c r="AV76" s="1" t="s">
        <v>13</v>
      </c>
      <c r="AW76" s="1" t="s">
        <v>12</v>
      </c>
      <c r="AX76" s="1" t="s">
        <v>13</v>
      </c>
    </row>
    <row r="77" spans="2:50" x14ac:dyDescent="0.3">
      <c r="B77" s="1" t="s">
        <v>14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N77" s="1" t="s">
        <v>14</v>
      </c>
      <c r="O77" s="1" t="s">
        <v>1</v>
      </c>
      <c r="P77" s="1" t="s">
        <v>1</v>
      </c>
      <c r="Q77" s="1" t="s">
        <v>2</v>
      </c>
      <c r="R77" s="1" t="s">
        <v>2</v>
      </c>
      <c r="S77" s="1" t="s">
        <v>3</v>
      </c>
      <c r="T77" s="1" t="s">
        <v>3</v>
      </c>
      <c r="U77" s="1" t="s">
        <v>4</v>
      </c>
      <c r="V77" s="1" t="s">
        <v>4</v>
      </c>
      <c r="W77" s="1" t="s">
        <v>5</v>
      </c>
      <c r="X77" s="1" t="s">
        <v>5</v>
      </c>
      <c r="AA77" s="1" t="s">
        <v>14</v>
      </c>
      <c r="AB77" s="1" t="s">
        <v>1</v>
      </c>
      <c r="AC77" s="1" t="s">
        <v>1</v>
      </c>
      <c r="AD77" s="1" t="s">
        <v>2</v>
      </c>
      <c r="AE77" s="1" t="s">
        <v>2</v>
      </c>
      <c r="AF77" s="1" t="s">
        <v>3</v>
      </c>
      <c r="AG77" s="1" t="s">
        <v>3</v>
      </c>
      <c r="AH77" s="1" t="s">
        <v>4</v>
      </c>
      <c r="AI77" s="1" t="s">
        <v>4</v>
      </c>
      <c r="AJ77" s="1" t="s">
        <v>5</v>
      </c>
      <c r="AK77" s="1" t="s">
        <v>5</v>
      </c>
      <c r="AN77" s="1" t="s">
        <v>14</v>
      </c>
      <c r="AO77" s="1" t="s">
        <v>1</v>
      </c>
      <c r="AP77" s="1" t="s">
        <v>1</v>
      </c>
      <c r="AQ77" s="1" t="s">
        <v>2</v>
      </c>
      <c r="AR77" s="1" t="s">
        <v>2</v>
      </c>
      <c r="AS77" s="1" t="s">
        <v>3</v>
      </c>
      <c r="AT77" s="1" t="s">
        <v>3</v>
      </c>
      <c r="AU77" s="1" t="s">
        <v>4</v>
      </c>
      <c r="AV77" s="1" t="s">
        <v>4</v>
      </c>
      <c r="AW77" s="1" t="s">
        <v>5</v>
      </c>
      <c r="AX77" s="1" t="s">
        <v>5</v>
      </c>
    </row>
    <row r="78" spans="2:50" x14ac:dyDescent="0.3">
      <c r="B78" s="1" t="s">
        <v>15</v>
      </c>
      <c r="N78" s="1" t="s">
        <v>15</v>
      </c>
      <c r="AA78" s="1" t="s">
        <v>15</v>
      </c>
      <c r="AN78" s="1" t="s">
        <v>15</v>
      </c>
    </row>
    <row r="79" spans="2:50" x14ac:dyDescent="0.3">
      <c r="B79" s="1" t="s">
        <v>16</v>
      </c>
      <c r="C79" s="2">
        <v>13.78</v>
      </c>
      <c r="D79" s="2">
        <v>21.97</v>
      </c>
      <c r="E79" s="2">
        <v>6.31</v>
      </c>
      <c r="F79" s="2">
        <v>8.33</v>
      </c>
      <c r="G79" s="2">
        <v>12.6</v>
      </c>
      <c r="H79" s="2">
        <v>19.84</v>
      </c>
      <c r="I79" s="2">
        <v>6.49</v>
      </c>
      <c r="J79" s="2">
        <v>3.25</v>
      </c>
      <c r="K79" s="2">
        <v>1.65</v>
      </c>
      <c r="L79" s="2">
        <v>3.3</v>
      </c>
      <c r="N79" s="1" t="s">
        <v>16</v>
      </c>
      <c r="O79" s="2">
        <v>2.2000000000000002</v>
      </c>
      <c r="P79" s="2">
        <v>2.2000000000000002</v>
      </c>
      <c r="Q79" s="2">
        <v>2.5</v>
      </c>
      <c r="R79" s="2">
        <v>2.5</v>
      </c>
      <c r="S79" s="2">
        <v>2.8</v>
      </c>
      <c r="T79" s="2">
        <v>2.8</v>
      </c>
      <c r="U79" s="2">
        <v>3.3</v>
      </c>
      <c r="V79" s="2">
        <v>3.3</v>
      </c>
      <c r="W79" s="2">
        <v>0.8</v>
      </c>
      <c r="X79" s="2">
        <v>0.8</v>
      </c>
      <c r="AA79" s="1" t="s">
        <v>16</v>
      </c>
      <c r="AB79" s="2">
        <v>2.21</v>
      </c>
      <c r="AC79" s="2">
        <v>2.21</v>
      </c>
      <c r="AD79" s="2">
        <v>2.5099999999999998</v>
      </c>
      <c r="AE79" s="2">
        <v>2.5</v>
      </c>
      <c r="AF79" s="2">
        <v>3.06</v>
      </c>
      <c r="AG79" s="2">
        <v>3.05</v>
      </c>
      <c r="AH79" s="2">
        <v>3.3</v>
      </c>
      <c r="AI79" s="2">
        <v>3.3</v>
      </c>
      <c r="AJ79" s="2">
        <v>0.81</v>
      </c>
      <c r="AK79" s="2">
        <v>0.8</v>
      </c>
      <c r="AN79" s="1" t="s">
        <v>16</v>
      </c>
      <c r="AO79" s="2">
        <v>0</v>
      </c>
      <c r="AP79" s="2">
        <v>0</v>
      </c>
      <c r="AQ79" s="2">
        <v>0</v>
      </c>
      <c r="AR79" s="2">
        <v>0</v>
      </c>
      <c r="AS79" s="2">
        <v>-0.08</v>
      </c>
      <c r="AT79" s="2">
        <v>-0.08</v>
      </c>
      <c r="AU79" s="2">
        <v>0</v>
      </c>
      <c r="AV79" s="2">
        <v>0</v>
      </c>
      <c r="AW79" s="2">
        <v>-0.01</v>
      </c>
      <c r="AX79" s="2">
        <v>0</v>
      </c>
    </row>
    <row r="80" spans="2:50" x14ac:dyDescent="0.3">
      <c r="B80" s="1" t="s">
        <v>17</v>
      </c>
      <c r="C80" s="2">
        <v>382.34</v>
      </c>
      <c r="D80" s="2">
        <v>262.52999999999997</v>
      </c>
      <c r="E80" s="2">
        <v>509.34</v>
      </c>
      <c r="F80" s="2">
        <v>649.78</v>
      </c>
      <c r="G80" s="2">
        <v>618.59</v>
      </c>
      <c r="H80" s="2">
        <v>545.84</v>
      </c>
      <c r="I80" s="2">
        <v>638.23</v>
      </c>
      <c r="J80" s="2">
        <v>110.26</v>
      </c>
      <c r="K80" s="2">
        <v>168.06</v>
      </c>
      <c r="L80" s="2">
        <v>179.7</v>
      </c>
      <c r="N80" s="1" t="s">
        <v>17</v>
      </c>
      <c r="O80" s="2">
        <v>2.2400000000000002</v>
      </c>
      <c r="P80" s="2">
        <v>2.2000000000000002</v>
      </c>
      <c r="Q80" s="2">
        <v>2.52</v>
      </c>
      <c r="R80" s="2">
        <v>2.5</v>
      </c>
      <c r="S80" s="2">
        <v>3.05</v>
      </c>
      <c r="T80" s="2">
        <v>2.82</v>
      </c>
      <c r="U80" s="2">
        <v>3.42</v>
      </c>
      <c r="V80" s="2">
        <v>3.3</v>
      </c>
      <c r="W80" s="2">
        <v>0.8</v>
      </c>
      <c r="X80" s="2">
        <v>0.8</v>
      </c>
      <c r="AA80" s="1" t="s">
        <v>17</v>
      </c>
      <c r="AB80" s="2">
        <v>3.04</v>
      </c>
      <c r="AC80" s="2">
        <v>2.62</v>
      </c>
      <c r="AD80" s="2">
        <v>3.66</v>
      </c>
      <c r="AE80" s="2">
        <v>3.29</v>
      </c>
      <c r="AF80" s="2">
        <v>4.3099999999999996</v>
      </c>
      <c r="AG80" s="2">
        <v>3.97</v>
      </c>
      <c r="AH80" s="2">
        <v>4.62</v>
      </c>
      <c r="AI80" s="2">
        <v>3.31</v>
      </c>
      <c r="AJ80" s="2">
        <v>1.3</v>
      </c>
      <c r="AK80" s="2">
        <v>0.93</v>
      </c>
      <c r="AN80" s="1" t="s">
        <v>17</v>
      </c>
      <c r="AO80" s="2">
        <v>-0.26</v>
      </c>
      <c r="AP80" s="2">
        <v>-0.16</v>
      </c>
      <c r="AQ80" s="2">
        <v>-0.31</v>
      </c>
      <c r="AR80" s="2">
        <v>-0.24</v>
      </c>
      <c r="AS80" s="2">
        <v>-0.28999999999999998</v>
      </c>
      <c r="AT80" s="2">
        <v>-0.28999999999999998</v>
      </c>
      <c r="AU80" s="2">
        <v>-0.26</v>
      </c>
      <c r="AV80" s="2">
        <v>0</v>
      </c>
      <c r="AW80" s="2">
        <v>-0.38</v>
      </c>
      <c r="AX80" s="2">
        <v>-0.14000000000000001</v>
      </c>
    </row>
    <row r="81" spans="2:50" x14ac:dyDescent="0.3">
      <c r="B81" s="1" t="s">
        <v>18</v>
      </c>
      <c r="C81" s="2">
        <v>3488.21</v>
      </c>
      <c r="D81" s="2">
        <v>1095.3800000000001</v>
      </c>
      <c r="E81" s="2">
        <v>3841.45</v>
      </c>
      <c r="F81" s="2">
        <v>7503.58</v>
      </c>
      <c r="G81" s="2">
        <v>8925.8700000000008</v>
      </c>
      <c r="H81" s="2">
        <v>4425.29</v>
      </c>
      <c r="I81" s="2">
        <v>8518.2000000000007</v>
      </c>
      <c r="J81" s="2">
        <v>1486.58</v>
      </c>
      <c r="K81" s="2">
        <v>179.72</v>
      </c>
      <c r="L81" s="2">
        <v>522.01</v>
      </c>
      <c r="N81" s="1" t="s">
        <v>18</v>
      </c>
      <c r="O81" s="2">
        <v>2.77</v>
      </c>
      <c r="P81" s="2">
        <v>2.2400000000000002</v>
      </c>
      <c r="Q81" s="2">
        <v>2.7</v>
      </c>
      <c r="R81" s="2">
        <v>2.58</v>
      </c>
      <c r="S81" s="2">
        <v>4.2300000000000004</v>
      </c>
      <c r="T81" s="2">
        <v>2.85</v>
      </c>
      <c r="U81" s="2">
        <v>4.22</v>
      </c>
      <c r="V81" s="2">
        <v>3.32</v>
      </c>
      <c r="W81" s="2">
        <v>0.8</v>
      </c>
      <c r="X81" s="2">
        <v>0.81</v>
      </c>
      <c r="AA81" s="1" t="s">
        <v>18</v>
      </c>
      <c r="AB81" s="2">
        <v>6.39</v>
      </c>
      <c r="AC81" s="2">
        <v>2.81</v>
      </c>
      <c r="AD81" s="2">
        <v>5.55</v>
      </c>
      <c r="AE81" s="2">
        <v>7.02</v>
      </c>
      <c r="AF81" s="2">
        <v>10.11</v>
      </c>
      <c r="AG81" s="2">
        <v>5.4</v>
      </c>
      <c r="AH81" s="2">
        <v>10.51</v>
      </c>
      <c r="AI81" s="2">
        <v>3.69</v>
      </c>
      <c r="AJ81" s="2">
        <v>0.87</v>
      </c>
      <c r="AK81" s="2">
        <v>0.98</v>
      </c>
      <c r="AN81" s="1" t="s">
        <v>18</v>
      </c>
      <c r="AO81" s="2">
        <v>-0.56999999999999995</v>
      </c>
      <c r="AP81" s="2">
        <v>-0.2</v>
      </c>
      <c r="AQ81" s="2">
        <v>-0.51</v>
      </c>
      <c r="AR81" s="2">
        <v>-0.63</v>
      </c>
      <c r="AS81" s="2">
        <v>-0.57999999999999996</v>
      </c>
      <c r="AT81" s="2">
        <v>-0.47</v>
      </c>
      <c r="AU81" s="2">
        <v>-0.6</v>
      </c>
      <c r="AV81" s="2">
        <v>-0.1</v>
      </c>
      <c r="AW81" s="2">
        <v>-0.08</v>
      </c>
      <c r="AX81" s="2">
        <v>-0.18</v>
      </c>
    </row>
    <row r="82" spans="2:50" x14ac:dyDescent="0.3">
      <c r="B82" s="1" t="s">
        <v>19</v>
      </c>
      <c r="C82" s="2">
        <v>339.83</v>
      </c>
      <c r="D82" s="2">
        <v>334.78</v>
      </c>
      <c r="E82" s="2">
        <v>1022.9</v>
      </c>
      <c r="F82" s="2">
        <v>1336.42</v>
      </c>
      <c r="G82" s="2">
        <v>1143.04</v>
      </c>
      <c r="H82" s="2">
        <v>1483.17</v>
      </c>
      <c r="I82" s="2">
        <v>1021.57</v>
      </c>
      <c r="J82" s="2">
        <v>365.27</v>
      </c>
      <c r="K82" s="2">
        <v>65.540000000000006</v>
      </c>
      <c r="L82" s="2">
        <v>118.3</v>
      </c>
      <c r="N82" s="1" t="s">
        <v>19</v>
      </c>
      <c r="O82" s="2">
        <v>2.3199999999999998</v>
      </c>
      <c r="P82" s="2">
        <v>2.23</v>
      </c>
      <c r="Q82" s="2">
        <v>2.63</v>
      </c>
      <c r="R82" s="2">
        <v>2.54</v>
      </c>
      <c r="S82" s="2">
        <v>2.9</v>
      </c>
      <c r="T82" s="2">
        <v>2.89</v>
      </c>
      <c r="U82" s="2">
        <v>3.32</v>
      </c>
      <c r="V82" s="2">
        <v>3.31</v>
      </c>
      <c r="W82" s="2">
        <v>0.8</v>
      </c>
      <c r="X82" s="2">
        <v>0.8</v>
      </c>
      <c r="AA82" s="1" t="s">
        <v>19</v>
      </c>
      <c r="AB82" s="2">
        <v>3.3</v>
      </c>
      <c r="AC82" s="2">
        <v>3.13</v>
      </c>
      <c r="AD82" s="2">
        <v>4.76</v>
      </c>
      <c r="AE82" s="2">
        <v>4.54</v>
      </c>
      <c r="AF82" s="2">
        <v>5.36</v>
      </c>
      <c r="AG82" s="2">
        <v>5.38</v>
      </c>
      <c r="AH82" s="2">
        <v>5.26</v>
      </c>
      <c r="AI82" s="2">
        <v>3.62</v>
      </c>
      <c r="AJ82" s="2">
        <v>0.93</v>
      </c>
      <c r="AK82" s="2">
        <v>0.95</v>
      </c>
      <c r="AN82" s="1" t="s">
        <v>19</v>
      </c>
      <c r="AO82" s="2">
        <v>-0.3</v>
      </c>
      <c r="AP82" s="2">
        <v>-0.28999999999999998</v>
      </c>
      <c r="AQ82" s="2">
        <v>-0.45</v>
      </c>
      <c r="AR82" s="2">
        <v>-0.44</v>
      </c>
      <c r="AS82" s="2">
        <v>-0.46</v>
      </c>
      <c r="AT82" s="2">
        <v>-0.46</v>
      </c>
      <c r="AU82" s="2">
        <v>-0.37</v>
      </c>
      <c r="AV82" s="2">
        <v>-0.08</v>
      </c>
      <c r="AW82" s="2">
        <v>-0.14000000000000001</v>
      </c>
      <c r="AX82" s="2">
        <v>-0.16</v>
      </c>
    </row>
    <row r="83" spans="2:50" x14ac:dyDescent="0.3">
      <c r="B83" s="1" t="s">
        <v>20</v>
      </c>
      <c r="C83" s="2">
        <v>1051.8800000000001</v>
      </c>
      <c r="D83" s="2">
        <v>1823.31</v>
      </c>
      <c r="E83" s="2">
        <v>2352.79</v>
      </c>
      <c r="F83" s="2">
        <v>2334.13</v>
      </c>
      <c r="G83" s="2">
        <v>3017.43</v>
      </c>
      <c r="H83" s="2">
        <v>4751.16</v>
      </c>
      <c r="I83" s="2">
        <v>2019.64</v>
      </c>
      <c r="J83" s="2">
        <v>1089.47</v>
      </c>
      <c r="K83" s="2">
        <v>530.27</v>
      </c>
      <c r="L83" s="2">
        <v>614.49</v>
      </c>
      <c r="N83" s="1" t="s">
        <v>20</v>
      </c>
      <c r="O83" s="2">
        <v>2.2200000000000002</v>
      </c>
      <c r="P83" s="2">
        <v>2.2000000000000002</v>
      </c>
      <c r="Q83" s="2">
        <v>2.64</v>
      </c>
      <c r="R83" s="2">
        <v>2.62</v>
      </c>
      <c r="S83" s="2">
        <v>3.03</v>
      </c>
      <c r="T83" s="2">
        <v>2.87</v>
      </c>
      <c r="U83" s="2">
        <v>3.3</v>
      </c>
      <c r="V83" s="2">
        <v>3.31</v>
      </c>
      <c r="W83" s="2">
        <v>0.81</v>
      </c>
      <c r="X83" s="2">
        <v>0.81</v>
      </c>
      <c r="AA83" s="1" t="s">
        <v>20</v>
      </c>
      <c r="AB83" s="2">
        <v>3.1</v>
      </c>
      <c r="AC83" s="2">
        <v>3.8</v>
      </c>
      <c r="AD83" s="2">
        <v>3.79</v>
      </c>
      <c r="AE83" s="2">
        <v>3.73</v>
      </c>
      <c r="AF83" s="2">
        <v>4.45</v>
      </c>
      <c r="AG83" s="2">
        <v>5.28</v>
      </c>
      <c r="AH83" s="2">
        <v>3.88</v>
      </c>
      <c r="AI83" s="2">
        <v>3.53</v>
      </c>
      <c r="AJ83" s="2">
        <v>1.04</v>
      </c>
      <c r="AK83" s="2">
        <v>1.1000000000000001</v>
      </c>
      <c r="AN83" s="1" t="s">
        <v>20</v>
      </c>
      <c r="AO83" s="2">
        <v>-0.28000000000000003</v>
      </c>
      <c r="AP83" s="2">
        <v>-0.42</v>
      </c>
      <c r="AQ83" s="2">
        <v>-0.3</v>
      </c>
      <c r="AR83" s="2">
        <v>-0.3</v>
      </c>
      <c r="AS83" s="2">
        <v>-0.32</v>
      </c>
      <c r="AT83" s="2">
        <v>-0.46</v>
      </c>
      <c r="AU83" s="2">
        <v>-0.15</v>
      </c>
      <c r="AV83" s="2">
        <v>-0.06</v>
      </c>
      <c r="AW83" s="2">
        <v>-0.23</v>
      </c>
      <c r="AX83" s="2">
        <v>-0.26</v>
      </c>
    </row>
    <row r="84" spans="2:50" x14ac:dyDescent="0.3">
      <c r="B84" s="1" t="s">
        <v>21</v>
      </c>
      <c r="C84" s="2">
        <v>243.45</v>
      </c>
      <c r="D84" s="2">
        <v>124.59</v>
      </c>
      <c r="E84" s="2">
        <v>620.78</v>
      </c>
      <c r="F84" s="2">
        <v>736.44</v>
      </c>
      <c r="G84" s="2">
        <v>704.17</v>
      </c>
      <c r="H84" s="2">
        <v>389.78</v>
      </c>
      <c r="I84" s="2">
        <v>360.75</v>
      </c>
      <c r="J84" s="2">
        <v>902.58</v>
      </c>
      <c r="K84" s="2">
        <v>94.16</v>
      </c>
      <c r="L84" s="2">
        <v>89.16</v>
      </c>
      <c r="N84" s="1" t="s">
        <v>21</v>
      </c>
      <c r="O84" s="2">
        <v>2.2999999999999998</v>
      </c>
      <c r="P84" s="2">
        <v>2.21</v>
      </c>
      <c r="Q84" s="2">
        <v>2.57</v>
      </c>
      <c r="R84" s="2">
        <v>2.64</v>
      </c>
      <c r="S84" s="2">
        <v>2.93</v>
      </c>
      <c r="T84" s="2">
        <v>2.99</v>
      </c>
      <c r="U84" s="2">
        <v>3.48</v>
      </c>
      <c r="V84" s="2">
        <v>3.65</v>
      </c>
      <c r="W84" s="2">
        <v>0.82</v>
      </c>
      <c r="X84" s="2">
        <v>0.81</v>
      </c>
      <c r="AA84" s="1" t="s">
        <v>21</v>
      </c>
      <c r="AB84" s="2">
        <v>3.14</v>
      </c>
      <c r="AC84" s="2">
        <v>3.66</v>
      </c>
      <c r="AD84" s="2">
        <v>4.47</v>
      </c>
      <c r="AE84" s="2">
        <v>4.51</v>
      </c>
      <c r="AF84" s="2">
        <v>5.21</v>
      </c>
      <c r="AG84" s="2">
        <v>5.26</v>
      </c>
      <c r="AH84" s="2">
        <v>4.55</v>
      </c>
      <c r="AI84" s="2">
        <v>6.05</v>
      </c>
      <c r="AJ84" s="2">
        <v>1.0900000000000001</v>
      </c>
      <c r="AK84" s="2">
        <v>1.1000000000000001</v>
      </c>
      <c r="AN84" s="1" t="s">
        <v>21</v>
      </c>
      <c r="AO84" s="2">
        <v>-0.27</v>
      </c>
      <c r="AP84" s="2">
        <v>-0.4</v>
      </c>
      <c r="AQ84" s="2">
        <v>-0.43</v>
      </c>
      <c r="AR84" s="2">
        <v>-0.41</v>
      </c>
      <c r="AS84" s="2">
        <v>-0.44</v>
      </c>
      <c r="AT84" s="2">
        <v>-0.43</v>
      </c>
      <c r="AU84" s="2">
        <v>-0.23</v>
      </c>
      <c r="AV84" s="2">
        <v>-0.4</v>
      </c>
      <c r="AW84" s="2">
        <v>-0.25</v>
      </c>
      <c r="AX84" s="2">
        <v>-0.26</v>
      </c>
    </row>
    <row r="85" spans="2:50" x14ac:dyDescent="0.3">
      <c r="B85" s="1" t="s">
        <v>22</v>
      </c>
      <c r="C85" s="2">
        <v>1956.21</v>
      </c>
      <c r="D85" s="2">
        <v>1953.57</v>
      </c>
      <c r="E85" s="2">
        <v>1145.8499999999999</v>
      </c>
      <c r="F85" s="2">
        <v>1523.56</v>
      </c>
      <c r="G85" s="2">
        <v>1627.58</v>
      </c>
      <c r="H85" s="2">
        <v>1676.85</v>
      </c>
      <c r="I85" s="2">
        <v>705.98</v>
      </c>
      <c r="J85" s="2">
        <v>598.12</v>
      </c>
      <c r="K85" s="2">
        <v>62.22</v>
      </c>
      <c r="L85" s="2">
        <v>100.97</v>
      </c>
      <c r="N85" s="1" t="s">
        <v>22</v>
      </c>
      <c r="O85" s="2">
        <v>2.66</v>
      </c>
      <c r="P85" s="2">
        <v>2.68</v>
      </c>
      <c r="Q85" s="2">
        <v>2.64</v>
      </c>
      <c r="R85" s="2">
        <v>2.63</v>
      </c>
      <c r="S85" s="2">
        <v>3.09</v>
      </c>
      <c r="T85" s="2">
        <v>3.65</v>
      </c>
      <c r="U85" s="2">
        <v>3.49</v>
      </c>
      <c r="V85" s="2">
        <v>3.33</v>
      </c>
      <c r="W85" s="2">
        <v>0.8</v>
      </c>
      <c r="X85" s="2">
        <v>0.8</v>
      </c>
      <c r="AA85" s="1" t="s">
        <v>22</v>
      </c>
      <c r="AB85" s="2">
        <v>6.65</v>
      </c>
      <c r="AC85" s="2">
        <v>6.64</v>
      </c>
      <c r="AD85" s="2">
        <v>5.72</v>
      </c>
      <c r="AE85" s="2">
        <v>5.29</v>
      </c>
      <c r="AF85" s="2">
        <v>6.46</v>
      </c>
      <c r="AG85" s="2">
        <v>7.45</v>
      </c>
      <c r="AH85" s="2">
        <v>4.3</v>
      </c>
      <c r="AI85" s="2">
        <v>3.92</v>
      </c>
      <c r="AJ85" s="2">
        <v>0.91</v>
      </c>
      <c r="AK85" s="2">
        <v>0.92</v>
      </c>
      <c r="AN85" s="1" t="s">
        <v>22</v>
      </c>
      <c r="AO85" s="2">
        <v>-0.6</v>
      </c>
      <c r="AP85" s="2">
        <v>-0.6</v>
      </c>
      <c r="AQ85" s="2">
        <v>-0.54</v>
      </c>
      <c r="AR85" s="2">
        <v>-0.5</v>
      </c>
      <c r="AS85" s="2">
        <v>-0.52</v>
      </c>
      <c r="AT85" s="2">
        <v>-0.51</v>
      </c>
      <c r="AU85" s="2">
        <v>-0.19</v>
      </c>
      <c r="AV85" s="2">
        <v>-0.15</v>
      </c>
      <c r="AW85" s="2">
        <v>-0.12</v>
      </c>
      <c r="AX85" s="2">
        <v>-0.13</v>
      </c>
    </row>
    <row r="86" spans="2:50" x14ac:dyDescent="0.3">
      <c r="B86" s="1" t="s">
        <v>23</v>
      </c>
      <c r="C86" s="2">
        <v>93.74</v>
      </c>
      <c r="D86" s="2">
        <v>177.18</v>
      </c>
      <c r="E86" s="2">
        <v>126.31</v>
      </c>
      <c r="F86" s="2">
        <v>50.88</v>
      </c>
      <c r="G86" s="2">
        <v>206.12</v>
      </c>
      <c r="H86" s="2">
        <v>337.95</v>
      </c>
      <c r="I86" s="2">
        <v>27.4</v>
      </c>
      <c r="J86" s="2">
        <v>5.5</v>
      </c>
      <c r="K86" s="2">
        <v>20.96</v>
      </c>
      <c r="L86" s="2">
        <v>54.12</v>
      </c>
      <c r="N86" s="1" t="s">
        <v>23</v>
      </c>
      <c r="O86" s="2">
        <v>2.2000000000000002</v>
      </c>
      <c r="P86" s="2">
        <v>2.2000000000000002</v>
      </c>
      <c r="Q86" s="2">
        <v>2.5</v>
      </c>
      <c r="R86" s="2">
        <v>2.5</v>
      </c>
      <c r="S86" s="2">
        <v>2.8</v>
      </c>
      <c r="T86" s="2">
        <v>2.81</v>
      </c>
      <c r="U86" s="2">
        <v>3.3</v>
      </c>
      <c r="V86" s="2">
        <v>3.3</v>
      </c>
      <c r="W86" s="2">
        <v>0.8</v>
      </c>
      <c r="X86" s="2">
        <v>0.8</v>
      </c>
      <c r="AA86" s="1" t="s">
        <v>23</v>
      </c>
      <c r="AB86" s="2">
        <v>2.65</v>
      </c>
      <c r="AC86" s="2">
        <v>2.8</v>
      </c>
      <c r="AD86" s="2">
        <v>3.12</v>
      </c>
      <c r="AE86" s="2">
        <v>2.52</v>
      </c>
      <c r="AF86" s="2">
        <v>3.69</v>
      </c>
      <c r="AG86" s="2">
        <v>3.65</v>
      </c>
      <c r="AH86" s="2">
        <v>3.73</v>
      </c>
      <c r="AI86" s="2">
        <v>3.3</v>
      </c>
      <c r="AJ86" s="2">
        <v>0.86</v>
      </c>
      <c r="AK86" s="2">
        <v>0.98</v>
      </c>
      <c r="AN86" s="1" t="s">
        <v>23</v>
      </c>
      <c r="AO86" s="2">
        <v>-0.17</v>
      </c>
      <c r="AP86" s="2">
        <v>-0.21</v>
      </c>
      <c r="AQ86" s="2">
        <v>-0.2</v>
      </c>
      <c r="AR86" s="2">
        <v>-0.01</v>
      </c>
      <c r="AS86" s="2">
        <v>-0.24</v>
      </c>
      <c r="AT86" s="2">
        <v>-0.23</v>
      </c>
      <c r="AU86" s="2">
        <v>-0.11</v>
      </c>
      <c r="AV86" s="2">
        <v>0</v>
      </c>
      <c r="AW86" s="2">
        <v>-7.0000000000000007E-2</v>
      </c>
      <c r="AX86" s="2">
        <v>-0.18</v>
      </c>
    </row>
    <row r="89" spans="2:50" x14ac:dyDescent="0.3">
      <c r="B89" t="s">
        <v>44</v>
      </c>
      <c r="N89" t="s">
        <v>45</v>
      </c>
      <c r="AA89" t="s">
        <v>46</v>
      </c>
      <c r="AN89" t="s">
        <v>47</v>
      </c>
    </row>
    <row r="90" spans="2:50" x14ac:dyDescent="0.3">
      <c r="B90" s="1" t="s">
        <v>11</v>
      </c>
      <c r="C90" s="1" t="s">
        <v>12</v>
      </c>
      <c r="D90" s="1" t="s">
        <v>13</v>
      </c>
      <c r="E90" s="1" t="s">
        <v>12</v>
      </c>
      <c r="F90" s="1" t="s">
        <v>13</v>
      </c>
      <c r="G90" s="1" t="s">
        <v>12</v>
      </c>
      <c r="H90" s="1" t="s">
        <v>13</v>
      </c>
      <c r="I90" s="1" t="s">
        <v>12</v>
      </c>
      <c r="J90" s="1" t="s">
        <v>13</v>
      </c>
      <c r="K90" s="1" t="s">
        <v>12</v>
      </c>
      <c r="L90" s="1" t="s">
        <v>13</v>
      </c>
      <c r="N90" s="1" t="s">
        <v>11</v>
      </c>
      <c r="O90" s="3" t="s">
        <v>12</v>
      </c>
      <c r="P90" s="3"/>
      <c r="Q90" s="3"/>
      <c r="R90" s="3"/>
      <c r="S90" s="3"/>
      <c r="T90" s="3" t="s">
        <v>13</v>
      </c>
      <c r="U90" s="3"/>
      <c r="V90" s="3"/>
      <c r="W90" s="3"/>
      <c r="X90" s="3"/>
      <c r="AA90" s="1" t="s">
        <v>11</v>
      </c>
      <c r="AB90" s="3" t="s">
        <v>12</v>
      </c>
      <c r="AC90" s="3"/>
      <c r="AD90" s="3"/>
      <c r="AE90" s="3"/>
      <c r="AF90" s="3"/>
      <c r="AG90" s="3" t="s">
        <v>13</v>
      </c>
      <c r="AH90" s="3"/>
      <c r="AI90" s="3"/>
      <c r="AJ90" s="3"/>
      <c r="AK90" s="3"/>
      <c r="AN90" s="1" t="s">
        <v>11</v>
      </c>
      <c r="AO90" s="1" t="s">
        <v>12</v>
      </c>
      <c r="AP90" s="1" t="s">
        <v>13</v>
      </c>
      <c r="AQ90" s="1" t="s">
        <v>12</v>
      </c>
      <c r="AR90" s="1" t="s">
        <v>13</v>
      </c>
      <c r="AS90" s="1" t="s">
        <v>12</v>
      </c>
      <c r="AT90" s="1" t="s">
        <v>13</v>
      </c>
      <c r="AU90" s="1" t="s">
        <v>12</v>
      </c>
      <c r="AV90" s="1" t="s">
        <v>13</v>
      </c>
      <c r="AW90" s="1" t="s">
        <v>12</v>
      </c>
      <c r="AX90" s="1" t="s">
        <v>13</v>
      </c>
    </row>
    <row r="91" spans="2:50" x14ac:dyDescent="0.3">
      <c r="B91" s="1" t="s">
        <v>14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N91" s="1" t="s">
        <v>14</v>
      </c>
      <c r="O91" s="1" t="s">
        <v>1</v>
      </c>
      <c r="P91" s="1" t="s">
        <v>2</v>
      </c>
      <c r="Q91" s="1" t="s">
        <v>3</v>
      </c>
      <c r="R91" s="1" t="s">
        <v>4</v>
      </c>
      <c r="S91" s="1" t="s">
        <v>5</v>
      </c>
      <c r="T91" s="1" t="s">
        <v>1</v>
      </c>
      <c r="U91" s="1" t="s">
        <v>2</v>
      </c>
      <c r="V91" s="1" t="s">
        <v>3</v>
      </c>
      <c r="W91" s="1" t="s">
        <v>4</v>
      </c>
      <c r="X91" s="1" t="s">
        <v>5</v>
      </c>
      <c r="AA91" s="1" t="s">
        <v>14</v>
      </c>
      <c r="AB91" s="1" t="s">
        <v>1</v>
      </c>
      <c r="AC91" s="1" t="s">
        <v>2</v>
      </c>
      <c r="AD91" s="1" t="s">
        <v>3</v>
      </c>
      <c r="AE91" s="1" t="s">
        <v>4</v>
      </c>
      <c r="AF91" s="1" t="s">
        <v>5</v>
      </c>
      <c r="AG91" s="1" t="s">
        <v>1</v>
      </c>
      <c r="AH91" s="1" t="s">
        <v>2</v>
      </c>
      <c r="AI91" s="1" t="s">
        <v>3</v>
      </c>
      <c r="AJ91" s="1" t="s">
        <v>4</v>
      </c>
      <c r="AK91" s="1" t="s">
        <v>5</v>
      </c>
      <c r="AN91" s="1" t="s">
        <v>14</v>
      </c>
      <c r="AO91" s="1" t="s">
        <v>1</v>
      </c>
      <c r="AP91" s="1" t="s">
        <v>1</v>
      </c>
      <c r="AQ91" s="1" t="s">
        <v>2</v>
      </c>
      <c r="AR91" s="1" t="s">
        <v>2</v>
      </c>
      <c r="AS91" s="1" t="s">
        <v>3</v>
      </c>
      <c r="AT91" s="1" t="s">
        <v>3</v>
      </c>
      <c r="AU91" s="1" t="s">
        <v>4</v>
      </c>
      <c r="AV91" s="1" t="s">
        <v>4</v>
      </c>
      <c r="AW91" s="1" t="s">
        <v>5</v>
      </c>
      <c r="AX91" s="1" t="s">
        <v>5</v>
      </c>
    </row>
    <row r="92" spans="2:50" x14ac:dyDescent="0.3">
      <c r="B92" s="1" t="s">
        <v>15</v>
      </c>
      <c r="N92" s="1" t="s">
        <v>15</v>
      </c>
      <c r="AA92" s="1" t="s">
        <v>15</v>
      </c>
      <c r="AN92" s="1" t="s">
        <v>15</v>
      </c>
    </row>
    <row r="93" spans="2:50" x14ac:dyDescent="0.3">
      <c r="B93" s="1" t="s">
        <v>16</v>
      </c>
      <c r="C93" s="2">
        <v>344.42</v>
      </c>
      <c r="D93" s="2">
        <v>347.35</v>
      </c>
      <c r="E93" s="2">
        <v>593.71</v>
      </c>
      <c r="F93" s="2">
        <v>491.53</v>
      </c>
      <c r="G93" s="2">
        <v>231.53</v>
      </c>
      <c r="H93" s="2">
        <v>226.14</v>
      </c>
      <c r="I93" s="2">
        <v>169.83</v>
      </c>
      <c r="J93" s="2">
        <v>157.68</v>
      </c>
      <c r="K93" s="2">
        <v>148.47</v>
      </c>
      <c r="L93" s="2">
        <v>140.16999999999999</v>
      </c>
      <c r="N93" s="1" t="s">
        <v>16</v>
      </c>
      <c r="O93" s="2">
        <v>3240.57</v>
      </c>
      <c r="P93" s="2">
        <v>3962.13</v>
      </c>
      <c r="Q93" s="2">
        <v>3700.29</v>
      </c>
      <c r="R93" s="2">
        <v>2312.36</v>
      </c>
      <c r="S93" s="2">
        <v>962.05</v>
      </c>
      <c r="T93" s="2">
        <v>3140.11</v>
      </c>
      <c r="U93" s="2">
        <v>1732.08</v>
      </c>
      <c r="V93" s="2">
        <v>3086.78</v>
      </c>
      <c r="W93" s="2">
        <v>1388.8</v>
      </c>
      <c r="X93" s="2">
        <v>621.98</v>
      </c>
      <c r="AA93" s="1" t="s">
        <v>16</v>
      </c>
      <c r="AB93" s="2">
        <v>29331.97</v>
      </c>
      <c r="AC93" s="2">
        <v>35860.870000000003</v>
      </c>
      <c r="AD93" s="2">
        <v>33618.11</v>
      </c>
      <c r="AE93" s="2">
        <v>35694.07</v>
      </c>
      <c r="AF93" s="2">
        <v>8692.35</v>
      </c>
      <c r="AG93" s="2">
        <v>28500.73</v>
      </c>
      <c r="AH93" s="2">
        <v>22220.17</v>
      </c>
      <c r="AI93" s="2">
        <v>28038.02</v>
      </c>
      <c r="AJ93" s="2">
        <v>25846.1</v>
      </c>
      <c r="AK93" s="2">
        <v>5655.62</v>
      </c>
      <c r="AN93" s="1" t="s">
        <v>16</v>
      </c>
      <c r="AO93" s="2">
        <v>0.44</v>
      </c>
      <c r="AP93" s="2">
        <v>0.44</v>
      </c>
      <c r="AQ93" s="2">
        <v>0.5</v>
      </c>
      <c r="AR93" s="2">
        <v>0.5</v>
      </c>
      <c r="AS93" s="2">
        <v>0.56000000000000005</v>
      </c>
      <c r="AT93" s="2">
        <v>0.56000000000000005</v>
      </c>
      <c r="AU93" s="2">
        <v>0.66</v>
      </c>
      <c r="AV93" s="2">
        <v>0.66</v>
      </c>
      <c r="AW93" s="2">
        <v>0.16</v>
      </c>
      <c r="AX93" s="2">
        <v>0.16</v>
      </c>
    </row>
    <row r="94" spans="2:50" x14ac:dyDescent="0.3">
      <c r="B94" s="1" t="s">
        <v>17</v>
      </c>
      <c r="C94" s="2">
        <v>414.77</v>
      </c>
      <c r="D94" s="2">
        <v>395.87</v>
      </c>
      <c r="E94" s="2">
        <v>891.5</v>
      </c>
      <c r="F94" s="2">
        <v>784.42</v>
      </c>
      <c r="G94" s="2">
        <v>399.19</v>
      </c>
      <c r="H94" s="2">
        <v>507.88</v>
      </c>
      <c r="I94" s="2">
        <v>387.13</v>
      </c>
      <c r="J94" s="2">
        <v>133.54</v>
      </c>
      <c r="K94" s="2">
        <v>267.51</v>
      </c>
      <c r="L94" s="2">
        <v>175</v>
      </c>
      <c r="N94" s="1" t="s">
        <v>17</v>
      </c>
      <c r="O94" s="2">
        <v>3290.56</v>
      </c>
      <c r="P94" s="2">
        <v>3232.86</v>
      </c>
      <c r="Q94" s="2">
        <v>5661.84</v>
      </c>
      <c r="R94" s="2">
        <v>5782.28</v>
      </c>
      <c r="S94" s="2">
        <v>871.95</v>
      </c>
      <c r="T94" s="2">
        <v>1941.99</v>
      </c>
      <c r="U94" s="2">
        <v>2196.85</v>
      </c>
      <c r="V94" s="2">
        <v>3526.58</v>
      </c>
      <c r="W94" s="2">
        <v>1952.5</v>
      </c>
      <c r="X94" s="2">
        <v>604.70000000000005</v>
      </c>
      <c r="AA94" s="1" t="s">
        <v>17</v>
      </c>
      <c r="AB94" s="2">
        <v>10509.86</v>
      </c>
      <c r="AC94" s="2">
        <v>19443.89</v>
      </c>
      <c r="AD94" s="2">
        <v>20103.21</v>
      </c>
      <c r="AE94" s="2">
        <v>20126.59</v>
      </c>
      <c r="AF94" s="2">
        <v>4198.9799999999996</v>
      </c>
      <c r="AG94" s="2">
        <v>8183.95</v>
      </c>
      <c r="AH94" s="2">
        <v>5423.12</v>
      </c>
      <c r="AI94" s="2">
        <v>9406.64</v>
      </c>
      <c r="AJ94" s="2">
        <v>12025.31</v>
      </c>
      <c r="AK94" s="2">
        <v>2623.3</v>
      </c>
      <c r="AN94" s="1" t="s">
        <v>17</v>
      </c>
      <c r="AO94" s="2">
        <v>5.66</v>
      </c>
      <c r="AP94" s="2">
        <v>5.66</v>
      </c>
      <c r="AQ94" s="2">
        <v>10.31</v>
      </c>
      <c r="AR94" s="2">
        <v>6.44</v>
      </c>
      <c r="AS94" s="2">
        <v>7.21</v>
      </c>
      <c r="AT94" s="2">
        <v>7.21</v>
      </c>
      <c r="AU94" s="2">
        <v>8.5</v>
      </c>
      <c r="AV94" s="2">
        <v>2.97</v>
      </c>
      <c r="AW94" s="2">
        <v>4.12</v>
      </c>
      <c r="AX94" s="2">
        <v>2.06</v>
      </c>
    </row>
    <row r="95" spans="2:50" x14ac:dyDescent="0.3">
      <c r="B95" s="1" t="s">
        <v>18</v>
      </c>
      <c r="C95" s="2">
        <v>9869.93</v>
      </c>
      <c r="D95" s="2">
        <v>2768.63</v>
      </c>
      <c r="E95" s="2">
        <v>8654.7199999999993</v>
      </c>
      <c r="F95" s="2">
        <v>15448.55</v>
      </c>
      <c r="G95" s="2">
        <v>10725.9</v>
      </c>
      <c r="H95" s="2">
        <v>4348.59</v>
      </c>
      <c r="I95" s="2">
        <v>10608.12</v>
      </c>
      <c r="J95" s="2">
        <v>2213.98</v>
      </c>
      <c r="K95" s="2">
        <v>448.38</v>
      </c>
      <c r="L95" s="2">
        <v>998.63</v>
      </c>
      <c r="N95" s="1" t="s">
        <v>18</v>
      </c>
      <c r="O95" s="2">
        <v>14426.56</v>
      </c>
      <c r="P95" s="2">
        <v>13491.53</v>
      </c>
      <c r="Q95" s="2">
        <v>21326.66</v>
      </c>
      <c r="R95" s="2">
        <v>22679.93</v>
      </c>
      <c r="S95" s="2">
        <v>1959.44</v>
      </c>
      <c r="T95" s="2">
        <v>8964.5300000000007</v>
      </c>
      <c r="U95" s="2">
        <v>10320.14</v>
      </c>
      <c r="V95" s="2">
        <v>11822.62</v>
      </c>
      <c r="W95" s="2">
        <v>10893.13</v>
      </c>
      <c r="X95" s="2">
        <v>2683.68</v>
      </c>
      <c r="AA95" s="1" t="s">
        <v>18</v>
      </c>
      <c r="AB95" s="2">
        <v>40721.75</v>
      </c>
      <c r="AC95" s="2">
        <v>67869.97</v>
      </c>
      <c r="AD95" s="2">
        <v>73946.64</v>
      </c>
      <c r="AE95" s="2">
        <v>86005.64</v>
      </c>
      <c r="AF95" s="2">
        <v>7148.56</v>
      </c>
      <c r="AG95" s="2">
        <v>19431.18</v>
      </c>
      <c r="AH95" s="2">
        <v>24933.09</v>
      </c>
      <c r="AI95" s="2">
        <v>56943.24</v>
      </c>
      <c r="AJ95" s="2">
        <v>59633.67</v>
      </c>
      <c r="AK95" s="2">
        <v>6858.72</v>
      </c>
      <c r="AN95" s="1" t="s">
        <v>18</v>
      </c>
      <c r="AO95" s="2">
        <v>18.03</v>
      </c>
      <c r="AP95" s="2">
        <v>5.66</v>
      </c>
      <c r="AQ95" s="2">
        <v>19.309999999999999</v>
      </c>
      <c r="AR95" s="2">
        <v>21.54</v>
      </c>
      <c r="AS95" s="2">
        <v>28.84</v>
      </c>
      <c r="AT95" s="2">
        <v>19.25</v>
      </c>
      <c r="AU95" s="2">
        <v>33.159999999999997</v>
      </c>
      <c r="AV95" s="2">
        <v>8.5</v>
      </c>
      <c r="AW95" s="2">
        <v>2.06</v>
      </c>
      <c r="AX95" s="2">
        <v>2.06</v>
      </c>
    </row>
    <row r="96" spans="2:50" x14ac:dyDescent="0.3">
      <c r="B96" s="1" t="s">
        <v>19</v>
      </c>
      <c r="C96" s="2">
        <v>1132.6199999999999</v>
      </c>
      <c r="D96" s="2">
        <v>1113.1400000000001</v>
      </c>
      <c r="E96" s="2">
        <v>3200.75</v>
      </c>
      <c r="F96" s="2">
        <v>2397.09</v>
      </c>
      <c r="G96" s="2">
        <v>1425.24</v>
      </c>
      <c r="H96" s="2">
        <v>1879.77</v>
      </c>
      <c r="I96" s="2">
        <v>1367.14</v>
      </c>
      <c r="J96" s="2">
        <v>553.85</v>
      </c>
      <c r="K96" s="2">
        <v>214.07</v>
      </c>
      <c r="L96" s="2">
        <v>219.45</v>
      </c>
      <c r="N96" s="1" t="s">
        <v>19</v>
      </c>
      <c r="O96" s="2">
        <v>3560.47</v>
      </c>
      <c r="P96" s="2">
        <v>3827.36</v>
      </c>
      <c r="Q96" s="2">
        <v>4467.7299999999996</v>
      </c>
      <c r="R96" s="2">
        <v>3773.99</v>
      </c>
      <c r="S96" s="2">
        <v>503.99</v>
      </c>
      <c r="T96" s="2">
        <v>2746.6</v>
      </c>
      <c r="U96" s="2">
        <v>3025.06</v>
      </c>
      <c r="V96" s="2">
        <v>4180.93</v>
      </c>
      <c r="W96" s="2">
        <v>3525.46</v>
      </c>
      <c r="X96" s="2">
        <v>541.53</v>
      </c>
      <c r="AA96" s="1" t="s">
        <v>19</v>
      </c>
      <c r="AB96" s="2">
        <v>9767.0499999999993</v>
      </c>
      <c r="AC96" s="2">
        <v>16741.259999999998</v>
      </c>
      <c r="AD96" s="2">
        <v>19012.11</v>
      </c>
      <c r="AE96" s="2">
        <v>23302.18</v>
      </c>
      <c r="AF96" s="2">
        <v>1969.61</v>
      </c>
      <c r="AG96" s="2">
        <v>6397.95</v>
      </c>
      <c r="AH96" s="2">
        <v>12062.01</v>
      </c>
      <c r="AI96" s="2">
        <v>17108.439999999999</v>
      </c>
      <c r="AJ96" s="2">
        <v>19168.97</v>
      </c>
      <c r="AK96" s="2">
        <v>1946.79</v>
      </c>
      <c r="AN96" s="1" t="s">
        <v>19</v>
      </c>
      <c r="AO96" s="2">
        <v>5.66</v>
      </c>
      <c r="AP96" s="2">
        <v>5.66</v>
      </c>
      <c r="AQ96" s="2">
        <v>12.88</v>
      </c>
      <c r="AR96" s="2">
        <v>12.88</v>
      </c>
      <c r="AS96" s="2">
        <v>14.42</v>
      </c>
      <c r="AT96" s="2">
        <v>14.42</v>
      </c>
      <c r="AU96" s="2">
        <v>16.77</v>
      </c>
      <c r="AV96" s="2">
        <v>5.71</v>
      </c>
      <c r="AW96" s="2">
        <v>2.06</v>
      </c>
      <c r="AX96" s="2">
        <v>2.06</v>
      </c>
    </row>
    <row r="97" spans="2:50" x14ac:dyDescent="0.3">
      <c r="B97" s="1" t="s">
        <v>20</v>
      </c>
      <c r="C97" s="2">
        <v>4017.85</v>
      </c>
      <c r="D97" s="2">
        <v>5409.37</v>
      </c>
      <c r="E97" s="2">
        <v>8613.1</v>
      </c>
      <c r="F97" s="2">
        <v>7712.77</v>
      </c>
      <c r="G97" s="2">
        <v>4981.09</v>
      </c>
      <c r="H97" s="2">
        <v>5600.81</v>
      </c>
      <c r="I97" s="2">
        <v>2258.13</v>
      </c>
      <c r="J97" s="2">
        <v>1536.62</v>
      </c>
      <c r="K97" s="2">
        <v>1775.98</v>
      </c>
      <c r="L97" s="2">
        <v>1957.6</v>
      </c>
      <c r="N97" s="1" t="s">
        <v>20</v>
      </c>
      <c r="O97" s="2">
        <v>14083.09</v>
      </c>
      <c r="P97" s="2">
        <v>19505.07</v>
      </c>
      <c r="Q97" s="2">
        <v>25731.759999999998</v>
      </c>
      <c r="R97" s="2">
        <v>15854.84</v>
      </c>
      <c r="S97" s="2">
        <v>4452.8500000000004</v>
      </c>
      <c r="T97" s="2">
        <v>11317.37</v>
      </c>
      <c r="U97" s="2">
        <v>19284.5</v>
      </c>
      <c r="V97" s="2">
        <v>21735.5</v>
      </c>
      <c r="W97" s="2">
        <v>18694.21</v>
      </c>
      <c r="X97" s="2">
        <v>5106.45</v>
      </c>
      <c r="AA97" s="1" t="s">
        <v>20</v>
      </c>
      <c r="AB97" s="2">
        <v>34235.4</v>
      </c>
      <c r="AC97" s="2">
        <v>51654.52</v>
      </c>
      <c r="AD97" s="2">
        <v>70915.649999999994</v>
      </c>
      <c r="AE97" s="2">
        <v>81590.86</v>
      </c>
      <c r="AF97" s="2">
        <v>14259.15</v>
      </c>
      <c r="AG97" s="2">
        <v>43507.63</v>
      </c>
      <c r="AH97" s="2">
        <v>49938.89</v>
      </c>
      <c r="AI97" s="2">
        <v>91129.31</v>
      </c>
      <c r="AJ97" s="2">
        <v>101323.49</v>
      </c>
      <c r="AK97" s="2">
        <v>14181.55</v>
      </c>
      <c r="AN97" s="1" t="s">
        <v>20</v>
      </c>
      <c r="AO97" s="2">
        <v>5.66</v>
      </c>
      <c r="AP97" s="2">
        <v>11.33</v>
      </c>
      <c r="AQ97" s="2">
        <v>6.44</v>
      </c>
      <c r="AR97" s="2">
        <v>6.44</v>
      </c>
      <c r="AS97" s="2">
        <v>7.21</v>
      </c>
      <c r="AT97" s="2">
        <v>14.42</v>
      </c>
      <c r="AU97" s="2">
        <v>8.5</v>
      </c>
      <c r="AV97" s="2">
        <v>4.7699999999999996</v>
      </c>
      <c r="AW97" s="2">
        <v>2.06</v>
      </c>
      <c r="AX97" s="2">
        <v>2.06</v>
      </c>
    </row>
    <row r="98" spans="2:50" x14ac:dyDescent="0.3">
      <c r="B98" s="1" t="s">
        <v>21</v>
      </c>
      <c r="C98" s="2">
        <v>742.12</v>
      </c>
      <c r="D98" s="2">
        <v>755.98</v>
      </c>
      <c r="E98" s="2">
        <v>2088.5100000000002</v>
      </c>
      <c r="F98" s="2">
        <v>1646.36</v>
      </c>
      <c r="G98" s="2">
        <v>994.32</v>
      </c>
      <c r="H98" s="2">
        <v>872.21</v>
      </c>
      <c r="I98" s="2">
        <v>583</v>
      </c>
      <c r="J98" s="2">
        <v>963.86</v>
      </c>
      <c r="K98" s="2">
        <v>374.81</v>
      </c>
      <c r="L98" s="2">
        <v>244.15</v>
      </c>
      <c r="N98" s="1" t="s">
        <v>21</v>
      </c>
      <c r="O98" s="2">
        <v>3800.98</v>
      </c>
      <c r="P98" s="2">
        <v>3845.19</v>
      </c>
      <c r="Q98" s="2">
        <v>4993.5200000000004</v>
      </c>
      <c r="R98" s="2">
        <v>6074.48</v>
      </c>
      <c r="S98" s="2">
        <v>1202.7</v>
      </c>
      <c r="T98" s="2">
        <v>2641.67</v>
      </c>
      <c r="U98" s="2">
        <v>4593.26</v>
      </c>
      <c r="V98" s="2">
        <v>5486.77</v>
      </c>
      <c r="W98" s="2">
        <v>6973.9</v>
      </c>
      <c r="X98" s="2">
        <v>1144.74</v>
      </c>
      <c r="AA98" s="1" t="s">
        <v>21</v>
      </c>
      <c r="AB98" s="2">
        <v>9404.0499999999993</v>
      </c>
      <c r="AC98" s="2">
        <v>14421.94</v>
      </c>
      <c r="AD98" s="2">
        <v>20128.61</v>
      </c>
      <c r="AE98" s="2">
        <v>21533.32</v>
      </c>
      <c r="AF98" s="2">
        <v>2987.7</v>
      </c>
      <c r="AG98" s="2">
        <v>9454.61</v>
      </c>
      <c r="AH98" s="2">
        <v>19620.060000000001</v>
      </c>
      <c r="AI98" s="2">
        <v>23193.33</v>
      </c>
      <c r="AJ98" s="2">
        <v>35242.58</v>
      </c>
      <c r="AK98" s="2">
        <v>2143.88</v>
      </c>
      <c r="AN98" s="1" t="s">
        <v>21</v>
      </c>
      <c r="AO98" s="2">
        <v>5.66</v>
      </c>
      <c r="AP98" s="2">
        <v>11.33</v>
      </c>
      <c r="AQ98" s="2">
        <v>12.87</v>
      </c>
      <c r="AR98" s="2">
        <v>12.87</v>
      </c>
      <c r="AS98" s="2">
        <v>14.42</v>
      </c>
      <c r="AT98" s="2">
        <v>14.42</v>
      </c>
      <c r="AU98" s="2">
        <v>8.5</v>
      </c>
      <c r="AV98" s="2">
        <v>17</v>
      </c>
      <c r="AW98" s="2">
        <v>2.06</v>
      </c>
      <c r="AX98" s="2">
        <v>2.06</v>
      </c>
    </row>
    <row r="99" spans="2:50" x14ac:dyDescent="0.3">
      <c r="B99" s="1" t="s">
        <v>22</v>
      </c>
      <c r="C99" s="2">
        <v>9150.7099999999991</v>
      </c>
      <c r="D99" s="2">
        <v>9705.7099999999991</v>
      </c>
      <c r="E99" s="2">
        <v>10418.23</v>
      </c>
      <c r="F99" s="2">
        <v>9830.65</v>
      </c>
      <c r="G99" s="2">
        <v>5218.59</v>
      </c>
      <c r="H99" s="2">
        <v>5072.7</v>
      </c>
      <c r="I99" s="2">
        <v>2083.9</v>
      </c>
      <c r="J99" s="2">
        <v>1846.57</v>
      </c>
      <c r="K99" s="2">
        <v>747.74</v>
      </c>
      <c r="L99" s="2">
        <v>751.02</v>
      </c>
      <c r="N99" s="1" t="s">
        <v>22</v>
      </c>
      <c r="O99" s="2">
        <v>15230.1</v>
      </c>
      <c r="P99" s="2">
        <v>13443.37</v>
      </c>
      <c r="Q99" s="2">
        <v>17758.490000000002</v>
      </c>
      <c r="R99" s="2">
        <v>18499.009999999998</v>
      </c>
      <c r="S99" s="2">
        <v>2391.13</v>
      </c>
      <c r="T99" s="2">
        <v>15198.68</v>
      </c>
      <c r="U99" s="2">
        <v>13463.55</v>
      </c>
      <c r="V99" s="2">
        <v>21425.49</v>
      </c>
      <c r="W99" s="2">
        <v>14196.95</v>
      </c>
      <c r="X99" s="2">
        <v>2703.29</v>
      </c>
      <c r="AA99" s="1" t="s">
        <v>22</v>
      </c>
      <c r="AB99" s="2">
        <v>43932.800000000003</v>
      </c>
      <c r="AC99" s="2">
        <v>40711.279999999999</v>
      </c>
      <c r="AD99" s="2">
        <v>67495.509999999995</v>
      </c>
      <c r="AE99" s="2">
        <v>61529.65</v>
      </c>
      <c r="AF99" s="2">
        <v>4989.1099999999997</v>
      </c>
      <c r="AG99" s="2">
        <v>43094.47</v>
      </c>
      <c r="AH99" s="2">
        <v>53726.7</v>
      </c>
      <c r="AI99" s="2">
        <v>74037.649999999994</v>
      </c>
      <c r="AJ99" s="2">
        <v>82511.86</v>
      </c>
      <c r="AK99" s="2">
        <v>6440.59</v>
      </c>
      <c r="AN99" s="1" t="s">
        <v>22</v>
      </c>
      <c r="AO99" s="2">
        <v>22.66</v>
      </c>
      <c r="AP99" s="2">
        <v>22.66</v>
      </c>
      <c r="AQ99" s="2">
        <v>19.309999999999999</v>
      </c>
      <c r="AR99" s="2">
        <v>19.309999999999999</v>
      </c>
      <c r="AS99" s="2">
        <v>21.63</v>
      </c>
      <c r="AT99" s="2">
        <v>22.44</v>
      </c>
      <c r="AU99" s="2">
        <v>8.5</v>
      </c>
      <c r="AV99" s="2">
        <v>11.04</v>
      </c>
      <c r="AW99" s="2">
        <v>2.06</v>
      </c>
      <c r="AX99" s="2">
        <v>2.06</v>
      </c>
    </row>
    <row r="100" spans="2:50" x14ac:dyDescent="0.3">
      <c r="B100" s="1" t="s">
        <v>23</v>
      </c>
      <c r="C100" s="2">
        <v>1251.1600000000001</v>
      </c>
      <c r="D100" s="2">
        <v>1339.6</v>
      </c>
      <c r="E100" s="2">
        <v>3325.75</v>
      </c>
      <c r="F100" s="2">
        <v>593.65</v>
      </c>
      <c r="G100" s="2">
        <v>2485</v>
      </c>
      <c r="H100" s="2">
        <v>1325.63</v>
      </c>
      <c r="I100" s="2">
        <v>1138.04</v>
      </c>
      <c r="J100" s="2">
        <v>433.84</v>
      </c>
      <c r="K100" s="2">
        <v>452.15</v>
      </c>
      <c r="L100" s="2">
        <v>775.04</v>
      </c>
      <c r="N100" s="1" t="s">
        <v>23</v>
      </c>
      <c r="O100" s="2">
        <v>6570.9</v>
      </c>
      <c r="P100" s="2">
        <v>7137.09</v>
      </c>
      <c r="Q100" s="2">
        <v>8129.72</v>
      </c>
      <c r="R100" s="2">
        <v>6205.27</v>
      </c>
      <c r="S100" s="2">
        <v>1352.84</v>
      </c>
      <c r="T100" s="2">
        <v>7097.15</v>
      </c>
      <c r="U100" s="2">
        <v>6237.95</v>
      </c>
      <c r="V100" s="2">
        <v>9459.18</v>
      </c>
      <c r="W100" s="2">
        <v>3245.74</v>
      </c>
      <c r="X100" s="2">
        <v>2213.75</v>
      </c>
      <c r="AA100" s="1" t="s">
        <v>23</v>
      </c>
      <c r="AB100" s="2">
        <v>20679.18</v>
      </c>
      <c r="AC100" s="2">
        <v>17810.91</v>
      </c>
      <c r="AD100" s="2">
        <v>19511.32</v>
      </c>
      <c r="AE100" s="2">
        <v>19853.509999999998</v>
      </c>
      <c r="AF100" s="2">
        <v>4882.3599999999997</v>
      </c>
      <c r="AG100" s="2">
        <v>28476.85</v>
      </c>
      <c r="AH100" s="2">
        <v>24285.55</v>
      </c>
      <c r="AI100" s="2">
        <v>24454.98</v>
      </c>
      <c r="AJ100" s="2">
        <v>34423.760000000002</v>
      </c>
      <c r="AK100" s="2">
        <v>5377.45</v>
      </c>
      <c r="AN100" s="1" t="s">
        <v>23</v>
      </c>
      <c r="AO100" s="2">
        <v>5.66</v>
      </c>
      <c r="AP100" s="2">
        <v>7.18</v>
      </c>
      <c r="AQ100" s="2">
        <v>6.44</v>
      </c>
      <c r="AR100" s="2">
        <v>2.0299999999999998</v>
      </c>
      <c r="AS100" s="2">
        <v>7.21</v>
      </c>
      <c r="AT100" s="2">
        <v>7.21</v>
      </c>
      <c r="AU100" s="2">
        <v>8.5</v>
      </c>
      <c r="AV100" s="2">
        <v>4.46</v>
      </c>
      <c r="AW100" s="2">
        <v>1.79</v>
      </c>
      <c r="AX100" s="2">
        <v>2.06</v>
      </c>
    </row>
    <row r="103" spans="2:50" x14ac:dyDescent="0.3">
      <c r="B103" t="s">
        <v>48</v>
      </c>
      <c r="N103" t="s">
        <v>49</v>
      </c>
      <c r="AA103" t="s">
        <v>50</v>
      </c>
      <c r="AN103" t="s">
        <v>51</v>
      </c>
    </row>
    <row r="104" spans="2:50" x14ac:dyDescent="0.3">
      <c r="B104" s="1" t="s">
        <v>11</v>
      </c>
      <c r="C104" s="1" t="s">
        <v>12</v>
      </c>
      <c r="D104" s="1" t="s">
        <v>13</v>
      </c>
      <c r="E104" s="1" t="s">
        <v>12</v>
      </c>
      <c r="F104" s="1" t="s">
        <v>13</v>
      </c>
      <c r="G104" s="1" t="s">
        <v>12</v>
      </c>
      <c r="H104" s="1" t="s">
        <v>13</v>
      </c>
      <c r="I104" s="1" t="s">
        <v>12</v>
      </c>
      <c r="J104" s="1" t="s">
        <v>13</v>
      </c>
      <c r="K104" s="1" t="s">
        <v>12</v>
      </c>
      <c r="L104" s="1" t="s">
        <v>13</v>
      </c>
      <c r="N104" s="1" t="s">
        <v>11</v>
      </c>
      <c r="O104" s="1" t="s">
        <v>12</v>
      </c>
      <c r="P104" s="1" t="s">
        <v>13</v>
      </c>
      <c r="Q104" s="1" t="s">
        <v>12</v>
      </c>
      <c r="R104" s="1" t="s">
        <v>13</v>
      </c>
      <c r="S104" s="1" t="s">
        <v>12</v>
      </c>
      <c r="T104" s="1" t="s">
        <v>13</v>
      </c>
      <c r="U104" s="1" t="s">
        <v>12</v>
      </c>
      <c r="V104" s="1" t="s">
        <v>13</v>
      </c>
      <c r="W104" s="1" t="s">
        <v>12</v>
      </c>
      <c r="X104" s="1" t="s">
        <v>13</v>
      </c>
      <c r="AA104" s="1" t="s">
        <v>11</v>
      </c>
      <c r="AB104" s="1" t="s">
        <v>12</v>
      </c>
      <c r="AC104" s="1" t="s">
        <v>13</v>
      </c>
      <c r="AD104" s="1" t="s">
        <v>12</v>
      </c>
      <c r="AE104" s="1" t="s">
        <v>13</v>
      </c>
      <c r="AF104" s="1" t="s">
        <v>12</v>
      </c>
      <c r="AG104" s="1" t="s">
        <v>13</v>
      </c>
      <c r="AH104" s="1" t="s">
        <v>12</v>
      </c>
      <c r="AI104" s="1" t="s">
        <v>13</v>
      </c>
      <c r="AJ104" s="1" t="s">
        <v>12</v>
      </c>
      <c r="AK104" s="1" t="s">
        <v>13</v>
      </c>
      <c r="AN104" s="1" t="s">
        <v>11</v>
      </c>
      <c r="AO104" s="1" t="s">
        <v>12</v>
      </c>
      <c r="AP104" s="1" t="s">
        <v>13</v>
      </c>
      <c r="AQ104" s="1" t="s">
        <v>12</v>
      </c>
      <c r="AR104" s="1" t="s">
        <v>13</v>
      </c>
      <c r="AS104" s="1" t="s">
        <v>12</v>
      </c>
      <c r="AT104" s="1" t="s">
        <v>13</v>
      </c>
      <c r="AU104" s="1" t="s">
        <v>12</v>
      </c>
      <c r="AV104" s="1" t="s">
        <v>13</v>
      </c>
      <c r="AW104" s="1" t="s">
        <v>12</v>
      </c>
      <c r="AX104" s="1" t="s">
        <v>13</v>
      </c>
    </row>
    <row r="105" spans="2:50" x14ac:dyDescent="0.3">
      <c r="B105" s="1" t="s">
        <v>14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N105" s="1" t="s">
        <v>14</v>
      </c>
      <c r="O105" s="1" t="s">
        <v>1</v>
      </c>
      <c r="P105" s="1" t="s">
        <v>1</v>
      </c>
      <c r="Q105" s="1" t="s">
        <v>2</v>
      </c>
      <c r="R105" s="1" t="s">
        <v>2</v>
      </c>
      <c r="S105" s="1" t="s">
        <v>3</v>
      </c>
      <c r="T105" s="1" t="s">
        <v>3</v>
      </c>
      <c r="U105" s="1" t="s">
        <v>4</v>
      </c>
      <c r="V105" s="1" t="s">
        <v>4</v>
      </c>
      <c r="W105" s="1" t="s">
        <v>5</v>
      </c>
      <c r="X105" s="1" t="s">
        <v>5</v>
      </c>
      <c r="AA105" s="1" t="s">
        <v>14</v>
      </c>
      <c r="AB105" s="1" t="s">
        <v>1</v>
      </c>
      <c r="AC105" s="1" t="s">
        <v>1</v>
      </c>
      <c r="AD105" s="1" t="s">
        <v>2</v>
      </c>
      <c r="AE105" s="1" t="s">
        <v>2</v>
      </c>
      <c r="AF105" s="1" t="s">
        <v>3</v>
      </c>
      <c r="AG105" s="1" t="s">
        <v>3</v>
      </c>
      <c r="AH105" s="1" t="s">
        <v>4</v>
      </c>
      <c r="AI105" s="1" t="s">
        <v>4</v>
      </c>
      <c r="AJ105" s="1" t="s">
        <v>5</v>
      </c>
      <c r="AK105" s="1" t="s">
        <v>5</v>
      </c>
      <c r="AN105" s="1" t="s">
        <v>14</v>
      </c>
      <c r="AO105" s="1" t="s">
        <v>1</v>
      </c>
      <c r="AP105" s="1" t="s">
        <v>1</v>
      </c>
      <c r="AQ105" s="1" t="s">
        <v>2</v>
      </c>
      <c r="AR105" s="1" t="s">
        <v>2</v>
      </c>
      <c r="AS105" s="1" t="s">
        <v>3</v>
      </c>
      <c r="AT105" s="1" t="s">
        <v>3</v>
      </c>
      <c r="AU105" s="1" t="s">
        <v>4</v>
      </c>
      <c r="AV105" s="1" t="s">
        <v>4</v>
      </c>
      <c r="AW105" s="1" t="s">
        <v>5</v>
      </c>
      <c r="AX105" s="1" t="s">
        <v>5</v>
      </c>
    </row>
    <row r="106" spans="2:50" x14ac:dyDescent="0.3">
      <c r="B106" s="1" t="s">
        <v>15</v>
      </c>
      <c r="N106" s="1" t="s">
        <v>15</v>
      </c>
      <c r="AA106" s="1" t="s">
        <v>15</v>
      </c>
      <c r="AN106" s="1" t="s">
        <v>15</v>
      </c>
    </row>
    <row r="107" spans="2:50" x14ac:dyDescent="0.3">
      <c r="B107" s="1" t="s">
        <v>16</v>
      </c>
      <c r="C107" s="2">
        <v>2.5095311424691959E-3</v>
      </c>
      <c r="D107" s="2">
        <v>3.1142928126880959E-3</v>
      </c>
      <c r="E107" s="2">
        <v>3.5524092822445058E-3</v>
      </c>
      <c r="F107" s="2">
        <v>2.3591601836275029E-3</v>
      </c>
      <c r="G107" s="2">
        <v>1.755208500857128E-3</v>
      </c>
      <c r="H107" s="2">
        <v>1.7654115893062129E-3</v>
      </c>
      <c r="I107" s="2">
        <v>1.4788380975809391E-3</v>
      </c>
      <c r="J107" s="2">
        <v>2.694537656014441E-3</v>
      </c>
      <c r="K107" s="2">
        <v>8.1653005678227423E-3</v>
      </c>
      <c r="L107" s="2">
        <v>5.8408333551992868E-3</v>
      </c>
      <c r="N107" s="1" t="s">
        <v>16</v>
      </c>
      <c r="O107" s="2">
        <v>1472.98</v>
      </c>
      <c r="P107" s="2">
        <v>1427.32</v>
      </c>
      <c r="Q107" s="2">
        <v>1584.85</v>
      </c>
      <c r="R107" s="2">
        <v>692.83</v>
      </c>
      <c r="S107" s="2">
        <v>1321.53</v>
      </c>
      <c r="T107" s="2">
        <v>1102.42</v>
      </c>
      <c r="U107" s="2">
        <v>700.72</v>
      </c>
      <c r="V107" s="2">
        <v>420.85</v>
      </c>
      <c r="W107" s="2">
        <v>1202.57</v>
      </c>
      <c r="X107" s="2">
        <v>777.48</v>
      </c>
      <c r="AA107" s="1" t="s">
        <v>16</v>
      </c>
      <c r="AB107" s="2">
        <v>13332.72</v>
      </c>
      <c r="AC107" s="2">
        <v>12954.88</v>
      </c>
      <c r="AD107" s="2">
        <v>14344.35</v>
      </c>
      <c r="AE107" s="2">
        <v>8888.07</v>
      </c>
      <c r="AF107" s="2">
        <v>12006.47</v>
      </c>
      <c r="AG107" s="2">
        <v>10013.58</v>
      </c>
      <c r="AH107" s="2">
        <v>10816.38</v>
      </c>
      <c r="AI107" s="2">
        <v>7832.15</v>
      </c>
      <c r="AJ107" s="2">
        <v>10865.43</v>
      </c>
      <c r="AK107" s="2">
        <v>7069.52</v>
      </c>
      <c r="AN107" s="1" t="s">
        <v>16</v>
      </c>
      <c r="AO107" s="2">
        <v>1.32</v>
      </c>
      <c r="AP107" s="2">
        <v>1.32</v>
      </c>
      <c r="AQ107" s="2">
        <v>1.5</v>
      </c>
      <c r="AR107" s="2">
        <v>1.5</v>
      </c>
      <c r="AS107" s="2">
        <v>1.68</v>
      </c>
      <c r="AT107" s="2">
        <v>1.68</v>
      </c>
      <c r="AU107" s="2">
        <v>1.98</v>
      </c>
      <c r="AV107" s="2">
        <v>1.98</v>
      </c>
      <c r="AW107" s="2">
        <v>0.48</v>
      </c>
      <c r="AX107" s="2">
        <v>0.48</v>
      </c>
    </row>
    <row r="108" spans="2:50" x14ac:dyDescent="0.3">
      <c r="B108" s="1" t="s">
        <v>17</v>
      </c>
      <c r="C108" s="2">
        <v>2.373232465145618E-2</v>
      </c>
      <c r="D108" s="2">
        <v>1.851687772165396E-2</v>
      </c>
      <c r="E108" s="2">
        <v>3.8741627653752719E-2</v>
      </c>
      <c r="F108" s="2">
        <v>2.068151023887746E-2</v>
      </c>
      <c r="G108" s="2">
        <v>2.771573370177962E-2</v>
      </c>
      <c r="H108" s="2">
        <v>2.138774649514583E-2</v>
      </c>
      <c r="I108" s="2">
        <v>3.6866069835440891E-2</v>
      </c>
      <c r="J108" s="2">
        <v>1.253308380350527E-2</v>
      </c>
      <c r="K108" s="2">
        <v>0.1209947022711776</v>
      </c>
      <c r="L108" s="2">
        <v>4.2401648625573482E-2</v>
      </c>
      <c r="N108" s="1" t="s">
        <v>17</v>
      </c>
      <c r="O108" s="2">
        <v>1495.71</v>
      </c>
      <c r="P108" s="2">
        <v>882.72</v>
      </c>
      <c r="Q108" s="2">
        <v>1293.1400000000001</v>
      </c>
      <c r="R108" s="2">
        <v>878.74</v>
      </c>
      <c r="S108" s="2">
        <v>2022.09</v>
      </c>
      <c r="T108" s="2">
        <v>1259.49</v>
      </c>
      <c r="U108" s="2">
        <v>1752.21</v>
      </c>
      <c r="V108" s="2">
        <v>591.66999999999996</v>
      </c>
      <c r="W108" s="2">
        <v>1089.94</v>
      </c>
      <c r="X108" s="2">
        <v>755.87</v>
      </c>
      <c r="AA108" s="1" t="s">
        <v>17</v>
      </c>
      <c r="AB108" s="2">
        <v>4777.21</v>
      </c>
      <c r="AC108" s="2">
        <v>3719.98</v>
      </c>
      <c r="AD108" s="2">
        <v>7777.56</v>
      </c>
      <c r="AE108" s="2">
        <v>2169.25</v>
      </c>
      <c r="AF108" s="2">
        <v>7179.72</v>
      </c>
      <c r="AG108" s="2">
        <v>3359.51</v>
      </c>
      <c r="AH108" s="2">
        <v>6098.97</v>
      </c>
      <c r="AI108" s="2">
        <v>3644.03</v>
      </c>
      <c r="AJ108" s="2">
        <v>5248.73</v>
      </c>
      <c r="AK108" s="2">
        <v>3279.13</v>
      </c>
      <c r="AN108" s="1" t="s">
        <v>17</v>
      </c>
      <c r="AO108" s="2">
        <v>16.989999999999998</v>
      </c>
      <c r="AP108" s="2">
        <v>16.989999999999998</v>
      </c>
      <c r="AQ108" s="2">
        <v>30.93</v>
      </c>
      <c r="AR108" s="2">
        <v>19.309999999999999</v>
      </c>
      <c r="AS108" s="2">
        <v>21.63</v>
      </c>
      <c r="AT108" s="2">
        <v>21.63</v>
      </c>
      <c r="AU108" s="2">
        <v>25.49</v>
      </c>
      <c r="AV108" s="2">
        <v>8.91</v>
      </c>
      <c r="AW108" s="2">
        <v>12.36</v>
      </c>
      <c r="AX108" s="2">
        <v>6.18</v>
      </c>
    </row>
    <row r="109" spans="2:50" x14ac:dyDescent="0.3">
      <c r="B109" s="1" t="s">
        <v>18</v>
      </c>
      <c r="C109" s="2">
        <v>0.34568080177233612</v>
      </c>
      <c r="D109" s="2">
        <v>8.9182417460498459E-2</v>
      </c>
      <c r="E109" s="2">
        <v>0.31329476303886172</v>
      </c>
      <c r="F109" s="2">
        <v>0.33054399054975081</v>
      </c>
      <c r="G109" s="2">
        <v>0.43893984297774891</v>
      </c>
      <c r="H109" s="2">
        <v>0.19558144942180841</v>
      </c>
      <c r="I109" s="2">
        <v>0.59870995500308999</v>
      </c>
      <c r="J109" s="2">
        <v>0.20752222773168669</v>
      </c>
      <c r="K109" s="2">
        <v>0.14196566306190719</v>
      </c>
      <c r="L109" s="2">
        <v>0.18808339203500701</v>
      </c>
      <c r="N109" s="1" t="s">
        <v>18</v>
      </c>
      <c r="O109" s="2">
        <v>6557.53</v>
      </c>
      <c r="P109" s="2">
        <v>4074.78</v>
      </c>
      <c r="Q109" s="2">
        <v>5396.61</v>
      </c>
      <c r="R109" s="2">
        <v>4128.05</v>
      </c>
      <c r="S109" s="2">
        <v>7616.66</v>
      </c>
      <c r="T109" s="2">
        <v>4222.37</v>
      </c>
      <c r="U109" s="2">
        <v>6872.71</v>
      </c>
      <c r="V109" s="2">
        <v>3300.95</v>
      </c>
      <c r="W109" s="2">
        <v>2449.3000000000002</v>
      </c>
      <c r="X109" s="2">
        <v>3354.6</v>
      </c>
      <c r="AA109" s="1" t="s">
        <v>18</v>
      </c>
      <c r="AB109" s="2">
        <v>18509.88</v>
      </c>
      <c r="AC109" s="2">
        <v>8832.36</v>
      </c>
      <c r="AD109" s="2">
        <v>27147.99</v>
      </c>
      <c r="AE109" s="2">
        <v>9973.24</v>
      </c>
      <c r="AF109" s="2">
        <v>26409.51</v>
      </c>
      <c r="AG109" s="2">
        <v>20336.87</v>
      </c>
      <c r="AH109" s="2">
        <v>26062.31</v>
      </c>
      <c r="AI109" s="2">
        <v>18070.810000000001</v>
      </c>
      <c r="AJ109" s="2">
        <v>8935.7000000000007</v>
      </c>
      <c r="AK109" s="2">
        <v>8573.4</v>
      </c>
      <c r="AN109" s="1" t="s">
        <v>18</v>
      </c>
      <c r="AO109" s="2">
        <v>54.09</v>
      </c>
      <c r="AP109" s="2">
        <v>16.989999999999998</v>
      </c>
      <c r="AQ109" s="2">
        <v>57.94</v>
      </c>
      <c r="AR109" s="2">
        <v>64.61</v>
      </c>
      <c r="AS109" s="2">
        <v>86.52</v>
      </c>
      <c r="AT109" s="2">
        <v>57.74</v>
      </c>
      <c r="AU109" s="2">
        <v>99.48</v>
      </c>
      <c r="AV109" s="2">
        <v>25.49</v>
      </c>
      <c r="AW109" s="2">
        <v>6.18</v>
      </c>
      <c r="AX109" s="2">
        <v>6.18</v>
      </c>
    </row>
    <row r="110" spans="2:50" x14ac:dyDescent="0.3">
      <c r="B110" s="1" t="s">
        <v>19</v>
      </c>
      <c r="C110" s="2">
        <v>2.8154337173791861E-2</v>
      </c>
      <c r="D110" s="2">
        <v>2.7793822466314851E-2</v>
      </c>
      <c r="E110" s="2">
        <v>6.5544629525557827E-2</v>
      </c>
      <c r="F110" s="2">
        <v>5.8101150348406717E-2</v>
      </c>
      <c r="G110" s="2">
        <v>4.7660893028031469E-2</v>
      </c>
      <c r="H110" s="2">
        <v>5.4001569780635708E-2</v>
      </c>
      <c r="I110" s="2">
        <v>5.4748322132100707E-2</v>
      </c>
      <c r="J110" s="2">
        <v>4.4283524854529091E-2</v>
      </c>
      <c r="K110" s="2">
        <v>4.0312217474681993E-2</v>
      </c>
      <c r="L110" s="2">
        <v>3.9531288160292923E-2</v>
      </c>
      <c r="N110" s="1" t="s">
        <v>19</v>
      </c>
      <c r="O110" s="2">
        <v>1618.4</v>
      </c>
      <c r="P110" s="2">
        <v>1248.45</v>
      </c>
      <c r="Q110" s="2">
        <v>1530.94</v>
      </c>
      <c r="R110" s="2">
        <v>1210.02</v>
      </c>
      <c r="S110" s="2">
        <v>1595.62</v>
      </c>
      <c r="T110" s="2">
        <v>1493.19</v>
      </c>
      <c r="U110" s="2">
        <v>1143.6300000000001</v>
      </c>
      <c r="V110" s="2">
        <v>1068.32</v>
      </c>
      <c r="W110" s="2">
        <v>629.98</v>
      </c>
      <c r="X110" s="2">
        <v>676.91</v>
      </c>
      <c r="AA110" s="1" t="s">
        <v>19</v>
      </c>
      <c r="AB110" s="2">
        <v>4439.57</v>
      </c>
      <c r="AC110" s="2">
        <v>2908.16</v>
      </c>
      <c r="AD110" s="2">
        <v>6696.51</v>
      </c>
      <c r="AE110" s="2">
        <v>4824.8</v>
      </c>
      <c r="AF110" s="2">
        <v>6790.04</v>
      </c>
      <c r="AG110" s="2">
        <v>6110.16</v>
      </c>
      <c r="AH110" s="2">
        <v>7061.27</v>
      </c>
      <c r="AI110" s="2">
        <v>5808.78</v>
      </c>
      <c r="AJ110" s="2">
        <v>2462.02</v>
      </c>
      <c r="AK110" s="2">
        <v>2433.48</v>
      </c>
      <c r="AN110" s="1" t="s">
        <v>19</v>
      </c>
      <c r="AO110" s="2">
        <v>16.989999999999998</v>
      </c>
      <c r="AP110" s="2">
        <v>16.989999999999998</v>
      </c>
      <c r="AQ110" s="2">
        <v>38.630000000000003</v>
      </c>
      <c r="AR110" s="2">
        <v>38.630000000000003</v>
      </c>
      <c r="AS110" s="2">
        <v>43.26</v>
      </c>
      <c r="AT110" s="2">
        <v>43.26</v>
      </c>
      <c r="AU110" s="2">
        <v>50.31</v>
      </c>
      <c r="AV110" s="2">
        <v>17.14</v>
      </c>
      <c r="AW110" s="2">
        <v>6.18</v>
      </c>
      <c r="AX110" s="2">
        <v>6.18</v>
      </c>
    </row>
    <row r="111" spans="2:50" x14ac:dyDescent="0.3">
      <c r="B111" s="1" t="s">
        <v>20</v>
      </c>
      <c r="C111" s="2">
        <v>0.1072387276660734</v>
      </c>
      <c r="D111" s="2">
        <v>0.21147451326414041</v>
      </c>
      <c r="E111" s="2">
        <v>0.1659286415280789</v>
      </c>
      <c r="F111" s="2">
        <v>0.1762808823131507</v>
      </c>
      <c r="G111" s="2">
        <v>0.13676215633498079</v>
      </c>
      <c r="H111" s="2">
        <v>0.25663525726538211</v>
      </c>
      <c r="I111" s="2">
        <v>0.1097921823909588</v>
      </c>
      <c r="J111" s="2">
        <v>0.18476116243861709</v>
      </c>
      <c r="K111" s="2">
        <v>0.34936688251685999</v>
      </c>
      <c r="L111" s="2">
        <v>0.35253500402669941</v>
      </c>
      <c r="N111" s="1" t="s">
        <v>20</v>
      </c>
      <c r="O111" s="2">
        <v>6401.41</v>
      </c>
      <c r="P111" s="2">
        <v>5144.26</v>
      </c>
      <c r="Q111" s="2">
        <v>7802.03</v>
      </c>
      <c r="R111" s="2">
        <v>7713.8</v>
      </c>
      <c r="S111" s="2">
        <v>9189.91</v>
      </c>
      <c r="T111" s="2">
        <v>7762.68</v>
      </c>
      <c r="U111" s="2">
        <v>4804.5</v>
      </c>
      <c r="V111" s="2">
        <v>5664.91</v>
      </c>
      <c r="W111" s="2">
        <v>5566.07</v>
      </c>
      <c r="X111" s="2">
        <v>6383.06</v>
      </c>
      <c r="AA111" s="1" t="s">
        <v>20</v>
      </c>
      <c r="AB111" s="2">
        <v>15561.54</v>
      </c>
      <c r="AC111" s="2">
        <v>19776.189999999999</v>
      </c>
      <c r="AD111" s="2">
        <v>20661.810000000001</v>
      </c>
      <c r="AE111" s="2">
        <v>19975.560000000001</v>
      </c>
      <c r="AF111" s="2">
        <v>25327.02</v>
      </c>
      <c r="AG111" s="2">
        <v>32546.18</v>
      </c>
      <c r="AH111" s="2">
        <v>24724.5</v>
      </c>
      <c r="AI111" s="2">
        <v>30704.09</v>
      </c>
      <c r="AJ111" s="2">
        <v>17823.93</v>
      </c>
      <c r="AK111" s="2">
        <v>17726.939999999999</v>
      </c>
      <c r="AN111" s="1" t="s">
        <v>20</v>
      </c>
      <c r="AO111" s="2">
        <v>16.989999999999998</v>
      </c>
      <c r="AP111" s="2">
        <v>33.99</v>
      </c>
      <c r="AQ111" s="2">
        <v>19.309999999999999</v>
      </c>
      <c r="AR111" s="2">
        <v>19.309999999999999</v>
      </c>
      <c r="AS111" s="2">
        <v>21.63</v>
      </c>
      <c r="AT111" s="2">
        <v>43.26</v>
      </c>
      <c r="AU111" s="2">
        <v>25.49</v>
      </c>
      <c r="AV111" s="2">
        <v>14.3</v>
      </c>
      <c r="AW111" s="2">
        <v>6.18</v>
      </c>
      <c r="AX111" s="2">
        <v>6.18</v>
      </c>
    </row>
    <row r="112" spans="2:50" x14ac:dyDescent="0.3">
      <c r="B112" s="1" t="s">
        <v>21</v>
      </c>
      <c r="C112" s="2">
        <v>2.7283726613761321E-2</v>
      </c>
      <c r="D112" s="2">
        <v>4.565637125132134E-2</v>
      </c>
      <c r="E112" s="2">
        <v>5.8880288470212032E-2</v>
      </c>
      <c r="F112" s="2">
        <v>7.2723850306767909E-2</v>
      </c>
      <c r="G112" s="2">
        <v>5.026042567668261E-2</v>
      </c>
      <c r="H112" s="2">
        <v>6.0304838354826022E-2</v>
      </c>
      <c r="I112" s="2">
        <v>3.9644874078426588E-2</v>
      </c>
      <c r="J112" s="2">
        <v>0.22624697515041919</v>
      </c>
      <c r="K112" s="2">
        <v>8.7063206079451644E-2</v>
      </c>
      <c r="L112" s="2">
        <v>6.9454003790547059E-2</v>
      </c>
      <c r="N112" s="1" t="s">
        <v>21</v>
      </c>
      <c r="O112" s="2">
        <v>1727.72</v>
      </c>
      <c r="P112" s="2">
        <v>1200.76</v>
      </c>
      <c r="Q112" s="2">
        <v>1538.08</v>
      </c>
      <c r="R112" s="2">
        <v>1837.3</v>
      </c>
      <c r="S112" s="2">
        <v>1783.4</v>
      </c>
      <c r="T112" s="2">
        <v>1959.56</v>
      </c>
      <c r="U112" s="2">
        <v>1840.75</v>
      </c>
      <c r="V112" s="2">
        <v>2113.3000000000002</v>
      </c>
      <c r="W112" s="2">
        <v>1503.37</v>
      </c>
      <c r="X112" s="2">
        <v>1430.93</v>
      </c>
      <c r="AA112" s="1" t="s">
        <v>21</v>
      </c>
      <c r="AB112" s="2">
        <v>4274.57</v>
      </c>
      <c r="AC112" s="2">
        <v>4297.55</v>
      </c>
      <c r="AD112" s="2">
        <v>5768.78</v>
      </c>
      <c r="AE112" s="2">
        <v>7848.02</v>
      </c>
      <c r="AF112" s="2">
        <v>7188.79</v>
      </c>
      <c r="AG112" s="2">
        <v>8283.33</v>
      </c>
      <c r="AH112" s="2">
        <v>6525.25</v>
      </c>
      <c r="AI112" s="2">
        <v>10679.57</v>
      </c>
      <c r="AJ112" s="2">
        <v>3734.63</v>
      </c>
      <c r="AK112" s="2">
        <v>2679.85</v>
      </c>
      <c r="AN112" s="1" t="s">
        <v>21</v>
      </c>
      <c r="AO112" s="2">
        <v>16.989999999999998</v>
      </c>
      <c r="AP112" s="2">
        <v>33.99</v>
      </c>
      <c r="AQ112" s="2">
        <v>38.619999999999997</v>
      </c>
      <c r="AR112" s="2">
        <v>38.619999999999997</v>
      </c>
      <c r="AS112" s="2">
        <v>43.26</v>
      </c>
      <c r="AT112" s="2">
        <v>43.26</v>
      </c>
      <c r="AU112" s="2">
        <v>25.49</v>
      </c>
      <c r="AV112" s="2">
        <v>50.99</v>
      </c>
      <c r="AW112" s="2">
        <v>6.18</v>
      </c>
      <c r="AX112" s="2">
        <v>6.18</v>
      </c>
    </row>
    <row r="113" spans="2:50" x14ac:dyDescent="0.3">
      <c r="B113" s="1" t="s">
        <v>22</v>
      </c>
      <c r="C113" s="2">
        <v>0.41979840742908348</v>
      </c>
      <c r="D113" s="2">
        <v>0.52883761950741226</v>
      </c>
      <c r="E113" s="2">
        <v>0.29819323473103448</v>
      </c>
      <c r="F113" s="2">
        <v>0.32365958052133192</v>
      </c>
      <c r="G113" s="2">
        <v>0.25522605361821737</v>
      </c>
      <c r="H113" s="2">
        <v>0.35847359756531039</v>
      </c>
      <c r="I113" s="2">
        <v>0.1191795616220495</v>
      </c>
      <c r="J113" s="2">
        <v>0.2942149598910605</v>
      </c>
      <c r="K113" s="2">
        <v>0.16833049773435529</v>
      </c>
      <c r="L113" s="2">
        <v>0.16610185228169541</v>
      </c>
      <c r="N113" s="1" t="s">
        <v>22</v>
      </c>
      <c r="O113" s="2">
        <v>6922.77</v>
      </c>
      <c r="P113" s="2">
        <v>6908.49</v>
      </c>
      <c r="Q113" s="2">
        <v>5377.35</v>
      </c>
      <c r="R113" s="2">
        <v>5385.42</v>
      </c>
      <c r="S113" s="2">
        <v>6342.32</v>
      </c>
      <c r="T113" s="2">
        <v>7651.96</v>
      </c>
      <c r="U113" s="2">
        <v>5605.76</v>
      </c>
      <c r="V113" s="2">
        <v>4302.1099999999997</v>
      </c>
      <c r="W113" s="2">
        <v>2988.91</v>
      </c>
      <c r="X113" s="2">
        <v>3379.11</v>
      </c>
      <c r="AA113" s="1" t="s">
        <v>22</v>
      </c>
      <c r="AB113" s="2">
        <v>19969.45</v>
      </c>
      <c r="AC113" s="2">
        <v>19588.39</v>
      </c>
      <c r="AD113" s="2">
        <v>16284.51</v>
      </c>
      <c r="AE113" s="2">
        <v>21490.68</v>
      </c>
      <c r="AF113" s="2">
        <v>24105.54</v>
      </c>
      <c r="AG113" s="2">
        <v>26442.02</v>
      </c>
      <c r="AH113" s="2">
        <v>18645.349999999999</v>
      </c>
      <c r="AI113" s="2">
        <v>25003.599999999999</v>
      </c>
      <c r="AJ113" s="2">
        <v>6236.39</v>
      </c>
      <c r="AK113" s="2">
        <v>8050.74</v>
      </c>
      <c r="AN113" s="1" t="s">
        <v>22</v>
      </c>
      <c r="AO113" s="2">
        <v>67.98</v>
      </c>
      <c r="AP113" s="2">
        <v>67.98</v>
      </c>
      <c r="AQ113" s="2">
        <v>57.94</v>
      </c>
      <c r="AR113" s="2">
        <v>57.94</v>
      </c>
      <c r="AS113" s="2">
        <v>64.89</v>
      </c>
      <c r="AT113" s="2">
        <v>67.33</v>
      </c>
      <c r="AU113" s="2">
        <v>25.49</v>
      </c>
      <c r="AV113" s="2">
        <v>33.119999999999997</v>
      </c>
      <c r="AW113" s="2">
        <v>6.18</v>
      </c>
      <c r="AX113" s="2">
        <v>6.18</v>
      </c>
    </row>
    <row r="114" spans="2:50" x14ac:dyDescent="0.3">
      <c r="B114" s="1" t="s">
        <v>23</v>
      </c>
      <c r="C114" s="2">
        <v>4.560214355102845E-2</v>
      </c>
      <c r="D114" s="2">
        <v>7.5424085515970712E-2</v>
      </c>
      <c r="E114" s="2">
        <v>5.5864405770257801E-2</v>
      </c>
      <c r="F114" s="2">
        <v>1.5649875538087069E-2</v>
      </c>
      <c r="G114" s="2">
        <v>4.1679686161702333E-2</v>
      </c>
      <c r="H114" s="2">
        <v>5.1850129527585297E-2</v>
      </c>
      <c r="I114" s="2">
        <v>3.9580196840352522E-2</v>
      </c>
      <c r="J114" s="2">
        <v>2.7743528474167639E-2</v>
      </c>
      <c r="K114" s="2">
        <v>8.380153029374357E-2</v>
      </c>
      <c r="L114" s="2">
        <v>0.13605197772498551</v>
      </c>
      <c r="N114" s="1" t="s">
        <v>23</v>
      </c>
      <c r="O114" s="2">
        <v>2986.77</v>
      </c>
      <c r="P114" s="2">
        <v>3225.98</v>
      </c>
      <c r="Q114" s="2">
        <v>2854.84</v>
      </c>
      <c r="R114" s="2">
        <v>2495.1799999999998</v>
      </c>
      <c r="S114" s="2">
        <v>2903.47</v>
      </c>
      <c r="T114" s="2">
        <v>3378.28</v>
      </c>
      <c r="U114" s="2">
        <v>1880.39</v>
      </c>
      <c r="V114" s="2">
        <v>983.56</v>
      </c>
      <c r="W114" s="2">
        <v>1691.05</v>
      </c>
      <c r="X114" s="2">
        <v>2767.19</v>
      </c>
      <c r="AA114" s="1" t="s">
        <v>23</v>
      </c>
      <c r="AB114" s="2">
        <v>9399.6299999999992</v>
      </c>
      <c r="AC114" s="2">
        <v>12944.02</v>
      </c>
      <c r="AD114" s="2">
        <v>7124.36</v>
      </c>
      <c r="AE114" s="2">
        <v>9714.2199999999993</v>
      </c>
      <c r="AF114" s="2">
        <v>6968.33</v>
      </c>
      <c r="AG114" s="2">
        <v>8733.92</v>
      </c>
      <c r="AH114" s="2">
        <v>6016.21</v>
      </c>
      <c r="AI114" s="2">
        <v>10431.44</v>
      </c>
      <c r="AJ114" s="2">
        <v>6102.95</v>
      </c>
      <c r="AK114" s="2">
        <v>6721.81</v>
      </c>
      <c r="AN114" s="1" t="s">
        <v>23</v>
      </c>
      <c r="AO114" s="2">
        <v>16.989999999999998</v>
      </c>
      <c r="AP114" s="2">
        <v>21.54</v>
      </c>
      <c r="AQ114" s="2">
        <v>19.309999999999999</v>
      </c>
      <c r="AR114" s="2">
        <v>6.08</v>
      </c>
      <c r="AS114" s="2">
        <v>21.63</v>
      </c>
      <c r="AT114" s="2">
        <v>21.63</v>
      </c>
      <c r="AU114" s="2">
        <v>25.49</v>
      </c>
      <c r="AV114" s="2">
        <v>13.37</v>
      </c>
      <c r="AW114" s="2">
        <v>5.36</v>
      </c>
      <c r="AX114" s="2">
        <v>6.18</v>
      </c>
    </row>
    <row r="117" spans="2:50" x14ac:dyDescent="0.3">
      <c r="N117" t="s">
        <v>52</v>
      </c>
      <c r="AA117" t="s">
        <v>53</v>
      </c>
      <c r="AN117" t="s">
        <v>54</v>
      </c>
    </row>
    <row r="118" spans="2:50" x14ac:dyDescent="0.3">
      <c r="N118" s="1" t="s">
        <v>11</v>
      </c>
      <c r="O118" s="3" t="s">
        <v>12</v>
      </c>
      <c r="P118" s="3"/>
      <c r="Q118" s="3"/>
      <c r="R118" s="3"/>
      <c r="S118" s="3"/>
      <c r="T118" s="3" t="s">
        <v>13</v>
      </c>
      <c r="U118" s="3"/>
      <c r="V118" s="3"/>
      <c r="W118" s="3"/>
      <c r="X118" s="3"/>
      <c r="AA118" s="1" t="s">
        <v>11</v>
      </c>
      <c r="AB118" s="3" t="s">
        <v>12</v>
      </c>
      <c r="AC118" s="3"/>
      <c r="AD118" s="3"/>
      <c r="AE118" s="3"/>
      <c r="AF118" s="3"/>
      <c r="AG118" s="3" t="s">
        <v>13</v>
      </c>
      <c r="AH118" s="3"/>
      <c r="AI118" s="3"/>
      <c r="AJ118" s="3"/>
      <c r="AK118" s="3"/>
      <c r="AN118" s="1" t="s">
        <v>11</v>
      </c>
      <c r="AO118" s="1" t="s">
        <v>12</v>
      </c>
      <c r="AP118" s="1" t="s">
        <v>13</v>
      </c>
      <c r="AQ118" s="1" t="s">
        <v>12</v>
      </c>
      <c r="AR118" s="1" t="s">
        <v>13</v>
      </c>
      <c r="AS118" s="1" t="s">
        <v>12</v>
      </c>
      <c r="AT118" s="1" t="s">
        <v>13</v>
      </c>
      <c r="AU118" s="1" t="s">
        <v>12</v>
      </c>
      <c r="AV118" s="1" t="s">
        <v>13</v>
      </c>
      <c r="AW118" s="1" t="s">
        <v>12</v>
      </c>
      <c r="AX118" s="1" t="s">
        <v>13</v>
      </c>
    </row>
    <row r="119" spans="2:50" x14ac:dyDescent="0.3">
      <c r="N119" s="1" t="s">
        <v>14</v>
      </c>
      <c r="O119" s="1" t="s">
        <v>1</v>
      </c>
      <c r="P119" s="1" t="s">
        <v>2</v>
      </c>
      <c r="Q119" s="1" t="s">
        <v>3</v>
      </c>
      <c r="R119" s="1" t="s">
        <v>4</v>
      </c>
      <c r="S119" s="1" t="s">
        <v>5</v>
      </c>
      <c r="T119" s="1" t="s">
        <v>1</v>
      </c>
      <c r="U119" s="1" t="s">
        <v>2</v>
      </c>
      <c r="V119" s="1" t="s">
        <v>3</v>
      </c>
      <c r="W119" s="1" t="s">
        <v>4</v>
      </c>
      <c r="X119" s="1" t="s">
        <v>5</v>
      </c>
      <c r="AA119" s="1" t="s">
        <v>14</v>
      </c>
      <c r="AB119" s="1" t="s">
        <v>1</v>
      </c>
      <c r="AC119" s="1" t="s">
        <v>2</v>
      </c>
      <c r="AD119" s="1" t="s">
        <v>3</v>
      </c>
      <c r="AE119" s="1" t="s">
        <v>4</v>
      </c>
      <c r="AF119" s="1" t="s">
        <v>5</v>
      </c>
      <c r="AG119" s="1" t="s">
        <v>1</v>
      </c>
      <c r="AH119" s="1" t="s">
        <v>2</v>
      </c>
      <c r="AI119" s="1" t="s">
        <v>3</v>
      </c>
      <c r="AJ119" s="1" t="s">
        <v>4</v>
      </c>
      <c r="AK119" s="1" t="s">
        <v>5</v>
      </c>
      <c r="AN119" s="1" t="s">
        <v>14</v>
      </c>
      <c r="AO119" s="1" t="s">
        <v>1</v>
      </c>
      <c r="AP119" s="1" t="s">
        <v>1</v>
      </c>
      <c r="AQ119" s="1" t="s">
        <v>2</v>
      </c>
      <c r="AR119" s="1" t="s">
        <v>2</v>
      </c>
      <c r="AS119" s="1" t="s">
        <v>3</v>
      </c>
      <c r="AT119" s="1" t="s">
        <v>3</v>
      </c>
      <c r="AU119" s="1" t="s">
        <v>4</v>
      </c>
      <c r="AV119" s="1" t="s">
        <v>4</v>
      </c>
      <c r="AW119" s="1" t="s">
        <v>5</v>
      </c>
      <c r="AX119" s="1" t="s">
        <v>5</v>
      </c>
    </row>
    <row r="120" spans="2:50" x14ac:dyDescent="0.3">
      <c r="N120" s="1" t="s">
        <v>15</v>
      </c>
      <c r="AA120" s="1" t="s">
        <v>15</v>
      </c>
      <c r="AN120" s="1" t="s">
        <v>15</v>
      </c>
    </row>
    <row r="121" spans="2:50" x14ac:dyDescent="0.3">
      <c r="N121" s="1" t="s">
        <v>16</v>
      </c>
      <c r="O121" s="2">
        <v>85.36</v>
      </c>
      <c r="P121" s="2">
        <v>120.92</v>
      </c>
      <c r="Q121" s="2">
        <v>90.44</v>
      </c>
      <c r="R121" s="2">
        <v>52.28</v>
      </c>
      <c r="S121" s="2">
        <v>29.27</v>
      </c>
      <c r="T121" s="2">
        <v>89.34</v>
      </c>
      <c r="U121" s="2">
        <v>68.86</v>
      </c>
      <c r="V121" s="2">
        <v>90.42</v>
      </c>
      <c r="W121" s="2">
        <v>58.43</v>
      </c>
      <c r="X121" s="2">
        <v>35.86</v>
      </c>
      <c r="AA121" s="1" t="s">
        <v>16</v>
      </c>
      <c r="AB121" s="2">
        <v>777.04</v>
      </c>
      <c r="AC121" s="2">
        <v>1097.08</v>
      </c>
      <c r="AD121" s="2">
        <v>820.96</v>
      </c>
      <c r="AE121" s="2">
        <v>807.04</v>
      </c>
      <c r="AF121" s="2">
        <v>267.52999999999997</v>
      </c>
      <c r="AG121" s="2">
        <v>819.26</v>
      </c>
      <c r="AH121" s="2">
        <v>1308.3900000000001</v>
      </c>
      <c r="AI121" s="2">
        <v>820.98</v>
      </c>
      <c r="AJ121" s="2">
        <v>1087.33</v>
      </c>
      <c r="AK121" s="2">
        <v>328.14</v>
      </c>
      <c r="AN121" s="1" t="s">
        <v>16</v>
      </c>
      <c r="AO121" s="2">
        <v>2680.94</v>
      </c>
      <c r="AP121" s="2">
        <v>2792.85</v>
      </c>
      <c r="AQ121" s="2">
        <v>3896.02</v>
      </c>
      <c r="AR121" s="2">
        <v>16462.900000000001</v>
      </c>
      <c r="AS121" s="2">
        <v>131.63999999999999</v>
      </c>
      <c r="AT121" s="2">
        <v>131.82</v>
      </c>
      <c r="AU121" s="2">
        <v>90603.31</v>
      </c>
      <c r="AV121" s="2">
        <v>224572.37</v>
      </c>
      <c r="AW121" s="2">
        <v>880.41</v>
      </c>
      <c r="AX121" s="2">
        <v>3006.94</v>
      </c>
    </row>
    <row r="122" spans="2:50" x14ac:dyDescent="0.3">
      <c r="N122" s="1" t="s">
        <v>17</v>
      </c>
      <c r="O122" s="2">
        <v>94.58</v>
      </c>
      <c r="P122" s="2">
        <v>100.55</v>
      </c>
      <c r="Q122" s="2">
        <v>103.67</v>
      </c>
      <c r="R122" s="2">
        <v>102.53</v>
      </c>
      <c r="S122" s="2">
        <v>26.52</v>
      </c>
      <c r="T122" s="2">
        <v>76.34</v>
      </c>
      <c r="U122" s="2">
        <v>89.32</v>
      </c>
      <c r="V122" s="2">
        <v>127.08</v>
      </c>
      <c r="W122" s="2">
        <v>75</v>
      </c>
      <c r="X122" s="2">
        <v>24.46</v>
      </c>
      <c r="AA122" s="1" t="s">
        <v>17</v>
      </c>
      <c r="AB122" s="2">
        <v>300.2</v>
      </c>
      <c r="AC122" s="2">
        <v>584.45000000000005</v>
      </c>
      <c r="AD122" s="2">
        <v>362.82</v>
      </c>
      <c r="AE122" s="2">
        <v>351.96</v>
      </c>
      <c r="AF122" s="2">
        <v>126.7</v>
      </c>
      <c r="AG122" s="2">
        <v>320.10000000000002</v>
      </c>
      <c r="AH122" s="2">
        <v>219.82</v>
      </c>
      <c r="AI122" s="2">
        <v>337.07</v>
      </c>
      <c r="AJ122" s="2">
        <v>451.68</v>
      </c>
      <c r="AK122" s="2">
        <v>105.94</v>
      </c>
      <c r="AN122" s="1" t="s">
        <v>17</v>
      </c>
      <c r="AO122" s="2">
        <v>426.91</v>
      </c>
      <c r="AP122" s="2">
        <v>807.67</v>
      </c>
      <c r="AQ122" s="2">
        <v>541.78</v>
      </c>
      <c r="AR122" s="2">
        <v>491.58</v>
      </c>
      <c r="AS122" s="2">
        <v>342.12</v>
      </c>
      <c r="AT122" s="2">
        <v>375.28</v>
      </c>
      <c r="AU122" s="2">
        <v>423.51</v>
      </c>
      <c r="AV122" s="2">
        <v>13583.95</v>
      </c>
      <c r="AW122" s="2">
        <v>498.68</v>
      </c>
      <c r="AX122" s="2">
        <v>926.89</v>
      </c>
    </row>
    <row r="123" spans="2:50" x14ac:dyDescent="0.3">
      <c r="N123" s="1" t="s">
        <v>18</v>
      </c>
      <c r="O123" s="2">
        <v>572.25</v>
      </c>
      <c r="P123" s="2">
        <v>538.62</v>
      </c>
      <c r="Q123" s="2">
        <v>659.56</v>
      </c>
      <c r="R123" s="2">
        <v>806.28</v>
      </c>
      <c r="S123" s="2">
        <v>75.989999999999995</v>
      </c>
      <c r="T123" s="2">
        <v>407.49</v>
      </c>
      <c r="U123" s="2">
        <v>483.74</v>
      </c>
      <c r="V123" s="2">
        <v>563.21</v>
      </c>
      <c r="W123" s="2">
        <v>613.07000000000005</v>
      </c>
      <c r="X123" s="2">
        <v>114.87</v>
      </c>
      <c r="AA123" s="1" t="s">
        <v>18</v>
      </c>
      <c r="AB123" s="2">
        <v>1582.09</v>
      </c>
      <c r="AC123" s="2">
        <v>2606.88</v>
      </c>
      <c r="AD123" s="2">
        <v>2182.34</v>
      </c>
      <c r="AE123" s="2">
        <v>2900</v>
      </c>
      <c r="AF123" s="2">
        <v>276.81</v>
      </c>
      <c r="AG123" s="2">
        <v>879.77</v>
      </c>
      <c r="AH123" s="2">
        <v>1160.98</v>
      </c>
      <c r="AI123" s="2">
        <v>2633.2</v>
      </c>
      <c r="AJ123" s="2">
        <v>3276.79</v>
      </c>
      <c r="AK123" s="2">
        <v>293.13</v>
      </c>
      <c r="AN123" s="1" t="s">
        <v>18</v>
      </c>
      <c r="AO123" s="2">
        <v>298.39999999999998</v>
      </c>
      <c r="AP123" s="2">
        <v>598.57000000000005</v>
      </c>
      <c r="AQ123" s="2">
        <v>406.1</v>
      </c>
      <c r="AR123" s="2">
        <v>290.56</v>
      </c>
      <c r="AS123" s="2">
        <v>293.83999999999997</v>
      </c>
      <c r="AT123" s="2">
        <v>451.99</v>
      </c>
      <c r="AU123" s="2">
        <v>316.27</v>
      </c>
      <c r="AV123" s="2">
        <v>1378.4</v>
      </c>
      <c r="AW123" s="2">
        <v>1853.05</v>
      </c>
      <c r="AX123" s="2">
        <v>716.95</v>
      </c>
    </row>
    <row r="124" spans="2:50" x14ac:dyDescent="0.3">
      <c r="N124" s="1" t="s">
        <v>19</v>
      </c>
      <c r="O124" s="2">
        <v>158.41</v>
      </c>
      <c r="P124" s="2">
        <v>200.36</v>
      </c>
      <c r="Q124" s="2">
        <v>169.66</v>
      </c>
      <c r="R124" s="2">
        <v>212.62</v>
      </c>
      <c r="S124" s="2">
        <v>25.94</v>
      </c>
      <c r="T124" s="2">
        <v>111.18</v>
      </c>
      <c r="U124" s="2">
        <v>164.87</v>
      </c>
      <c r="V124" s="2">
        <v>205.36</v>
      </c>
      <c r="W124" s="2">
        <v>146.94999999999999</v>
      </c>
      <c r="X124" s="2">
        <v>29.3</v>
      </c>
      <c r="AA124" s="1" t="s">
        <v>19</v>
      </c>
      <c r="AB124" s="2">
        <v>432.03</v>
      </c>
      <c r="AC124" s="2">
        <v>858</v>
      </c>
      <c r="AD124" s="2">
        <v>704.11</v>
      </c>
      <c r="AE124" s="2">
        <v>1254.56</v>
      </c>
      <c r="AF124" s="2">
        <v>101.26</v>
      </c>
      <c r="AG124" s="2">
        <v>257.98</v>
      </c>
      <c r="AH124" s="2">
        <v>647.66999999999996</v>
      </c>
      <c r="AI124" s="2">
        <v>821.75</v>
      </c>
      <c r="AJ124" s="2">
        <v>783.65</v>
      </c>
      <c r="AK124" s="2">
        <v>105.22</v>
      </c>
      <c r="AN124" s="1" t="s">
        <v>19</v>
      </c>
      <c r="AO124" s="2">
        <v>346.91</v>
      </c>
      <c r="AP124" s="2">
        <v>377.61</v>
      </c>
      <c r="AQ124" s="2">
        <v>363.15</v>
      </c>
      <c r="AR124" s="2">
        <v>386.16</v>
      </c>
      <c r="AS124" s="2">
        <v>350.58</v>
      </c>
      <c r="AT124" s="2">
        <v>348.32</v>
      </c>
      <c r="AU124" s="2">
        <v>517.39</v>
      </c>
      <c r="AV124" s="2">
        <v>1120.45</v>
      </c>
      <c r="AW124" s="2">
        <v>977.23</v>
      </c>
      <c r="AX124" s="2">
        <v>836.85</v>
      </c>
    </row>
    <row r="125" spans="2:50" x14ac:dyDescent="0.3">
      <c r="N125" s="1" t="s">
        <v>20</v>
      </c>
      <c r="O125" s="2">
        <v>499.32</v>
      </c>
      <c r="P125" s="2">
        <v>936.75</v>
      </c>
      <c r="Q125" s="2">
        <v>861.72</v>
      </c>
      <c r="R125" s="2">
        <v>602.05999999999995</v>
      </c>
      <c r="S125" s="2">
        <v>211.62</v>
      </c>
      <c r="T125" s="2">
        <v>378.45</v>
      </c>
      <c r="U125" s="2">
        <v>856.78</v>
      </c>
      <c r="V125" s="2">
        <v>718.28</v>
      </c>
      <c r="W125" s="2">
        <v>659.89</v>
      </c>
      <c r="X125" s="2">
        <v>225.88</v>
      </c>
      <c r="AA125" s="1" t="s">
        <v>20</v>
      </c>
      <c r="AB125" s="2">
        <v>1209.1500000000001</v>
      </c>
      <c r="AC125" s="2">
        <v>2465.44</v>
      </c>
      <c r="AD125" s="2">
        <v>2352.89</v>
      </c>
      <c r="AE125" s="2">
        <v>3052.69</v>
      </c>
      <c r="AF125" s="2">
        <v>676.38</v>
      </c>
      <c r="AG125" s="2">
        <v>1439.47</v>
      </c>
      <c r="AH125" s="2">
        <v>2204.54</v>
      </c>
      <c r="AI125" s="2">
        <v>2937.92</v>
      </c>
      <c r="AJ125" s="2">
        <v>3506.36</v>
      </c>
      <c r="AK125" s="2">
        <v>626.12</v>
      </c>
      <c r="AN125" s="1" t="s">
        <v>20</v>
      </c>
      <c r="AO125" s="2">
        <v>386.18</v>
      </c>
      <c r="AP125" s="2">
        <v>425.84</v>
      </c>
      <c r="AQ125" s="2">
        <v>337.11</v>
      </c>
      <c r="AR125" s="2">
        <v>348.12</v>
      </c>
      <c r="AS125" s="2">
        <v>304.35000000000002</v>
      </c>
      <c r="AT125" s="2">
        <v>358.35</v>
      </c>
      <c r="AU125" s="2">
        <v>880.74</v>
      </c>
      <c r="AV125" s="2">
        <v>1316.87</v>
      </c>
      <c r="AW125" s="2">
        <v>520.91999999999996</v>
      </c>
      <c r="AX125" s="2">
        <v>429.31</v>
      </c>
    </row>
    <row r="126" spans="2:50" x14ac:dyDescent="0.3">
      <c r="N126" s="1" t="s">
        <v>21</v>
      </c>
      <c r="O126" s="2">
        <v>93.78</v>
      </c>
      <c r="P126" s="2">
        <v>114.55</v>
      </c>
      <c r="Q126" s="2">
        <v>150.24</v>
      </c>
      <c r="R126" s="2">
        <v>178.71</v>
      </c>
      <c r="S126" s="2">
        <v>35.409999999999997</v>
      </c>
      <c r="T126" s="2">
        <v>59.68</v>
      </c>
      <c r="U126" s="2">
        <v>85.65</v>
      </c>
      <c r="V126" s="2">
        <v>118.11</v>
      </c>
      <c r="W126" s="2">
        <v>129.22</v>
      </c>
      <c r="X126" s="2">
        <v>20.72</v>
      </c>
      <c r="AA126" s="1" t="s">
        <v>21</v>
      </c>
      <c r="AB126" s="2">
        <v>230.63</v>
      </c>
      <c r="AC126" s="2">
        <v>421.7</v>
      </c>
      <c r="AD126" s="2">
        <v>586.97</v>
      </c>
      <c r="AE126" s="2">
        <v>623.85</v>
      </c>
      <c r="AF126" s="2">
        <v>87.79</v>
      </c>
      <c r="AG126" s="2">
        <v>210.98</v>
      </c>
      <c r="AH126" s="2">
        <v>351.97</v>
      </c>
      <c r="AI126" s="2">
        <v>478.1</v>
      </c>
      <c r="AJ126" s="2">
        <v>603.1</v>
      </c>
      <c r="AK126" s="2">
        <v>38.74</v>
      </c>
      <c r="AN126" s="1" t="s">
        <v>21</v>
      </c>
      <c r="AO126" s="2">
        <v>404.44</v>
      </c>
      <c r="AP126" s="2">
        <v>469.06</v>
      </c>
      <c r="AQ126" s="2">
        <v>405.3</v>
      </c>
      <c r="AR126" s="2">
        <v>413.21</v>
      </c>
      <c r="AS126" s="2">
        <v>379.59</v>
      </c>
      <c r="AT126" s="2">
        <v>381.19</v>
      </c>
      <c r="AU126" s="2">
        <v>476.9</v>
      </c>
      <c r="AV126" s="2">
        <v>425.31</v>
      </c>
      <c r="AW126" s="2">
        <v>454.38</v>
      </c>
      <c r="AX126" s="2">
        <v>427.16</v>
      </c>
    </row>
    <row r="127" spans="2:50" x14ac:dyDescent="0.3">
      <c r="N127" s="1" t="s">
        <v>22</v>
      </c>
      <c r="O127" s="2">
        <v>289</v>
      </c>
      <c r="P127" s="2">
        <v>326.16000000000003</v>
      </c>
      <c r="Q127" s="2">
        <v>300.87</v>
      </c>
      <c r="R127" s="2">
        <v>463.98</v>
      </c>
      <c r="S127" s="2">
        <v>59.06</v>
      </c>
      <c r="T127" s="2">
        <v>331.95</v>
      </c>
      <c r="U127" s="2">
        <v>276.68</v>
      </c>
      <c r="V127" s="2">
        <v>325.95999999999998</v>
      </c>
      <c r="W127" s="2">
        <v>178.41</v>
      </c>
      <c r="X127" s="2">
        <v>53.91</v>
      </c>
      <c r="AA127" s="1" t="s">
        <v>22</v>
      </c>
      <c r="AB127" s="2">
        <v>812.22</v>
      </c>
      <c r="AC127" s="2">
        <v>966.73</v>
      </c>
      <c r="AD127" s="2">
        <v>1099.72</v>
      </c>
      <c r="AE127" s="2">
        <v>1520.39</v>
      </c>
      <c r="AF127" s="2">
        <v>123.1</v>
      </c>
      <c r="AG127" s="2">
        <v>915.9</v>
      </c>
      <c r="AH127" s="2">
        <v>1063.57</v>
      </c>
      <c r="AI127" s="2">
        <v>1074.1400000000001</v>
      </c>
      <c r="AJ127" s="2">
        <v>973.19</v>
      </c>
      <c r="AK127" s="2">
        <v>128.25</v>
      </c>
      <c r="AN127" s="1" t="s">
        <v>22</v>
      </c>
      <c r="AO127" s="2">
        <v>340.12</v>
      </c>
      <c r="AP127" s="2">
        <v>343.76</v>
      </c>
      <c r="AQ127" s="2">
        <v>376.63</v>
      </c>
      <c r="AR127" s="2">
        <v>435.86</v>
      </c>
      <c r="AS127" s="2">
        <v>384.39</v>
      </c>
      <c r="AT127" s="2">
        <v>354.52</v>
      </c>
      <c r="AU127" s="2">
        <v>628.58000000000004</v>
      </c>
      <c r="AV127" s="2">
        <v>1110.04</v>
      </c>
      <c r="AW127" s="2">
        <v>1141.44</v>
      </c>
      <c r="AX127" s="2">
        <v>1076.51</v>
      </c>
    </row>
    <row r="128" spans="2:50" x14ac:dyDescent="0.3">
      <c r="N128" s="1" t="s">
        <v>23</v>
      </c>
      <c r="O128" s="2">
        <v>123.24</v>
      </c>
      <c r="P128" s="2">
        <v>156.38</v>
      </c>
      <c r="Q128" s="2">
        <v>133.91</v>
      </c>
      <c r="R128" s="2">
        <v>102.61</v>
      </c>
      <c r="S128" s="2">
        <v>29.7</v>
      </c>
      <c r="T128" s="2">
        <v>78.47</v>
      </c>
      <c r="U128" s="2">
        <v>76.92</v>
      </c>
      <c r="V128" s="2">
        <v>120.18</v>
      </c>
      <c r="W128" s="2">
        <v>14.01</v>
      </c>
      <c r="X128" s="2">
        <v>27.32</v>
      </c>
      <c r="AA128" s="1" t="s">
        <v>23</v>
      </c>
      <c r="AB128" s="2">
        <v>386.28</v>
      </c>
      <c r="AC128" s="2">
        <v>388.87</v>
      </c>
      <c r="AD128" s="2">
        <v>321.37</v>
      </c>
      <c r="AE128" s="2">
        <v>327.05</v>
      </c>
      <c r="AF128" s="2">
        <v>107.1</v>
      </c>
      <c r="AG128" s="2">
        <v>310.93</v>
      </c>
      <c r="AH128" s="2">
        <v>298.08</v>
      </c>
      <c r="AI128" s="2">
        <v>309.06</v>
      </c>
      <c r="AJ128" s="2">
        <v>139.44</v>
      </c>
      <c r="AK128" s="2">
        <v>66.28</v>
      </c>
      <c r="AN128" s="1" t="s">
        <v>23</v>
      </c>
      <c r="AO128" s="2">
        <v>767.52</v>
      </c>
      <c r="AP128" s="2">
        <v>722.03</v>
      </c>
      <c r="AQ128" s="2">
        <v>624.63</v>
      </c>
      <c r="AR128" s="2">
        <v>6000.25</v>
      </c>
      <c r="AS128" s="2">
        <v>486.03</v>
      </c>
      <c r="AT128" s="2">
        <v>510.15</v>
      </c>
      <c r="AU128" s="2">
        <v>1196.72</v>
      </c>
      <c r="AV128" s="2">
        <v>58226.11</v>
      </c>
      <c r="AW128" s="2">
        <v>1833.69</v>
      </c>
      <c r="AX128" s="2">
        <v>708.5</v>
      </c>
    </row>
    <row r="131" spans="14:37" x14ac:dyDescent="0.3">
      <c r="N131" t="s">
        <v>55</v>
      </c>
      <c r="AA131" t="s">
        <v>56</v>
      </c>
    </row>
    <row r="132" spans="14:37" x14ac:dyDescent="0.3">
      <c r="N132" s="1" t="s">
        <v>11</v>
      </c>
      <c r="O132" s="1" t="s">
        <v>12</v>
      </c>
      <c r="P132" s="1" t="s">
        <v>13</v>
      </c>
      <c r="Q132" s="1" t="s">
        <v>12</v>
      </c>
      <c r="R132" s="1" t="s">
        <v>13</v>
      </c>
      <c r="S132" s="1" t="s">
        <v>12</v>
      </c>
      <c r="T132" s="1" t="s">
        <v>13</v>
      </c>
      <c r="U132" s="1" t="s">
        <v>12</v>
      </c>
      <c r="V132" s="1" t="s">
        <v>13</v>
      </c>
      <c r="W132" s="1" t="s">
        <v>12</v>
      </c>
      <c r="X132" s="1" t="s">
        <v>13</v>
      </c>
      <c r="AA132" s="1" t="s">
        <v>11</v>
      </c>
      <c r="AB132" s="1" t="s">
        <v>12</v>
      </c>
      <c r="AC132" s="1" t="s">
        <v>13</v>
      </c>
      <c r="AD132" s="1" t="s">
        <v>12</v>
      </c>
      <c r="AE132" s="1" t="s">
        <v>13</v>
      </c>
      <c r="AF132" s="1" t="s">
        <v>12</v>
      </c>
      <c r="AG132" s="1" t="s">
        <v>13</v>
      </c>
      <c r="AH132" s="1" t="s">
        <v>12</v>
      </c>
      <c r="AI132" s="1" t="s">
        <v>13</v>
      </c>
      <c r="AJ132" s="1" t="s">
        <v>12</v>
      </c>
      <c r="AK132" s="1" t="s">
        <v>13</v>
      </c>
    </row>
    <row r="133" spans="14:37" x14ac:dyDescent="0.3">
      <c r="N133" s="1" t="s">
        <v>14</v>
      </c>
      <c r="O133" s="1" t="s">
        <v>1</v>
      </c>
      <c r="P133" s="1" t="s">
        <v>1</v>
      </c>
      <c r="Q133" s="1" t="s">
        <v>2</v>
      </c>
      <c r="R133" s="1" t="s">
        <v>2</v>
      </c>
      <c r="S133" s="1" t="s">
        <v>3</v>
      </c>
      <c r="T133" s="1" t="s">
        <v>3</v>
      </c>
      <c r="U133" s="1" t="s">
        <v>4</v>
      </c>
      <c r="V133" s="1" t="s">
        <v>4</v>
      </c>
      <c r="W133" s="1" t="s">
        <v>5</v>
      </c>
      <c r="X133" s="1" t="s">
        <v>5</v>
      </c>
      <c r="AA133" s="1" t="s">
        <v>14</v>
      </c>
      <c r="AB133" s="1" t="s">
        <v>1</v>
      </c>
      <c r="AC133" s="1" t="s">
        <v>1</v>
      </c>
      <c r="AD133" s="1" t="s">
        <v>2</v>
      </c>
      <c r="AE133" s="1" t="s">
        <v>2</v>
      </c>
      <c r="AF133" s="1" t="s">
        <v>3</v>
      </c>
      <c r="AG133" s="1" t="s">
        <v>3</v>
      </c>
      <c r="AH133" s="1" t="s">
        <v>4</v>
      </c>
      <c r="AI133" s="1" t="s">
        <v>4</v>
      </c>
      <c r="AJ133" s="1" t="s">
        <v>5</v>
      </c>
      <c r="AK133" s="1" t="s">
        <v>5</v>
      </c>
    </row>
    <row r="134" spans="14:37" x14ac:dyDescent="0.3">
      <c r="N134" s="1" t="s">
        <v>15</v>
      </c>
      <c r="AA134" s="1" t="s">
        <v>15</v>
      </c>
    </row>
    <row r="135" spans="14:37" x14ac:dyDescent="0.3">
      <c r="N135" s="1" t="s">
        <v>16</v>
      </c>
      <c r="O135" s="2">
        <v>38.799999999999997</v>
      </c>
      <c r="P135" s="2">
        <v>40.61</v>
      </c>
      <c r="Q135" s="2">
        <v>48.37</v>
      </c>
      <c r="R135" s="2">
        <v>27.55</v>
      </c>
      <c r="S135" s="2">
        <v>32.299999999999997</v>
      </c>
      <c r="T135" s="2">
        <v>32.29</v>
      </c>
      <c r="U135" s="2">
        <v>15.84</v>
      </c>
      <c r="V135" s="2">
        <v>17.7</v>
      </c>
      <c r="W135" s="2">
        <v>36.58</v>
      </c>
      <c r="X135" s="2">
        <v>44.83</v>
      </c>
      <c r="AA135" s="1" t="s">
        <v>16</v>
      </c>
      <c r="AB135" s="2">
        <v>353.2</v>
      </c>
      <c r="AC135" s="2">
        <v>372.39</v>
      </c>
      <c r="AD135" s="2">
        <v>438.83</v>
      </c>
      <c r="AE135" s="2">
        <v>523.35</v>
      </c>
      <c r="AF135" s="2">
        <v>293.2</v>
      </c>
      <c r="AG135" s="2">
        <v>293.20999999999998</v>
      </c>
      <c r="AH135" s="2">
        <v>244.56</v>
      </c>
      <c r="AI135" s="2">
        <v>329.5</v>
      </c>
      <c r="AJ135" s="2">
        <v>334.42</v>
      </c>
      <c r="AK135" s="2">
        <v>410.17</v>
      </c>
    </row>
    <row r="136" spans="14:37" x14ac:dyDescent="0.3">
      <c r="N136" s="1" t="s">
        <v>17</v>
      </c>
      <c r="O136" s="2">
        <v>42.99</v>
      </c>
      <c r="P136" s="2">
        <v>34.700000000000003</v>
      </c>
      <c r="Q136" s="2">
        <v>40.22</v>
      </c>
      <c r="R136" s="2">
        <v>35.729999999999997</v>
      </c>
      <c r="S136" s="2">
        <v>37.03</v>
      </c>
      <c r="T136" s="2">
        <v>45.39</v>
      </c>
      <c r="U136" s="2">
        <v>31.07</v>
      </c>
      <c r="V136" s="2">
        <v>22.73</v>
      </c>
      <c r="W136" s="2">
        <v>33.15</v>
      </c>
      <c r="X136" s="2">
        <v>30.58</v>
      </c>
      <c r="AA136" s="1" t="s">
        <v>17</v>
      </c>
      <c r="AB136" s="2">
        <v>136.44999999999999</v>
      </c>
      <c r="AC136" s="2">
        <v>145.5</v>
      </c>
      <c r="AD136" s="2">
        <v>233.78</v>
      </c>
      <c r="AE136" s="2">
        <v>87.93</v>
      </c>
      <c r="AF136" s="2">
        <v>129.58000000000001</v>
      </c>
      <c r="AG136" s="2">
        <v>120.38</v>
      </c>
      <c r="AH136" s="2">
        <v>106.66</v>
      </c>
      <c r="AI136" s="2">
        <v>136.87</v>
      </c>
      <c r="AJ136" s="2">
        <v>158.38</v>
      </c>
      <c r="AK136" s="2">
        <v>132.41999999999999</v>
      </c>
    </row>
    <row r="137" spans="14:37" x14ac:dyDescent="0.3">
      <c r="N137" s="1" t="s">
        <v>18</v>
      </c>
      <c r="O137" s="2">
        <v>260.11</v>
      </c>
      <c r="P137" s="2">
        <v>185.22</v>
      </c>
      <c r="Q137" s="2">
        <v>215.45</v>
      </c>
      <c r="R137" s="2">
        <v>193.5</v>
      </c>
      <c r="S137" s="2">
        <v>235.56</v>
      </c>
      <c r="T137" s="2">
        <v>201.15</v>
      </c>
      <c r="U137" s="2">
        <v>244.33</v>
      </c>
      <c r="V137" s="2">
        <v>185.78</v>
      </c>
      <c r="W137" s="2">
        <v>94.99</v>
      </c>
      <c r="X137" s="2">
        <v>143.58000000000001</v>
      </c>
      <c r="AA137" s="1" t="s">
        <v>18</v>
      </c>
      <c r="AB137" s="2">
        <v>719.13</v>
      </c>
      <c r="AC137" s="2">
        <v>399.9</v>
      </c>
      <c r="AD137" s="2">
        <v>1042.75</v>
      </c>
      <c r="AE137" s="2">
        <v>464.39</v>
      </c>
      <c r="AF137" s="2">
        <v>779.41</v>
      </c>
      <c r="AG137" s="2">
        <v>940.43</v>
      </c>
      <c r="AH137" s="2">
        <v>878.79</v>
      </c>
      <c r="AI137" s="2">
        <v>992.97</v>
      </c>
      <c r="AJ137" s="2">
        <v>346.01</v>
      </c>
      <c r="AK137" s="2">
        <v>366.42</v>
      </c>
    </row>
    <row r="138" spans="14:37" x14ac:dyDescent="0.3">
      <c r="N138" s="1" t="s">
        <v>19</v>
      </c>
      <c r="O138" s="2">
        <v>72</v>
      </c>
      <c r="P138" s="2">
        <v>50.54</v>
      </c>
      <c r="Q138" s="2">
        <v>80.150000000000006</v>
      </c>
      <c r="R138" s="2">
        <v>65.95</v>
      </c>
      <c r="S138" s="2">
        <v>60.59</v>
      </c>
      <c r="T138" s="2">
        <v>73.34</v>
      </c>
      <c r="U138" s="2">
        <v>64.430000000000007</v>
      </c>
      <c r="V138" s="2">
        <v>44.53</v>
      </c>
      <c r="W138" s="2">
        <v>32.43</v>
      </c>
      <c r="X138" s="2">
        <v>36.630000000000003</v>
      </c>
      <c r="AA138" s="1" t="s">
        <v>19</v>
      </c>
      <c r="AB138" s="2">
        <v>196.38</v>
      </c>
      <c r="AC138" s="2">
        <v>117.26</v>
      </c>
      <c r="AD138" s="2">
        <v>343.2</v>
      </c>
      <c r="AE138" s="2">
        <v>259.07</v>
      </c>
      <c r="AF138" s="2">
        <v>251.47</v>
      </c>
      <c r="AG138" s="2">
        <v>293.48</v>
      </c>
      <c r="AH138" s="2">
        <v>380.17</v>
      </c>
      <c r="AI138" s="2">
        <v>237.47</v>
      </c>
      <c r="AJ138" s="2">
        <v>126.57</v>
      </c>
      <c r="AK138" s="2">
        <v>131.53</v>
      </c>
    </row>
    <row r="139" spans="14:37" x14ac:dyDescent="0.3">
      <c r="N139" s="1" t="s">
        <v>20</v>
      </c>
      <c r="O139" s="2">
        <v>226.97</v>
      </c>
      <c r="P139" s="2">
        <v>172.02</v>
      </c>
      <c r="Q139" s="2">
        <v>374.7</v>
      </c>
      <c r="R139" s="2">
        <v>342.71</v>
      </c>
      <c r="S139" s="2">
        <v>307.76</v>
      </c>
      <c r="T139" s="2">
        <v>256.52999999999997</v>
      </c>
      <c r="U139" s="2">
        <v>182.44</v>
      </c>
      <c r="V139" s="2">
        <v>199.97</v>
      </c>
      <c r="W139" s="2">
        <v>264.52</v>
      </c>
      <c r="X139" s="2">
        <v>282.35000000000002</v>
      </c>
      <c r="AA139" s="1" t="s">
        <v>20</v>
      </c>
      <c r="AB139" s="2">
        <v>549.61</v>
      </c>
      <c r="AC139" s="2">
        <v>654.30999999999995</v>
      </c>
      <c r="AD139" s="2">
        <v>986.18</v>
      </c>
      <c r="AE139" s="2">
        <v>881.82</v>
      </c>
      <c r="AF139" s="2">
        <v>840.32</v>
      </c>
      <c r="AG139" s="2">
        <v>1049.26</v>
      </c>
      <c r="AH139" s="2">
        <v>925.06</v>
      </c>
      <c r="AI139" s="2">
        <v>1062.53</v>
      </c>
      <c r="AJ139" s="2">
        <v>845.48</v>
      </c>
      <c r="AK139" s="2">
        <v>782.65</v>
      </c>
    </row>
    <row r="140" spans="14:37" x14ac:dyDescent="0.3">
      <c r="N140" s="1" t="s">
        <v>21</v>
      </c>
      <c r="O140" s="2">
        <v>42.63</v>
      </c>
      <c r="P140" s="2">
        <v>27.13</v>
      </c>
      <c r="Q140" s="2">
        <v>45.82</v>
      </c>
      <c r="R140" s="2">
        <v>34.26</v>
      </c>
      <c r="S140" s="2">
        <v>53.66</v>
      </c>
      <c r="T140" s="2">
        <v>42.18</v>
      </c>
      <c r="U140" s="2">
        <v>54.15</v>
      </c>
      <c r="V140" s="2">
        <v>39.159999999999997</v>
      </c>
      <c r="W140" s="2">
        <v>44.27</v>
      </c>
      <c r="X140" s="2">
        <v>25.9</v>
      </c>
      <c r="AA140" s="1" t="s">
        <v>21</v>
      </c>
      <c r="AB140" s="2">
        <v>104.83</v>
      </c>
      <c r="AC140" s="2">
        <v>95.9</v>
      </c>
      <c r="AD140" s="2">
        <v>168.68</v>
      </c>
      <c r="AE140" s="2">
        <v>140.79</v>
      </c>
      <c r="AF140" s="2">
        <v>209.63</v>
      </c>
      <c r="AG140" s="2">
        <v>170.75</v>
      </c>
      <c r="AH140" s="2">
        <v>189.05</v>
      </c>
      <c r="AI140" s="2">
        <v>182.76</v>
      </c>
      <c r="AJ140" s="2">
        <v>109.73</v>
      </c>
      <c r="AK140" s="2">
        <v>48.42</v>
      </c>
    </row>
    <row r="141" spans="14:37" x14ac:dyDescent="0.3">
      <c r="N141" s="1" t="s">
        <v>22</v>
      </c>
      <c r="O141" s="2">
        <v>131.36000000000001</v>
      </c>
      <c r="P141" s="2">
        <v>150.88</v>
      </c>
      <c r="Q141" s="2">
        <v>130.46</v>
      </c>
      <c r="R141" s="2">
        <v>110.67</v>
      </c>
      <c r="S141" s="2">
        <v>107.45</v>
      </c>
      <c r="T141" s="2">
        <v>116.42</v>
      </c>
      <c r="U141" s="2">
        <v>140.6</v>
      </c>
      <c r="V141" s="2">
        <v>54.06</v>
      </c>
      <c r="W141" s="2">
        <v>73.83</v>
      </c>
      <c r="X141" s="2">
        <v>67.39</v>
      </c>
      <c r="AA141" s="1" t="s">
        <v>22</v>
      </c>
      <c r="AB141" s="2">
        <v>369.19</v>
      </c>
      <c r="AC141" s="2">
        <v>416.32</v>
      </c>
      <c r="AD141" s="2">
        <v>386.69</v>
      </c>
      <c r="AE141" s="2">
        <v>425.43</v>
      </c>
      <c r="AF141" s="2">
        <v>392.76</v>
      </c>
      <c r="AG141" s="2">
        <v>383.62</v>
      </c>
      <c r="AH141" s="2">
        <v>460.72</v>
      </c>
      <c r="AI141" s="2">
        <v>294.91000000000003</v>
      </c>
      <c r="AJ141" s="2">
        <v>153.87</v>
      </c>
      <c r="AK141" s="2">
        <v>160.31</v>
      </c>
    </row>
    <row r="142" spans="14:37" x14ac:dyDescent="0.3">
      <c r="N142" s="1" t="s">
        <v>23</v>
      </c>
      <c r="O142" s="2">
        <v>56.02</v>
      </c>
      <c r="P142" s="2">
        <v>35.67</v>
      </c>
      <c r="Q142" s="2">
        <v>62.55</v>
      </c>
      <c r="R142" s="2">
        <v>30.77</v>
      </c>
      <c r="S142" s="2">
        <v>47.82</v>
      </c>
      <c r="T142" s="2">
        <v>42.92</v>
      </c>
      <c r="U142" s="2">
        <v>31.09</v>
      </c>
      <c r="V142" s="2">
        <v>4.25</v>
      </c>
      <c r="W142" s="2">
        <v>37.130000000000003</v>
      </c>
      <c r="X142" s="2">
        <v>34.15</v>
      </c>
      <c r="AA142" s="1" t="s">
        <v>23</v>
      </c>
      <c r="AB142" s="2">
        <v>175.58</v>
      </c>
      <c r="AC142" s="2">
        <v>141.33000000000001</v>
      </c>
      <c r="AD142" s="2">
        <v>155.55000000000001</v>
      </c>
      <c r="AE142" s="2">
        <v>119.23</v>
      </c>
      <c r="AF142" s="2">
        <v>114.78</v>
      </c>
      <c r="AG142" s="2">
        <v>110.38</v>
      </c>
      <c r="AH142" s="2">
        <v>99.11</v>
      </c>
      <c r="AI142" s="2">
        <v>42.25</v>
      </c>
      <c r="AJ142" s="2">
        <v>133.87</v>
      </c>
      <c r="AK142" s="2">
        <v>82.85</v>
      </c>
    </row>
    <row r="145" spans="14:37" x14ac:dyDescent="0.3">
      <c r="N145" t="s">
        <v>57</v>
      </c>
      <c r="AA145" t="s">
        <v>58</v>
      </c>
    </row>
    <row r="146" spans="14:37" x14ac:dyDescent="0.3">
      <c r="N146" s="1" t="s">
        <v>11</v>
      </c>
      <c r="O146" s="3" t="s">
        <v>12</v>
      </c>
      <c r="P146" s="3"/>
      <c r="Q146" s="3"/>
      <c r="R146" s="3"/>
      <c r="S146" s="3"/>
      <c r="T146" s="3" t="s">
        <v>13</v>
      </c>
      <c r="U146" s="3"/>
      <c r="V146" s="3"/>
      <c r="W146" s="3"/>
      <c r="X146" s="3"/>
      <c r="AA146" s="1" t="s">
        <v>11</v>
      </c>
      <c r="AB146" s="3" t="s">
        <v>12</v>
      </c>
      <c r="AC146" s="3"/>
      <c r="AD146" s="3"/>
      <c r="AE146" s="3"/>
      <c r="AF146" s="3"/>
      <c r="AG146" s="3" t="s">
        <v>13</v>
      </c>
      <c r="AH146" s="3"/>
      <c r="AI146" s="3"/>
      <c r="AJ146" s="3"/>
      <c r="AK146" s="3"/>
    </row>
    <row r="147" spans="14:37" x14ac:dyDescent="0.3">
      <c r="N147" s="1" t="s">
        <v>14</v>
      </c>
      <c r="O147" s="1" t="s">
        <v>1</v>
      </c>
      <c r="P147" s="1" t="s">
        <v>2</v>
      </c>
      <c r="Q147" s="1" t="s">
        <v>3</v>
      </c>
      <c r="R147" s="1" t="s">
        <v>4</v>
      </c>
      <c r="S147" s="1" t="s">
        <v>5</v>
      </c>
      <c r="T147" s="1" t="s">
        <v>1</v>
      </c>
      <c r="U147" s="1" t="s">
        <v>2</v>
      </c>
      <c r="V147" s="1" t="s">
        <v>3</v>
      </c>
      <c r="W147" s="1" t="s">
        <v>4</v>
      </c>
      <c r="X147" s="1" t="s">
        <v>5</v>
      </c>
      <c r="AA147" s="1" t="s">
        <v>14</v>
      </c>
      <c r="AB147" s="1" t="s">
        <v>1</v>
      </c>
      <c r="AC147" s="1" t="s">
        <v>2</v>
      </c>
      <c r="AD147" s="1" t="s">
        <v>3</v>
      </c>
      <c r="AE147" s="1" t="s">
        <v>4</v>
      </c>
      <c r="AF147" s="1" t="s">
        <v>5</v>
      </c>
      <c r="AG147" s="1" t="s">
        <v>1</v>
      </c>
      <c r="AH147" s="1" t="s">
        <v>2</v>
      </c>
      <c r="AI147" s="1" t="s">
        <v>3</v>
      </c>
      <c r="AJ147" s="1" t="s">
        <v>4</v>
      </c>
      <c r="AK147" s="1" t="s">
        <v>5</v>
      </c>
    </row>
    <row r="148" spans="14:37" x14ac:dyDescent="0.3">
      <c r="N148" s="1" t="s">
        <v>15</v>
      </c>
      <c r="AA148" s="1" t="s">
        <v>15</v>
      </c>
    </row>
    <row r="149" spans="14:37" x14ac:dyDescent="0.3">
      <c r="N149" s="1" t="s">
        <v>16</v>
      </c>
      <c r="O149" s="2">
        <v>22.97</v>
      </c>
      <c r="P149" s="2">
        <v>10.51</v>
      </c>
      <c r="Q149" s="2">
        <v>21.01</v>
      </c>
      <c r="R149" s="2">
        <v>10.82</v>
      </c>
      <c r="S149" s="2">
        <v>2.76</v>
      </c>
      <c r="T149" s="2">
        <v>36.619999999999997</v>
      </c>
      <c r="U149" s="2">
        <v>13.89</v>
      </c>
      <c r="V149" s="2">
        <v>33.06</v>
      </c>
      <c r="W149" s="2">
        <v>5.42</v>
      </c>
      <c r="X149" s="2">
        <v>5.51</v>
      </c>
      <c r="AA149" s="1" t="s">
        <v>16</v>
      </c>
      <c r="AB149" s="2">
        <v>209.57</v>
      </c>
      <c r="AC149" s="2">
        <v>96.24</v>
      </c>
      <c r="AD149" s="2">
        <v>190.67</v>
      </c>
      <c r="AE149" s="2">
        <v>167.05</v>
      </c>
      <c r="AF149" s="2">
        <v>25.24</v>
      </c>
      <c r="AG149" s="2">
        <v>336.06</v>
      </c>
      <c r="AH149" s="2">
        <v>197.86</v>
      </c>
      <c r="AI149" s="2">
        <v>300.14</v>
      </c>
      <c r="AJ149" s="2">
        <v>100.84</v>
      </c>
      <c r="AK149" s="2">
        <v>50.49</v>
      </c>
    </row>
    <row r="150" spans="14:37" x14ac:dyDescent="0.3">
      <c r="N150" s="1" t="s">
        <v>17</v>
      </c>
      <c r="O150" s="2">
        <v>49.49</v>
      </c>
      <c r="P150" s="2">
        <v>41.17</v>
      </c>
      <c r="Q150" s="2">
        <v>80.08</v>
      </c>
      <c r="R150" s="2">
        <v>82.62</v>
      </c>
      <c r="S150" s="2">
        <v>10.88</v>
      </c>
      <c r="T150" s="2">
        <v>33.979999999999997</v>
      </c>
      <c r="U150" s="2">
        <v>84.11</v>
      </c>
      <c r="V150" s="2">
        <v>70.66</v>
      </c>
      <c r="W150" s="2">
        <v>40.840000000000003</v>
      </c>
      <c r="X150" s="2">
        <v>23.26</v>
      </c>
      <c r="AA150" s="1" t="s">
        <v>17</v>
      </c>
      <c r="AB150" s="2">
        <v>157.05000000000001</v>
      </c>
      <c r="AC150" s="2">
        <v>238.83</v>
      </c>
      <c r="AD150" s="2">
        <v>280.19</v>
      </c>
      <c r="AE150" s="2">
        <v>283.58</v>
      </c>
      <c r="AF150" s="2">
        <v>51.94</v>
      </c>
      <c r="AG150" s="2">
        <v>142.46</v>
      </c>
      <c r="AH150" s="2">
        <v>207</v>
      </c>
      <c r="AI150" s="2">
        <v>187.36</v>
      </c>
      <c r="AJ150" s="2">
        <v>245.6</v>
      </c>
      <c r="AK150" s="2">
        <v>100.74</v>
      </c>
    </row>
    <row r="151" spans="14:37" x14ac:dyDescent="0.3">
      <c r="N151" s="1" t="s">
        <v>18</v>
      </c>
      <c r="O151" s="2">
        <v>141.86000000000001</v>
      </c>
      <c r="P151" s="2">
        <v>165.76</v>
      </c>
      <c r="Q151" s="2">
        <v>288.86</v>
      </c>
      <c r="R151" s="2">
        <v>282.58</v>
      </c>
      <c r="S151" s="2">
        <v>23.26</v>
      </c>
      <c r="T151" s="2">
        <v>141.80000000000001</v>
      </c>
      <c r="U151" s="2">
        <v>290.33</v>
      </c>
      <c r="V151" s="2">
        <v>214.6</v>
      </c>
      <c r="W151" s="2">
        <v>192.44</v>
      </c>
      <c r="X151" s="2">
        <v>67.569999999999993</v>
      </c>
      <c r="AA151" s="1" t="s">
        <v>18</v>
      </c>
      <c r="AB151" s="2">
        <v>391.4</v>
      </c>
      <c r="AC151" s="2">
        <v>799.49</v>
      </c>
      <c r="AD151" s="2">
        <v>953.35</v>
      </c>
      <c r="AE151" s="2">
        <v>1012.47</v>
      </c>
      <c r="AF151" s="2">
        <v>84.74</v>
      </c>
      <c r="AG151" s="2">
        <v>306.01</v>
      </c>
      <c r="AH151" s="2">
        <v>696.79</v>
      </c>
      <c r="AI151" s="2">
        <v>1000.36</v>
      </c>
      <c r="AJ151" s="2">
        <v>1025.25</v>
      </c>
      <c r="AK151" s="2">
        <v>172.43</v>
      </c>
    </row>
    <row r="152" spans="14:37" x14ac:dyDescent="0.3">
      <c r="N152" s="1" t="s">
        <v>19</v>
      </c>
      <c r="O152" s="2">
        <v>43.99</v>
      </c>
      <c r="P152" s="2">
        <v>66.209999999999994</v>
      </c>
      <c r="Q152" s="2">
        <v>73.98</v>
      </c>
      <c r="R152" s="2">
        <v>67</v>
      </c>
      <c r="S152" s="2">
        <v>8.48</v>
      </c>
      <c r="T152" s="2">
        <v>43.34</v>
      </c>
      <c r="U152" s="2">
        <v>86.5</v>
      </c>
      <c r="V152" s="2">
        <v>96</v>
      </c>
      <c r="W152" s="2">
        <v>70.33</v>
      </c>
      <c r="X152" s="2">
        <v>15.31</v>
      </c>
      <c r="AA152" s="1" t="s">
        <v>19</v>
      </c>
      <c r="AB152" s="2">
        <v>119.9</v>
      </c>
      <c r="AC152" s="2">
        <v>282.77999999999997</v>
      </c>
      <c r="AD152" s="2">
        <v>306.5</v>
      </c>
      <c r="AE152" s="2">
        <v>393.02</v>
      </c>
      <c r="AF152" s="2">
        <v>33.119999999999997</v>
      </c>
      <c r="AG152" s="2">
        <v>100.52</v>
      </c>
      <c r="AH152" s="2">
        <v>339.35</v>
      </c>
      <c r="AI152" s="2">
        <v>383.37</v>
      </c>
      <c r="AJ152" s="2">
        <v>374.51</v>
      </c>
      <c r="AK152" s="2">
        <v>54.99</v>
      </c>
    </row>
    <row r="153" spans="14:37" x14ac:dyDescent="0.3">
      <c r="N153" s="1" t="s">
        <v>20</v>
      </c>
      <c r="O153" s="2">
        <v>136.16999999999999</v>
      </c>
      <c r="P153" s="2">
        <v>304.57</v>
      </c>
      <c r="Q153" s="2">
        <v>390.61</v>
      </c>
      <c r="R153" s="2">
        <v>261.44</v>
      </c>
      <c r="S153" s="2">
        <v>68.64</v>
      </c>
      <c r="T153" s="2">
        <v>118.01</v>
      </c>
      <c r="U153" s="2">
        <v>302.14999999999998</v>
      </c>
      <c r="V153" s="2">
        <v>307.52</v>
      </c>
      <c r="W153" s="2">
        <v>251.45</v>
      </c>
      <c r="X153" s="2">
        <v>79.55</v>
      </c>
      <c r="AA153" s="1" t="s">
        <v>20</v>
      </c>
      <c r="AB153" s="2">
        <v>329.63</v>
      </c>
      <c r="AC153" s="2">
        <v>801.03</v>
      </c>
      <c r="AD153" s="2">
        <v>1065.93</v>
      </c>
      <c r="AE153" s="2">
        <v>1324.21</v>
      </c>
      <c r="AF153" s="2">
        <v>219.36</v>
      </c>
      <c r="AG153" s="2">
        <v>448.51</v>
      </c>
      <c r="AH153" s="2">
        <v>776.96</v>
      </c>
      <c r="AI153" s="2">
        <v>1255.92</v>
      </c>
      <c r="AJ153" s="2">
        <v>1334.2</v>
      </c>
      <c r="AK153" s="2">
        <v>220.45</v>
      </c>
    </row>
    <row r="154" spans="14:37" x14ac:dyDescent="0.3">
      <c r="N154" s="1" t="s">
        <v>21</v>
      </c>
      <c r="O154" s="2">
        <v>31.51</v>
      </c>
      <c r="P154" s="2">
        <v>40.18</v>
      </c>
      <c r="Q154" s="2">
        <v>45.58</v>
      </c>
      <c r="R154" s="2">
        <v>46.7</v>
      </c>
      <c r="S154" s="2">
        <v>12.19</v>
      </c>
      <c r="T154" s="2">
        <v>8.06</v>
      </c>
      <c r="U154" s="2">
        <v>47.67</v>
      </c>
      <c r="V154" s="2">
        <v>25.23</v>
      </c>
      <c r="W154" s="2">
        <v>58.42</v>
      </c>
      <c r="X154" s="2">
        <v>11.54</v>
      </c>
      <c r="AA154" s="1" t="s">
        <v>21</v>
      </c>
      <c r="AB154" s="2">
        <v>77.48</v>
      </c>
      <c r="AC154" s="2">
        <v>147.74</v>
      </c>
      <c r="AD154" s="2">
        <v>177.7</v>
      </c>
      <c r="AE154" s="2">
        <v>162.85</v>
      </c>
      <c r="AF154" s="2">
        <v>30.21</v>
      </c>
      <c r="AG154" s="2">
        <v>28.49</v>
      </c>
      <c r="AH154" s="2">
        <v>195.7</v>
      </c>
      <c r="AI154" s="2">
        <v>101.89</v>
      </c>
      <c r="AJ154" s="2">
        <v>272.02999999999997</v>
      </c>
      <c r="AK154" s="2">
        <v>21.58</v>
      </c>
    </row>
    <row r="155" spans="14:37" x14ac:dyDescent="0.3">
      <c r="N155" s="1" t="s">
        <v>22</v>
      </c>
      <c r="O155" s="2">
        <v>63.31</v>
      </c>
      <c r="P155" s="2">
        <v>49.44</v>
      </c>
      <c r="Q155" s="2">
        <v>70.23</v>
      </c>
      <c r="R155" s="2">
        <v>91.39</v>
      </c>
      <c r="S155" s="2">
        <v>8.0500000000000007</v>
      </c>
      <c r="T155" s="2">
        <v>63.22</v>
      </c>
      <c r="U155" s="2">
        <v>65.739999999999995</v>
      </c>
      <c r="V155" s="2">
        <v>69.739999999999995</v>
      </c>
      <c r="W155" s="2">
        <v>59.6</v>
      </c>
      <c r="X155" s="2">
        <v>13.07</v>
      </c>
      <c r="AA155" s="1" t="s">
        <v>22</v>
      </c>
      <c r="AB155" s="2">
        <v>177.71</v>
      </c>
      <c r="AC155" s="2">
        <v>146.34</v>
      </c>
      <c r="AD155" s="2">
        <v>256.31</v>
      </c>
      <c r="AE155" s="2">
        <v>299.18</v>
      </c>
      <c r="AF155" s="2">
        <v>16.79</v>
      </c>
      <c r="AG155" s="2">
        <v>174.18</v>
      </c>
      <c r="AH155" s="2">
        <v>252.26</v>
      </c>
      <c r="AI155" s="2">
        <v>229.41</v>
      </c>
      <c r="AJ155" s="2">
        <v>324.58999999999997</v>
      </c>
      <c r="AK155" s="2">
        <v>31.09</v>
      </c>
    </row>
    <row r="156" spans="14:37" x14ac:dyDescent="0.3">
      <c r="N156" s="1" t="s">
        <v>23</v>
      </c>
      <c r="O156" s="2">
        <v>12.13</v>
      </c>
      <c r="P156" s="2">
        <v>16.350000000000001</v>
      </c>
      <c r="Q156" s="2">
        <v>26.68</v>
      </c>
      <c r="R156" s="2">
        <v>3.55</v>
      </c>
      <c r="S156" s="2">
        <v>3.13</v>
      </c>
      <c r="T156" s="2">
        <v>18.09</v>
      </c>
      <c r="U156" s="2">
        <v>20.92</v>
      </c>
      <c r="V156" s="2">
        <v>43.75</v>
      </c>
      <c r="W156" s="2">
        <v>1.36</v>
      </c>
      <c r="X156" s="2">
        <v>7.01</v>
      </c>
      <c r="AA156" s="1" t="s">
        <v>23</v>
      </c>
      <c r="AB156" s="2">
        <v>38.03</v>
      </c>
      <c r="AC156" s="2">
        <v>40.65</v>
      </c>
      <c r="AD156" s="2">
        <v>64.040000000000006</v>
      </c>
      <c r="AE156" s="2">
        <v>11.3</v>
      </c>
      <c r="AF156" s="2">
        <v>11.27</v>
      </c>
      <c r="AG156" s="2">
        <v>71.67</v>
      </c>
      <c r="AH156" s="2">
        <v>81.08</v>
      </c>
      <c r="AI156" s="2">
        <v>112.49</v>
      </c>
      <c r="AJ156" s="2">
        <v>13.49</v>
      </c>
      <c r="AK156" s="2">
        <v>16.989999999999998</v>
      </c>
    </row>
    <row r="159" spans="14:37" x14ac:dyDescent="0.3">
      <c r="N159" t="s">
        <v>59</v>
      </c>
      <c r="AA159" t="s">
        <v>60</v>
      </c>
    </row>
    <row r="160" spans="14:37" x14ac:dyDescent="0.3">
      <c r="N160" s="1" t="s">
        <v>11</v>
      </c>
      <c r="O160" s="1" t="s">
        <v>12</v>
      </c>
      <c r="P160" s="1" t="s">
        <v>13</v>
      </c>
      <c r="Q160" s="1" t="s">
        <v>12</v>
      </c>
      <c r="R160" s="1" t="s">
        <v>13</v>
      </c>
      <c r="S160" s="1" t="s">
        <v>12</v>
      </c>
      <c r="T160" s="1" t="s">
        <v>13</v>
      </c>
      <c r="U160" s="1" t="s">
        <v>12</v>
      </c>
      <c r="V160" s="1" t="s">
        <v>13</v>
      </c>
      <c r="W160" s="1" t="s">
        <v>12</v>
      </c>
      <c r="X160" s="1" t="s">
        <v>13</v>
      </c>
      <c r="AA160" s="1" t="s">
        <v>11</v>
      </c>
      <c r="AB160" s="1" t="s">
        <v>12</v>
      </c>
      <c r="AC160" s="1" t="s">
        <v>13</v>
      </c>
      <c r="AD160" s="1" t="s">
        <v>12</v>
      </c>
      <c r="AE160" s="1" t="s">
        <v>13</v>
      </c>
      <c r="AF160" s="1" t="s">
        <v>12</v>
      </c>
      <c r="AG160" s="1" t="s">
        <v>13</v>
      </c>
      <c r="AH160" s="1" t="s">
        <v>12</v>
      </c>
      <c r="AI160" s="1" t="s">
        <v>13</v>
      </c>
      <c r="AJ160" s="1" t="s">
        <v>12</v>
      </c>
      <c r="AK160" s="1" t="s">
        <v>13</v>
      </c>
    </row>
    <row r="161" spans="14:37" x14ac:dyDescent="0.3">
      <c r="N161" s="1" t="s">
        <v>14</v>
      </c>
      <c r="O161" s="1" t="s">
        <v>1</v>
      </c>
      <c r="P161" s="1" t="s">
        <v>1</v>
      </c>
      <c r="Q161" s="1" t="s">
        <v>2</v>
      </c>
      <c r="R161" s="1" t="s">
        <v>2</v>
      </c>
      <c r="S161" s="1" t="s">
        <v>3</v>
      </c>
      <c r="T161" s="1" t="s">
        <v>3</v>
      </c>
      <c r="U161" s="1" t="s">
        <v>4</v>
      </c>
      <c r="V161" s="1" t="s">
        <v>4</v>
      </c>
      <c r="W161" s="1" t="s">
        <v>5</v>
      </c>
      <c r="X161" s="1" t="s">
        <v>5</v>
      </c>
      <c r="AA161" s="1" t="s">
        <v>14</v>
      </c>
      <c r="AB161" s="1" t="s">
        <v>1</v>
      </c>
      <c r="AC161" s="1" t="s">
        <v>1</v>
      </c>
      <c r="AD161" s="1" t="s">
        <v>2</v>
      </c>
      <c r="AE161" s="1" t="s">
        <v>2</v>
      </c>
      <c r="AF161" s="1" t="s">
        <v>3</v>
      </c>
      <c r="AG161" s="1" t="s">
        <v>3</v>
      </c>
      <c r="AH161" s="1" t="s">
        <v>4</v>
      </c>
      <c r="AI161" s="1" t="s">
        <v>4</v>
      </c>
      <c r="AJ161" s="1" t="s">
        <v>5</v>
      </c>
      <c r="AK161" s="1" t="s">
        <v>5</v>
      </c>
    </row>
    <row r="162" spans="14:37" x14ac:dyDescent="0.3">
      <c r="N162" s="1" t="s">
        <v>15</v>
      </c>
      <c r="AA162" s="1" t="s">
        <v>15</v>
      </c>
    </row>
    <row r="163" spans="14:37" x14ac:dyDescent="0.3">
      <c r="N163" s="1" t="s">
        <v>16</v>
      </c>
      <c r="O163" s="2">
        <v>10.44</v>
      </c>
      <c r="P163" s="2">
        <v>16.649999999999999</v>
      </c>
      <c r="Q163" s="2">
        <v>4.2</v>
      </c>
      <c r="R163" s="2">
        <v>5.56</v>
      </c>
      <c r="S163" s="2">
        <v>7.5</v>
      </c>
      <c r="T163" s="2">
        <v>11.81</v>
      </c>
      <c r="U163" s="2">
        <v>3.28</v>
      </c>
      <c r="V163" s="2">
        <v>1.64</v>
      </c>
      <c r="W163" s="2">
        <v>3.45</v>
      </c>
      <c r="X163" s="2">
        <v>6.88</v>
      </c>
      <c r="AA163" s="1" t="s">
        <v>16</v>
      </c>
      <c r="AB163" s="2">
        <v>95.26</v>
      </c>
      <c r="AC163" s="2">
        <v>152.75</v>
      </c>
      <c r="AD163" s="2">
        <v>38.5</v>
      </c>
      <c r="AE163" s="2">
        <v>79.14</v>
      </c>
      <c r="AF163" s="2">
        <v>68.099999999999994</v>
      </c>
      <c r="AG163" s="2">
        <v>107.19</v>
      </c>
      <c r="AH163" s="2">
        <v>50.62</v>
      </c>
      <c r="AI163" s="2">
        <v>30.56</v>
      </c>
      <c r="AJ163" s="2">
        <v>31.55</v>
      </c>
      <c r="AK163" s="2">
        <v>63.12</v>
      </c>
    </row>
    <row r="164" spans="14:37" x14ac:dyDescent="0.3">
      <c r="N164" s="1" t="s">
        <v>17</v>
      </c>
      <c r="O164" s="2">
        <v>22.5</v>
      </c>
      <c r="P164" s="2">
        <v>15.45</v>
      </c>
      <c r="Q164" s="2">
        <v>16.47</v>
      </c>
      <c r="R164" s="2">
        <v>33.65</v>
      </c>
      <c r="S164" s="2">
        <v>28.6</v>
      </c>
      <c r="T164" s="2">
        <v>25.24</v>
      </c>
      <c r="U164" s="2">
        <v>25.04</v>
      </c>
      <c r="V164" s="2">
        <v>12.37</v>
      </c>
      <c r="W164" s="2">
        <v>13.6</v>
      </c>
      <c r="X164" s="2">
        <v>29.08</v>
      </c>
      <c r="AA164" s="1" t="s">
        <v>17</v>
      </c>
      <c r="AB164" s="2">
        <v>71.39</v>
      </c>
      <c r="AC164" s="2">
        <v>64.75</v>
      </c>
      <c r="AD164" s="2">
        <v>95.53</v>
      </c>
      <c r="AE164" s="2">
        <v>82.8</v>
      </c>
      <c r="AF164" s="2">
        <v>100.07</v>
      </c>
      <c r="AG164" s="2">
        <v>66.91</v>
      </c>
      <c r="AH164" s="2">
        <v>85.93</v>
      </c>
      <c r="AI164" s="2">
        <v>74.430000000000007</v>
      </c>
      <c r="AJ164" s="2">
        <v>64.930000000000007</v>
      </c>
      <c r="AK164" s="2">
        <v>125.92</v>
      </c>
    </row>
    <row r="165" spans="14:37" x14ac:dyDescent="0.3">
      <c r="N165" s="1" t="s">
        <v>18</v>
      </c>
      <c r="O165" s="2">
        <v>64.48</v>
      </c>
      <c r="P165" s="2">
        <v>64.45</v>
      </c>
      <c r="Q165" s="2">
        <v>66.3</v>
      </c>
      <c r="R165" s="2">
        <v>116.13</v>
      </c>
      <c r="S165" s="2">
        <v>103.17</v>
      </c>
      <c r="T165" s="2">
        <v>76.64</v>
      </c>
      <c r="U165" s="2">
        <v>85.63</v>
      </c>
      <c r="V165" s="2">
        <v>58.31</v>
      </c>
      <c r="W165" s="2">
        <v>29.08</v>
      </c>
      <c r="X165" s="2">
        <v>84.47</v>
      </c>
      <c r="AA165" s="1" t="s">
        <v>18</v>
      </c>
      <c r="AB165" s="2">
        <v>177.91</v>
      </c>
      <c r="AC165" s="2">
        <v>139.1</v>
      </c>
      <c r="AD165" s="2">
        <v>319.8</v>
      </c>
      <c r="AE165" s="2">
        <v>278.72000000000003</v>
      </c>
      <c r="AF165" s="2">
        <v>340.48</v>
      </c>
      <c r="AG165" s="2">
        <v>357.27</v>
      </c>
      <c r="AH165" s="2">
        <v>306.81</v>
      </c>
      <c r="AI165" s="2">
        <v>310.68</v>
      </c>
      <c r="AJ165" s="2">
        <v>105.92</v>
      </c>
      <c r="AK165" s="2">
        <v>215.53</v>
      </c>
    </row>
    <row r="166" spans="14:37" x14ac:dyDescent="0.3">
      <c r="N166" s="1" t="s">
        <v>19</v>
      </c>
      <c r="O166" s="2">
        <v>20</v>
      </c>
      <c r="P166" s="2">
        <v>19.7</v>
      </c>
      <c r="Q166" s="2">
        <v>26.48</v>
      </c>
      <c r="R166" s="2">
        <v>34.6</v>
      </c>
      <c r="S166" s="2">
        <v>26.42</v>
      </c>
      <c r="T166" s="2">
        <v>34.29</v>
      </c>
      <c r="U166" s="2">
        <v>20.3</v>
      </c>
      <c r="V166" s="2">
        <v>21.31</v>
      </c>
      <c r="W166" s="2">
        <v>10.61</v>
      </c>
      <c r="X166" s="2">
        <v>19.14</v>
      </c>
      <c r="AA166" s="1" t="s">
        <v>19</v>
      </c>
      <c r="AB166" s="2">
        <v>54.5</v>
      </c>
      <c r="AC166" s="2">
        <v>45.69</v>
      </c>
      <c r="AD166" s="2">
        <v>113.11</v>
      </c>
      <c r="AE166" s="2">
        <v>135.74</v>
      </c>
      <c r="AF166" s="2">
        <v>109.46</v>
      </c>
      <c r="AG166" s="2">
        <v>136.91999999999999</v>
      </c>
      <c r="AH166" s="2">
        <v>119.1</v>
      </c>
      <c r="AI166" s="2">
        <v>113.49</v>
      </c>
      <c r="AJ166" s="2">
        <v>41.39</v>
      </c>
      <c r="AK166" s="2">
        <v>68.73</v>
      </c>
    </row>
    <row r="167" spans="14:37" x14ac:dyDescent="0.3">
      <c r="N167" s="1" t="s">
        <v>20</v>
      </c>
      <c r="O167" s="2">
        <v>61.89</v>
      </c>
      <c r="P167" s="2">
        <v>53.64</v>
      </c>
      <c r="Q167" s="2">
        <v>121.83</v>
      </c>
      <c r="R167" s="2">
        <v>120.86</v>
      </c>
      <c r="S167" s="2">
        <v>139.5</v>
      </c>
      <c r="T167" s="2">
        <v>109.83</v>
      </c>
      <c r="U167" s="2">
        <v>79.23</v>
      </c>
      <c r="V167" s="2">
        <v>76.2</v>
      </c>
      <c r="W167" s="2">
        <v>85.8</v>
      </c>
      <c r="X167" s="2">
        <v>99.43</v>
      </c>
      <c r="AA167" s="1" t="s">
        <v>20</v>
      </c>
      <c r="AB167" s="2">
        <v>149.83000000000001</v>
      </c>
      <c r="AC167" s="2">
        <v>203.87</v>
      </c>
      <c r="AD167" s="2">
        <v>320.41000000000003</v>
      </c>
      <c r="AE167" s="2">
        <v>310.77999999999997</v>
      </c>
      <c r="AF167" s="2">
        <v>380.69</v>
      </c>
      <c r="AG167" s="2">
        <v>448.54</v>
      </c>
      <c r="AH167" s="2">
        <v>401.27</v>
      </c>
      <c r="AI167" s="2">
        <v>404.3</v>
      </c>
      <c r="AJ167" s="2">
        <v>274.2</v>
      </c>
      <c r="AK167" s="2">
        <v>275.57</v>
      </c>
    </row>
    <row r="168" spans="14:37" x14ac:dyDescent="0.3">
      <c r="N168" s="1" t="s">
        <v>21</v>
      </c>
      <c r="O168" s="2">
        <v>14.32</v>
      </c>
      <c r="P168" s="2">
        <v>3.67</v>
      </c>
      <c r="Q168" s="2">
        <v>16.07</v>
      </c>
      <c r="R168" s="2">
        <v>19.07</v>
      </c>
      <c r="S168" s="2">
        <v>16.28</v>
      </c>
      <c r="T168" s="2">
        <v>9.01</v>
      </c>
      <c r="U168" s="2">
        <v>14.15</v>
      </c>
      <c r="V168" s="2">
        <v>17.7</v>
      </c>
      <c r="W168" s="2">
        <v>15.24</v>
      </c>
      <c r="X168" s="2">
        <v>14.43</v>
      </c>
      <c r="AA168" s="1" t="s">
        <v>21</v>
      </c>
      <c r="AB168" s="2">
        <v>35.22</v>
      </c>
      <c r="AC168" s="2">
        <v>12.95</v>
      </c>
      <c r="AD168" s="2">
        <v>59.1</v>
      </c>
      <c r="AE168" s="2">
        <v>78.28</v>
      </c>
      <c r="AF168" s="2">
        <v>63.46</v>
      </c>
      <c r="AG168" s="2">
        <v>36.39</v>
      </c>
      <c r="AH168" s="2">
        <v>49.35</v>
      </c>
      <c r="AI168" s="2">
        <v>82.43</v>
      </c>
      <c r="AJ168" s="2">
        <v>37.76</v>
      </c>
      <c r="AK168" s="2">
        <v>26.98</v>
      </c>
    </row>
    <row r="169" spans="14:37" x14ac:dyDescent="0.3">
      <c r="N169" s="1" t="s">
        <v>22</v>
      </c>
      <c r="O169" s="2">
        <v>28.78</v>
      </c>
      <c r="P169" s="2">
        <v>28.74</v>
      </c>
      <c r="Q169" s="2">
        <v>19.78</v>
      </c>
      <c r="R169" s="2">
        <v>26.3</v>
      </c>
      <c r="S169" s="2">
        <v>25.08</v>
      </c>
      <c r="T169" s="2">
        <v>24.91</v>
      </c>
      <c r="U169" s="2">
        <v>27.69</v>
      </c>
      <c r="V169" s="2">
        <v>18.059999999999999</v>
      </c>
      <c r="W169" s="2">
        <v>10.07</v>
      </c>
      <c r="X169" s="2">
        <v>16.34</v>
      </c>
      <c r="AA169" s="1" t="s">
        <v>22</v>
      </c>
      <c r="AB169" s="2">
        <v>80.78</v>
      </c>
      <c r="AC169" s="2">
        <v>79.17</v>
      </c>
      <c r="AD169" s="2">
        <v>58.54</v>
      </c>
      <c r="AE169" s="2">
        <v>100.9</v>
      </c>
      <c r="AF169" s="2">
        <v>91.54</v>
      </c>
      <c r="AG169" s="2">
        <v>81.93</v>
      </c>
      <c r="AH169" s="2">
        <v>90.66</v>
      </c>
      <c r="AI169" s="2">
        <v>98.36</v>
      </c>
      <c r="AJ169" s="2">
        <v>20.98</v>
      </c>
      <c r="AK169" s="2">
        <v>38.86</v>
      </c>
    </row>
    <row r="170" spans="14:37" x14ac:dyDescent="0.3">
      <c r="N170" s="1" t="s">
        <v>23</v>
      </c>
      <c r="O170" s="2">
        <v>5.52</v>
      </c>
      <c r="P170" s="2">
        <v>8.2200000000000006</v>
      </c>
      <c r="Q170" s="2">
        <v>6.54</v>
      </c>
      <c r="R170" s="2">
        <v>8.3699999999999992</v>
      </c>
      <c r="S170" s="2">
        <v>9.5299999999999994</v>
      </c>
      <c r="T170" s="2">
        <v>15.62</v>
      </c>
      <c r="U170" s="2">
        <v>1.07</v>
      </c>
      <c r="V170" s="2">
        <v>0.41</v>
      </c>
      <c r="W170" s="2">
        <v>3.91</v>
      </c>
      <c r="X170" s="2">
        <v>8.76</v>
      </c>
      <c r="AA170" s="1" t="s">
        <v>23</v>
      </c>
      <c r="AB170" s="2">
        <v>17.28</v>
      </c>
      <c r="AC170" s="2">
        <v>32.58</v>
      </c>
      <c r="AD170" s="2">
        <v>16.260000000000002</v>
      </c>
      <c r="AE170" s="2">
        <v>32.43</v>
      </c>
      <c r="AF170" s="2">
        <v>22.87</v>
      </c>
      <c r="AG170" s="2">
        <v>40.18</v>
      </c>
      <c r="AH170" s="2">
        <v>3.43</v>
      </c>
      <c r="AI170" s="2">
        <v>4.09</v>
      </c>
      <c r="AJ170" s="2">
        <v>14.09</v>
      </c>
      <c r="AK170" s="2">
        <v>21.24</v>
      </c>
    </row>
    <row r="173" spans="14:37" x14ac:dyDescent="0.3">
      <c r="N173" t="s">
        <v>61</v>
      </c>
      <c r="AA173" t="s">
        <v>62</v>
      </c>
    </row>
    <row r="174" spans="14:37" x14ac:dyDescent="0.3">
      <c r="N174" s="1" t="s">
        <v>11</v>
      </c>
      <c r="O174" s="3" t="s">
        <v>12</v>
      </c>
      <c r="P174" s="3"/>
      <c r="Q174" s="3"/>
      <c r="R174" s="3"/>
      <c r="S174" s="3"/>
      <c r="T174" s="3" t="s">
        <v>13</v>
      </c>
      <c r="U174" s="3"/>
      <c r="V174" s="3"/>
      <c r="W174" s="3"/>
      <c r="X174" s="3"/>
      <c r="AA174" s="1" t="s">
        <v>11</v>
      </c>
      <c r="AB174" s="3" t="s">
        <v>12</v>
      </c>
      <c r="AC174" s="3"/>
      <c r="AD174" s="3"/>
      <c r="AE174" s="3"/>
      <c r="AF174" s="3"/>
      <c r="AG174" s="3" t="s">
        <v>13</v>
      </c>
      <c r="AH174" s="3"/>
      <c r="AI174" s="3"/>
      <c r="AJ174" s="3"/>
      <c r="AK174" s="3"/>
    </row>
    <row r="175" spans="14:37" x14ac:dyDescent="0.3">
      <c r="N175" s="1" t="s">
        <v>14</v>
      </c>
      <c r="O175" s="1" t="s">
        <v>1</v>
      </c>
      <c r="P175" s="1" t="s">
        <v>2</v>
      </c>
      <c r="Q175" s="1" t="s">
        <v>3</v>
      </c>
      <c r="R175" s="1" t="s">
        <v>4</v>
      </c>
      <c r="S175" s="1" t="s">
        <v>5</v>
      </c>
      <c r="T175" s="1" t="s">
        <v>1</v>
      </c>
      <c r="U175" s="1" t="s">
        <v>2</v>
      </c>
      <c r="V175" s="1" t="s">
        <v>3</v>
      </c>
      <c r="W175" s="1" t="s">
        <v>4</v>
      </c>
      <c r="X175" s="1" t="s">
        <v>5</v>
      </c>
      <c r="AA175" s="1" t="s">
        <v>14</v>
      </c>
      <c r="AB175" s="1" t="s">
        <v>1</v>
      </c>
      <c r="AC175" s="1" t="s">
        <v>2</v>
      </c>
      <c r="AD175" s="1" t="s">
        <v>3</v>
      </c>
      <c r="AE175" s="1" t="s">
        <v>4</v>
      </c>
      <c r="AF175" s="1" t="s">
        <v>5</v>
      </c>
      <c r="AG175" s="1" t="s">
        <v>1</v>
      </c>
      <c r="AH175" s="1" t="s">
        <v>2</v>
      </c>
      <c r="AI175" s="1" t="s">
        <v>3</v>
      </c>
      <c r="AJ175" s="1" t="s">
        <v>4</v>
      </c>
      <c r="AK175" s="1" t="s">
        <v>5</v>
      </c>
    </row>
    <row r="176" spans="14:37" x14ac:dyDescent="0.3">
      <c r="N176" s="1" t="s">
        <v>15</v>
      </c>
      <c r="AA176" s="1" t="s">
        <v>15</v>
      </c>
    </row>
    <row r="177" spans="14:37" x14ac:dyDescent="0.3">
      <c r="N177" s="1" t="s">
        <v>16</v>
      </c>
      <c r="O177" s="2">
        <v>574.03</v>
      </c>
      <c r="P177" s="2">
        <v>989.51</v>
      </c>
      <c r="Q177" s="2">
        <v>385.88</v>
      </c>
      <c r="R177" s="2">
        <v>283.05</v>
      </c>
      <c r="S177" s="2">
        <v>247.44</v>
      </c>
      <c r="T177" s="2">
        <v>578.91</v>
      </c>
      <c r="U177" s="2">
        <v>819.22</v>
      </c>
      <c r="V177" s="2">
        <v>376.89</v>
      </c>
      <c r="W177" s="2">
        <v>262.8</v>
      </c>
      <c r="X177" s="2">
        <v>233.61</v>
      </c>
      <c r="AA177" s="1" t="s">
        <v>16</v>
      </c>
      <c r="AB177" s="2">
        <v>5208.67</v>
      </c>
      <c r="AC177" s="2">
        <v>8946.99</v>
      </c>
      <c r="AD177" s="2">
        <v>3561.56</v>
      </c>
      <c r="AE177" s="2">
        <v>4369.29</v>
      </c>
      <c r="AF177" s="2">
        <v>2244.56</v>
      </c>
      <c r="AG177" s="2">
        <v>5249.99</v>
      </c>
      <c r="AH177" s="2">
        <v>8294.7800000000007</v>
      </c>
      <c r="AI177" s="2">
        <v>3480.39</v>
      </c>
      <c r="AJ177" s="2">
        <v>4890.8100000000004</v>
      </c>
      <c r="AK177" s="2">
        <v>2123.9899999999998</v>
      </c>
    </row>
    <row r="178" spans="14:37" x14ac:dyDescent="0.3">
      <c r="N178" s="1" t="s">
        <v>17</v>
      </c>
      <c r="O178" s="2">
        <v>53.69</v>
      </c>
      <c r="P178" s="2">
        <v>72.06</v>
      </c>
      <c r="Q178" s="2">
        <v>51.68</v>
      </c>
      <c r="R178" s="2">
        <v>50.11</v>
      </c>
      <c r="S178" s="2">
        <v>17.309999999999999</v>
      </c>
      <c r="T178" s="2">
        <v>51.25</v>
      </c>
      <c r="U178" s="2">
        <v>101.54</v>
      </c>
      <c r="V178" s="2">
        <v>65.75</v>
      </c>
      <c r="W178" s="2">
        <v>49.46</v>
      </c>
      <c r="X178" s="2">
        <v>22.65</v>
      </c>
      <c r="AA178" s="1" t="s">
        <v>17</v>
      </c>
      <c r="AB178" s="2">
        <v>618.27</v>
      </c>
      <c r="AC178" s="2">
        <v>1475.94</v>
      </c>
      <c r="AD178" s="2">
        <v>680.12</v>
      </c>
      <c r="AE178" s="2">
        <v>644.25</v>
      </c>
      <c r="AF178" s="2">
        <v>328.97</v>
      </c>
      <c r="AG178" s="2">
        <v>841.51</v>
      </c>
      <c r="AH178" s="2">
        <v>880.01</v>
      </c>
      <c r="AI178" s="2">
        <v>626.17999999999995</v>
      </c>
      <c r="AJ178" s="2">
        <v>962.98</v>
      </c>
      <c r="AK178" s="2">
        <v>392.55</v>
      </c>
    </row>
    <row r="179" spans="14:37" x14ac:dyDescent="0.3">
      <c r="N179" s="1" t="s">
        <v>18</v>
      </c>
      <c r="O179" s="2">
        <v>401.4</v>
      </c>
      <c r="P179" s="2">
        <v>373.45</v>
      </c>
      <c r="Q179" s="2">
        <v>347.12</v>
      </c>
      <c r="R179" s="2">
        <v>351.91</v>
      </c>
      <c r="S179" s="2">
        <v>58.04</v>
      </c>
      <c r="T179" s="2">
        <v>358.4</v>
      </c>
      <c r="U179" s="2">
        <v>597.74</v>
      </c>
      <c r="V179" s="2">
        <v>210.88</v>
      </c>
      <c r="W179" s="2">
        <v>286.60000000000002</v>
      </c>
      <c r="X179" s="2">
        <v>129.27000000000001</v>
      </c>
      <c r="AA179" s="1" t="s">
        <v>18</v>
      </c>
      <c r="AB179" s="2">
        <v>3947.83</v>
      </c>
      <c r="AC179" s="2">
        <v>7404.8</v>
      </c>
      <c r="AD179" s="2">
        <v>4318.8599999999997</v>
      </c>
      <c r="AE179" s="2">
        <v>4848.04</v>
      </c>
      <c r="AF179" s="2">
        <v>815.56</v>
      </c>
      <c r="AG179" s="2">
        <v>2663.94</v>
      </c>
      <c r="AH179" s="2">
        <v>5049.0600000000004</v>
      </c>
      <c r="AI179" s="2">
        <v>4016.33</v>
      </c>
      <c r="AJ179" s="2">
        <v>5580.34</v>
      </c>
      <c r="AK179" s="2">
        <v>1190.73</v>
      </c>
    </row>
    <row r="180" spans="14:37" x14ac:dyDescent="0.3">
      <c r="N180" s="1" t="s">
        <v>19</v>
      </c>
      <c r="O180" s="2">
        <v>146.62</v>
      </c>
      <c r="P180" s="2">
        <v>207.17</v>
      </c>
      <c r="Q180" s="2">
        <v>92.25</v>
      </c>
      <c r="R180" s="2">
        <v>89.67</v>
      </c>
      <c r="S180" s="2">
        <v>27.71</v>
      </c>
      <c r="T180" s="2">
        <v>144.1</v>
      </c>
      <c r="U180" s="2">
        <v>155.15</v>
      </c>
      <c r="V180" s="2">
        <v>121.67</v>
      </c>
      <c r="W180" s="2">
        <v>106.64</v>
      </c>
      <c r="X180" s="2">
        <v>28.41</v>
      </c>
      <c r="AA180" s="1" t="s">
        <v>19</v>
      </c>
      <c r="AB180" s="2">
        <v>1411.35</v>
      </c>
      <c r="AC180" s="2">
        <v>3545.67</v>
      </c>
      <c r="AD180" s="2">
        <v>1507.46</v>
      </c>
      <c r="AE180" s="2">
        <v>1776.48</v>
      </c>
      <c r="AF180" s="2">
        <v>423.49</v>
      </c>
      <c r="AG180" s="2">
        <v>1166.52</v>
      </c>
      <c r="AH180" s="2">
        <v>2396.94</v>
      </c>
      <c r="AI180" s="2">
        <v>1924.24</v>
      </c>
      <c r="AJ180" s="2">
        <v>2076.31</v>
      </c>
      <c r="AK180" s="2">
        <v>392.53</v>
      </c>
    </row>
    <row r="181" spans="14:37" x14ac:dyDescent="0.3">
      <c r="N181" s="1" t="s">
        <v>20</v>
      </c>
      <c r="O181" s="2">
        <v>520.11</v>
      </c>
      <c r="P181" s="2">
        <v>1114.96</v>
      </c>
      <c r="Q181" s="2">
        <v>644.79999999999995</v>
      </c>
      <c r="R181" s="2">
        <v>292.31</v>
      </c>
      <c r="S181" s="2">
        <v>229.9</v>
      </c>
      <c r="T181" s="2">
        <v>350.12</v>
      </c>
      <c r="U181" s="2">
        <v>998.42</v>
      </c>
      <c r="V181" s="2">
        <v>362.51</v>
      </c>
      <c r="W181" s="2">
        <v>354.65</v>
      </c>
      <c r="X181" s="2">
        <v>253.41</v>
      </c>
      <c r="AA181" s="1" t="s">
        <v>20</v>
      </c>
      <c r="AB181" s="2">
        <v>4396.78</v>
      </c>
      <c r="AC181" s="2">
        <v>10453.4</v>
      </c>
      <c r="AD181" s="2">
        <v>6405.5</v>
      </c>
      <c r="AE181" s="2">
        <v>5791.24</v>
      </c>
      <c r="AF181" s="2">
        <v>2806.1</v>
      </c>
      <c r="AG181" s="2">
        <v>5209.83</v>
      </c>
      <c r="AH181" s="2">
        <v>9280.3799999999992</v>
      </c>
      <c r="AI181" s="2">
        <v>5936.25</v>
      </c>
      <c r="AJ181" s="2">
        <v>6905.35</v>
      </c>
      <c r="AK181" s="2">
        <v>2610.59</v>
      </c>
    </row>
    <row r="182" spans="14:37" x14ac:dyDescent="0.3">
      <c r="N182" s="1" t="s">
        <v>21</v>
      </c>
      <c r="O182" s="2">
        <v>96.07</v>
      </c>
      <c r="P182" s="2">
        <v>135.18</v>
      </c>
      <c r="Q182" s="2">
        <v>64.36</v>
      </c>
      <c r="R182" s="2">
        <v>75.47</v>
      </c>
      <c r="S182" s="2">
        <v>48.52</v>
      </c>
      <c r="T182" s="2">
        <v>48.93</v>
      </c>
      <c r="U182" s="2">
        <v>106.56</v>
      </c>
      <c r="V182" s="2">
        <v>56.45</v>
      </c>
      <c r="W182" s="2">
        <v>62.39</v>
      </c>
      <c r="X182" s="2">
        <v>31.61</v>
      </c>
      <c r="AA182" s="1" t="s">
        <v>21</v>
      </c>
      <c r="AB182" s="2">
        <v>1089.98</v>
      </c>
      <c r="AC182" s="2">
        <v>2611.0300000000002</v>
      </c>
      <c r="AD182" s="2">
        <v>1274.77</v>
      </c>
      <c r="AE182" s="2">
        <v>1356.07</v>
      </c>
      <c r="AF182" s="2">
        <v>581.08000000000004</v>
      </c>
      <c r="AG182" s="2">
        <v>897.01</v>
      </c>
      <c r="AH182" s="2">
        <v>2104.13</v>
      </c>
      <c r="AI182" s="2">
        <v>1099.1400000000001</v>
      </c>
      <c r="AJ182" s="2">
        <v>1214.6400000000001</v>
      </c>
      <c r="AK182" s="2">
        <v>269.06</v>
      </c>
    </row>
    <row r="183" spans="14:37" x14ac:dyDescent="0.3">
      <c r="N183" s="1" t="s">
        <v>22</v>
      </c>
      <c r="O183" s="2">
        <v>296.14</v>
      </c>
      <c r="P183" s="2">
        <v>449.55</v>
      </c>
      <c r="Q183" s="2">
        <v>225.18</v>
      </c>
      <c r="R183" s="2">
        <v>269.76</v>
      </c>
      <c r="S183" s="2">
        <v>96.79</v>
      </c>
      <c r="T183" s="2">
        <v>314.10000000000002</v>
      </c>
      <c r="U183" s="2">
        <v>424.19</v>
      </c>
      <c r="V183" s="2">
        <v>210.96</v>
      </c>
      <c r="W183" s="2">
        <v>184</v>
      </c>
      <c r="X183" s="2">
        <v>97.22</v>
      </c>
      <c r="AA183" s="1" t="s">
        <v>22</v>
      </c>
      <c r="AB183" s="2">
        <v>4013.83</v>
      </c>
      <c r="AC183" s="2">
        <v>6576.38</v>
      </c>
      <c r="AD183" s="2">
        <v>4459.8500000000004</v>
      </c>
      <c r="AE183" s="2">
        <v>4480.1099999999997</v>
      </c>
      <c r="AF183" s="2">
        <v>938.21</v>
      </c>
      <c r="AG183" s="2">
        <v>4260.6899999999996</v>
      </c>
      <c r="AH183" s="2">
        <v>8376.31</v>
      </c>
      <c r="AI183" s="2">
        <v>3594.58</v>
      </c>
      <c r="AJ183" s="2">
        <v>3582.54</v>
      </c>
      <c r="AK183" s="2">
        <v>1106.1400000000001</v>
      </c>
    </row>
    <row r="184" spans="14:37" x14ac:dyDescent="0.3">
      <c r="N184" s="1" t="s">
        <v>23</v>
      </c>
      <c r="O184" s="2">
        <v>161.96</v>
      </c>
      <c r="P184" s="2">
        <v>430.52</v>
      </c>
      <c r="Q184" s="2">
        <v>321.68</v>
      </c>
      <c r="R184" s="2">
        <v>147.32</v>
      </c>
      <c r="S184" s="2">
        <v>67.44</v>
      </c>
      <c r="T184" s="2">
        <v>136.79</v>
      </c>
      <c r="U184" s="2">
        <v>244.12</v>
      </c>
      <c r="V184" s="2">
        <v>171.6</v>
      </c>
      <c r="W184" s="2">
        <v>107.12</v>
      </c>
      <c r="X184" s="2">
        <v>100.33</v>
      </c>
      <c r="AA184" s="1" t="s">
        <v>23</v>
      </c>
      <c r="AB184" s="2">
        <v>2485.96</v>
      </c>
      <c r="AC184" s="2">
        <v>4963.4799999999996</v>
      </c>
      <c r="AD184" s="2">
        <v>2203.36</v>
      </c>
      <c r="AE184" s="2">
        <v>2352.4299999999998</v>
      </c>
      <c r="AF184" s="2">
        <v>1281.3599999999999</v>
      </c>
      <c r="AG184" s="2">
        <v>2701.21</v>
      </c>
      <c r="AH184" s="2">
        <v>4820.63</v>
      </c>
      <c r="AI184" s="2">
        <v>2119.08</v>
      </c>
      <c r="AJ184" s="2">
        <v>2085.73</v>
      </c>
      <c r="AK184" s="2">
        <v>1169.27</v>
      </c>
    </row>
    <row r="187" spans="14:37" x14ac:dyDescent="0.3">
      <c r="N187" t="s">
        <v>63</v>
      </c>
      <c r="AA187" t="s">
        <v>64</v>
      </c>
    </row>
    <row r="188" spans="14:37" x14ac:dyDescent="0.3">
      <c r="N188" s="1" t="s">
        <v>11</v>
      </c>
      <c r="O188" s="1" t="s">
        <v>12</v>
      </c>
      <c r="P188" s="1" t="s">
        <v>13</v>
      </c>
      <c r="Q188" s="1" t="s">
        <v>12</v>
      </c>
      <c r="R188" s="1" t="s">
        <v>13</v>
      </c>
      <c r="S188" s="1" t="s">
        <v>12</v>
      </c>
      <c r="T188" s="1" t="s">
        <v>13</v>
      </c>
      <c r="U188" s="1" t="s">
        <v>12</v>
      </c>
      <c r="V188" s="1" t="s">
        <v>13</v>
      </c>
      <c r="W188" s="1" t="s">
        <v>12</v>
      </c>
      <c r="X188" s="1" t="s">
        <v>13</v>
      </c>
      <c r="AA188" s="1" t="s">
        <v>11</v>
      </c>
      <c r="AB188" s="1" t="s">
        <v>12</v>
      </c>
      <c r="AC188" s="1" t="s">
        <v>13</v>
      </c>
      <c r="AD188" s="1" t="s">
        <v>12</v>
      </c>
      <c r="AE188" s="1" t="s">
        <v>13</v>
      </c>
      <c r="AF188" s="1" t="s">
        <v>12</v>
      </c>
      <c r="AG188" s="1" t="s">
        <v>13</v>
      </c>
      <c r="AH188" s="1" t="s">
        <v>12</v>
      </c>
      <c r="AI188" s="1" t="s">
        <v>13</v>
      </c>
      <c r="AJ188" s="1" t="s">
        <v>12</v>
      </c>
      <c r="AK188" s="1" t="s">
        <v>13</v>
      </c>
    </row>
    <row r="189" spans="14:37" x14ac:dyDescent="0.3">
      <c r="N189" s="1" t="s">
        <v>14</v>
      </c>
      <c r="O189" s="1" t="s">
        <v>1</v>
      </c>
      <c r="P189" s="1" t="s">
        <v>1</v>
      </c>
      <c r="Q189" s="1" t="s">
        <v>2</v>
      </c>
      <c r="R189" s="1" t="s">
        <v>2</v>
      </c>
      <c r="S189" s="1" t="s">
        <v>3</v>
      </c>
      <c r="T189" s="1" t="s">
        <v>3</v>
      </c>
      <c r="U189" s="1" t="s">
        <v>4</v>
      </c>
      <c r="V189" s="1" t="s">
        <v>4</v>
      </c>
      <c r="W189" s="1" t="s">
        <v>5</v>
      </c>
      <c r="X189" s="1" t="s">
        <v>5</v>
      </c>
      <c r="AA189" s="1" t="s">
        <v>14</v>
      </c>
      <c r="AB189" s="1" t="s">
        <v>1</v>
      </c>
      <c r="AC189" s="1" t="s">
        <v>1</v>
      </c>
      <c r="AD189" s="1" t="s">
        <v>2</v>
      </c>
      <c r="AE189" s="1" t="s">
        <v>2</v>
      </c>
      <c r="AF189" s="1" t="s">
        <v>3</v>
      </c>
      <c r="AG189" s="1" t="s">
        <v>3</v>
      </c>
      <c r="AH189" s="1" t="s">
        <v>4</v>
      </c>
      <c r="AI189" s="1" t="s">
        <v>4</v>
      </c>
      <c r="AJ189" s="1" t="s">
        <v>5</v>
      </c>
      <c r="AK189" s="1" t="s">
        <v>5</v>
      </c>
    </row>
    <row r="190" spans="14:37" x14ac:dyDescent="0.3">
      <c r="N190" s="1" t="s">
        <v>15</v>
      </c>
      <c r="AA190" s="1" t="s">
        <v>15</v>
      </c>
    </row>
    <row r="191" spans="14:37" x14ac:dyDescent="0.3">
      <c r="N191" s="1" t="s">
        <v>16</v>
      </c>
      <c r="O191" s="2">
        <v>260.92</v>
      </c>
      <c r="P191" s="2">
        <v>263.14</v>
      </c>
      <c r="Q191" s="2">
        <v>395.81</v>
      </c>
      <c r="R191" s="2">
        <v>327.69</v>
      </c>
      <c r="S191" s="2">
        <v>137.82</v>
      </c>
      <c r="T191" s="2">
        <v>134.61000000000001</v>
      </c>
      <c r="U191" s="2">
        <v>85.77</v>
      </c>
      <c r="V191" s="2">
        <v>79.64</v>
      </c>
      <c r="W191" s="2">
        <v>309.3</v>
      </c>
      <c r="X191" s="2">
        <v>292.01</v>
      </c>
      <c r="AA191" s="1" t="s">
        <v>16</v>
      </c>
      <c r="AB191" s="2">
        <v>2367.58</v>
      </c>
      <c r="AC191" s="2">
        <v>2386.36</v>
      </c>
      <c r="AD191" s="2">
        <v>3578.79</v>
      </c>
      <c r="AE191" s="2">
        <v>3317.91</v>
      </c>
      <c r="AF191" s="2">
        <v>1271.98</v>
      </c>
      <c r="AG191" s="2">
        <v>1242.99</v>
      </c>
      <c r="AH191" s="2">
        <v>1324.03</v>
      </c>
      <c r="AI191" s="2">
        <v>1482.06</v>
      </c>
      <c r="AJ191" s="2">
        <v>2805.7</v>
      </c>
      <c r="AK191" s="2">
        <v>2654.99</v>
      </c>
    </row>
    <row r="192" spans="14:37" x14ac:dyDescent="0.3">
      <c r="N192" s="1" t="s">
        <v>17</v>
      </c>
      <c r="O192" s="2">
        <v>24.41</v>
      </c>
      <c r="P192" s="2">
        <v>23.29</v>
      </c>
      <c r="Q192" s="2">
        <v>28.82</v>
      </c>
      <c r="R192" s="2">
        <v>40.619999999999997</v>
      </c>
      <c r="S192" s="2">
        <v>18.46</v>
      </c>
      <c r="T192" s="2">
        <v>23.48</v>
      </c>
      <c r="U192" s="2">
        <v>15.19</v>
      </c>
      <c r="V192" s="2">
        <v>14.99</v>
      </c>
      <c r="W192" s="2">
        <v>21.64</v>
      </c>
      <c r="X192" s="2">
        <v>28.32</v>
      </c>
      <c r="AA192" s="1" t="s">
        <v>17</v>
      </c>
      <c r="AB192" s="2">
        <v>281.02999999999997</v>
      </c>
      <c r="AC192" s="2">
        <v>382.51</v>
      </c>
      <c r="AD192" s="2">
        <v>590.38</v>
      </c>
      <c r="AE192" s="2">
        <v>352</v>
      </c>
      <c r="AF192" s="2">
        <v>242.9</v>
      </c>
      <c r="AG192" s="2">
        <v>223.64</v>
      </c>
      <c r="AH192" s="2">
        <v>195.23</v>
      </c>
      <c r="AI192" s="2">
        <v>291.81</v>
      </c>
      <c r="AJ192" s="2">
        <v>411.21</v>
      </c>
      <c r="AK192" s="2">
        <v>490.68</v>
      </c>
    </row>
    <row r="193" spans="14:37" x14ac:dyDescent="0.3">
      <c r="N193" s="1" t="s">
        <v>18</v>
      </c>
      <c r="O193" s="2">
        <v>182.46</v>
      </c>
      <c r="P193" s="2">
        <v>162.91</v>
      </c>
      <c r="Q193" s="2">
        <v>149.38</v>
      </c>
      <c r="R193" s="2">
        <v>239.1</v>
      </c>
      <c r="S193" s="2">
        <v>123.97</v>
      </c>
      <c r="T193" s="2">
        <v>75.31</v>
      </c>
      <c r="U193" s="2">
        <v>106.64</v>
      </c>
      <c r="V193" s="2">
        <v>86.85</v>
      </c>
      <c r="W193" s="2">
        <v>72.55</v>
      </c>
      <c r="X193" s="2">
        <v>161.59</v>
      </c>
      <c r="AA193" s="1" t="s">
        <v>18</v>
      </c>
      <c r="AB193" s="2">
        <v>1794.47</v>
      </c>
      <c r="AC193" s="2">
        <v>1210.8800000000001</v>
      </c>
      <c r="AD193" s="2">
        <v>2961.92</v>
      </c>
      <c r="AE193" s="2">
        <v>2019.63</v>
      </c>
      <c r="AF193" s="2">
        <v>1542.45</v>
      </c>
      <c r="AG193" s="2">
        <v>1434.4</v>
      </c>
      <c r="AH193" s="2">
        <v>1469.1</v>
      </c>
      <c r="AI193" s="2">
        <v>1691.01</v>
      </c>
      <c r="AJ193" s="2">
        <v>1019.45</v>
      </c>
      <c r="AK193" s="2">
        <v>1488.41</v>
      </c>
    </row>
    <row r="194" spans="14:37" x14ac:dyDescent="0.3">
      <c r="N194" s="1" t="s">
        <v>19</v>
      </c>
      <c r="O194" s="2">
        <v>66.64</v>
      </c>
      <c r="P194" s="2">
        <v>65.5</v>
      </c>
      <c r="Q194" s="2">
        <v>82.87</v>
      </c>
      <c r="R194" s="2">
        <v>62.06</v>
      </c>
      <c r="S194" s="2">
        <v>32.950000000000003</v>
      </c>
      <c r="T194" s="2">
        <v>43.45</v>
      </c>
      <c r="U194" s="2">
        <v>27.17</v>
      </c>
      <c r="V194" s="2">
        <v>32.31</v>
      </c>
      <c r="W194" s="2">
        <v>34.64</v>
      </c>
      <c r="X194" s="2">
        <v>35.51</v>
      </c>
      <c r="AA194" s="1" t="s">
        <v>19</v>
      </c>
      <c r="AB194" s="2">
        <v>641.52</v>
      </c>
      <c r="AC194" s="2">
        <v>530.24</v>
      </c>
      <c r="AD194" s="2">
        <v>1418.27</v>
      </c>
      <c r="AE194" s="2">
        <v>958.78</v>
      </c>
      <c r="AF194" s="2">
        <v>538.38</v>
      </c>
      <c r="AG194" s="2">
        <v>687.23</v>
      </c>
      <c r="AH194" s="2">
        <v>538.33000000000004</v>
      </c>
      <c r="AI194" s="2">
        <v>629.19000000000005</v>
      </c>
      <c r="AJ194" s="2">
        <v>529.36</v>
      </c>
      <c r="AK194" s="2">
        <v>490.66</v>
      </c>
    </row>
    <row r="195" spans="14:37" x14ac:dyDescent="0.3">
      <c r="N195" s="1" t="s">
        <v>20</v>
      </c>
      <c r="O195" s="2">
        <v>236.41</v>
      </c>
      <c r="P195" s="2">
        <v>159.15</v>
      </c>
      <c r="Q195" s="2">
        <v>445.99</v>
      </c>
      <c r="R195" s="2">
        <v>399.37</v>
      </c>
      <c r="S195" s="2">
        <v>230.29</v>
      </c>
      <c r="T195" s="2">
        <v>129.47</v>
      </c>
      <c r="U195" s="2">
        <v>88.58</v>
      </c>
      <c r="V195" s="2">
        <v>107.47</v>
      </c>
      <c r="W195" s="2">
        <v>287.38</v>
      </c>
      <c r="X195" s="2">
        <v>316.76</v>
      </c>
      <c r="AA195" s="1" t="s">
        <v>20</v>
      </c>
      <c r="AB195" s="2">
        <v>1998.54</v>
      </c>
      <c r="AC195" s="2">
        <v>2368.1</v>
      </c>
      <c r="AD195" s="2">
        <v>4181.3599999999997</v>
      </c>
      <c r="AE195" s="2">
        <v>3712.15</v>
      </c>
      <c r="AF195" s="2">
        <v>2287.6799999999998</v>
      </c>
      <c r="AG195" s="2">
        <v>2120.09</v>
      </c>
      <c r="AH195" s="2">
        <v>1754.92</v>
      </c>
      <c r="AI195" s="2">
        <v>2092.5300000000002</v>
      </c>
      <c r="AJ195" s="2">
        <v>3507.62</v>
      </c>
      <c r="AK195" s="2">
        <v>3263.24</v>
      </c>
    </row>
    <row r="196" spans="14:37" x14ac:dyDescent="0.3">
      <c r="N196" s="1" t="s">
        <v>21</v>
      </c>
      <c r="O196" s="2">
        <v>43.67</v>
      </c>
      <c r="P196" s="2">
        <v>22.24</v>
      </c>
      <c r="Q196" s="2">
        <v>54.07</v>
      </c>
      <c r="R196" s="2">
        <v>42.62</v>
      </c>
      <c r="S196" s="2">
        <v>22.98</v>
      </c>
      <c r="T196" s="2">
        <v>20.16</v>
      </c>
      <c r="U196" s="2">
        <v>22.87</v>
      </c>
      <c r="V196" s="2">
        <v>18.899999999999999</v>
      </c>
      <c r="W196" s="2">
        <v>60.65</v>
      </c>
      <c r="X196" s="2">
        <v>39.51</v>
      </c>
      <c r="AA196" s="1" t="s">
        <v>21</v>
      </c>
      <c r="AB196" s="2">
        <v>495.45</v>
      </c>
      <c r="AC196" s="2">
        <v>407.73</v>
      </c>
      <c r="AD196" s="2">
        <v>1044.4100000000001</v>
      </c>
      <c r="AE196" s="2">
        <v>841.65</v>
      </c>
      <c r="AF196" s="2">
        <v>455.27</v>
      </c>
      <c r="AG196" s="2">
        <v>392.55</v>
      </c>
      <c r="AH196" s="2">
        <v>410.93</v>
      </c>
      <c r="AI196" s="2">
        <v>368.07</v>
      </c>
      <c r="AJ196" s="2">
        <v>726.35</v>
      </c>
      <c r="AK196" s="2">
        <v>336.32</v>
      </c>
    </row>
    <row r="197" spans="14:37" x14ac:dyDescent="0.3">
      <c r="N197" s="1" t="s">
        <v>22</v>
      </c>
      <c r="O197" s="2">
        <v>134.61000000000001</v>
      </c>
      <c r="P197" s="2">
        <v>142.77000000000001</v>
      </c>
      <c r="Q197" s="2">
        <v>179.82</v>
      </c>
      <c r="R197" s="2">
        <v>169.68</v>
      </c>
      <c r="S197" s="2">
        <v>80.42</v>
      </c>
      <c r="T197" s="2">
        <v>75.34</v>
      </c>
      <c r="U197" s="2">
        <v>81.75</v>
      </c>
      <c r="V197" s="2">
        <v>55.76</v>
      </c>
      <c r="W197" s="2">
        <v>120.99</v>
      </c>
      <c r="X197" s="2">
        <v>121.52</v>
      </c>
      <c r="AA197" s="1" t="s">
        <v>22</v>
      </c>
      <c r="AB197" s="2">
        <v>1824.47</v>
      </c>
      <c r="AC197" s="2">
        <v>1936.68</v>
      </c>
      <c r="AD197" s="2">
        <v>2630.55</v>
      </c>
      <c r="AE197" s="2">
        <v>3350.52</v>
      </c>
      <c r="AF197" s="2">
        <v>1592.81</v>
      </c>
      <c r="AG197" s="2">
        <v>1283.78</v>
      </c>
      <c r="AH197" s="2">
        <v>1357.61</v>
      </c>
      <c r="AI197" s="2">
        <v>1085.6199999999999</v>
      </c>
      <c r="AJ197" s="2">
        <v>1172.76</v>
      </c>
      <c r="AK197" s="2">
        <v>1382.68</v>
      </c>
    </row>
    <row r="198" spans="14:37" x14ac:dyDescent="0.3">
      <c r="N198" s="1" t="s">
        <v>23</v>
      </c>
      <c r="O198" s="2">
        <v>73.62</v>
      </c>
      <c r="P198" s="2">
        <v>62.18</v>
      </c>
      <c r="Q198" s="2">
        <v>172.21</v>
      </c>
      <c r="R198" s="2">
        <v>97.65</v>
      </c>
      <c r="S198" s="2">
        <v>114.89</v>
      </c>
      <c r="T198" s="2">
        <v>61.29</v>
      </c>
      <c r="U198" s="2">
        <v>44.64</v>
      </c>
      <c r="V198" s="2">
        <v>32.46</v>
      </c>
      <c r="W198" s="2">
        <v>84.3</v>
      </c>
      <c r="X198" s="2">
        <v>125.41</v>
      </c>
      <c r="AA198" s="1" t="s">
        <v>23</v>
      </c>
      <c r="AB198" s="2">
        <v>1129.98</v>
      </c>
      <c r="AC198" s="2">
        <v>1227.82</v>
      </c>
      <c r="AD198" s="2">
        <v>1985.39</v>
      </c>
      <c r="AE198" s="2">
        <v>1928.25</v>
      </c>
      <c r="AF198" s="2">
        <v>786.91</v>
      </c>
      <c r="AG198" s="2">
        <v>756.81</v>
      </c>
      <c r="AH198" s="2">
        <v>712.86</v>
      </c>
      <c r="AI198" s="2">
        <v>632.04</v>
      </c>
      <c r="AJ198" s="2">
        <v>1601.7</v>
      </c>
      <c r="AK198" s="2">
        <v>1461.59</v>
      </c>
    </row>
    <row r="201" spans="14:37" x14ac:dyDescent="0.3">
      <c r="N201" t="s">
        <v>65</v>
      </c>
      <c r="AA201" t="s">
        <v>66</v>
      </c>
    </row>
    <row r="202" spans="14:37" x14ac:dyDescent="0.3">
      <c r="N202" s="1" t="s">
        <v>11</v>
      </c>
      <c r="O202" s="1" t="s">
        <v>12</v>
      </c>
      <c r="P202" s="1" t="s">
        <v>13</v>
      </c>
      <c r="Q202" s="1" t="s">
        <v>12</v>
      </c>
      <c r="R202" s="1" t="s">
        <v>13</v>
      </c>
      <c r="S202" s="1" t="s">
        <v>12</v>
      </c>
      <c r="T202" s="1" t="s">
        <v>13</v>
      </c>
      <c r="U202" s="1" t="s">
        <v>12</v>
      </c>
      <c r="V202" s="1" t="s">
        <v>13</v>
      </c>
      <c r="W202" s="1" t="s">
        <v>12</v>
      </c>
      <c r="X202" s="1" t="s">
        <v>13</v>
      </c>
      <c r="AA202" s="1" t="s">
        <v>11</v>
      </c>
      <c r="AB202" s="3" t="s">
        <v>12</v>
      </c>
      <c r="AC202" s="3"/>
      <c r="AD202" s="3"/>
      <c r="AE202" s="3"/>
      <c r="AF202" s="3"/>
      <c r="AG202" s="3" t="s">
        <v>13</v>
      </c>
      <c r="AH202" s="3"/>
      <c r="AI202" s="3"/>
      <c r="AJ202" s="3"/>
      <c r="AK202" s="3"/>
    </row>
    <row r="203" spans="14:37" x14ac:dyDescent="0.3">
      <c r="N203" s="1" t="s">
        <v>14</v>
      </c>
      <c r="O203" s="1" t="s">
        <v>1</v>
      </c>
      <c r="P203" s="1" t="s">
        <v>1</v>
      </c>
      <c r="Q203" s="1" t="s">
        <v>2</v>
      </c>
      <c r="R203" s="1" t="s">
        <v>2</v>
      </c>
      <c r="S203" s="1" t="s">
        <v>3</v>
      </c>
      <c r="T203" s="1" t="s">
        <v>3</v>
      </c>
      <c r="U203" s="1" t="s">
        <v>4</v>
      </c>
      <c r="V203" s="1" t="s">
        <v>4</v>
      </c>
      <c r="W203" s="1" t="s">
        <v>5</v>
      </c>
      <c r="X203" s="1" t="s">
        <v>5</v>
      </c>
      <c r="AA203" s="1" t="s">
        <v>14</v>
      </c>
      <c r="AB203" s="1" t="s">
        <v>1</v>
      </c>
      <c r="AC203" s="1" t="s">
        <v>2</v>
      </c>
      <c r="AD203" s="1" t="s">
        <v>3</v>
      </c>
      <c r="AE203" s="1" t="s">
        <v>4</v>
      </c>
      <c r="AF203" s="1" t="s">
        <v>5</v>
      </c>
      <c r="AG203" s="1" t="s">
        <v>1</v>
      </c>
      <c r="AH203" s="1" t="s">
        <v>2</v>
      </c>
      <c r="AI203" s="1" t="s">
        <v>3</v>
      </c>
      <c r="AJ203" s="1" t="s">
        <v>4</v>
      </c>
      <c r="AK203" s="1" t="s">
        <v>5</v>
      </c>
    </row>
    <row r="204" spans="14:37" x14ac:dyDescent="0.3">
      <c r="N204" s="1" t="s">
        <v>15</v>
      </c>
      <c r="AA204" s="1" t="s">
        <v>15</v>
      </c>
    </row>
    <row r="205" spans="14:37" x14ac:dyDescent="0.3">
      <c r="N205" s="1" t="s">
        <v>16</v>
      </c>
      <c r="O205" s="2">
        <v>0.01</v>
      </c>
      <c r="P205" s="2">
        <v>0.01</v>
      </c>
      <c r="Q205" s="2">
        <v>0.01</v>
      </c>
      <c r="R205" s="2">
        <v>0.59</v>
      </c>
      <c r="S205" s="2">
        <v>1</v>
      </c>
      <c r="T205" s="2">
        <v>1</v>
      </c>
      <c r="U205" s="2">
        <v>0.59</v>
      </c>
      <c r="V205" s="2">
        <v>0.59</v>
      </c>
      <c r="W205" s="2">
        <v>0.02</v>
      </c>
      <c r="X205" s="2">
        <v>0.01</v>
      </c>
      <c r="AA205" s="1" t="s">
        <v>16</v>
      </c>
      <c r="AB205" s="2">
        <v>699.16</v>
      </c>
      <c r="AC205" s="2">
        <v>159.25</v>
      </c>
      <c r="AD205" s="2">
        <v>393.96</v>
      </c>
      <c r="AE205" s="2">
        <v>143.22</v>
      </c>
      <c r="AF205" s="2">
        <v>39.200000000000003</v>
      </c>
      <c r="AG205" s="2">
        <v>652.96</v>
      </c>
      <c r="AH205" s="2">
        <v>292.25</v>
      </c>
      <c r="AI205" s="2">
        <v>454.72</v>
      </c>
      <c r="AJ205" s="2">
        <v>249.48</v>
      </c>
      <c r="AK205" s="2">
        <v>72.8</v>
      </c>
    </row>
    <row r="206" spans="14:37" x14ac:dyDescent="0.3">
      <c r="N206" s="1" t="s">
        <v>17</v>
      </c>
      <c r="O206" s="2">
        <v>0.3</v>
      </c>
      <c r="P206" s="2">
        <v>0.18</v>
      </c>
      <c r="Q206" s="2">
        <v>0.3</v>
      </c>
      <c r="R206" s="2">
        <v>0.24</v>
      </c>
      <c r="S206" s="2">
        <v>0.4</v>
      </c>
      <c r="T206" s="2">
        <v>0.33</v>
      </c>
      <c r="U206" s="2">
        <v>0.32</v>
      </c>
      <c r="V206" s="2">
        <v>0.01</v>
      </c>
      <c r="W206" s="2">
        <v>0.32</v>
      </c>
      <c r="X206" s="2">
        <v>0.16</v>
      </c>
      <c r="AA206" s="1" t="s">
        <v>17</v>
      </c>
      <c r="AB206" s="2">
        <v>31.43</v>
      </c>
      <c r="AC206" s="2">
        <v>64.25</v>
      </c>
      <c r="AD206" s="2">
        <v>26.43</v>
      </c>
      <c r="AE206" s="2">
        <v>29.34</v>
      </c>
      <c r="AF206" s="2">
        <v>14.56</v>
      </c>
      <c r="AG206" s="2">
        <v>46.64</v>
      </c>
      <c r="AH206" s="2">
        <v>25.69</v>
      </c>
      <c r="AI206" s="2">
        <v>55.76</v>
      </c>
      <c r="AJ206" s="2">
        <v>40.92</v>
      </c>
      <c r="AK206" s="2">
        <v>11.2</v>
      </c>
    </row>
    <row r="207" spans="14:37" x14ac:dyDescent="0.3">
      <c r="N207" s="1" t="s">
        <v>18</v>
      </c>
      <c r="O207" s="2">
        <v>0.4</v>
      </c>
      <c r="P207" s="2">
        <v>0.18</v>
      </c>
      <c r="Q207" s="2">
        <v>0.38</v>
      </c>
      <c r="R207" s="2">
        <v>0.4</v>
      </c>
      <c r="S207" s="2">
        <v>0.45</v>
      </c>
      <c r="T207" s="2">
        <v>0.34</v>
      </c>
      <c r="U207" s="2">
        <v>0.43</v>
      </c>
      <c r="V207" s="2">
        <v>0.12</v>
      </c>
      <c r="W207" s="2">
        <v>0.08</v>
      </c>
      <c r="X207" s="2">
        <v>0.17</v>
      </c>
      <c r="AA207" s="1" t="s">
        <v>18</v>
      </c>
      <c r="AB207" s="2">
        <v>100.4</v>
      </c>
      <c r="AC207" s="2">
        <v>159</v>
      </c>
      <c r="AD207" s="2">
        <v>92.14</v>
      </c>
      <c r="AE207" s="2">
        <v>161.44999999999999</v>
      </c>
      <c r="AF207" s="2">
        <v>19.2</v>
      </c>
      <c r="AG207" s="2">
        <v>114.61</v>
      </c>
      <c r="AH207" s="2">
        <v>131.81</v>
      </c>
      <c r="AI207" s="2">
        <v>171.37</v>
      </c>
      <c r="AJ207" s="2">
        <v>236.8</v>
      </c>
      <c r="AK207" s="2">
        <v>38.4</v>
      </c>
    </row>
    <row r="208" spans="14:37" x14ac:dyDescent="0.3">
      <c r="N208" s="1" t="s">
        <v>19</v>
      </c>
      <c r="O208" s="2">
        <v>0.35</v>
      </c>
      <c r="P208" s="2">
        <v>0.3</v>
      </c>
      <c r="Q208" s="2">
        <v>0.4</v>
      </c>
      <c r="R208" s="2">
        <v>0.37</v>
      </c>
      <c r="S208" s="2">
        <v>0.42</v>
      </c>
      <c r="T208" s="2">
        <v>0.42</v>
      </c>
      <c r="U208" s="2">
        <v>0.32</v>
      </c>
      <c r="V208" s="2">
        <v>0.15</v>
      </c>
      <c r="W208" s="2">
        <v>0.15</v>
      </c>
      <c r="X208" s="2">
        <v>0.17</v>
      </c>
      <c r="AA208" s="1" t="s">
        <v>19</v>
      </c>
      <c r="AB208" s="2">
        <v>46.9</v>
      </c>
      <c r="AC208" s="2">
        <v>59.98</v>
      </c>
      <c r="AD208" s="2">
        <v>52.76</v>
      </c>
      <c r="AE208" s="2">
        <v>56.1</v>
      </c>
      <c r="AF208" s="2">
        <v>7.2</v>
      </c>
      <c r="AG208" s="2">
        <v>40.72</v>
      </c>
      <c r="AH208" s="2">
        <v>39.380000000000003</v>
      </c>
      <c r="AI208" s="2">
        <v>84.49</v>
      </c>
      <c r="AJ208" s="2">
        <v>56.1</v>
      </c>
      <c r="AK208" s="2">
        <v>6.08</v>
      </c>
    </row>
    <row r="209" spans="14:37" x14ac:dyDescent="0.3">
      <c r="N209" s="1" t="s">
        <v>20</v>
      </c>
      <c r="O209" s="2">
        <v>0.28999999999999998</v>
      </c>
      <c r="P209" s="2">
        <v>0.33</v>
      </c>
      <c r="Q209" s="2">
        <v>0.35</v>
      </c>
      <c r="R209" s="2">
        <v>0.34</v>
      </c>
      <c r="S209" s="2">
        <v>0.4</v>
      </c>
      <c r="T209" s="2">
        <v>0.41</v>
      </c>
      <c r="U209" s="2">
        <v>0.18</v>
      </c>
      <c r="V209" s="2">
        <v>0.12</v>
      </c>
      <c r="W209" s="2">
        <v>0.26</v>
      </c>
      <c r="X209" s="2">
        <v>0.28999999999999998</v>
      </c>
      <c r="AA209" s="1" t="s">
        <v>20</v>
      </c>
      <c r="AB209" s="2">
        <v>142.72999999999999</v>
      </c>
      <c r="AC209" s="2">
        <v>255.05</v>
      </c>
      <c r="AD209" s="2">
        <v>278.02999999999997</v>
      </c>
      <c r="AE209" s="2">
        <v>229.35</v>
      </c>
      <c r="AF209" s="2">
        <v>68</v>
      </c>
      <c r="AG209" s="2">
        <v>131.41</v>
      </c>
      <c r="AH209" s="2">
        <v>237.82</v>
      </c>
      <c r="AI209" s="2">
        <v>189.63</v>
      </c>
      <c r="AJ209" s="2">
        <v>306.89999999999998</v>
      </c>
      <c r="AK209" s="2">
        <v>64</v>
      </c>
    </row>
    <row r="210" spans="14:37" x14ac:dyDescent="0.3">
      <c r="N210" s="1" t="s">
        <v>21</v>
      </c>
      <c r="O210" s="2">
        <v>0.33</v>
      </c>
      <c r="P210" s="2">
        <v>0.33</v>
      </c>
      <c r="Q210" s="2">
        <v>0.38</v>
      </c>
      <c r="R210" s="2">
        <v>0.39</v>
      </c>
      <c r="S210" s="2">
        <v>0.42</v>
      </c>
      <c r="T210" s="2">
        <v>0.42</v>
      </c>
      <c r="U210" s="2">
        <v>0.32</v>
      </c>
      <c r="V210" s="2">
        <v>0.4</v>
      </c>
      <c r="W210" s="2">
        <v>0.3</v>
      </c>
      <c r="X210" s="2">
        <v>0.28999999999999998</v>
      </c>
      <c r="AA210" s="1" t="s">
        <v>21</v>
      </c>
      <c r="AB210" s="2">
        <v>30.85</v>
      </c>
      <c r="AC210" s="2">
        <v>23.91</v>
      </c>
      <c r="AD210" s="2">
        <v>59.68</v>
      </c>
      <c r="AE210" s="2">
        <v>40.92</v>
      </c>
      <c r="AF210" s="2">
        <v>5.6</v>
      </c>
      <c r="AG210" s="2">
        <v>14.65</v>
      </c>
      <c r="AH210" s="2">
        <v>23.03</v>
      </c>
      <c r="AI210" s="2">
        <v>47.97</v>
      </c>
      <c r="AJ210" s="2">
        <v>33.04</v>
      </c>
      <c r="AK210" s="2">
        <v>3.4</v>
      </c>
    </row>
    <row r="211" spans="14:37" x14ac:dyDescent="0.3">
      <c r="N211" s="1" t="s">
        <v>22</v>
      </c>
      <c r="O211" s="2">
        <v>0.41</v>
      </c>
      <c r="P211" s="2">
        <v>0.41</v>
      </c>
      <c r="Q211" s="2">
        <v>0.38</v>
      </c>
      <c r="R211" s="2">
        <v>0.36</v>
      </c>
      <c r="S211" s="2">
        <v>0.4</v>
      </c>
      <c r="T211" s="2">
        <v>0.43</v>
      </c>
      <c r="U211" s="2">
        <v>0.24</v>
      </c>
      <c r="V211" s="2">
        <v>0.16</v>
      </c>
      <c r="W211" s="2">
        <v>0.11</v>
      </c>
      <c r="X211" s="2">
        <v>0.13</v>
      </c>
      <c r="AA211" s="1" t="s">
        <v>22</v>
      </c>
      <c r="AB211" s="2">
        <v>146.83000000000001</v>
      </c>
      <c r="AC211" s="2">
        <v>144.04</v>
      </c>
      <c r="AD211" s="2">
        <v>201.95</v>
      </c>
      <c r="AE211" s="2">
        <v>227.83</v>
      </c>
      <c r="AF211" s="2">
        <v>19.32</v>
      </c>
      <c r="AG211" s="2">
        <v>198.16</v>
      </c>
      <c r="AH211" s="2">
        <v>136.5</v>
      </c>
      <c r="AI211" s="2">
        <v>176.33</v>
      </c>
      <c r="AJ211" s="2">
        <v>118.21</v>
      </c>
      <c r="AK211" s="2">
        <v>19.32</v>
      </c>
    </row>
    <row r="212" spans="14:37" x14ac:dyDescent="0.3">
      <c r="N212" s="1" t="s">
        <v>23</v>
      </c>
      <c r="O212" s="2">
        <v>0.19</v>
      </c>
      <c r="P212" s="2">
        <v>0.22</v>
      </c>
      <c r="Q212" s="2">
        <v>0.21</v>
      </c>
      <c r="R212" s="2">
        <v>0.03</v>
      </c>
      <c r="S212" s="2">
        <v>0.26</v>
      </c>
      <c r="T212" s="2">
        <v>0.27</v>
      </c>
      <c r="U212" s="2">
        <v>0.12</v>
      </c>
      <c r="V212" s="2">
        <v>0</v>
      </c>
      <c r="W212" s="2">
        <v>0.09</v>
      </c>
      <c r="X212" s="2">
        <v>0.19</v>
      </c>
      <c r="AA212" s="1" t="s">
        <v>23</v>
      </c>
      <c r="AB212" s="2">
        <v>289.74</v>
      </c>
      <c r="AC212" s="2">
        <v>136.5</v>
      </c>
      <c r="AD212" s="2">
        <v>194.88</v>
      </c>
      <c r="AE212" s="2">
        <v>76.23</v>
      </c>
      <c r="AF212" s="2">
        <v>33.6</v>
      </c>
      <c r="AG212" s="2">
        <v>229.68</v>
      </c>
      <c r="AH212" s="2">
        <v>33.75</v>
      </c>
      <c r="AI212" s="2">
        <v>142.80000000000001</v>
      </c>
      <c r="AJ212" s="2">
        <v>30.69</v>
      </c>
      <c r="AK212" s="2">
        <v>9.6</v>
      </c>
    </row>
    <row r="215" spans="14:37" x14ac:dyDescent="0.3">
      <c r="N215" t="s">
        <v>67</v>
      </c>
      <c r="AA215" t="s">
        <v>68</v>
      </c>
    </row>
    <row r="216" spans="14:37" x14ac:dyDescent="0.3">
      <c r="N216" s="1" t="s">
        <v>11</v>
      </c>
      <c r="O216" s="1" t="s">
        <v>12</v>
      </c>
      <c r="P216" s="1" t="s">
        <v>13</v>
      </c>
      <c r="Q216" s="1" t="s">
        <v>12</v>
      </c>
      <c r="R216" s="1" t="s">
        <v>13</v>
      </c>
      <c r="S216" s="1" t="s">
        <v>12</v>
      </c>
      <c r="T216" s="1" t="s">
        <v>13</v>
      </c>
      <c r="U216" s="1" t="s">
        <v>12</v>
      </c>
      <c r="V216" s="1" t="s">
        <v>13</v>
      </c>
      <c r="W216" s="1" t="s">
        <v>12</v>
      </c>
      <c r="X216" s="1" t="s">
        <v>13</v>
      </c>
      <c r="AA216" s="1" t="s">
        <v>11</v>
      </c>
      <c r="AB216" s="1" t="s">
        <v>12</v>
      </c>
      <c r="AC216" s="1" t="s">
        <v>13</v>
      </c>
      <c r="AD216" s="1" t="s">
        <v>12</v>
      </c>
      <c r="AE216" s="1" t="s">
        <v>13</v>
      </c>
      <c r="AF216" s="1" t="s">
        <v>12</v>
      </c>
      <c r="AG216" s="1" t="s">
        <v>13</v>
      </c>
      <c r="AH216" s="1" t="s">
        <v>12</v>
      </c>
      <c r="AI216" s="1" t="s">
        <v>13</v>
      </c>
      <c r="AJ216" s="1" t="s">
        <v>12</v>
      </c>
      <c r="AK216" s="1" t="s">
        <v>13</v>
      </c>
    </row>
    <row r="217" spans="14:37" x14ac:dyDescent="0.3">
      <c r="N217" s="1" t="s">
        <v>14</v>
      </c>
      <c r="O217" s="1" t="s">
        <v>1</v>
      </c>
      <c r="P217" s="1" t="s">
        <v>1</v>
      </c>
      <c r="Q217" s="1" t="s">
        <v>2</v>
      </c>
      <c r="R217" s="1" t="s">
        <v>2</v>
      </c>
      <c r="S217" s="1" t="s">
        <v>3</v>
      </c>
      <c r="T217" s="1" t="s">
        <v>3</v>
      </c>
      <c r="U217" s="1" t="s">
        <v>4</v>
      </c>
      <c r="V217" s="1" t="s">
        <v>4</v>
      </c>
      <c r="W217" s="1" t="s">
        <v>5</v>
      </c>
      <c r="X217" s="1" t="s">
        <v>5</v>
      </c>
      <c r="AA217" s="1" t="s">
        <v>14</v>
      </c>
      <c r="AB217" s="1" t="s">
        <v>1</v>
      </c>
      <c r="AC217" s="1" t="s">
        <v>1</v>
      </c>
      <c r="AD217" s="1" t="s">
        <v>2</v>
      </c>
      <c r="AE217" s="1" t="s">
        <v>2</v>
      </c>
      <c r="AF217" s="1" t="s">
        <v>3</v>
      </c>
      <c r="AG217" s="1" t="s">
        <v>3</v>
      </c>
      <c r="AH217" s="1" t="s">
        <v>4</v>
      </c>
      <c r="AI217" s="1" t="s">
        <v>4</v>
      </c>
      <c r="AJ217" s="1" t="s">
        <v>5</v>
      </c>
      <c r="AK217" s="1" t="s">
        <v>5</v>
      </c>
    </row>
    <row r="218" spans="14:37" x14ac:dyDescent="0.3">
      <c r="N218" s="1" t="s">
        <v>15</v>
      </c>
      <c r="AA218" s="1" t="s">
        <v>15</v>
      </c>
    </row>
    <row r="219" spans="14:37" x14ac:dyDescent="0.3">
      <c r="N219" s="1" t="s">
        <v>16</v>
      </c>
      <c r="O219" s="2">
        <v>0.01</v>
      </c>
      <c r="P219" s="2">
        <v>0.01</v>
      </c>
      <c r="Q219" s="2">
        <v>0.01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0.01</v>
      </c>
      <c r="X219" s="2">
        <v>0</v>
      </c>
      <c r="AA219" s="1" t="s">
        <v>16</v>
      </c>
      <c r="AB219" s="2">
        <v>317.8</v>
      </c>
      <c r="AC219" s="2">
        <v>296.8</v>
      </c>
      <c r="AD219" s="2">
        <v>63.7</v>
      </c>
      <c r="AE219" s="2">
        <v>116.9</v>
      </c>
      <c r="AF219" s="2">
        <v>140.69999999999999</v>
      </c>
      <c r="AG219" s="2">
        <v>162.4</v>
      </c>
      <c r="AH219" s="2">
        <v>43.4</v>
      </c>
      <c r="AI219" s="2">
        <v>75.599999999999994</v>
      </c>
      <c r="AJ219" s="2">
        <v>49</v>
      </c>
      <c r="AK219" s="2">
        <v>91</v>
      </c>
    </row>
    <row r="220" spans="14:37" x14ac:dyDescent="0.3">
      <c r="N220" s="1" t="s">
        <v>17</v>
      </c>
      <c r="O220" s="2">
        <v>0.59</v>
      </c>
      <c r="P220" s="2">
        <v>0.3</v>
      </c>
      <c r="Q220" s="2">
        <v>0.81</v>
      </c>
      <c r="R220" s="2">
        <v>0.55000000000000004</v>
      </c>
      <c r="S220" s="2">
        <v>0.88</v>
      </c>
      <c r="T220" s="2">
        <v>0.64</v>
      </c>
      <c r="U220" s="2">
        <v>0.92</v>
      </c>
      <c r="V220" s="2">
        <v>0.01</v>
      </c>
      <c r="W220" s="2">
        <v>0.35</v>
      </c>
      <c r="X220" s="2">
        <v>0.09</v>
      </c>
      <c r="AA220" s="1" t="s">
        <v>17</v>
      </c>
      <c r="AB220" s="2">
        <v>14.29</v>
      </c>
      <c r="AC220" s="2">
        <v>21.2</v>
      </c>
      <c r="AD220" s="2">
        <v>25.7</v>
      </c>
      <c r="AE220" s="2">
        <v>10.28</v>
      </c>
      <c r="AF220" s="2">
        <v>9.44</v>
      </c>
      <c r="AG220" s="2">
        <v>19.920000000000002</v>
      </c>
      <c r="AH220" s="2">
        <v>8.89</v>
      </c>
      <c r="AI220" s="2">
        <v>12.4</v>
      </c>
      <c r="AJ220" s="2">
        <v>18.2</v>
      </c>
      <c r="AK220" s="2">
        <v>14</v>
      </c>
    </row>
    <row r="221" spans="14:37" x14ac:dyDescent="0.3">
      <c r="N221" s="1" t="s">
        <v>18</v>
      </c>
      <c r="O221" s="2">
        <v>2.93</v>
      </c>
      <c r="P221" s="2">
        <v>0.43</v>
      </c>
      <c r="Q221" s="2">
        <v>2.13</v>
      </c>
      <c r="R221" s="2">
        <v>3.17</v>
      </c>
      <c r="S221" s="2">
        <v>4.9400000000000004</v>
      </c>
      <c r="T221" s="2">
        <v>1.64</v>
      </c>
      <c r="U221" s="2">
        <v>5.05</v>
      </c>
      <c r="V221" s="2">
        <v>0.27</v>
      </c>
      <c r="W221" s="2">
        <v>0.05</v>
      </c>
      <c r="X221" s="2">
        <v>0.12</v>
      </c>
      <c r="AA221" s="1" t="s">
        <v>18</v>
      </c>
      <c r="AB221" s="2">
        <v>45.64</v>
      </c>
      <c r="AC221" s="2">
        <v>52.1</v>
      </c>
      <c r="AD221" s="2">
        <v>63.6</v>
      </c>
      <c r="AE221" s="2">
        <v>52.72</v>
      </c>
      <c r="AF221" s="2">
        <v>32.909999999999997</v>
      </c>
      <c r="AG221" s="2">
        <v>61.2</v>
      </c>
      <c r="AH221" s="2">
        <v>48.92</v>
      </c>
      <c r="AI221" s="2">
        <v>71.760000000000005</v>
      </c>
      <c r="AJ221" s="2">
        <v>24</v>
      </c>
      <c r="AK221" s="2">
        <v>48</v>
      </c>
    </row>
    <row r="222" spans="14:37" x14ac:dyDescent="0.3">
      <c r="N222" s="1" t="s">
        <v>19</v>
      </c>
      <c r="O222" s="2">
        <v>0.77</v>
      </c>
      <c r="P222" s="2">
        <v>0.65</v>
      </c>
      <c r="Q222" s="2">
        <v>1.58</v>
      </c>
      <c r="R222" s="2">
        <v>1.42</v>
      </c>
      <c r="S222" s="2">
        <v>1.62</v>
      </c>
      <c r="T222" s="2">
        <v>1.63</v>
      </c>
      <c r="U222" s="2">
        <v>1.38</v>
      </c>
      <c r="V222" s="2">
        <v>0.22</v>
      </c>
      <c r="W222" s="2">
        <v>0.09</v>
      </c>
      <c r="X222" s="2">
        <v>0.1</v>
      </c>
      <c r="AA222" s="1" t="s">
        <v>19</v>
      </c>
      <c r="AB222" s="2">
        <v>21.32</v>
      </c>
      <c r="AC222" s="2">
        <v>18.510000000000002</v>
      </c>
      <c r="AD222" s="2">
        <v>23.99</v>
      </c>
      <c r="AE222" s="2">
        <v>15.75</v>
      </c>
      <c r="AF222" s="2">
        <v>18.84</v>
      </c>
      <c r="AG222" s="2">
        <v>30.17</v>
      </c>
      <c r="AH222" s="2">
        <v>17</v>
      </c>
      <c r="AI222" s="2">
        <v>17</v>
      </c>
      <c r="AJ222" s="2">
        <v>9</v>
      </c>
      <c r="AK222" s="2">
        <v>7.59</v>
      </c>
    </row>
    <row r="223" spans="14:37" x14ac:dyDescent="0.3">
      <c r="N223" s="1" t="s">
        <v>20</v>
      </c>
      <c r="O223" s="2">
        <v>0.63</v>
      </c>
      <c r="P223" s="2">
        <v>1.1200000000000001</v>
      </c>
      <c r="Q223" s="2">
        <v>0.9</v>
      </c>
      <c r="R223" s="2">
        <v>0.86</v>
      </c>
      <c r="S223" s="2">
        <v>0.98</v>
      </c>
      <c r="T223" s="2">
        <v>1.56</v>
      </c>
      <c r="U223" s="2">
        <v>0.41</v>
      </c>
      <c r="V223" s="2">
        <v>0.16</v>
      </c>
      <c r="W223" s="2">
        <v>0.17</v>
      </c>
      <c r="X223" s="2">
        <v>0.21</v>
      </c>
      <c r="AA223" s="1" t="s">
        <v>20</v>
      </c>
      <c r="AB223" s="2">
        <v>64.88</v>
      </c>
      <c r="AC223" s="2">
        <v>59.73</v>
      </c>
      <c r="AD223" s="2">
        <v>102.02</v>
      </c>
      <c r="AE223" s="2">
        <v>95.13</v>
      </c>
      <c r="AF223" s="2">
        <v>99.3</v>
      </c>
      <c r="AG223" s="2">
        <v>67.73</v>
      </c>
      <c r="AH223" s="2">
        <v>69.5</v>
      </c>
      <c r="AI223" s="2">
        <v>93</v>
      </c>
      <c r="AJ223" s="2">
        <v>85</v>
      </c>
      <c r="AK223" s="2">
        <v>80</v>
      </c>
    </row>
    <row r="224" spans="14:37" x14ac:dyDescent="0.3">
      <c r="N224" s="1" t="s">
        <v>21</v>
      </c>
      <c r="O224" s="2">
        <v>0.65</v>
      </c>
      <c r="P224" s="2">
        <v>1.02</v>
      </c>
      <c r="Q224" s="2">
        <v>1.38</v>
      </c>
      <c r="R224" s="2">
        <v>1.41</v>
      </c>
      <c r="S224" s="2">
        <v>1.51</v>
      </c>
      <c r="T224" s="2">
        <v>1.54</v>
      </c>
      <c r="U224" s="2">
        <v>0.88</v>
      </c>
      <c r="V224" s="2">
        <v>1.92</v>
      </c>
      <c r="W224" s="2">
        <v>0.2</v>
      </c>
      <c r="X224" s="2">
        <v>0.21</v>
      </c>
      <c r="AA224" s="1" t="s">
        <v>21</v>
      </c>
      <c r="AB224" s="2">
        <v>14.02</v>
      </c>
      <c r="AC224" s="2">
        <v>6.66</v>
      </c>
      <c r="AD224" s="2">
        <v>9.57</v>
      </c>
      <c r="AE224" s="2">
        <v>9.2100000000000009</v>
      </c>
      <c r="AF224" s="2">
        <v>21.31</v>
      </c>
      <c r="AG224" s="2">
        <v>17.13</v>
      </c>
      <c r="AH224" s="2">
        <v>12.4</v>
      </c>
      <c r="AI224" s="2">
        <v>10.01</v>
      </c>
      <c r="AJ224" s="2">
        <v>7</v>
      </c>
      <c r="AK224" s="2">
        <v>4.25</v>
      </c>
    </row>
    <row r="225" spans="14:37" x14ac:dyDescent="0.3">
      <c r="N225" s="1" t="s">
        <v>22</v>
      </c>
      <c r="O225" s="2">
        <v>3.12</v>
      </c>
      <c r="P225" s="2">
        <v>3.11</v>
      </c>
      <c r="Q225" s="2">
        <v>2.25</v>
      </c>
      <c r="R225" s="2">
        <v>1.96</v>
      </c>
      <c r="S225" s="2">
        <v>2.39</v>
      </c>
      <c r="T225" s="2">
        <v>3.08</v>
      </c>
      <c r="U225" s="2">
        <v>0.7</v>
      </c>
      <c r="V225" s="2">
        <v>0.44</v>
      </c>
      <c r="W225" s="2">
        <v>0.08</v>
      </c>
      <c r="X225" s="2">
        <v>0.08</v>
      </c>
      <c r="AA225" s="1" t="s">
        <v>22</v>
      </c>
      <c r="AB225" s="2">
        <v>66.739999999999995</v>
      </c>
      <c r="AC225" s="2">
        <v>90.07</v>
      </c>
      <c r="AD225" s="2">
        <v>57.61</v>
      </c>
      <c r="AE225" s="2">
        <v>54.6</v>
      </c>
      <c r="AF225" s="2">
        <v>72.12</v>
      </c>
      <c r="AG225" s="2">
        <v>62.97</v>
      </c>
      <c r="AH225" s="2">
        <v>69.040000000000006</v>
      </c>
      <c r="AI225" s="2">
        <v>35.82</v>
      </c>
      <c r="AJ225" s="2">
        <v>24.15</v>
      </c>
      <c r="AK225" s="2">
        <v>24.15</v>
      </c>
    </row>
    <row r="226" spans="14:37" x14ac:dyDescent="0.3">
      <c r="N226" s="1" t="s">
        <v>23</v>
      </c>
      <c r="O226" s="2">
        <v>0.31</v>
      </c>
      <c r="P226" s="2">
        <v>0.42</v>
      </c>
      <c r="Q226" s="2">
        <v>0.44</v>
      </c>
      <c r="R226" s="2">
        <v>0.01</v>
      </c>
      <c r="S226" s="2">
        <v>0.45</v>
      </c>
      <c r="T226" s="2">
        <v>0.42</v>
      </c>
      <c r="U226" s="2">
        <v>0.3</v>
      </c>
      <c r="V226" s="2">
        <v>0</v>
      </c>
      <c r="W226" s="2">
        <v>0.04</v>
      </c>
      <c r="X226" s="2">
        <v>0.12</v>
      </c>
      <c r="AA226" s="1" t="s">
        <v>23</v>
      </c>
      <c r="AB226" s="2">
        <v>131.69999999999999</v>
      </c>
      <c r="AC226" s="2">
        <v>104.4</v>
      </c>
      <c r="AD226" s="2">
        <v>54.6</v>
      </c>
      <c r="AE226" s="2">
        <v>13.5</v>
      </c>
      <c r="AF226" s="2">
        <v>69.599999999999994</v>
      </c>
      <c r="AG226" s="2">
        <v>51</v>
      </c>
      <c r="AH226" s="2">
        <v>23.1</v>
      </c>
      <c r="AI226" s="2">
        <v>9.3000000000000007</v>
      </c>
      <c r="AJ226" s="2">
        <v>42</v>
      </c>
      <c r="AK226" s="2">
        <v>12</v>
      </c>
    </row>
  </sheetData>
  <mergeCells count="18">
    <mergeCell ref="AG202:AK202"/>
    <mergeCell ref="AG90:AK90"/>
    <mergeCell ref="AB202:AF202"/>
    <mergeCell ref="O146:S146"/>
    <mergeCell ref="AB118:AF118"/>
    <mergeCell ref="AG146:AK146"/>
    <mergeCell ref="O118:S118"/>
    <mergeCell ref="O174:S174"/>
    <mergeCell ref="T90:X90"/>
    <mergeCell ref="AG174:AK174"/>
    <mergeCell ref="AB90:AF90"/>
    <mergeCell ref="T118:X118"/>
    <mergeCell ref="O90:S90"/>
    <mergeCell ref="T146:X146"/>
    <mergeCell ref="AB174:AF174"/>
    <mergeCell ref="AG118:AK118"/>
    <mergeCell ref="T174:X174"/>
    <mergeCell ref="AB146:AF146"/>
  </mergeCells>
  <conditionalFormatting sqref="C9:L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L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EE6F-A586-4E6E-AB7C-0461D00900F7}">
  <dimension ref="B2:AX159"/>
  <sheetViews>
    <sheetView topLeftCell="I37" zoomScale="114" workbookViewId="0">
      <selection activeCell="V53" sqref="V53"/>
    </sheetView>
  </sheetViews>
  <sheetFormatPr defaultRowHeight="14.4" x14ac:dyDescent="0.3"/>
  <sheetData>
    <row r="2" spans="2:50" x14ac:dyDescent="0.3">
      <c r="B2" t="str">
        <f>Year_2032!B5</f>
        <v>TollLights</v>
      </c>
      <c r="C2" t="e">
        <f>Year_2032!C5/Year_2025!C5</f>
        <v>#DIV/0!</v>
      </c>
      <c r="D2" t="e">
        <f>Year_2032!D5/Year_2025!D5</f>
        <v>#DIV/0!</v>
      </c>
      <c r="E2" t="e">
        <f>Year_2032!E5/Year_2025!E5</f>
        <v>#DIV/0!</v>
      </c>
      <c r="F2" t="e">
        <f>Year_2032!F5/Year_2025!F5</f>
        <v>#DIV/0!</v>
      </c>
      <c r="G2" t="e">
        <f>Year_2032!G5/Year_2025!G5</f>
        <v>#DIV/0!</v>
      </c>
      <c r="H2" t="e">
        <f>Year_2032!H5/Year_2025!H5</f>
        <v>#DIV/0!</v>
      </c>
      <c r="I2" t="e">
        <f>Year_2032!I5/Year_2025!I5</f>
        <v>#DIV/0!</v>
      </c>
      <c r="J2" t="e">
        <f>Year_2032!J5/Year_2025!J5</f>
        <v>#DIV/0!</v>
      </c>
      <c r="K2" t="e">
        <f>Year_2032!K5/Year_2025!K5</f>
        <v>#DIV/0!</v>
      </c>
      <c r="L2" t="e">
        <f>Year_2032!L5/Year_2025!L5</f>
        <v>#DIV/0!</v>
      </c>
      <c r="M2" t="e">
        <f>Year_2032!M5/Year_2025!M5</f>
        <v>#DIV/0!</v>
      </c>
      <c r="N2" t="str">
        <f>Year_2032!N5</f>
        <v>ML PCE.Miles</v>
      </c>
      <c r="O2" t="e">
        <f>Year_2032!O5/Year_2025!O5</f>
        <v>#DIV/0!</v>
      </c>
      <c r="P2" t="e">
        <f>Year_2032!P5/Year_2025!P5</f>
        <v>#DIV/0!</v>
      </c>
      <c r="Q2" t="e">
        <f>Year_2032!Q5/Year_2025!Q5</f>
        <v>#DIV/0!</v>
      </c>
      <c r="R2" t="e">
        <f>Year_2032!R5/Year_2025!R5</f>
        <v>#DIV/0!</v>
      </c>
      <c r="S2" t="e">
        <f>Year_2032!S5/Year_2025!S5</f>
        <v>#DIV/0!</v>
      </c>
      <c r="T2" t="e">
        <f>Year_2032!T5/Year_2025!T5</f>
        <v>#DIV/0!</v>
      </c>
      <c r="U2" t="e">
        <f>Year_2032!U5/Year_2025!U5</f>
        <v>#DIV/0!</v>
      </c>
      <c r="V2" t="e">
        <f>Year_2032!V5/Year_2025!V5</f>
        <v>#DIV/0!</v>
      </c>
      <c r="W2" t="e">
        <f>Year_2032!W5/Year_2025!W5</f>
        <v>#DIV/0!</v>
      </c>
      <c r="X2" t="e">
        <f>Year_2032!X5/Year_2025!X5</f>
        <v>#DIV/0!</v>
      </c>
      <c r="Y2" t="e">
        <f>Year_2032!Y5/Year_2025!Y5</f>
        <v>#DIV/0!</v>
      </c>
      <c r="Z2" t="e">
        <f>Year_2032!Z5/Year_2025!Z5</f>
        <v>#DIV/0!</v>
      </c>
      <c r="AA2" t="e">
        <f>Year_2032!AA5/Year_2025!AA5</f>
        <v>#VALUE!</v>
      </c>
      <c r="AB2" t="e">
        <f>Year_2032!AB5/Year_2025!AB5</f>
        <v>#DIV/0!</v>
      </c>
      <c r="AC2" t="e">
        <f>Year_2032!AC5/Year_2025!AC5</f>
        <v>#DIV/0!</v>
      </c>
      <c r="AD2" t="e">
        <f>Year_2032!AD5/Year_2025!AD5</f>
        <v>#DIV/0!</v>
      </c>
      <c r="AE2" t="e">
        <f>Year_2032!AE5/Year_2025!AE5</f>
        <v>#DIV/0!</v>
      </c>
      <c r="AF2" t="e">
        <f>Year_2032!AF5/Year_2025!AF5</f>
        <v>#DIV/0!</v>
      </c>
      <c r="AG2" t="e">
        <f>Year_2032!AG5/Year_2025!AG5</f>
        <v>#DIV/0!</v>
      </c>
      <c r="AH2" t="e">
        <f>Year_2032!AH5/Year_2025!AH5</f>
        <v>#DIV/0!</v>
      </c>
      <c r="AI2" t="e">
        <f>Year_2032!AI5/Year_2025!AI5</f>
        <v>#DIV/0!</v>
      </c>
      <c r="AJ2" t="e">
        <f>Year_2032!AJ5/Year_2025!AJ5</f>
        <v>#DIV/0!</v>
      </c>
      <c r="AK2" t="e">
        <f>Year_2032!AK5/Year_2025!AK5</f>
        <v>#DIV/0!</v>
      </c>
      <c r="AL2" t="e">
        <f>Year_2032!AL5/Year_2025!AL5</f>
        <v>#DIV/0!</v>
      </c>
      <c r="AM2" t="e">
        <f>Year_2032!AM5/Year_2025!AM5</f>
        <v>#DIV/0!</v>
      </c>
      <c r="AN2" t="e">
        <f>Year_2032!AN5/Year_2025!AN5</f>
        <v>#VALUE!</v>
      </c>
      <c r="AO2" t="e">
        <f>Year_2032!AO5/Year_2025!AO5</f>
        <v>#DIV/0!</v>
      </c>
      <c r="AP2" t="e">
        <f>Year_2032!AP5/Year_2025!AP5</f>
        <v>#DIV/0!</v>
      </c>
      <c r="AQ2" t="e">
        <f>Year_2032!AQ5/Year_2025!AQ5</f>
        <v>#DIV/0!</v>
      </c>
      <c r="AR2" t="e">
        <f>Year_2032!AR5/Year_2025!AR5</f>
        <v>#DIV/0!</v>
      </c>
      <c r="AS2" t="e">
        <f>Year_2032!AS5/Year_2025!AS5</f>
        <v>#DIV/0!</v>
      </c>
      <c r="AT2" t="e">
        <f>Year_2032!AT5/Year_2025!AT5</f>
        <v>#DIV/0!</v>
      </c>
      <c r="AU2" t="e">
        <f>Year_2032!AU5/Year_2025!AU5</f>
        <v>#DIV/0!</v>
      </c>
      <c r="AV2" t="e">
        <f>Year_2032!AV5/Year_2025!AV5</f>
        <v>#DIV/0!</v>
      </c>
      <c r="AW2" t="e">
        <f>Year_2032!AW5/Year_2025!AW5</f>
        <v>#DIV/0!</v>
      </c>
      <c r="AX2" t="e">
        <f>Year_2032!AX5/Year_2025!AX5</f>
        <v>#DIV/0!</v>
      </c>
    </row>
    <row r="3" spans="2:50" x14ac:dyDescent="0.3">
      <c r="B3" t="str">
        <f>Year_2032!B6</f>
        <v>Direction</v>
      </c>
      <c r="C3" t="e">
        <f>Year_2032!C6/Year_2025!C6</f>
        <v>#VALUE!</v>
      </c>
      <c r="D3" t="e">
        <f>Year_2032!D6/Year_2025!D6</f>
        <v>#VALUE!</v>
      </c>
      <c r="E3" t="e">
        <f>Year_2032!E6/Year_2025!E6</f>
        <v>#VALUE!</v>
      </c>
      <c r="F3" t="e">
        <f>Year_2032!F6/Year_2025!F6</f>
        <v>#VALUE!</v>
      </c>
      <c r="G3" t="e">
        <f>Year_2032!G6/Year_2025!G6</f>
        <v>#VALUE!</v>
      </c>
      <c r="H3" t="e">
        <f>Year_2032!H6/Year_2025!H6</f>
        <v>#VALUE!</v>
      </c>
      <c r="I3" t="e">
        <f>Year_2032!I6/Year_2025!I6</f>
        <v>#VALUE!</v>
      </c>
      <c r="J3" t="e">
        <f>Year_2032!J6/Year_2025!J6</f>
        <v>#VALUE!</v>
      </c>
      <c r="K3" t="e">
        <f>Year_2032!K6/Year_2025!K6</f>
        <v>#VALUE!</v>
      </c>
      <c r="L3" t="e">
        <f>Year_2032!L6/Year_2025!L6</f>
        <v>#VALUE!</v>
      </c>
      <c r="M3" t="e">
        <f>Year_2032!M6/Year_2025!M6</f>
        <v>#DIV/0!</v>
      </c>
      <c r="N3" t="str">
        <f>Year_2032!N6</f>
        <v>Direction</v>
      </c>
      <c r="O3" t="e">
        <f>Year_2032!O6/Year_2025!O6</f>
        <v>#VALUE!</v>
      </c>
      <c r="P3" t="e">
        <f>Year_2032!P6/Year_2025!P6</f>
        <v>#VALUE!</v>
      </c>
      <c r="Q3" t="e">
        <f>Year_2032!Q6/Year_2025!Q6</f>
        <v>#VALUE!</v>
      </c>
      <c r="R3" t="e">
        <f>Year_2032!R6/Year_2025!R6</f>
        <v>#VALUE!</v>
      </c>
      <c r="S3" t="e">
        <f>Year_2032!S6/Year_2025!S6</f>
        <v>#VALUE!</v>
      </c>
      <c r="T3" t="e">
        <f>Year_2032!T6/Year_2025!T6</f>
        <v>#VALUE!</v>
      </c>
      <c r="U3" t="e">
        <f>Year_2032!U6/Year_2025!U6</f>
        <v>#VALUE!</v>
      </c>
      <c r="V3" t="e">
        <f>Year_2032!V6/Year_2025!V6</f>
        <v>#VALUE!</v>
      </c>
      <c r="W3" t="e">
        <f>Year_2032!W6/Year_2025!W6</f>
        <v>#VALUE!</v>
      </c>
      <c r="X3" t="e">
        <f>Year_2032!X6/Year_2025!X6</f>
        <v>#VALUE!</v>
      </c>
      <c r="Y3" t="e">
        <f>Year_2032!Y6/Year_2025!Y6</f>
        <v>#DIV/0!</v>
      </c>
      <c r="Z3" t="e">
        <f>Year_2032!Z6/Year_2025!Z6</f>
        <v>#DIV/0!</v>
      </c>
      <c r="AA3" t="e">
        <f>Year_2032!AA6/Year_2025!AA6</f>
        <v>#VALUE!</v>
      </c>
      <c r="AB3" t="e">
        <f>Year_2032!AB6/Year_2025!AB6</f>
        <v>#VALUE!</v>
      </c>
      <c r="AC3" t="e">
        <f>Year_2032!AC6/Year_2025!AC6</f>
        <v>#VALUE!</v>
      </c>
      <c r="AD3" t="e">
        <f>Year_2032!AD6/Year_2025!AD6</f>
        <v>#VALUE!</v>
      </c>
      <c r="AE3" t="e">
        <f>Year_2032!AE6/Year_2025!AE6</f>
        <v>#VALUE!</v>
      </c>
      <c r="AF3" t="e">
        <f>Year_2032!AF6/Year_2025!AF6</f>
        <v>#VALUE!</v>
      </c>
      <c r="AG3" t="e">
        <f>Year_2032!AG6/Year_2025!AG6</f>
        <v>#VALUE!</v>
      </c>
      <c r="AH3" t="e">
        <f>Year_2032!AH6/Year_2025!AH6</f>
        <v>#VALUE!</v>
      </c>
      <c r="AI3" t="e">
        <f>Year_2032!AI6/Year_2025!AI6</f>
        <v>#VALUE!</v>
      </c>
      <c r="AJ3" t="e">
        <f>Year_2032!AJ6/Year_2025!AJ6</f>
        <v>#VALUE!</v>
      </c>
      <c r="AK3" t="e">
        <f>Year_2032!AK6/Year_2025!AK6</f>
        <v>#VALUE!</v>
      </c>
      <c r="AL3" t="e">
        <f>Year_2032!AL6/Year_2025!AL6</f>
        <v>#DIV/0!</v>
      </c>
      <c r="AM3" t="e">
        <f>Year_2032!AM6/Year_2025!AM6</f>
        <v>#DIV/0!</v>
      </c>
      <c r="AN3" t="e">
        <f>Year_2032!AN6/Year_2025!AN6</f>
        <v>#VALUE!</v>
      </c>
      <c r="AO3" t="e">
        <f>Year_2032!AO6/Year_2025!AO6</f>
        <v>#VALUE!</v>
      </c>
      <c r="AP3" t="e">
        <f>Year_2032!AP6/Year_2025!AP6</f>
        <v>#VALUE!</v>
      </c>
      <c r="AQ3" t="e">
        <f>Year_2032!AQ6/Year_2025!AQ6</f>
        <v>#VALUE!</v>
      </c>
      <c r="AR3" t="e">
        <f>Year_2032!AR6/Year_2025!AR6</f>
        <v>#VALUE!</v>
      </c>
      <c r="AS3" t="e">
        <f>Year_2032!AS6/Year_2025!AS6</f>
        <v>#VALUE!</v>
      </c>
      <c r="AT3" t="e">
        <f>Year_2032!AT6/Year_2025!AT6</f>
        <v>#VALUE!</v>
      </c>
      <c r="AU3" t="e">
        <f>Year_2032!AU6/Year_2025!AU6</f>
        <v>#VALUE!</v>
      </c>
      <c r="AV3" t="e">
        <f>Year_2032!AV6/Year_2025!AV6</f>
        <v>#VALUE!</v>
      </c>
      <c r="AW3" t="e">
        <f>Year_2032!AW6/Year_2025!AW6</f>
        <v>#VALUE!</v>
      </c>
      <c r="AX3" t="e">
        <f>Year_2032!AX6/Year_2025!AX6</f>
        <v>#VALUE!</v>
      </c>
    </row>
    <row r="4" spans="2:50" x14ac:dyDescent="0.3">
      <c r="B4" t="str">
        <f>Year_2032!B7</f>
        <v>Segment</v>
      </c>
      <c r="C4">
        <f>Year_2032!C7/Year_2025!C7</f>
        <v>1</v>
      </c>
      <c r="D4">
        <f>Year_2032!D7/Year_2025!D7</f>
        <v>1</v>
      </c>
      <c r="E4">
        <f>Year_2032!E7/Year_2025!E7</f>
        <v>1</v>
      </c>
      <c r="F4">
        <f>Year_2032!F7/Year_2025!F7</f>
        <v>1</v>
      </c>
      <c r="G4">
        <f>Year_2032!G7/Year_2025!G7</f>
        <v>1</v>
      </c>
      <c r="H4">
        <f>Year_2032!H7/Year_2025!H7</f>
        <v>1</v>
      </c>
      <c r="I4">
        <f>Year_2032!I7/Year_2025!I7</f>
        <v>1</v>
      </c>
      <c r="J4">
        <f>Year_2032!J7/Year_2025!J7</f>
        <v>1</v>
      </c>
      <c r="K4">
        <f>Year_2032!K7/Year_2025!K7</f>
        <v>1</v>
      </c>
      <c r="L4">
        <f>Year_2032!L7/Year_2025!L7</f>
        <v>1</v>
      </c>
      <c r="M4" t="e">
        <f>Year_2032!M7/Year_2025!M7</f>
        <v>#DIV/0!</v>
      </c>
      <c r="N4" t="str">
        <f>Year_2032!N7</f>
        <v>Segment</v>
      </c>
      <c r="O4">
        <f>Year_2032!O7/Year_2025!O7</f>
        <v>1</v>
      </c>
      <c r="P4">
        <f>Year_2032!P7/Year_2025!P7</f>
        <v>1</v>
      </c>
      <c r="Q4">
        <f>Year_2032!Q7/Year_2025!Q7</f>
        <v>1</v>
      </c>
      <c r="R4">
        <f>Year_2032!R7/Year_2025!R7</f>
        <v>1</v>
      </c>
      <c r="S4">
        <f>Year_2032!S7/Year_2025!S7</f>
        <v>1</v>
      </c>
      <c r="T4">
        <f>Year_2032!T7/Year_2025!T7</f>
        <v>1</v>
      </c>
      <c r="U4">
        <f>Year_2032!U7/Year_2025!U7</f>
        <v>1</v>
      </c>
      <c r="V4">
        <f>Year_2032!V7/Year_2025!V7</f>
        <v>1</v>
      </c>
      <c r="W4">
        <f>Year_2032!W7/Year_2025!W7</f>
        <v>1</v>
      </c>
      <c r="X4">
        <f>Year_2032!X7/Year_2025!X7</f>
        <v>1</v>
      </c>
      <c r="Y4" t="e">
        <f>Year_2032!Y7/Year_2025!Y7</f>
        <v>#DIV/0!</v>
      </c>
      <c r="Z4" t="e">
        <f>Year_2032!Z7/Year_2025!Z7</f>
        <v>#DIV/0!</v>
      </c>
      <c r="AA4" t="e">
        <f>Year_2032!AA7/Year_2025!AA7</f>
        <v>#VALUE!</v>
      </c>
      <c r="AB4">
        <f>Year_2032!AB7/Year_2025!AB7</f>
        <v>1</v>
      </c>
      <c r="AC4">
        <f>Year_2032!AC7/Year_2025!AC7</f>
        <v>1</v>
      </c>
      <c r="AD4">
        <f>Year_2032!AD7/Year_2025!AD7</f>
        <v>1</v>
      </c>
      <c r="AE4">
        <f>Year_2032!AE7/Year_2025!AE7</f>
        <v>1</v>
      </c>
      <c r="AF4">
        <f>Year_2032!AF7/Year_2025!AF7</f>
        <v>1</v>
      </c>
      <c r="AG4">
        <f>Year_2032!AG7/Year_2025!AG7</f>
        <v>1</v>
      </c>
      <c r="AH4">
        <f>Year_2032!AH7/Year_2025!AH7</f>
        <v>1</v>
      </c>
      <c r="AI4">
        <f>Year_2032!AI7/Year_2025!AI7</f>
        <v>1</v>
      </c>
      <c r="AJ4">
        <f>Year_2032!AJ7/Year_2025!AJ7</f>
        <v>1</v>
      </c>
      <c r="AK4">
        <f>Year_2032!AK7/Year_2025!AK7</f>
        <v>1</v>
      </c>
      <c r="AL4" t="e">
        <f>Year_2032!AL7/Year_2025!AL7</f>
        <v>#DIV/0!</v>
      </c>
      <c r="AM4" t="e">
        <f>Year_2032!AM7/Year_2025!AM7</f>
        <v>#DIV/0!</v>
      </c>
      <c r="AN4" t="e">
        <f>Year_2032!AN7/Year_2025!AN7</f>
        <v>#VALUE!</v>
      </c>
      <c r="AO4">
        <f>Year_2032!AO7/Year_2025!AO7</f>
        <v>1</v>
      </c>
      <c r="AP4">
        <f>Year_2032!AP7/Year_2025!AP7</f>
        <v>1</v>
      </c>
      <c r="AQ4">
        <f>Year_2032!AQ7/Year_2025!AQ7</f>
        <v>1</v>
      </c>
      <c r="AR4">
        <f>Year_2032!AR7/Year_2025!AR7</f>
        <v>1</v>
      </c>
      <c r="AS4">
        <f>Year_2032!AS7/Year_2025!AS7</f>
        <v>1</v>
      </c>
      <c r="AT4">
        <f>Year_2032!AT7/Year_2025!AT7</f>
        <v>1</v>
      </c>
      <c r="AU4">
        <f>Year_2032!AU7/Year_2025!AU7</f>
        <v>1</v>
      </c>
      <c r="AV4">
        <f>Year_2032!AV7/Year_2025!AV7</f>
        <v>1</v>
      </c>
      <c r="AW4">
        <f>Year_2032!AW7/Year_2025!AW7</f>
        <v>1</v>
      </c>
      <c r="AX4">
        <f>Year_2032!AX7/Year_2025!AX7</f>
        <v>1</v>
      </c>
    </row>
    <row r="5" spans="2:50" x14ac:dyDescent="0.3">
      <c r="B5" t="str">
        <f>Year_2032!B8</f>
        <v>Period</v>
      </c>
      <c r="C5" t="e">
        <f>Year_2032!C8/Year_2025!C8</f>
        <v>#DIV/0!</v>
      </c>
      <c r="D5" t="e">
        <f>Year_2032!D8/Year_2025!D8</f>
        <v>#DIV/0!</v>
      </c>
      <c r="E5" t="e">
        <f>Year_2032!E8/Year_2025!E8</f>
        <v>#DIV/0!</v>
      </c>
      <c r="F5" t="e">
        <f>Year_2032!F8/Year_2025!F8</f>
        <v>#DIV/0!</v>
      </c>
      <c r="G5" t="e">
        <f>Year_2032!G8/Year_2025!G8</f>
        <v>#DIV/0!</v>
      </c>
      <c r="H5" t="e">
        <f>Year_2032!H8/Year_2025!H8</f>
        <v>#DIV/0!</v>
      </c>
      <c r="I5" t="e">
        <f>Year_2032!I8/Year_2025!I8</f>
        <v>#DIV/0!</v>
      </c>
      <c r="J5" t="e">
        <f>Year_2032!J8/Year_2025!J8</f>
        <v>#DIV/0!</v>
      </c>
      <c r="K5" t="e">
        <f>Year_2032!K8/Year_2025!K8</f>
        <v>#DIV/0!</v>
      </c>
      <c r="L5" t="e">
        <f>Year_2032!L8/Year_2025!L8</f>
        <v>#DIV/0!</v>
      </c>
      <c r="M5" t="e">
        <f>Year_2032!M8/Year_2025!M8</f>
        <v>#DIV/0!</v>
      </c>
      <c r="N5" t="str">
        <f>Year_2032!N8</f>
        <v>Period</v>
      </c>
      <c r="O5" t="e">
        <f>Year_2032!O8/Year_2025!O8</f>
        <v>#DIV/0!</v>
      </c>
      <c r="P5" t="e">
        <f>Year_2032!P8/Year_2025!P8</f>
        <v>#DIV/0!</v>
      </c>
      <c r="Q5" t="e">
        <f>Year_2032!Q8/Year_2025!Q8</f>
        <v>#DIV/0!</v>
      </c>
      <c r="R5" t="e">
        <f>Year_2032!R8/Year_2025!R8</f>
        <v>#DIV/0!</v>
      </c>
      <c r="S5" t="e">
        <f>Year_2032!S8/Year_2025!S8</f>
        <v>#DIV/0!</v>
      </c>
      <c r="T5" t="e">
        <f>Year_2032!T8/Year_2025!T8</f>
        <v>#DIV/0!</v>
      </c>
      <c r="U5" t="e">
        <f>Year_2032!U8/Year_2025!U8</f>
        <v>#DIV/0!</v>
      </c>
      <c r="V5" t="e">
        <f>Year_2032!V8/Year_2025!V8</f>
        <v>#DIV/0!</v>
      </c>
      <c r="W5" t="e">
        <f>Year_2032!W8/Year_2025!W8</f>
        <v>#DIV/0!</v>
      </c>
      <c r="X5" t="e">
        <f>Year_2032!X8/Year_2025!X8</f>
        <v>#DIV/0!</v>
      </c>
      <c r="Y5" t="e">
        <f>Year_2032!Y8/Year_2025!Y8</f>
        <v>#DIV/0!</v>
      </c>
      <c r="Z5" t="e">
        <f>Year_2032!Z8/Year_2025!Z8</f>
        <v>#DIV/0!</v>
      </c>
      <c r="AA5" t="e">
        <f>Year_2032!AA8/Year_2025!AA8</f>
        <v>#VALUE!</v>
      </c>
      <c r="AB5" t="e">
        <f>Year_2032!AB8/Year_2025!AB8</f>
        <v>#DIV/0!</v>
      </c>
      <c r="AC5" t="e">
        <f>Year_2032!AC8/Year_2025!AC8</f>
        <v>#DIV/0!</v>
      </c>
      <c r="AD5" t="e">
        <f>Year_2032!AD8/Year_2025!AD8</f>
        <v>#DIV/0!</v>
      </c>
      <c r="AE5" t="e">
        <f>Year_2032!AE8/Year_2025!AE8</f>
        <v>#DIV/0!</v>
      </c>
      <c r="AF5" t="e">
        <f>Year_2032!AF8/Year_2025!AF8</f>
        <v>#DIV/0!</v>
      </c>
      <c r="AG5" t="e">
        <f>Year_2032!AG8/Year_2025!AG8</f>
        <v>#DIV/0!</v>
      </c>
      <c r="AH5" t="e">
        <f>Year_2032!AH8/Year_2025!AH8</f>
        <v>#DIV/0!</v>
      </c>
      <c r="AI5" t="e">
        <f>Year_2032!AI8/Year_2025!AI8</f>
        <v>#DIV/0!</v>
      </c>
      <c r="AJ5" t="e">
        <f>Year_2032!AJ8/Year_2025!AJ8</f>
        <v>#DIV/0!</v>
      </c>
      <c r="AK5" t="e">
        <f>Year_2032!AK8/Year_2025!AK8</f>
        <v>#DIV/0!</v>
      </c>
      <c r="AL5" t="e">
        <f>Year_2032!AL8/Year_2025!AL8</f>
        <v>#DIV/0!</v>
      </c>
      <c r="AM5" t="e">
        <f>Year_2032!AM8/Year_2025!AM8</f>
        <v>#DIV/0!</v>
      </c>
      <c r="AN5" t="e">
        <f>Year_2032!AN8/Year_2025!AN8</f>
        <v>#VALUE!</v>
      </c>
      <c r="AO5" t="e">
        <f>Year_2032!AO8/Year_2025!AO8</f>
        <v>#DIV/0!</v>
      </c>
      <c r="AP5" t="e">
        <f>Year_2032!AP8/Year_2025!AP8</f>
        <v>#DIV/0!</v>
      </c>
      <c r="AQ5" t="e">
        <f>Year_2032!AQ8/Year_2025!AQ8</f>
        <v>#DIV/0!</v>
      </c>
      <c r="AR5" t="e">
        <f>Year_2032!AR8/Year_2025!AR8</f>
        <v>#DIV/0!</v>
      </c>
      <c r="AS5" t="e">
        <f>Year_2032!AS8/Year_2025!AS8</f>
        <v>#DIV/0!</v>
      </c>
      <c r="AT5" t="e">
        <f>Year_2032!AT8/Year_2025!AT8</f>
        <v>#DIV/0!</v>
      </c>
      <c r="AU5" t="e">
        <f>Year_2032!AU8/Year_2025!AU8</f>
        <v>#DIV/0!</v>
      </c>
      <c r="AV5" t="e">
        <f>Year_2032!AV8/Year_2025!AV8</f>
        <v>#DIV/0!</v>
      </c>
      <c r="AW5" t="e">
        <f>Year_2032!AW8/Year_2025!AW8</f>
        <v>#DIV/0!</v>
      </c>
      <c r="AX5" t="e">
        <f>Year_2032!AX8/Year_2025!AX8</f>
        <v>#DIV/0!</v>
      </c>
    </row>
    <row r="6" spans="2:50" x14ac:dyDescent="0.3">
      <c r="B6" t="str">
        <f>Year_2032!B9</f>
        <v>Night</v>
      </c>
      <c r="C6">
        <f>Year_2032!C9/Year_2025!C9</f>
        <v>1</v>
      </c>
      <c r="D6">
        <f>Year_2032!D9/Year_2025!D9</f>
        <v>1</v>
      </c>
      <c r="E6">
        <f>Year_2032!E9/Year_2025!E9</f>
        <v>1</v>
      </c>
      <c r="F6">
        <f>Year_2032!F9/Year_2025!F9</f>
        <v>1</v>
      </c>
      <c r="G6">
        <f>Year_2032!G9/Year_2025!G9</f>
        <v>1</v>
      </c>
      <c r="H6">
        <f>Year_2032!H9/Year_2025!H9</f>
        <v>1</v>
      </c>
      <c r="I6">
        <f>Year_2032!I9/Year_2025!I9</f>
        <v>1</v>
      </c>
      <c r="J6">
        <f>Year_2032!J9/Year_2025!J9</f>
        <v>1</v>
      </c>
      <c r="K6">
        <f>Year_2032!K9/Year_2025!K9</f>
        <v>1</v>
      </c>
      <c r="L6">
        <f>Year_2032!L9/Year_2025!L9</f>
        <v>1</v>
      </c>
      <c r="M6" t="e">
        <f>Year_2032!M9/Year_2025!M9</f>
        <v>#DIV/0!</v>
      </c>
      <c r="N6" t="str">
        <f>Year_2032!N9</f>
        <v>Night</v>
      </c>
      <c r="O6">
        <f>Year_2032!O9/Year_2025!O9</f>
        <v>1.9731240382231743</v>
      </c>
      <c r="P6">
        <f>Year_2032!P9/Year_2025!P9</f>
        <v>1.9523201082310055</v>
      </c>
      <c r="Q6">
        <f>Year_2032!Q9/Year_2025!Q9</f>
        <v>1.9514941269551458</v>
      </c>
      <c r="R6">
        <f>Year_2032!R9/Year_2025!R9</f>
        <v>1.2022707803477188</v>
      </c>
      <c r="S6">
        <f>Year_2032!S9/Year_2025!S9</f>
        <v>1.2926762984942184</v>
      </c>
      <c r="T6">
        <f>Year_2032!T9/Year_2025!T9</f>
        <v>1.2975565111643244</v>
      </c>
      <c r="U6">
        <f>Year_2032!U9/Year_2025!U9</f>
        <v>1.2116303046274335</v>
      </c>
      <c r="V6">
        <f>Year_2032!V9/Year_2025!V9</f>
        <v>1.2116312836008318</v>
      </c>
      <c r="W6">
        <f>Year_2032!W9/Year_2025!W9</f>
        <v>0.98965056816607844</v>
      </c>
      <c r="X6">
        <f>Year_2032!X9/Year_2025!X9</f>
        <v>0.99569761570439441</v>
      </c>
      <c r="Y6" t="e">
        <f>Year_2032!Y9/Year_2025!Y9</f>
        <v>#DIV/0!</v>
      </c>
      <c r="Z6" t="e">
        <f>Year_2032!Z9/Year_2025!Z9</f>
        <v>#DIV/0!</v>
      </c>
      <c r="AA6" t="e">
        <f>Year_2032!AA9/Year_2025!AA9</f>
        <v>#VALUE!</v>
      </c>
      <c r="AB6">
        <f>Year_2032!AB9/Year_2025!AB9</f>
        <v>1.1544449494240179</v>
      </c>
      <c r="AC6">
        <f>Year_2032!AC9/Year_2025!AC9</f>
        <v>1.1555881924083009</v>
      </c>
      <c r="AD6">
        <f>Year_2032!AD9/Year_2025!AD9</f>
        <v>1.1541278444771887</v>
      </c>
      <c r="AE6">
        <f>Year_2032!AE9/Year_2025!AE9</f>
        <v>1.202231227511722</v>
      </c>
      <c r="AF6">
        <f>Year_2032!AF9/Year_2025!AF9</f>
        <v>1.206961500607709</v>
      </c>
      <c r="AG6">
        <f>Year_2032!AG9/Year_2025!AG9</f>
        <v>1.206806735500155</v>
      </c>
      <c r="AH6">
        <f>Year_2032!AH9/Year_2025!AH9</f>
        <v>1.2115351997749602</v>
      </c>
      <c r="AI6">
        <f>Year_2032!AI9/Year_2025!AI9</f>
        <v>1.2116778484529329</v>
      </c>
      <c r="AJ6">
        <f>Year_2032!AJ9/Year_2025!AJ9</f>
        <v>1.0011378123425838</v>
      </c>
      <c r="AK6">
        <f>Year_2032!AK9/Year_2025!AK9</f>
        <v>1.0004647656109313</v>
      </c>
      <c r="AL6" t="e">
        <f>Year_2032!AL9/Year_2025!AL9</f>
        <v>#DIV/0!</v>
      </c>
      <c r="AM6" t="e">
        <f>Year_2032!AM9/Year_2025!AM9</f>
        <v>#DIV/0!</v>
      </c>
      <c r="AN6" t="e">
        <f>Year_2032!AN9/Year_2025!AN9</f>
        <v>#VALUE!</v>
      </c>
      <c r="AO6">
        <f>Year_2032!AO9/Year_2025!AO9</f>
        <v>1.2023608768971332</v>
      </c>
      <c r="AP6">
        <f>Year_2032!AP9/Year_2025!AP9</f>
        <v>1.2023344651952461</v>
      </c>
      <c r="AQ6">
        <f>Year_2032!AQ9/Year_2025!AQ9</f>
        <v>1.2023247496423461</v>
      </c>
      <c r="AR6">
        <f>Year_2032!AR9/Year_2025!AR9</f>
        <v>1.2022335970218707</v>
      </c>
      <c r="AS6">
        <f>Year_2032!AS9/Year_2025!AS9</f>
        <v>1.2114188807235726</v>
      </c>
      <c r="AT6">
        <f>Year_2032!AT9/Year_2025!AT9</f>
        <v>1.2114993646759846</v>
      </c>
      <c r="AU6">
        <f>Year_2032!AU9/Year_2025!AU9</f>
        <v>1.2115409413281755</v>
      </c>
      <c r="AV6">
        <f>Year_2032!AV9/Year_2025!AV9</f>
        <v>1.2116755117513267</v>
      </c>
      <c r="AW6">
        <f>Year_2032!AW9/Year_2025!AW9</f>
        <v>1</v>
      </c>
      <c r="AX6">
        <f>Year_2032!AX9/Year_2025!AX9</f>
        <v>1</v>
      </c>
    </row>
    <row r="7" spans="2:50" x14ac:dyDescent="0.3">
      <c r="B7" t="str">
        <f>Year_2032!B10</f>
        <v>AM-Early</v>
      </c>
      <c r="C7">
        <f>Year_2032!C10/Year_2025!C10</f>
        <v>1.7307692307692308</v>
      </c>
      <c r="D7">
        <f>Year_2032!D10/Year_2025!D10</f>
        <v>1.78</v>
      </c>
      <c r="E7">
        <f>Year_2032!E10/Year_2025!E10</f>
        <v>2.0499999999999998</v>
      </c>
      <c r="F7">
        <f>Year_2032!F10/Year_2025!F10</f>
        <v>1.1538461538461537</v>
      </c>
      <c r="G7">
        <f>Year_2032!G10/Year_2025!G10</f>
        <v>2.3714285714285714</v>
      </c>
      <c r="H7">
        <f>Year_2032!H10/Year_2025!H10</f>
        <v>1.92</v>
      </c>
      <c r="I7">
        <f>Year_2032!I10/Year_2025!I10</f>
        <v>2.3076923076923075</v>
      </c>
      <c r="J7">
        <f>Year_2032!J10/Year_2025!J10</f>
        <v>1</v>
      </c>
      <c r="K7">
        <f>Year_2032!K10/Year_2025!K10</f>
        <v>1.4285714285714286</v>
      </c>
      <c r="L7">
        <f>Year_2032!L10/Year_2025!L10</f>
        <v>1.3829787234042554</v>
      </c>
      <c r="M7" t="e">
        <f>Year_2032!M10/Year_2025!M10</f>
        <v>#DIV/0!</v>
      </c>
      <c r="N7" t="str">
        <f>Year_2032!N10</f>
        <v>AM-Early</v>
      </c>
      <c r="O7">
        <f>Year_2032!O10/Year_2025!O10</f>
        <v>1.2150054114759516</v>
      </c>
      <c r="P7">
        <f>Year_2032!P10/Year_2025!P10</f>
        <v>1.1991732138298778</v>
      </c>
      <c r="Q7">
        <f>Year_2032!Q10/Year_2025!Q10</f>
        <v>1.1828241537079465</v>
      </c>
      <c r="R7">
        <f>Year_2032!R10/Year_2025!R10</f>
        <v>1.2695361785734463</v>
      </c>
      <c r="S7">
        <f>Year_2032!S10/Year_2025!S10</f>
        <v>1.1674830791547084</v>
      </c>
      <c r="T7">
        <f>Year_2032!T10/Year_2025!T10</f>
        <v>1.2054061447451658</v>
      </c>
      <c r="U7">
        <f>Year_2032!U10/Year_2025!U10</f>
        <v>1.2131411450406056</v>
      </c>
      <c r="V7">
        <f>Year_2032!V10/Year_2025!V10</f>
        <v>1.2115130667275307</v>
      </c>
      <c r="W7">
        <f>Year_2032!W10/Year_2025!W10</f>
        <v>1.0676518747279624</v>
      </c>
      <c r="X7">
        <f>Year_2032!X10/Year_2025!X10</f>
        <v>0.9991615574071161</v>
      </c>
      <c r="Y7" t="e">
        <f>Year_2032!Y10/Year_2025!Y10</f>
        <v>#DIV/0!</v>
      </c>
      <c r="Z7" t="e">
        <f>Year_2032!Z10/Year_2025!Z10</f>
        <v>#DIV/0!</v>
      </c>
      <c r="AA7" t="e">
        <f>Year_2032!AA10/Year_2025!AA10</f>
        <v>#VALUE!</v>
      </c>
      <c r="AB7">
        <f>Year_2032!AB10/Year_2025!AB10</f>
        <v>1.1070874154211361</v>
      </c>
      <c r="AC7">
        <f>Year_2032!AC10/Year_2025!AC10</f>
        <v>1.2027998143609229</v>
      </c>
      <c r="AD7">
        <f>Year_2032!AD10/Year_2025!AD10</f>
        <v>1.2055235966179167</v>
      </c>
      <c r="AE7">
        <f>Year_2032!AE10/Year_2025!AE10</f>
        <v>0.99114848733207439</v>
      </c>
      <c r="AF7">
        <f>Year_2032!AF10/Year_2025!AF10</f>
        <v>1.2197087154406703</v>
      </c>
      <c r="AG7">
        <f>Year_2032!AG10/Year_2025!AG10</f>
        <v>1.2126197040236479</v>
      </c>
      <c r="AH7">
        <f>Year_2032!AH10/Year_2025!AH10</f>
        <v>1.2036515142659874</v>
      </c>
      <c r="AI7">
        <f>Year_2032!AI10/Year_2025!AI10</f>
        <v>1.2115175868863803</v>
      </c>
      <c r="AJ7">
        <f>Year_2032!AJ10/Year_2025!AJ10</f>
        <v>1.0231125333171565</v>
      </c>
      <c r="AK7">
        <f>Year_2032!AK10/Year_2025!AK10</f>
        <v>1.00014199881076</v>
      </c>
      <c r="AL7" t="e">
        <f>Year_2032!AL10/Year_2025!AL10</f>
        <v>#DIV/0!</v>
      </c>
      <c r="AM7" t="e">
        <f>Year_2032!AM10/Year_2025!AM10</f>
        <v>#DIV/0!</v>
      </c>
      <c r="AN7" t="e">
        <f>Year_2032!AN10/Year_2025!AN10</f>
        <v>#VALUE!</v>
      </c>
      <c r="AO7">
        <f>Year_2032!AO10/Year_2025!AO10</f>
        <v>1.1230761489433077</v>
      </c>
      <c r="AP7">
        <f>Year_2032!AP10/Year_2025!AP10</f>
        <v>1.2022716946842344</v>
      </c>
      <c r="AQ7">
        <f>Year_2032!AQ10/Year_2025!AQ10</f>
        <v>1.2022778192681105</v>
      </c>
      <c r="AR7">
        <f>Year_2032!AR10/Year_2025!AR10</f>
        <v>1.029999684628808</v>
      </c>
      <c r="AS7">
        <f>Year_2032!AS10/Year_2025!AS10</f>
        <v>1.2115293825319915</v>
      </c>
      <c r="AT7">
        <f>Year_2032!AT10/Year_2025!AT10</f>
        <v>1.2114993804213134</v>
      </c>
      <c r="AU7">
        <f>Year_2032!AU10/Year_2025!AU10</f>
        <v>1.2051407000972938</v>
      </c>
      <c r="AV7">
        <f>Year_2032!AV10/Year_2025!AV10</f>
        <v>1.2115173674588666</v>
      </c>
      <c r="AW7">
        <f>Year_2032!AW10/Year_2025!AW10</f>
        <v>1.03</v>
      </c>
      <c r="AX7">
        <f>Year_2032!AX10/Year_2025!AX10</f>
        <v>1</v>
      </c>
    </row>
    <row r="8" spans="2:50" x14ac:dyDescent="0.3">
      <c r="B8" t="str">
        <f>Year_2032!B11</f>
        <v>AM-Peak</v>
      </c>
      <c r="C8">
        <f>Year_2032!C11/Year_2025!C11</f>
        <v>2.46875</v>
      </c>
      <c r="D8">
        <f>Year_2032!D11/Year_2025!D11</f>
        <v>1.3953488372093024</v>
      </c>
      <c r="E8">
        <f>Year_2032!E11/Year_2025!E11</f>
        <v>2.1951219512195124</v>
      </c>
      <c r="F8">
        <f>Year_2032!F11/Year_2025!F11</f>
        <v>1.125</v>
      </c>
      <c r="G8">
        <f>Year_2032!G11/Year_2025!G11</f>
        <v>2.3250000000000002</v>
      </c>
      <c r="H8">
        <f>Year_2032!H11/Year_2025!H11</f>
        <v>2.0116279069767442</v>
      </c>
      <c r="I8">
        <f>Year_2032!I11/Year_2025!I11</f>
        <v>2.680327868852459</v>
      </c>
      <c r="J8">
        <f>Year_2032!J11/Year_2025!J11</f>
        <v>1.8684210526315788</v>
      </c>
      <c r="K8">
        <f>Year_2032!K11/Year_2025!K11</f>
        <v>1.3760683760683763</v>
      </c>
      <c r="L8">
        <f>Year_2032!L11/Year_2025!L11</f>
        <v>1.125</v>
      </c>
      <c r="M8" t="e">
        <f>Year_2032!M11/Year_2025!M11</f>
        <v>#DIV/0!</v>
      </c>
      <c r="N8" t="str">
        <f>Year_2032!N11</f>
        <v>AM-Peak</v>
      </c>
      <c r="O8">
        <f>Year_2032!O11/Year_2025!O11</f>
        <v>1.190309947256154</v>
      </c>
      <c r="P8">
        <f>Year_2032!P11/Year_2025!P11</f>
        <v>1.485569989133656</v>
      </c>
      <c r="Q8">
        <f>Year_2032!Q11/Year_2025!Q11</f>
        <v>1.180557867452976</v>
      </c>
      <c r="R8">
        <f>Year_2032!R11/Year_2025!R11</f>
        <v>1.4177021364857845</v>
      </c>
      <c r="S8">
        <f>Year_2032!S11/Year_2025!S11</f>
        <v>1.3078155547849053</v>
      </c>
      <c r="T8">
        <f>Year_2032!T11/Year_2025!T11</f>
        <v>1.1796091173034635</v>
      </c>
      <c r="U8">
        <f>Year_2032!U11/Year_2025!U11</f>
        <v>1.1224047155988743</v>
      </c>
      <c r="V8">
        <f>Year_2032!V11/Year_2025!V11</f>
        <v>1.1848593296512557</v>
      </c>
      <c r="W8">
        <f>Year_2032!W11/Year_2025!W11</f>
        <v>0.9991995582372043</v>
      </c>
      <c r="X8">
        <f>Year_2032!X11/Year_2025!X11</f>
        <v>1.1355608371243782</v>
      </c>
      <c r="Y8" t="e">
        <f>Year_2032!Y11/Year_2025!Y11</f>
        <v>#DIV/0!</v>
      </c>
      <c r="Z8" t="e">
        <f>Year_2032!Z11/Year_2025!Z11</f>
        <v>#DIV/0!</v>
      </c>
      <c r="AA8" t="e">
        <f>Year_2032!AA11/Year_2025!AA11</f>
        <v>#VALUE!</v>
      </c>
      <c r="AB8">
        <f>Year_2032!AB11/Year_2025!AB11</f>
        <v>1.1927476447114895</v>
      </c>
      <c r="AC8">
        <f>Year_2032!AC11/Year_2025!AC11</f>
        <v>1.1552427589791041</v>
      </c>
      <c r="AD8">
        <f>Year_2032!AD11/Year_2025!AD11</f>
        <v>1.2057066847500064</v>
      </c>
      <c r="AE8">
        <f>Year_2032!AE11/Year_2025!AE11</f>
        <v>1.0342454555740181</v>
      </c>
      <c r="AF8">
        <f>Year_2032!AF11/Year_2025!AF11</f>
        <v>1.193831363859206</v>
      </c>
      <c r="AG8">
        <f>Year_2032!AG11/Year_2025!AG11</f>
        <v>1.2172329910860202</v>
      </c>
      <c r="AH8">
        <f>Year_2032!AH11/Year_2025!AH11</f>
        <v>1.2269731078745596</v>
      </c>
      <c r="AI8">
        <f>Year_2032!AI11/Year_2025!AI11</f>
        <v>1.2161306750197922</v>
      </c>
      <c r="AJ8">
        <f>Year_2032!AJ11/Year_2025!AJ11</f>
        <v>1.0001411358217902</v>
      </c>
      <c r="AK8">
        <f>Year_2032!AK11/Year_2025!AK11</f>
        <v>0.972857344490061</v>
      </c>
      <c r="AL8" t="e">
        <f>Year_2032!AL11/Year_2025!AL11</f>
        <v>#DIV/0!</v>
      </c>
      <c r="AM8" t="e">
        <f>Year_2032!AM11/Year_2025!AM11</f>
        <v>#DIV/0!</v>
      </c>
      <c r="AN8" t="e">
        <f>Year_2032!AN11/Year_2025!AN11</f>
        <v>#VALUE!</v>
      </c>
      <c r="AO8">
        <f>Year_2032!AO11/Year_2025!AO11</f>
        <v>1.1923052782303472</v>
      </c>
      <c r="AP8">
        <f>Year_2032!AP11/Year_2025!AP11</f>
        <v>1.2023244443646586</v>
      </c>
      <c r="AQ8">
        <f>Year_2032!AQ11/Year_2025!AQ11</f>
        <v>1.2022999613451875</v>
      </c>
      <c r="AR8">
        <f>Year_2032!AR11/Year_2025!AR11</f>
        <v>1.1135176719109627</v>
      </c>
      <c r="AS8">
        <f>Year_2032!AS11/Year_2025!AS11</f>
        <v>1.2115571794778199</v>
      </c>
      <c r="AT8">
        <f>Year_2032!AT11/Year_2025!AT11</f>
        <v>1.2115304997207355</v>
      </c>
      <c r="AU8">
        <f>Year_2032!AU11/Year_2025!AU11</f>
        <v>1.2115087555028423</v>
      </c>
      <c r="AV8">
        <f>Year_2032!AV11/Year_2025!AV11</f>
        <v>1.2115378723133365</v>
      </c>
      <c r="AW8">
        <f>Year_2032!AW11/Year_2025!AW11</f>
        <v>1</v>
      </c>
      <c r="AX8">
        <f>Year_2032!AX11/Year_2025!AX11</f>
        <v>1</v>
      </c>
    </row>
    <row r="9" spans="2:50" x14ac:dyDescent="0.3">
      <c r="B9" t="str">
        <f>Year_2032!B12</f>
        <v>AM-Shoulder</v>
      </c>
      <c r="C9">
        <f>Year_2032!C12/Year_2025!C12</f>
        <v>1.3846153846153846</v>
      </c>
      <c r="D9">
        <f>Year_2032!D12/Year_2025!D12</f>
        <v>2.0813953488372094</v>
      </c>
      <c r="E9">
        <f>Year_2032!E12/Year_2025!E12</f>
        <v>2.2666666666666671</v>
      </c>
      <c r="F9">
        <f>Year_2032!F12/Year_2025!F12</f>
        <v>1.267605633802817</v>
      </c>
      <c r="G9">
        <f>Year_2032!G12/Year_2025!G12</f>
        <v>2.2450980392156863</v>
      </c>
      <c r="H9">
        <f>Year_2032!H12/Year_2025!H12</f>
        <v>2.3066666666666666</v>
      </c>
      <c r="I9">
        <f>Year_2032!I12/Year_2025!I12</f>
        <v>2.0697674418604652</v>
      </c>
      <c r="J9">
        <f>Year_2032!J12/Year_2025!J12</f>
        <v>1.8333333333333335</v>
      </c>
      <c r="K9">
        <f>Year_2032!K12/Year_2025!K12</f>
        <v>1.3846153846153846</v>
      </c>
      <c r="L9">
        <f>Year_2032!L12/Year_2025!L12</f>
        <v>1.3826086956521741</v>
      </c>
      <c r="M9" t="e">
        <f>Year_2032!M12/Year_2025!M12</f>
        <v>#DIV/0!</v>
      </c>
      <c r="N9" t="str">
        <f>Year_2032!N12</f>
        <v>AM-Shoulder</v>
      </c>
      <c r="O9">
        <f>Year_2032!O12/Year_2025!O12</f>
        <v>1.2734371974752494</v>
      </c>
      <c r="P9">
        <f>Year_2032!P12/Year_2025!P12</f>
        <v>1.1988293010066846</v>
      </c>
      <c r="Q9">
        <f>Year_2032!Q12/Year_2025!Q12</f>
        <v>1.1851703605689712</v>
      </c>
      <c r="R9">
        <f>Year_2032!R12/Year_2025!R12</f>
        <v>1.2043492092346846</v>
      </c>
      <c r="S9">
        <f>Year_2032!S12/Year_2025!S12</f>
        <v>1.1093463522790261</v>
      </c>
      <c r="T9">
        <f>Year_2032!T12/Year_2025!T12</f>
        <v>1.1836391935870856</v>
      </c>
      <c r="U9">
        <f>Year_2032!U12/Year_2025!U12</f>
        <v>1.1856349109786268</v>
      </c>
      <c r="V9">
        <f>Year_2032!V12/Year_2025!V12</f>
        <v>1.1962083440581397</v>
      </c>
      <c r="W9">
        <f>Year_2032!W12/Year_2025!W12</f>
        <v>0.99974666869331719</v>
      </c>
      <c r="X9">
        <f>Year_2032!X12/Year_2025!X12</f>
        <v>0.99968800289007842</v>
      </c>
      <c r="Y9" t="e">
        <f>Year_2032!Y12/Year_2025!Y12</f>
        <v>#DIV/0!</v>
      </c>
      <c r="Z9" t="e">
        <f>Year_2032!Z12/Year_2025!Z12</f>
        <v>#DIV/0!</v>
      </c>
      <c r="AA9" t="e">
        <f>Year_2032!AA12/Year_2025!AA12</f>
        <v>#VALUE!</v>
      </c>
      <c r="AB9">
        <f>Year_2032!AB12/Year_2025!AB12</f>
        <v>1.0492982501953489</v>
      </c>
      <c r="AC9">
        <f>Year_2032!AC12/Year_2025!AC12</f>
        <v>1.2027937895927212</v>
      </c>
      <c r="AD9">
        <f>Year_2032!AD12/Year_2025!AD12</f>
        <v>1.2047641151951496</v>
      </c>
      <c r="AE9">
        <f>Year_2032!AE12/Year_2025!AE12</f>
        <v>1.0155196468235463</v>
      </c>
      <c r="AF9">
        <f>Year_2032!AF12/Year_2025!AF12</f>
        <v>1.1557230206734344</v>
      </c>
      <c r="AG9">
        <f>Year_2032!AG12/Year_2025!AG12</f>
        <v>1.2162710751886849</v>
      </c>
      <c r="AH9">
        <f>Year_2032!AH12/Year_2025!AH12</f>
        <v>1.2160081382944903</v>
      </c>
      <c r="AI9">
        <f>Year_2032!AI12/Year_2025!AI12</f>
        <v>1.2141117090938967</v>
      </c>
      <c r="AJ9">
        <f>Year_2032!AJ12/Year_2025!AJ12</f>
        <v>1.000039860859028</v>
      </c>
      <c r="AK9">
        <f>Year_2032!AK12/Year_2025!AK12</f>
        <v>1.0000503329924819</v>
      </c>
      <c r="AL9" t="e">
        <f>Year_2032!AL12/Year_2025!AL12</f>
        <v>#DIV/0!</v>
      </c>
      <c r="AM9" t="e">
        <f>Year_2032!AM12/Year_2025!AM12</f>
        <v>#DIV/0!</v>
      </c>
      <c r="AN9" t="e">
        <f>Year_2032!AN12/Year_2025!AN12</f>
        <v>#VALUE!</v>
      </c>
      <c r="AO9">
        <f>Year_2032!AO12/Year_2025!AO12</f>
        <v>1.079482009386407</v>
      </c>
      <c r="AP9">
        <f>Year_2032!AP12/Year_2025!AP12</f>
        <v>1.2022543109935284</v>
      </c>
      <c r="AQ9">
        <f>Year_2032!AQ12/Year_2025!AQ12</f>
        <v>1.2023099233478352</v>
      </c>
      <c r="AR9">
        <f>Year_2032!AR12/Year_2025!AR12</f>
        <v>1.0404617957293543</v>
      </c>
      <c r="AS9">
        <f>Year_2032!AS12/Year_2025!AS12</f>
        <v>1.1489222015537806</v>
      </c>
      <c r="AT9">
        <f>Year_2032!AT12/Year_2025!AT12</f>
        <v>1.2115322076297685</v>
      </c>
      <c r="AU9">
        <f>Year_2032!AU12/Year_2025!AU12</f>
        <v>1.2115023163467902</v>
      </c>
      <c r="AV9">
        <f>Year_2032!AV12/Year_2025!AV12</f>
        <v>1.2115091463414633</v>
      </c>
      <c r="AW9">
        <f>Year_2032!AW12/Year_2025!AW12</f>
        <v>1</v>
      </c>
      <c r="AX9">
        <f>Year_2032!AX12/Year_2025!AX12</f>
        <v>1</v>
      </c>
    </row>
    <row r="10" spans="2:50" x14ac:dyDescent="0.3">
      <c r="B10" t="str">
        <f>Year_2032!B13</f>
        <v>MD</v>
      </c>
      <c r="C10">
        <f>Year_2032!C13/Year_2025!C13</f>
        <v>1.2857142857142858</v>
      </c>
      <c r="D10">
        <f>Year_2032!D13/Year_2025!D13</f>
        <v>1.4285714285714286</v>
      </c>
      <c r="E10">
        <f>Year_2032!E13/Year_2025!E13</f>
        <v>2</v>
      </c>
      <c r="F10">
        <f>Year_2032!F13/Year_2025!F13</f>
        <v>1.7142857142857142</v>
      </c>
      <c r="G10">
        <f>Year_2032!G13/Year_2025!G13</f>
        <v>2.0833333333333335</v>
      </c>
      <c r="H10">
        <f>Year_2032!H13/Year_2025!H13</f>
        <v>2.1492537313432836</v>
      </c>
      <c r="I10">
        <f>Year_2032!I13/Year_2025!I13</f>
        <v>1.8157894736842104</v>
      </c>
      <c r="J10">
        <f>Year_2032!J13/Year_2025!J13</f>
        <v>1.8499999999999999</v>
      </c>
      <c r="K10">
        <f>Year_2032!K13/Year_2025!K13</f>
        <v>1.267605633802817</v>
      </c>
      <c r="L10">
        <f>Year_2032!L13/Year_2025!L13</f>
        <v>1.2244897959183674</v>
      </c>
      <c r="M10" t="e">
        <f>Year_2032!M13/Year_2025!M13</f>
        <v>#DIV/0!</v>
      </c>
      <c r="N10" t="str">
        <f>Year_2032!N13</f>
        <v>MD</v>
      </c>
      <c r="O10">
        <f>Year_2032!O13/Year_2025!O13</f>
        <v>1.3321112118464793</v>
      </c>
      <c r="P10">
        <f>Year_2032!P13/Year_2025!P13</f>
        <v>1.2965470434243751</v>
      </c>
      <c r="Q10">
        <f>Year_2032!Q13/Year_2025!Q13</f>
        <v>1.3323972876226158</v>
      </c>
      <c r="R10">
        <f>Year_2032!R13/Year_2025!R13</f>
        <v>1.357982284219301</v>
      </c>
      <c r="S10">
        <f>Year_2032!S13/Year_2025!S13</f>
        <v>1.1961551338983667</v>
      </c>
      <c r="T10">
        <f>Year_2032!T13/Year_2025!T13</f>
        <v>1.1865381480916752</v>
      </c>
      <c r="U10">
        <f>Year_2032!U13/Year_2025!U13</f>
        <v>1.201921334058365</v>
      </c>
      <c r="V10">
        <f>Year_2032!V13/Year_2025!V13</f>
        <v>1.1945238821125408</v>
      </c>
      <c r="W10">
        <f>Year_2032!W13/Year_2025!W13</f>
        <v>1.062863355563036</v>
      </c>
      <c r="X10">
        <f>Year_2032!X13/Year_2025!X13</f>
        <v>1.2672386951096322</v>
      </c>
      <c r="Y10" t="e">
        <f>Year_2032!Y13/Year_2025!Y13</f>
        <v>#DIV/0!</v>
      </c>
      <c r="Z10" t="e">
        <f>Year_2032!Z13/Year_2025!Z13</f>
        <v>#DIV/0!</v>
      </c>
      <c r="AA10" t="e">
        <f>Year_2032!AA13/Year_2025!AA13</f>
        <v>#VALUE!</v>
      </c>
      <c r="AB10">
        <f>Year_2032!AB13/Year_2025!AB13</f>
        <v>1.0324507058743184</v>
      </c>
      <c r="AC10">
        <f>Year_2032!AC13/Year_2025!AC13</f>
        <v>1.0595360363198028</v>
      </c>
      <c r="AD10">
        <f>Year_2032!AD13/Year_2025!AD13</f>
        <v>1.1829803393162011</v>
      </c>
      <c r="AE10">
        <f>Year_2032!AE13/Year_2025!AE13</f>
        <v>1.1272821730066613</v>
      </c>
      <c r="AF10">
        <f>Year_2032!AF13/Year_2025!AF13</f>
        <v>1.2141944999303518</v>
      </c>
      <c r="AG10">
        <f>Year_2032!AG13/Year_2025!AG13</f>
        <v>1.2161331566129583</v>
      </c>
      <c r="AH10">
        <f>Year_2032!AH13/Year_2025!AH13</f>
        <v>1.2131873724622979</v>
      </c>
      <c r="AI10">
        <f>Year_2032!AI13/Year_2025!AI13</f>
        <v>1.2146093361616963</v>
      </c>
      <c r="AJ10">
        <f>Year_2032!AJ13/Year_2025!AJ13</f>
        <v>0.98982231210790594</v>
      </c>
      <c r="AK10">
        <f>Year_2032!AK13/Year_2025!AK13</f>
        <v>1.0130587778174684</v>
      </c>
      <c r="AL10" t="e">
        <f>Year_2032!AL13/Year_2025!AL13</f>
        <v>#DIV/0!</v>
      </c>
      <c r="AM10" t="e">
        <f>Year_2032!AM13/Year_2025!AM13</f>
        <v>#DIV/0!</v>
      </c>
      <c r="AN10" t="e">
        <f>Year_2032!AN13/Year_2025!AN13</f>
        <v>#VALUE!</v>
      </c>
      <c r="AO10">
        <f>Year_2032!AO13/Year_2025!AO13</f>
        <v>1.0740988894675829</v>
      </c>
      <c r="AP10">
        <f>Year_2032!AP13/Year_2025!AP13</f>
        <v>1.0936106060606061</v>
      </c>
      <c r="AQ10">
        <f>Year_2032!AQ13/Year_2025!AQ13</f>
        <v>1.2023502760866487</v>
      </c>
      <c r="AR10">
        <f>Year_2032!AR13/Year_2025!AR13</f>
        <v>1.1586495515695066</v>
      </c>
      <c r="AS10">
        <f>Year_2032!AS13/Year_2025!AS13</f>
        <v>1.211502423263328</v>
      </c>
      <c r="AT10">
        <f>Year_2032!AT13/Year_2025!AT13</f>
        <v>1.2115395601256784</v>
      </c>
      <c r="AU10">
        <f>Year_2032!AU13/Year_2025!AU13</f>
        <v>1.2114744582043344</v>
      </c>
      <c r="AV10">
        <f>Year_2032!AV13/Year_2025!AV13</f>
        <v>1.2115212527964205</v>
      </c>
      <c r="AW10">
        <f>Year_2032!AW13/Year_2025!AW13</f>
        <v>1</v>
      </c>
      <c r="AX10">
        <f>Year_2032!AX13/Year_2025!AX13</f>
        <v>1.0490194858626867</v>
      </c>
    </row>
    <row r="11" spans="2:50" x14ac:dyDescent="0.3">
      <c r="B11" t="str">
        <f>Year_2032!B14</f>
        <v>PM-Shoulder</v>
      </c>
      <c r="C11">
        <f>Year_2032!C14/Year_2025!C14</f>
        <v>1.4876033057851241</v>
      </c>
      <c r="D11">
        <f>Year_2032!D14/Year_2025!D14</f>
        <v>1.5126050420168069</v>
      </c>
      <c r="E11">
        <f>Year_2032!E14/Year_2025!E14</f>
        <v>2.5</v>
      </c>
      <c r="F11">
        <f>Year_2032!F14/Year_2025!F14</f>
        <v>2.9811320754716979</v>
      </c>
      <c r="G11">
        <f>Year_2032!G14/Year_2025!G14</f>
        <v>2.6567164179104474</v>
      </c>
      <c r="H11">
        <f>Year_2032!H14/Year_2025!H14</f>
        <v>1.71</v>
      </c>
      <c r="I11">
        <f>Year_2032!I14/Year_2025!I14</f>
        <v>2.1875</v>
      </c>
      <c r="J11">
        <f>Year_2032!J14/Year_2025!J14</f>
        <v>4.041666666666667</v>
      </c>
      <c r="K11">
        <f>Year_2032!K14/Year_2025!K14</f>
        <v>1.3846153846153846</v>
      </c>
      <c r="L11">
        <f>Year_2032!L14/Year_2025!L14</f>
        <v>1.3043478260869568</v>
      </c>
      <c r="M11" t="e">
        <f>Year_2032!M14/Year_2025!M14</f>
        <v>#DIV/0!</v>
      </c>
      <c r="N11" t="str">
        <f>Year_2032!N14</f>
        <v>PM-Shoulder</v>
      </c>
      <c r="O11">
        <f>Year_2032!O14/Year_2025!O14</f>
        <v>1.0495175422381604</v>
      </c>
      <c r="P11">
        <f>Year_2032!P14/Year_2025!P14</f>
        <v>1.0397430413700195</v>
      </c>
      <c r="Q11">
        <f>Year_2032!Q14/Year_2025!Q14</f>
        <v>1.1883464752960633</v>
      </c>
      <c r="R11">
        <f>Year_2032!R14/Year_2025!R14</f>
        <v>1.1333956754273715</v>
      </c>
      <c r="S11">
        <f>Year_2032!S14/Year_2025!S14</f>
        <v>1.1172037624533868</v>
      </c>
      <c r="T11">
        <f>Year_2032!T14/Year_2025!T14</f>
        <v>0.9843434444787017</v>
      </c>
      <c r="U11">
        <f>Year_2032!U14/Year_2025!U14</f>
        <v>1.1779852410201819</v>
      </c>
      <c r="V11">
        <f>Year_2032!V14/Year_2025!V14</f>
        <v>1.0793994870871233</v>
      </c>
      <c r="W11">
        <f>Year_2032!W14/Year_2025!W14</f>
        <v>1.1382936657377418</v>
      </c>
      <c r="X11">
        <f>Year_2032!X14/Year_2025!X14</f>
        <v>1.2387604775209551</v>
      </c>
      <c r="Y11" t="e">
        <f>Year_2032!Y14/Year_2025!Y14</f>
        <v>#DIV/0!</v>
      </c>
      <c r="Z11" t="e">
        <f>Year_2032!Z14/Year_2025!Z14</f>
        <v>#DIV/0!</v>
      </c>
      <c r="AA11" t="e">
        <f>Year_2032!AA14/Year_2025!AA14</f>
        <v>#VALUE!</v>
      </c>
      <c r="AB11">
        <f>Year_2032!AB14/Year_2025!AB14</f>
        <v>1.025352573096971</v>
      </c>
      <c r="AC11">
        <f>Year_2032!AC14/Year_2025!AC14</f>
        <v>1.0271835638354729</v>
      </c>
      <c r="AD11">
        <f>Year_2032!AD14/Year_2025!AD14</f>
        <v>1.2015740488454667</v>
      </c>
      <c r="AE11">
        <f>Year_2032!AE14/Year_2025!AE14</f>
        <v>1.2154852533085123</v>
      </c>
      <c r="AF11">
        <f>Year_2032!AF14/Year_2025!AF14</f>
        <v>1.1994029991715975</v>
      </c>
      <c r="AG11">
        <f>Year_2032!AG14/Year_2025!AG14</f>
        <v>1.039259969175349</v>
      </c>
      <c r="AH11">
        <f>Year_2032!AH14/Year_2025!AH14</f>
        <v>1.2191141244113068</v>
      </c>
      <c r="AI11">
        <f>Year_2032!AI14/Year_2025!AI14</f>
        <v>1.2414267388979705</v>
      </c>
      <c r="AJ11">
        <f>Year_2032!AJ14/Year_2025!AJ14</f>
        <v>1.020894803510342</v>
      </c>
      <c r="AK11">
        <f>Year_2032!AK14/Year_2025!AK14</f>
        <v>1.0166411238423121</v>
      </c>
      <c r="AL11" t="e">
        <f>Year_2032!AL14/Year_2025!AL14</f>
        <v>#DIV/0!</v>
      </c>
      <c r="AM11" t="e">
        <f>Year_2032!AM14/Year_2025!AM14</f>
        <v>#DIV/0!</v>
      </c>
      <c r="AN11" t="e">
        <f>Year_2032!AN14/Year_2025!AN14</f>
        <v>#VALUE!</v>
      </c>
      <c r="AO11">
        <f>Year_2032!AO14/Year_2025!AO14</f>
        <v>1.0294115455359503</v>
      </c>
      <c r="AP11">
        <f>Year_2032!AP14/Year_2025!AP14</f>
        <v>1.0294114518664645</v>
      </c>
      <c r="AQ11">
        <f>Year_2032!AQ14/Year_2025!AQ14</f>
        <v>1.1995273176924111</v>
      </c>
      <c r="AR11">
        <f>Year_2032!AR14/Year_2025!AR14</f>
        <v>1.2015000998203234</v>
      </c>
      <c r="AS11">
        <f>Year_2032!AS14/Year_2025!AS14</f>
        <v>1.1845271742217878</v>
      </c>
      <c r="AT11">
        <f>Year_2032!AT14/Year_2025!AT14</f>
        <v>1.0294118513094781</v>
      </c>
      <c r="AU11">
        <f>Year_2032!AU14/Year_2025!AU14</f>
        <v>1.2115339749198015</v>
      </c>
      <c r="AV11">
        <f>Year_2032!AV14/Year_2025!AV14</f>
        <v>1.2115375738111345</v>
      </c>
      <c r="AW11">
        <f>Year_2032!AW14/Year_2025!AW14</f>
        <v>1.0405746456998641</v>
      </c>
      <c r="AX11">
        <f>Year_2032!AX14/Year_2025!AX14</f>
        <v>1.0571438863915312</v>
      </c>
    </row>
    <row r="12" spans="2:50" x14ac:dyDescent="0.3">
      <c r="B12" t="str">
        <f>Year_2032!B15</f>
        <v>PM-Peak</v>
      </c>
      <c r="C12">
        <f>Year_2032!C15/Year_2025!C15</f>
        <v>1.1688311688311688</v>
      </c>
      <c r="D12">
        <f>Year_2032!D15/Year_2025!D15</f>
        <v>1.2587412587412588</v>
      </c>
      <c r="E12">
        <f>Year_2032!E15/Year_2025!E15</f>
        <v>1.6822429906542056</v>
      </c>
      <c r="F12">
        <f>Year_2032!F15/Year_2025!F15</f>
        <v>2.2638888888888888</v>
      </c>
      <c r="G12">
        <f>Year_2032!G15/Year_2025!G15</f>
        <v>2.3866666666666667</v>
      </c>
      <c r="H12">
        <f>Year_2032!H15/Year_2025!H15</f>
        <v>2.1951219512195124</v>
      </c>
      <c r="I12">
        <f>Year_2032!I15/Year_2025!I15</f>
        <v>2.0625</v>
      </c>
      <c r="J12">
        <f>Year_2032!J15/Year_2025!J15</f>
        <v>2.1999999999999997</v>
      </c>
      <c r="K12">
        <f>Year_2032!K15/Year_2025!K15</f>
        <v>1.125</v>
      </c>
      <c r="L12">
        <f>Year_2032!L15/Year_2025!L15</f>
        <v>1.4084507042253522</v>
      </c>
      <c r="M12" t="e">
        <f>Year_2032!M15/Year_2025!M15</f>
        <v>#DIV/0!</v>
      </c>
      <c r="N12" t="str">
        <f>Year_2032!N15</f>
        <v>PM-Peak</v>
      </c>
      <c r="O12">
        <f>Year_2032!O15/Year_2025!O15</f>
        <v>1.6468471921119707</v>
      </c>
      <c r="P12">
        <f>Year_2032!P15/Year_2025!P15</f>
        <v>1.5796703635139873</v>
      </c>
      <c r="Q12">
        <f>Year_2032!Q15/Year_2025!Q15</f>
        <v>1.3898790746582548</v>
      </c>
      <c r="R12">
        <f>Year_2032!R15/Year_2025!R15</f>
        <v>1.1620463336585218</v>
      </c>
      <c r="S12">
        <f>Year_2032!S15/Year_2025!S15</f>
        <v>1.1471131894413362</v>
      </c>
      <c r="T12">
        <f>Year_2032!T15/Year_2025!T15</f>
        <v>1.2290449150865561</v>
      </c>
      <c r="U12">
        <f>Year_2032!U15/Year_2025!U15</f>
        <v>1.1719522080553915</v>
      </c>
      <c r="V12">
        <f>Year_2032!V15/Year_2025!V15</f>
        <v>1.1722774132380993</v>
      </c>
      <c r="W12">
        <f>Year_2032!W15/Year_2025!W15</f>
        <v>1.1768727642190377</v>
      </c>
      <c r="X12">
        <f>Year_2032!X15/Year_2025!X15</f>
        <v>0.99879909823983348</v>
      </c>
      <c r="Y12" t="e">
        <f>Year_2032!Y15/Year_2025!Y15</f>
        <v>#DIV/0!</v>
      </c>
      <c r="Z12" t="e">
        <f>Year_2032!Z15/Year_2025!Z15</f>
        <v>#DIV/0!</v>
      </c>
      <c r="AA12" t="e">
        <f>Year_2032!AA15/Year_2025!AA15</f>
        <v>#VALUE!</v>
      </c>
      <c r="AB12">
        <f>Year_2032!AB15/Year_2025!AB15</f>
        <v>1.1113546656500912</v>
      </c>
      <c r="AC12">
        <f>Year_2032!AC15/Year_2025!AC15</f>
        <v>1.122930862185036</v>
      </c>
      <c r="AD12">
        <f>Year_2032!AD15/Year_2025!AD15</f>
        <v>1.1670058041666107</v>
      </c>
      <c r="AE12">
        <f>Year_2032!AE15/Year_2025!AE15</f>
        <v>1.2100704107708347</v>
      </c>
      <c r="AF12">
        <f>Year_2032!AF15/Year_2025!AF15</f>
        <v>1.2255401537593795</v>
      </c>
      <c r="AG12">
        <f>Year_2032!AG15/Year_2025!AG15</f>
        <v>1.2075626174308991</v>
      </c>
      <c r="AH12">
        <f>Year_2032!AH15/Year_2025!AH15</f>
        <v>1.2202481828098473</v>
      </c>
      <c r="AI12">
        <f>Year_2032!AI15/Year_2025!AI15</f>
        <v>1.2203058764090113</v>
      </c>
      <c r="AJ12">
        <f>Year_2032!AJ15/Year_2025!AJ15</f>
        <v>0.96396132182073824</v>
      </c>
      <c r="AK12">
        <f>Year_2032!AK15/Year_2025!AK15</f>
        <v>1.0002476690497732</v>
      </c>
      <c r="AL12" t="e">
        <f>Year_2032!AL15/Year_2025!AL15</f>
        <v>#DIV/0!</v>
      </c>
      <c r="AM12" t="e">
        <f>Year_2032!AM15/Year_2025!AM15</f>
        <v>#DIV/0!</v>
      </c>
      <c r="AN12" t="e">
        <f>Year_2032!AN15/Year_2025!AN15</f>
        <v>#VALUE!</v>
      </c>
      <c r="AO12">
        <f>Year_2032!AO15/Year_2025!AO15</f>
        <v>1.2022736907113769</v>
      </c>
      <c r="AP12">
        <f>Year_2032!AP15/Year_2025!AP15</f>
        <v>1.2023255813953488</v>
      </c>
      <c r="AQ12">
        <f>Year_2032!AQ15/Year_2025!AQ15</f>
        <v>1.202249116641158</v>
      </c>
      <c r="AR12">
        <f>Year_2032!AR15/Year_2025!AR15</f>
        <v>1.2023290500229462</v>
      </c>
      <c r="AS12">
        <f>Year_2032!AS15/Year_2025!AS15</f>
        <v>1.211492813361736</v>
      </c>
      <c r="AT12">
        <f>Year_2032!AT15/Year_2025!AT15</f>
        <v>1.2115244183473364</v>
      </c>
      <c r="AU12">
        <f>Year_2032!AU15/Year_2025!AU15</f>
        <v>1.2115679730376965</v>
      </c>
      <c r="AV12">
        <f>Year_2032!AV15/Year_2025!AV15</f>
        <v>1.2115178933744053</v>
      </c>
      <c r="AW12">
        <f>Year_2032!AW15/Year_2025!AW15</f>
        <v>1</v>
      </c>
      <c r="AX12">
        <f>Year_2032!AX15/Year_2025!AX15</f>
        <v>1</v>
      </c>
    </row>
    <row r="13" spans="2:50" x14ac:dyDescent="0.3">
      <c r="B13" t="str">
        <f>Year_2032!B16</f>
        <v>PM-Late</v>
      </c>
      <c r="C13">
        <f>Year_2032!C16/Year_2025!C16</f>
        <v>1.84</v>
      </c>
      <c r="D13">
        <f>Year_2032!D16/Year_2025!D16</f>
        <v>1.8837209302325584</v>
      </c>
      <c r="E13">
        <f>Year_2032!E16/Year_2025!E16</f>
        <v>1.8666666666666669</v>
      </c>
      <c r="F13">
        <f>Year_2032!F16/Year_2025!F16</f>
        <v>1.35</v>
      </c>
      <c r="G13">
        <f>Year_2032!G16/Year_2025!G16</f>
        <v>1.835820895522388</v>
      </c>
      <c r="H13">
        <f>Year_2032!H16/Year_2025!H16</f>
        <v>1.8305084745762714</v>
      </c>
      <c r="I13">
        <f>Year_2032!I16/Year_2025!I16</f>
        <v>1.78</v>
      </c>
      <c r="J13">
        <f>Year_2032!J16/Year_2025!J16</f>
        <v>1.5</v>
      </c>
      <c r="K13">
        <f>Year_2032!K16/Year_2025!K16</f>
        <v>1.3943661971830987</v>
      </c>
      <c r="L13">
        <f>Year_2032!L16/Year_2025!L16</f>
        <v>1.5175438596491229</v>
      </c>
      <c r="M13" t="e">
        <f>Year_2032!M16/Year_2025!M16</f>
        <v>#DIV/0!</v>
      </c>
      <c r="N13" t="str">
        <f>Year_2032!N16</f>
        <v>PM-Late</v>
      </c>
      <c r="O13">
        <f>Year_2032!O16/Year_2025!O16</f>
        <v>1.1998829568037452</v>
      </c>
      <c r="P13">
        <f>Year_2032!P16/Year_2025!P16</f>
        <v>1.1962048077155991</v>
      </c>
      <c r="Q13">
        <f>Year_2032!Q16/Year_2025!Q16</f>
        <v>1.1988300225617508</v>
      </c>
      <c r="R13">
        <f>Year_2032!R16/Year_2025!R16</f>
        <v>1.3447000567035279</v>
      </c>
      <c r="S13">
        <f>Year_2032!S16/Year_2025!S16</f>
        <v>1.2015688138816258</v>
      </c>
      <c r="T13">
        <f>Year_2032!T16/Year_2025!T16</f>
        <v>1.2076922019708591</v>
      </c>
      <c r="U13">
        <f>Year_2032!U16/Year_2025!U16</f>
        <v>1.2108337731812606</v>
      </c>
      <c r="V13">
        <f>Year_2032!V16/Year_2025!V16</f>
        <v>1.211445659337155</v>
      </c>
      <c r="W13">
        <f>Year_2032!W16/Year_2025!W16</f>
        <v>0.99992746176630609</v>
      </c>
      <c r="X13">
        <f>Year_2032!X16/Year_2025!X16</f>
        <v>1.0307645011473556</v>
      </c>
      <c r="Y13" t="e">
        <f>Year_2032!Y16/Year_2025!Y16</f>
        <v>#DIV/0!</v>
      </c>
      <c r="Z13" t="e">
        <f>Year_2032!Z16/Year_2025!Z16</f>
        <v>#DIV/0!</v>
      </c>
      <c r="AA13" t="e">
        <f>Year_2032!AA16/Year_2025!AA16</f>
        <v>#VALUE!</v>
      </c>
      <c r="AB13">
        <f>Year_2032!AB16/Year_2025!AB16</f>
        <v>1.2027800251114529</v>
      </c>
      <c r="AC13">
        <f>Year_2032!AC16/Year_2025!AC16</f>
        <v>1.2036691004646198</v>
      </c>
      <c r="AD13">
        <f>Year_2032!AD16/Year_2025!AD16</f>
        <v>1.2028529209378389</v>
      </c>
      <c r="AE13">
        <f>Year_2032!AE16/Year_2025!AE16</f>
        <v>1.1791794949334322</v>
      </c>
      <c r="AF13">
        <f>Year_2032!AF16/Year_2025!AF16</f>
        <v>1.2136414192526981</v>
      </c>
      <c r="AG13">
        <f>Year_2032!AG16/Year_2025!AG16</f>
        <v>1.2122923087725932</v>
      </c>
      <c r="AH13">
        <f>Year_2032!AH16/Year_2025!AH16</f>
        <v>1.2117264799172658</v>
      </c>
      <c r="AI13">
        <f>Year_2032!AI16/Year_2025!AI16</f>
        <v>1.2114215324365085</v>
      </c>
      <c r="AJ13">
        <f>Year_2032!AJ16/Year_2025!AJ16</f>
        <v>1.0000130694751515</v>
      </c>
      <c r="AK13">
        <f>Year_2032!AK16/Year_2025!AK16</f>
        <v>1.0317369394423679</v>
      </c>
      <c r="AL13" t="e">
        <f>Year_2032!AL16/Year_2025!AL16</f>
        <v>#DIV/0!</v>
      </c>
      <c r="AM13" t="e">
        <f>Year_2032!AM16/Year_2025!AM16</f>
        <v>#DIV/0!</v>
      </c>
      <c r="AN13" t="e">
        <f>Year_2032!AN16/Year_2025!AN16</f>
        <v>#VALUE!</v>
      </c>
      <c r="AO13">
        <f>Year_2032!AO16/Year_2025!AO16</f>
        <v>1.2023034154090546</v>
      </c>
      <c r="AP13">
        <f>Year_2032!AP16/Year_2025!AP16</f>
        <v>1.2023567567567568</v>
      </c>
      <c r="AQ13">
        <f>Year_2032!AQ16/Year_2025!AQ16</f>
        <v>1.2022792769190465</v>
      </c>
      <c r="AR13">
        <f>Year_2032!AR16/Year_2025!AR16</f>
        <v>1.2022831050228311</v>
      </c>
      <c r="AS13">
        <f>Year_2032!AS16/Year_2025!AS16</f>
        <v>1.2115397984011123</v>
      </c>
      <c r="AT13">
        <f>Year_2032!AT16/Year_2025!AT16</f>
        <v>1.2114476075105998</v>
      </c>
      <c r="AU13">
        <f>Year_2032!AU16/Year_2025!AU16</f>
        <v>1.2115720524017466</v>
      </c>
      <c r="AV13">
        <f>Year_2032!AV16/Year_2025!AV16</f>
        <v>1.2114227086183311</v>
      </c>
      <c r="AW13">
        <f>Year_2032!AW16/Year_2025!AW16</f>
        <v>1</v>
      </c>
      <c r="AX13">
        <f>Year_2032!AX16/Year_2025!AX16</f>
        <v>1.0315789755292366</v>
      </c>
    </row>
    <row r="14" spans="2:50" x14ac:dyDescent="0.3">
      <c r="B14">
        <f>Year_2032!B17</f>
        <v>0</v>
      </c>
      <c r="C14" t="e">
        <f>Year_2032!C17/Year_2025!C17</f>
        <v>#DIV/0!</v>
      </c>
      <c r="D14" t="e">
        <f>Year_2032!D17/Year_2025!D17</f>
        <v>#DIV/0!</v>
      </c>
      <c r="E14" t="e">
        <f>Year_2032!E17/Year_2025!E17</f>
        <v>#DIV/0!</v>
      </c>
      <c r="F14" t="e">
        <f>Year_2032!F17/Year_2025!F17</f>
        <v>#DIV/0!</v>
      </c>
      <c r="G14" t="e">
        <f>Year_2032!G17/Year_2025!G17</f>
        <v>#DIV/0!</v>
      </c>
      <c r="H14" t="e">
        <f>Year_2032!H17/Year_2025!H17</f>
        <v>#DIV/0!</v>
      </c>
      <c r="I14" t="e">
        <f>Year_2032!I17/Year_2025!I17</f>
        <v>#DIV/0!</v>
      </c>
      <c r="J14" t="e">
        <f>Year_2032!J17/Year_2025!J17</f>
        <v>#DIV/0!</v>
      </c>
      <c r="K14" t="e">
        <f>Year_2032!K17/Year_2025!K17</f>
        <v>#DIV/0!</v>
      </c>
      <c r="L14" t="e">
        <f>Year_2032!L17/Year_2025!L17</f>
        <v>#DIV/0!</v>
      </c>
      <c r="M14" t="e">
        <f>Year_2032!M17/Year_2025!M17</f>
        <v>#DIV/0!</v>
      </c>
      <c r="N14">
        <f>Year_2032!N17</f>
        <v>0</v>
      </c>
      <c r="O14" t="e">
        <f>Year_2032!O17/Year_2025!O17</f>
        <v>#DIV/0!</v>
      </c>
      <c r="P14" t="e">
        <f>Year_2032!P17/Year_2025!P17</f>
        <v>#DIV/0!</v>
      </c>
      <c r="Q14" t="e">
        <f>Year_2032!Q17/Year_2025!Q17</f>
        <v>#DIV/0!</v>
      </c>
      <c r="R14" t="e">
        <f>Year_2032!R17/Year_2025!R17</f>
        <v>#DIV/0!</v>
      </c>
      <c r="S14" t="e">
        <f>Year_2032!S17/Year_2025!S17</f>
        <v>#DIV/0!</v>
      </c>
      <c r="T14" t="e">
        <f>Year_2032!T17/Year_2025!T17</f>
        <v>#DIV/0!</v>
      </c>
      <c r="U14" t="e">
        <f>Year_2032!U17/Year_2025!U17</f>
        <v>#DIV/0!</v>
      </c>
      <c r="V14" t="e">
        <f>Year_2032!V17/Year_2025!V17</f>
        <v>#DIV/0!</v>
      </c>
      <c r="W14" t="e">
        <f>Year_2032!W17/Year_2025!W17</f>
        <v>#DIV/0!</v>
      </c>
      <c r="X14" t="e">
        <f>Year_2032!X17/Year_2025!X17</f>
        <v>#DIV/0!</v>
      </c>
      <c r="Y14" t="e">
        <f>Year_2032!Y17/Year_2025!Y17</f>
        <v>#DIV/0!</v>
      </c>
      <c r="Z14" t="e">
        <f>Year_2032!Z17/Year_2025!Z17</f>
        <v>#DIV/0!</v>
      </c>
      <c r="AA14" t="e">
        <f>Year_2032!AA17/Year_2025!AA17</f>
        <v>#DIV/0!</v>
      </c>
      <c r="AB14" t="e">
        <f>Year_2032!AB17/Year_2025!AB17</f>
        <v>#DIV/0!</v>
      </c>
      <c r="AC14" t="e">
        <f>Year_2032!AC17/Year_2025!AC17</f>
        <v>#DIV/0!</v>
      </c>
      <c r="AD14" t="e">
        <f>Year_2032!AD17/Year_2025!AD17</f>
        <v>#DIV/0!</v>
      </c>
      <c r="AE14" t="e">
        <f>Year_2032!AE17/Year_2025!AE17</f>
        <v>#DIV/0!</v>
      </c>
      <c r="AF14" t="e">
        <f>Year_2032!AF17/Year_2025!AF17</f>
        <v>#DIV/0!</v>
      </c>
      <c r="AG14" t="e">
        <f>Year_2032!AG17/Year_2025!AG17</f>
        <v>#DIV/0!</v>
      </c>
      <c r="AH14" t="e">
        <f>Year_2032!AH17/Year_2025!AH17</f>
        <v>#DIV/0!</v>
      </c>
      <c r="AI14" t="e">
        <f>Year_2032!AI17/Year_2025!AI17</f>
        <v>#DIV/0!</v>
      </c>
      <c r="AJ14" t="e">
        <f>Year_2032!AJ17/Year_2025!AJ17</f>
        <v>#DIV/0!</v>
      </c>
      <c r="AK14" t="e">
        <f>Year_2032!AK17/Year_2025!AK17</f>
        <v>#DIV/0!</v>
      </c>
      <c r="AL14" t="e">
        <f>Year_2032!AL17/Year_2025!AL17</f>
        <v>#DIV/0!</v>
      </c>
      <c r="AM14" t="e">
        <f>Year_2032!AM17/Year_2025!AM17</f>
        <v>#DIV/0!</v>
      </c>
      <c r="AN14" t="e">
        <f>Year_2032!AN17/Year_2025!AN17</f>
        <v>#DIV/0!</v>
      </c>
      <c r="AO14" t="e">
        <f>Year_2032!AO17/Year_2025!AO17</f>
        <v>#DIV/0!</v>
      </c>
      <c r="AP14" t="e">
        <f>Year_2032!AP17/Year_2025!AP17</f>
        <v>#DIV/0!</v>
      </c>
      <c r="AQ14" t="e">
        <f>Year_2032!AQ17/Year_2025!AQ17</f>
        <v>#DIV/0!</v>
      </c>
      <c r="AR14" t="e">
        <f>Year_2032!AR17/Year_2025!AR17</f>
        <v>#DIV/0!</v>
      </c>
      <c r="AS14" t="e">
        <f>Year_2032!AS17/Year_2025!AS17</f>
        <v>#DIV/0!</v>
      </c>
      <c r="AT14" t="e">
        <f>Year_2032!AT17/Year_2025!AT17</f>
        <v>#DIV/0!</v>
      </c>
      <c r="AU14" t="e">
        <f>Year_2032!AU17/Year_2025!AU17</f>
        <v>#DIV/0!</v>
      </c>
      <c r="AV14" t="e">
        <f>Year_2032!AV17/Year_2025!AV17</f>
        <v>#DIV/0!</v>
      </c>
      <c r="AW14" t="e">
        <f>Year_2032!AW17/Year_2025!AW17</f>
        <v>#DIV/0!</v>
      </c>
      <c r="AX14" t="e">
        <f>Year_2032!AX17/Year_2025!AX17</f>
        <v>#DIV/0!</v>
      </c>
    </row>
    <row r="15" spans="2:50" x14ac:dyDescent="0.3">
      <c r="B15">
        <f>Year_2032!B18</f>
        <v>0</v>
      </c>
      <c r="C15" t="e">
        <f>Year_2032!C18/Year_2025!C18</f>
        <v>#DIV/0!</v>
      </c>
      <c r="D15" t="e">
        <f>Year_2032!D18/Year_2025!D18</f>
        <v>#DIV/0!</v>
      </c>
      <c r="E15" t="e">
        <f>Year_2032!E18/Year_2025!E18</f>
        <v>#DIV/0!</v>
      </c>
      <c r="F15" t="e">
        <f>Year_2032!F18/Year_2025!F18</f>
        <v>#DIV/0!</v>
      </c>
      <c r="G15" t="e">
        <f>Year_2032!G18/Year_2025!G18</f>
        <v>#DIV/0!</v>
      </c>
      <c r="H15" t="e">
        <f>Year_2032!H18/Year_2025!H18</f>
        <v>#DIV/0!</v>
      </c>
      <c r="I15" t="e">
        <f>Year_2032!I18/Year_2025!I18</f>
        <v>#DIV/0!</v>
      </c>
      <c r="J15" t="e">
        <f>Year_2032!J18/Year_2025!J18</f>
        <v>#DIV/0!</v>
      </c>
      <c r="K15" t="e">
        <f>Year_2032!K18/Year_2025!K18</f>
        <v>#DIV/0!</v>
      </c>
      <c r="L15" t="e">
        <f>Year_2032!L18/Year_2025!L18</f>
        <v>#DIV/0!</v>
      </c>
      <c r="M15" t="e">
        <f>Year_2032!M18/Year_2025!M18</f>
        <v>#DIV/0!</v>
      </c>
      <c r="N15">
        <f>Year_2032!N18</f>
        <v>0</v>
      </c>
      <c r="O15" t="e">
        <f>Year_2032!O18/Year_2025!O18</f>
        <v>#DIV/0!</v>
      </c>
      <c r="P15" t="e">
        <f>Year_2032!P18/Year_2025!P18</f>
        <v>#DIV/0!</v>
      </c>
      <c r="Q15" t="e">
        <f>Year_2032!Q18/Year_2025!Q18</f>
        <v>#DIV/0!</v>
      </c>
      <c r="R15" t="e">
        <f>Year_2032!R18/Year_2025!R18</f>
        <v>#DIV/0!</v>
      </c>
      <c r="S15" t="e">
        <f>Year_2032!S18/Year_2025!S18</f>
        <v>#DIV/0!</v>
      </c>
      <c r="T15" t="e">
        <f>Year_2032!T18/Year_2025!T18</f>
        <v>#DIV/0!</v>
      </c>
      <c r="U15" t="e">
        <f>Year_2032!U18/Year_2025!U18</f>
        <v>#DIV/0!</v>
      </c>
      <c r="V15" t="e">
        <f>Year_2032!V18/Year_2025!V18</f>
        <v>#DIV/0!</v>
      </c>
      <c r="W15" t="e">
        <f>Year_2032!W18/Year_2025!W18</f>
        <v>#DIV/0!</v>
      </c>
      <c r="X15" t="e">
        <f>Year_2032!X18/Year_2025!X18</f>
        <v>#DIV/0!</v>
      </c>
      <c r="Y15" t="e">
        <f>Year_2032!Y18/Year_2025!Y18</f>
        <v>#DIV/0!</v>
      </c>
      <c r="Z15" t="e">
        <f>Year_2032!Z18/Year_2025!Z18</f>
        <v>#DIV/0!</v>
      </c>
      <c r="AA15" t="e">
        <f>Year_2032!AA18/Year_2025!AA18</f>
        <v>#DIV/0!</v>
      </c>
      <c r="AB15" t="e">
        <f>Year_2032!AB18/Year_2025!AB18</f>
        <v>#DIV/0!</v>
      </c>
      <c r="AC15" t="e">
        <f>Year_2032!AC18/Year_2025!AC18</f>
        <v>#DIV/0!</v>
      </c>
      <c r="AD15" t="e">
        <f>Year_2032!AD18/Year_2025!AD18</f>
        <v>#DIV/0!</v>
      </c>
      <c r="AE15" t="e">
        <f>Year_2032!AE18/Year_2025!AE18</f>
        <v>#DIV/0!</v>
      </c>
      <c r="AF15" t="e">
        <f>Year_2032!AF18/Year_2025!AF18</f>
        <v>#DIV/0!</v>
      </c>
      <c r="AG15" t="e">
        <f>Year_2032!AG18/Year_2025!AG18</f>
        <v>#DIV/0!</v>
      </c>
      <c r="AH15" t="e">
        <f>Year_2032!AH18/Year_2025!AH18</f>
        <v>#DIV/0!</v>
      </c>
      <c r="AI15" t="e">
        <f>Year_2032!AI18/Year_2025!AI18</f>
        <v>#DIV/0!</v>
      </c>
      <c r="AJ15" t="e">
        <f>Year_2032!AJ18/Year_2025!AJ18</f>
        <v>#DIV/0!</v>
      </c>
      <c r="AK15" t="e">
        <f>Year_2032!AK18/Year_2025!AK18</f>
        <v>#DIV/0!</v>
      </c>
      <c r="AL15" t="e">
        <f>Year_2032!AL18/Year_2025!AL18</f>
        <v>#DIV/0!</v>
      </c>
      <c r="AM15" t="e">
        <f>Year_2032!AM18/Year_2025!AM18</f>
        <v>#DIV/0!</v>
      </c>
      <c r="AN15" t="e">
        <f>Year_2032!AN18/Year_2025!AN18</f>
        <v>#DIV/0!</v>
      </c>
      <c r="AO15" t="e">
        <f>Year_2032!AO18/Year_2025!AO18</f>
        <v>#DIV/0!</v>
      </c>
      <c r="AP15" t="e">
        <f>Year_2032!AP18/Year_2025!AP18</f>
        <v>#DIV/0!</v>
      </c>
      <c r="AQ15" t="e">
        <f>Year_2032!AQ18/Year_2025!AQ18</f>
        <v>#DIV/0!</v>
      </c>
      <c r="AR15" t="e">
        <f>Year_2032!AR18/Year_2025!AR18</f>
        <v>#DIV/0!</v>
      </c>
      <c r="AS15" t="e">
        <f>Year_2032!AS18/Year_2025!AS18</f>
        <v>#DIV/0!</v>
      </c>
      <c r="AT15" t="e">
        <f>Year_2032!AT18/Year_2025!AT18</f>
        <v>#DIV/0!</v>
      </c>
      <c r="AU15" t="e">
        <f>Year_2032!AU18/Year_2025!AU18</f>
        <v>#DIV/0!</v>
      </c>
      <c r="AV15" t="e">
        <f>Year_2032!AV18/Year_2025!AV18</f>
        <v>#DIV/0!</v>
      </c>
      <c r="AW15" t="e">
        <f>Year_2032!AW18/Year_2025!AW18</f>
        <v>#DIV/0!</v>
      </c>
      <c r="AX15" t="e">
        <f>Year_2032!AX18/Year_2025!AX18</f>
        <v>#DIV/0!</v>
      </c>
    </row>
    <row r="16" spans="2:50" x14ac:dyDescent="0.3">
      <c r="B16" t="str">
        <f>Year_2032!B19</f>
        <v>CaptureRateLights</v>
      </c>
      <c r="C16" t="e">
        <f>Year_2032!C19/Year_2025!C19</f>
        <v>#DIV/0!</v>
      </c>
      <c r="D16" t="e">
        <f>Year_2032!D19/Year_2025!D19</f>
        <v>#DIV/0!</v>
      </c>
      <c r="E16" t="e">
        <f>Year_2032!E19/Year_2025!E19</f>
        <v>#DIV/0!</v>
      </c>
      <c r="F16" t="e">
        <f>Year_2032!F19/Year_2025!F19</f>
        <v>#DIV/0!</v>
      </c>
      <c r="G16" t="e">
        <f>Year_2032!G19/Year_2025!G19</f>
        <v>#DIV/0!</v>
      </c>
      <c r="H16" t="e">
        <f>Year_2032!H19/Year_2025!H19</f>
        <v>#DIV/0!</v>
      </c>
      <c r="I16" t="e">
        <f>Year_2032!I19/Year_2025!I19</f>
        <v>#DIV/0!</v>
      </c>
      <c r="J16" t="e">
        <f>Year_2032!J19/Year_2025!J19</f>
        <v>#DIV/0!</v>
      </c>
      <c r="K16" t="e">
        <f>Year_2032!K19/Year_2025!K19</f>
        <v>#DIV/0!</v>
      </c>
      <c r="L16" t="e">
        <f>Year_2032!L19/Year_2025!L19</f>
        <v>#DIV/0!</v>
      </c>
      <c r="M16" t="e">
        <f>Year_2032!M19/Year_2025!M19</f>
        <v>#DIV/0!</v>
      </c>
      <c r="N16" t="str">
        <f>Year_2032!N19</f>
        <v>ML Volume (PCE/Period)</v>
      </c>
      <c r="O16" t="e">
        <f>Year_2032!O19/Year_2025!O19</f>
        <v>#DIV/0!</v>
      </c>
      <c r="P16" t="e">
        <f>Year_2032!P19/Year_2025!P19</f>
        <v>#DIV/0!</v>
      </c>
      <c r="Q16" t="e">
        <f>Year_2032!Q19/Year_2025!Q19</f>
        <v>#DIV/0!</v>
      </c>
      <c r="R16" t="e">
        <f>Year_2032!R19/Year_2025!R19</f>
        <v>#DIV/0!</v>
      </c>
      <c r="S16" t="e">
        <f>Year_2032!S19/Year_2025!S19</f>
        <v>#DIV/0!</v>
      </c>
      <c r="T16" t="e">
        <f>Year_2032!T19/Year_2025!T19</f>
        <v>#DIV/0!</v>
      </c>
      <c r="U16" t="e">
        <f>Year_2032!U19/Year_2025!U19</f>
        <v>#DIV/0!</v>
      </c>
      <c r="V16" t="e">
        <f>Year_2032!V19/Year_2025!V19</f>
        <v>#DIV/0!</v>
      </c>
      <c r="W16" t="e">
        <f>Year_2032!W19/Year_2025!W19</f>
        <v>#DIV/0!</v>
      </c>
      <c r="X16" t="e">
        <f>Year_2032!X19/Year_2025!X19</f>
        <v>#DIV/0!</v>
      </c>
      <c r="Y16" t="e">
        <f>Year_2032!Y19/Year_2025!Y19</f>
        <v>#DIV/0!</v>
      </c>
      <c r="Z16" t="e">
        <f>Year_2032!Z19/Year_2025!Z19</f>
        <v>#DIV/0!</v>
      </c>
      <c r="AA16" t="e">
        <f>Year_2032!AA19/Year_2025!AA19</f>
        <v>#VALUE!</v>
      </c>
      <c r="AB16" t="e">
        <f>Year_2032!AB19/Year_2025!AB19</f>
        <v>#DIV/0!</v>
      </c>
      <c r="AC16" t="e">
        <f>Year_2032!AC19/Year_2025!AC19</f>
        <v>#DIV/0!</v>
      </c>
      <c r="AD16" t="e">
        <f>Year_2032!AD19/Year_2025!AD19</f>
        <v>#DIV/0!</v>
      </c>
      <c r="AE16" t="e">
        <f>Year_2032!AE19/Year_2025!AE19</f>
        <v>#DIV/0!</v>
      </c>
      <c r="AF16" t="e">
        <f>Year_2032!AF19/Year_2025!AF19</f>
        <v>#DIV/0!</v>
      </c>
      <c r="AG16" t="e">
        <f>Year_2032!AG19/Year_2025!AG19</f>
        <v>#DIV/0!</v>
      </c>
      <c r="AH16" t="e">
        <f>Year_2032!AH19/Year_2025!AH19</f>
        <v>#DIV/0!</v>
      </c>
      <c r="AI16" t="e">
        <f>Year_2032!AI19/Year_2025!AI19</f>
        <v>#DIV/0!</v>
      </c>
      <c r="AJ16" t="e">
        <f>Year_2032!AJ19/Year_2025!AJ19</f>
        <v>#DIV/0!</v>
      </c>
      <c r="AK16" t="e">
        <f>Year_2032!AK19/Year_2025!AK19</f>
        <v>#DIV/0!</v>
      </c>
      <c r="AL16" t="e">
        <f>Year_2032!AL19/Year_2025!AL19</f>
        <v>#DIV/0!</v>
      </c>
      <c r="AM16" t="e">
        <f>Year_2032!AM19/Year_2025!AM19</f>
        <v>#DIV/0!</v>
      </c>
      <c r="AN16" t="e">
        <f>Year_2032!AN19/Year_2025!AN19</f>
        <v>#VALUE!</v>
      </c>
      <c r="AO16" t="e">
        <f>Year_2032!AO19/Year_2025!AO19</f>
        <v>#DIV/0!</v>
      </c>
      <c r="AP16" t="e">
        <f>Year_2032!AP19/Year_2025!AP19</f>
        <v>#DIV/0!</v>
      </c>
      <c r="AQ16" t="e">
        <f>Year_2032!AQ19/Year_2025!AQ19</f>
        <v>#DIV/0!</v>
      </c>
      <c r="AR16" t="e">
        <f>Year_2032!AR19/Year_2025!AR19</f>
        <v>#DIV/0!</v>
      </c>
      <c r="AS16" t="e">
        <f>Year_2032!AS19/Year_2025!AS19</f>
        <v>#DIV/0!</v>
      </c>
      <c r="AT16" t="e">
        <f>Year_2032!AT19/Year_2025!AT19</f>
        <v>#DIV/0!</v>
      </c>
      <c r="AU16" t="e">
        <f>Year_2032!AU19/Year_2025!AU19</f>
        <v>#DIV/0!</v>
      </c>
      <c r="AV16" t="e">
        <f>Year_2032!AV19/Year_2025!AV19</f>
        <v>#DIV/0!</v>
      </c>
      <c r="AW16" t="e">
        <f>Year_2032!AW19/Year_2025!AW19</f>
        <v>#DIV/0!</v>
      </c>
      <c r="AX16" t="e">
        <f>Year_2032!AX19/Year_2025!AX19</f>
        <v>#DIV/0!</v>
      </c>
    </row>
    <row r="17" spans="2:50" x14ac:dyDescent="0.3">
      <c r="B17" t="str">
        <f>Year_2032!B20</f>
        <v>Direction</v>
      </c>
      <c r="C17" t="e">
        <f>Year_2032!C20/Year_2025!C20</f>
        <v>#VALUE!</v>
      </c>
      <c r="D17" t="e">
        <f>Year_2032!D20/Year_2025!D20</f>
        <v>#VALUE!</v>
      </c>
      <c r="E17" t="e">
        <f>Year_2032!E20/Year_2025!E20</f>
        <v>#VALUE!</v>
      </c>
      <c r="F17" t="e">
        <f>Year_2032!F20/Year_2025!F20</f>
        <v>#VALUE!</v>
      </c>
      <c r="G17" t="e">
        <f>Year_2032!G20/Year_2025!G20</f>
        <v>#VALUE!</v>
      </c>
      <c r="H17" t="e">
        <f>Year_2032!H20/Year_2025!H20</f>
        <v>#VALUE!</v>
      </c>
      <c r="I17" t="e">
        <f>Year_2032!I20/Year_2025!I20</f>
        <v>#VALUE!</v>
      </c>
      <c r="J17" t="e">
        <f>Year_2032!J20/Year_2025!J20</f>
        <v>#VALUE!</v>
      </c>
      <c r="K17" t="e">
        <f>Year_2032!K20/Year_2025!K20</f>
        <v>#VALUE!</v>
      </c>
      <c r="L17" t="e">
        <f>Year_2032!L20/Year_2025!L20</f>
        <v>#VALUE!</v>
      </c>
      <c r="M17" t="e">
        <f>Year_2032!M20/Year_2025!M20</f>
        <v>#DIV/0!</v>
      </c>
      <c r="N17" t="str">
        <f>Year_2032!N20</f>
        <v>Direction</v>
      </c>
      <c r="O17" t="e">
        <f>Year_2032!O20/Year_2025!O20</f>
        <v>#VALUE!</v>
      </c>
      <c r="P17" t="e">
        <f>Year_2032!P20/Year_2025!P20</f>
        <v>#VALUE!</v>
      </c>
      <c r="Q17" t="e">
        <f>Year_2032!Q20/Year_2025!Q20</f>
        <v>#VALUE!</v>
      </c>
      <c r="R17" t="e">
        <f>Year_2032!R20/Year_2025!R20</f>
        <v>#VALUE!</v>
      </c>
      <c r="S17" t="e">
        <f>Year_2032!S20/Year_2025!S20</f>
        <v>#VALUE!</v>
      </c>
      <c r="T17" t="e">
        <f>Year_2032!T20/Year_2025!T20</f>
        <v>#VALUE!</v>
      </c>
      <c r="U17" t="e">
        <f>Year_2032!U20/Year_2025!U20</f>
        <v>#VALUE!</v>
      </c>
      <c r="V17" t="e">
        <f>Year_2032!V20/Year_2025!V20</f>
        <v>#VALUE!</v>
      </c>
      <c r="W17" t="e">
        <f>Year_2032!W20/Year_2025!W20</f>
        <v>#VALUE!</v>
      </c>
      <c r="X17" t="e">
        <f>Year_2032!X20/Year_2025!X20</f>
        <v>#VALUE!</v>
      </c>
      <c r="Y17" t="e">
        <f>Year_2032!Y20/Year_2025!Y20</f>
        <v>#DIV/0!</v>
      </c>
      <c r="Z17" t="e">
        <f>Year_2032!Z20/Year_2025!Z20</f>
        <v>#DIV/0!</v>
      </c>
      <c r="AA17" t="e">
        <f>Year_2032!AA20/Year_2025!AA20</f>
        <v>#VALUE!</v>
      </c>
      <c r="AB17" t="e">
        <f>Year_2032!AB20/Year_2025!AB20</f>
        <v>#VALUE!</v>
      </c>
      <c r="AC17" t="e">
        <f>Year_2032!AC20/Year_2025!AC20</f>
        <v>#VALUE!</v>
      </c>
      <c r="AD17" t="e">
        <f>Year_2032!AD20/Year_2025!AD20</f>
        <v>#VALUE!</v>
      </c>
      <c r="AE17" t="e">
        <f>Year_2032!AE20/Year_2025!AE20</f>
        <v>#VALUE!</v>
      </c>
      <c r="AF17" t="e">
        <f>Year_2032!AF20/Year_2025!AF20</f>
        <v>#VALUE!</v>
      </c>
      <c r="AG17" t="e">
        <f>Year_2032!AG20/Year_2025!AG20</f>
        <v>#VALUE!</v>
      </c>
      <c r="AH17" t="e">
        <f>Year_2032!AH20/Year_2025!AH20</f>
        <v>#VALUE!</v>
      </c>
      <c r="AI17" t="e">
        <f>Year_2032!AI20/Year_2025!AI20</f>
        <v>#VALUE!</v>
      </c>
      <c r="AJ17" t="e">
        <f>Year_2032!AJ20/Year_2025!AJ20</f>
        <v>#VALUE!</v>
      </c>
      <c r="AK17" t="e">
        <f>Year_2032!AK20/Year_2025!AK20</f>
        <v>#VALUE!</v>
      </c>
      <c r="AL17" t="e">
        <f>Year_2032!AL20/Year_2025!AL20</f>
        <v>#DIV/0!</v>
      </c>
      <c r="AM17" t="e">
        <f>Year_2032!AM20/Year_2025!AM20</f>
        <v>#DIV/0!</v>
      </c>
      <c r="AN17" t="e">
        <f>Year_2032!AN20/Year_2025!AN20</f>
        <v>#VALUE!</v>
      </c>
      <c r="AO17" t="e">
        <f>Year_2032!AO20/Year_2025!AO20</f>
        <v>#VALUE!</v>
      </c>
      <c r="AP17" t="e">
        <f>Year_2032!AP20/Year_2025!AP20</f>
        <v>#VALUE!</v>
      </c>
      <c r="AQ17" t="e">
        <f>Year_2032!AQ20/Year_2025!AQ20</f>
        <v>#VALUE!</v>
      </c>
      <c r="AR17" t="e">
        <f>Year_2032!AR20/Year_2025!AR20</f>
        <v>#VALUE!</v>
      </c>
      <c r="AS17" t="e">
        <f>Year_2032!AS20/Year_2025!AS20</f>
        <v>#VALUE!</v>
      </c>
      <c r="AT17" t="e">
        <f>Year_2032!AT20/Year_2025!AT20</f>
        <v>#VALUE!</v>
      </c>
      <c r="AU17" t="e">
        <f>Year_2032!AU20/Year_2025!AU20</f>
        <v>#VALUE!</v>
      </c>
      <c r="AV17" t="e">
        <f>Year_2032!AV20/Year_2025!AV20</f>
        <v>#VALUE!</v>
      </c>
      <c r="AW17" t="e">
        <f>Year_2032!AW20/Year_2025!AW20</f>
        <v>#VALUE!</v>
      </c>
      <c r="AX17" t="e">
        <f>Year_2032!AX20/Year_2025!AX20</f>
        <v>#VALUE!</v>
      </c>
    </row>
    <row r="18" spans="2:50" x14ac:dyDescent="0.3">
      <c r="B18" t="str">
        <f>Year_2032!B21</f>
        <v>Segment</v>
      </c>
      <c r="C18">
        <f>Year_2032!C21/Year_2025!C21</f>
        <v>1</v>
      </c>
      <c r="D18">
        <f>Year_2032!D21/Year_2025!D21</f>
        <v>1</v>
      </c>
      <c r="E18">
        <f>Year_2032!E21/Year_2025!E21</f>
        <v>1</v>
      </c>
      <c r="F18">
        <f>Year_2032!F21/Year_2025!F21</f>
        <v>1</v>
      </c>
      <c r="G18">
        <f>Year_2032!G21/Year_2025!G21</f>
        <v>1</v>
      </c>
      <c r="H18">
        <f>Year_2032!H21/Year_2025!H21</f>
        <v>1</v>
      </c>
      <c r="I18">
        <f>Year_2032!I21/Year_2025!I21</f>
        <v>1</v>
      </c>
      <c r="J18">
        <f>Year_2032!J21/Year_2025!J21</f>
        <v>1</v>
      </c>
      <c r="K18">
        <f>Year_2032!K21/Year_2025!K21</f>
        <v>1</v>
      </c>
      <c r="L18">
        <f>Year_2032!L21/Year_2025!L21</f>
        <v>1</v>
      </c>
      <c r="M18" t="e">
        <f>Year_2032!M21/Year_2025!M21</f>
        <v>#DIV/0!</v>
      </c>
      <c r="N18" t="str">
        <f>Year_2032!N21</f>
        <v>Segment</v>
      </c>
      <c r="O18">
        <f>Year_2032!O21/Year_2025!O21</f>
        <v>1</v>
      </c>
      <c r="P18">
        <f>Year_2032!P21/Year_2025!P21</f>
        <v>1</v>
      </c>
      <c r="Q18">
        <f>Year_2032!Q21/Year_2025!Q21</f>
        <v>1</v>
      </c>
      <c r="R18">
        <f>Year_2032!R21/Year_2025!R21</f>
        <v>1</v>
      </c>
      <c r="S18">
        <f>Year_2032!S21/Year_2025!S21</f>
        <v>1</v>
      </c>
      <c r="T18">
        <f>Year_2032!T21/Year_2025!T21</f>
        <v>1</v>
      </c>
      <c r="U18">
        <f>Year_2032!U21/Year_2025!U21</f>
        <v>1</v>
      </c>
      <c r="V18">
        <f>Year_2032!V21/Year_2025!V21</f>
        <v>1</v>
      </c>
      <c r="W18">
        <f>Year_2032!W21/Year_2025!W21</f>
        <v>1</v>
      </c>
      <c r="X18">
        <f>Year_2032!X21/Year_2025!X21</f>
        <v>1</v>
      </c>
      <c r="Y18" t="e">
        <f>Year_2032!Y21/Year_2025!Y21</f>
        <v>#DIV/0!</v>
      </c>
      <c r="Z18" t="e">
        <f>Year_2032!Z21/Year_2025!Z21</f>
        <v>#DIV/0!</v>
      </c>
      <c r="AA18" t="e">
        <f>Year_2032!AA21/Year_2025!AA21</f>
        <v>#VALUE!</v>
      </c>
      <c r="AB18">
        <f>Year_2032!AB21/Year_2025!AB21</f>
        <v>1</v>
      </c>
      <c r="AC18">
        <f>Year_2032!AC21/Year_2025!AC21</f>
        <v>1</v>
      </c>
      <c r="AD18">
        <f>Year_2032!AD21/Year_2025!AD21</f>
        <v>1</v>
      </c>
      <c r="AE18">
        <f>Year_2032!AE21/Year_2025!AE21</f>
        <v>1</v>
      </c>
      <c r="AF18">
        <f>Year_2032!AF21/Year_2025!AF21</f>
        <v>1</v>
      </c>
      <c r="AG18">
        <f>Year_2032!AG21/Year_2025!AG21</f>
        <v>1</v>
      </c>
      <c r="AH18">
        <f>Year_2032!AH21/Year_2025!AH21</f>
        <v>1</v>
      </c>
      <c r="AI18">
        <f>Year_2032!AI21/Year_2025!AI21</f>
        <v>1</v>
      </c>
      <c r="AJ18">
        <f>Year_2032!AJ21/Year_2025!AJ21</f>
        <v>1</v>
      </c>
      <c r="AK18">
        <f>Year_2032!AK21/Year_2025!AK21</f>
        <v>1</v>
      </c>
      <c r="AL18" t="e">
        <f>Year_2032!AL21/Year_2025!AL21</f>
        <v>#DIV/0!</v>
      </c>
      <c r="AM18" t="e">
        <f>Year_2032!AM21/Year_2025!AM21</f>
        <v>#DIV/0!</v>
      </c>
      <c r="AN18" t="e">
        <f>Year_2032!AN21/Year_2025!AN21</f>
        <v>#VALUE!</v>
      </c>
      <c r="AO18">
        <f>Year_2032!AO21/Year_2025!AO21</f>
        <v>1</v>
      </c>
      <c r="AP18">
        <f>Year_2032!AP21/Year_2025!AP21</f>
        <v>1</v>
      </c>
      <c r="AQ18">
        <f>Year_2032!AQ21/Year_2025!AQ21</f>
        <v>1</v>
      </c>
      <c r="AR18">
        <f>Year_2032!AR21/Year_2025!AR21</f>
        <v>1</v>
      </c>
      <c r="AS18">
        <f>Year_2032!AS21/Year_2025!AS21</f>
        <v>1</v>
      </c>
      <c r="AT18">
        <f>Year_2032!AT21/Year_2025!AT21</f>
        <v>1</v>
      </c>
      <c r="AU18">
        <f>Year_2032!AU21/Year_2025!AU21</f>
        <v>1</v>
      </c>
      <c r="AV18">
        <f>Year_2032!AV21/Year_2025!AV21</f>
        <v>1</v>
      </c>
      <c r="AW18">
        <f>Year_2032!AW21/Year_2025!AW21</f>
        <v>1</v>
      </c>
      <c r="AX18">
        <f>Year_2032!AX21/Year_2025!AX21</f>
        <v>1</v>
      </c>
    </row>
    <row r="19" spans="2:50" x14ac:dyDescent="0.3">
      <c r="B19" t="str">
        <f>Year_2032!B22</f>
        <v>Period</v>
      </c>
      <c r="C19" t="e">
        <f>Year_2032!C22/Year_2025!C22</f>
        <v>#DIV/0!</v>
      </c>
      <c r="D19" t="e">
        <f>Year_2032!D22/Year_2025!D22</f>
        <v>#DIV/0!</v>
      </c>
      <c r="E19" t="e">
        <f>Year_2032!E22/Year_2025!E22</f>
        <v>#DIV/0!</v>
      </c>
      <c r="F19" t="e">
        <f>Year_2032!F22/Year_2025!F22</f>
        <v>#DIV/0!</v>
      </c>
      <c r="G19" t="e">
        <f>Year_2032!G22/Year_2025!G22</f>
        <v>#DIV/0!</v>
      </c>
      <c r="H19" t="e">
        <f>Year_2032!H22/Year_2025!H22</f>
        <v>#DIV/0!</v>
      </c>
      <c r="I19" t="e">
        <f>Year_2032!I22/Year_2025!I22</f>
        <v>#DIV/0!</v>
      </c>
      <c r="J19" t="e">
        <f>Year_2032!J22/Year_2025!J22</f>
        <v>#DIV/0!</v>
      </c>
      <c r="K19" t="e">
        <f>Year_2032!K22/Year_2025!K22</f>
        <v>#DIV/0!</v>
      </c>
      <c r="L19" t="e">
        <f>Year_2032!L22/Year_2025!L22</f>
        <v>#DIV/0!</v>
      </c>
      <c r="M19" t="e">
        <f>Year_2032!M22/Year_2025!M22</f>
        <v>#DIV/0!</v>
      </c>
      <c r="N19" t="str">
        <f>Year_2032!N22</f>
        <v>Period</v>
      </c>
      <c r="O19" t="e">
        <f>Year_2032!O22/Year_2025!O22</f>
        <v>#DIV/0!</v>
      </c>
      <c r="P19" t="e">
        <f>Year_2032!P22/Year_2025!P22</f>
        <v>#DIV/0!</v>
      </c>
      <c r="Q19" t="e">
        <f>Year_2032!Q22/Year_2025!Q22</f>
        <v>#DIV/0!</v>
      </c>
      <c r="R19" t="e">
        <f>Year_2032!R22/Year_2025!R22</f>
        <v>#DIV/0!</v>
      </c>
      <c r="S19" t="e">
        <f>Year_2032!S22/Year_2025!S22</f>
        <v>#DIV/0!</v>
      </c>
      <c r="T19" t="e">
        <f>Year_2032!T22/Year_2025!T22</f>
        <v>#DIV/0!</v>
      </c>
      <c r="U19" t="e">
        <f>Year_2032!U22/Year_2025!U22</f>
        <v>#DIV/0!</v>
      </c>
      <c r="V19" t="e">
        <f>Year_2032!V22/Year_2025!V22</f>
        <v>#DIV/0!</v>
      </c>
      <c r="W19" t="e">
        <f>Year_2032!W22/Year_2025!W22</f>
        <v>#DIV/0!</v>
      </c>
      <c r="X19" t="e">
        <f>Year_2032!X22/Year_2025!X22</f>
        <v>#DIV/0!</v>
      </c>
      <c r="Y19" t="e">
        <f>Year_2032!Y22/Year_2025!Y22</f>
        <v>#DIV/0!</v>
      </c>
      <c r="Z19" t="e">
        <f>Year_2032!Z22/Year_2025!Z22</f>
        <v>#DIV/0!</v>
      </c>
      <c r="AA19" t="e">
        <f>Year_2032!AA22/Year_2025!AA22</f>
        <v>#VALUE!</v>
      </c>
      <c r="AB19" t="e">
        <f>Year_2032!AB22/Year_2025!AB22</f>
        <v>#DIV/0!</v>
      </c>
      <c r="AC19" t="e">
        <f>Year_2032!AC22/Year_2025!AC22</f>
        <v>#DIV/0!</v>
      </c>
      <c r="AD19" t="e">
        <f>Year_2032!AD22/Year_2025!AD22</f>
        <v>#DIV/0!</v>
      </c>
      <c r="AE19" t="e">
        <f>Year_2032!AE22/Year_2025!AE22</f>
        <v>#DIV/0!</v>
      </c>
      <c r="AF19" t="e">
        <f>Year_2032!AF22/Year_2025!AF22</f>
        <v>#DIV/0!</v>
      </c>
      <c r="AG19" t="e">
        <f>Year_2032!AG22/Year_2025!AG22</f>
        <v>#DIV/0!</v>
      </c>
      <c r="AH19" t="e">
        <f>Year_2032!AH22/Year_2025!AH22</f>
        <v>#DIV/0!</v>
      </c>
      <c r="AI19" t="e">
        <f>Year_2032!AI22/Year_2025!AI22</f>
        <v>#DIV/0!</v>
      </c>
      <c r="AJ19" t="e">
        <f>Year_2032!AJ22/Year_2025!AJ22</f>
        <v>#DIV/0!</v>
      </c>
      <c r="AK19" t="e">
        <f>Year_2032!AK22/Year_2025!AK22</f>
        <v>#DIV/0!</v>
      </c>
      <c r="AL19" t="e">
        <f>Year_2032!AL22/Year_2025!AL22</f>
        <v>#DIV/0!</v>
      </c>
      <c r="AM19" t="e">
        <f>Year_2032!AM22/Year_2025!AM22</f>
        <v>#DIV/0!</v>
      </c>
      <c r="AN19" t="e">
        <f>Year_2032!AN22/Year_2025!AN22</f>
        <v>#VALUE!</v>
      </c>
      <c r="AO19" t="e">
        <f>Year_2032!AO22/Year_2025!AO22</f>
        <v>#DIV/0!</v>
      </c>
      <c r="AP19" t="e">
        <f>Year_2032!AP22/Year_2025!AP22</f>
        <v>#DIV/0!</v>
      </c>
      <c r="AQ19" t="e">
        <f>Year_2032!AQ22/Year_2025!AQ22</f>
        <v>#DIV/0!</v>
      </c>
      <c r="AR19" t="e">
        <f>Year_2032!AR22/Year_2025!AR22</f>
        <v>#DIV/0!</v>
      </c>
      <c r="AS19" t="e">
        <f>Year_2032!AS22/Year_2025!AS22</f>
        <v>#DIV/0!</v>
      </c>
      <c r="AT19" t="e">
        <f>Year_2032!AT22/Year_2025!AT22</f>
        <v>#DIV/0!</v>
      </c>
      <c r="AU19" t="e">
        <f>Year_2032!AU22/Year_2025!AU22</f>
        <v>#DIV/0!</v>
      </c>
      <c r="AV19" t="e">
        <f>Year_2032!AV22/Year_2025!AV22</f>
        <v>#DIV/0!</v>
      </c>
      <c r="AW19" t="e">
        <f>Year_2032!AW22/Year_2025!AW22</f>
        <v>#DIV/0!</v>
      </c>
      <c r="AX19" t="e">
        <f>Year_2032!AX22/Year_2025!AX22</f>
        <v>#DIV/0!</v>
      </c>
    </row>
    <row r="20" spans="2:50" x14ac:dyDescent="0.3">
      <c r="B20" t="str">
        <f>Year_2032!B23</f>
        <v>Night</v>
      </c>
      <c r="C20">
        <f>Year_2032!C23/Year_2025!C23</f>
        <v>1.6666666666666667</v>
      </c>
      <c r="D20">
        <f>Year_2032!D23/Year_2025!D23</f>
        <v>1.6666666666666667</v>
      </c>
      <c r="E20">
        <f>Year_2032!E23/Year_2025!E23</f>
        <v>1.6666666666666667</v>
      </c>
      <c r="F20">
        <f>Year_2032!F23/Year_2025!F23</f>
        <v>1</v>
      </c>
      <c r="G20">
        <f>Year_2032!G23/Year_2025!G23</f>
        <v>1.2</v>
      </c>
      <c r="H20">
        <f>Year_2032!H23/Year_2025!H23</f>
        <v>1.2</v>
      </c>
      <c r="I20">
        <f>Year_2032!I23/Year_2025!I23</f>
        <v>1</v>
      </c>
      <c r="J20">
        <f>Year_2032!J23/Year_2025!J23</f>
        <v>1</v>
      </c>
      <c r="K20">
        <f>Year_2032!K23/Year_2025!K23</f>
        <v>1</v>
      </c>
      <c r="L20">
        <f>Year_2032!L23/Year_2025!L23</f>
        <v>1</v>
      </c>
      <c r="M20" t="e">
        <f>Year_2032!M23/Year_2025!M23</f>
        <v>#DIV/0!</v>
      </c>
      <c r="N20" t="str">
        <f>Year_2032!N23</f>
        <v>Night</v>
      </c>
      <c r="O20">
        <f>Year_2032!O23/Year_2025!O23</f>
        <v>1.973112028071331</v>
      </c>
      <c r="P20">
        <f>Year_2032!P23/Year_2025!P23</f>
        <v>1.9523164846067194</v>
      </c>
      <c r="Q20">
        <f>Year_2032!Q23/Year_2025!Q23</f>
        <v>1.9514974261007751</v>
      </c>
      <c r="R20">
        <f>Year_2032!R23/Year_2025!R23</f>
        <v>1.2022658928749763</v>
      </c>
      <c r="S20">
        <f>Year_2032!S23/Year_2025!S23</f>
        <v>1.2926624737945491</v>
      </c>
      <c r="T20">
        <f>Year_2032!T23/Year_2025!T23</f>
        <v>1.2975567802857444</v>
      </c>
      <c r="U20">
        <f>Year_2032!U23/Year_2025!U23</f>
        <v>1.2116440864152325</v>
      </c>
      <c r="V20">
        <f>Year_2032!V23/Year_2025!V23</f>
        <v>1.2116202274836509</v>
      </c>
      <c r="W20">
        <f>Year_2032!W23/Year_2025!W23</f>
        <v>0.98965498900787197</v>
      </c>
      <c r="X20">
        <f>Year_2032!X23/Year_2025!X23</f>
        <v>0.99570038845911202</v>
      </c>
      <c r="Y20" t="e">
        <f>Year_2032!Y23/Year_2025!Y23</f>
        <v>#DIV/0!</v>
      </c>
      <c r="Z20" t="e">
        <f>Year_2032!Z23/Year_2025!Z23</f>
        <v>#DIV/0!</v>
      </c>
      <c r="AA20" t="e">
        <f>Year_2032!AA23/Year_2025!AA23</f>
        <v>#VALUE!</v>
      </c>
      <c r="AB20">
        <f>Year_2032!AB23/Year_2025!AB23</f>
        <v>1.1544454103999502</v>
      </c>
      <c r="AC20">
        <f>Year_2032!AC23/Year_2025!AC23</f>
        <v>1.1555882783005043</v>
      </c>
      <c r="AD20">
        <f>Year_2032!AD23/Year_2025!AD23</f>
        <v>1.1541277189532637</v>
      </c>
      <c r="AE20">
        <f>Year_2032!AE23/Year_2025!AE23</f>
        <v>1.20223153896142</v>
      </c>
      <c r="AF20">
        <f>Year_2032!AF23/Year_2025!AF23</f>
        <v>1.2069622328893737</v>
      </c>
      <c r="AG20">
        <f>Year_2032!AG23/Year_2025!AG23</f>
        <v>1.2068066836009059</v>
      </c>
      <c r="AH20">
        <f>Year_2032!AH23/Year_2025!AH23</f>
        <v>1.2115343143597648</v>
      </c>
      <c r="AI20">
        <f>Year_2032!AI23/Year_2025!AI23</f>
        <v>1.2116784325978058</v>
      </c>
      <c r="AJ20">
        <f>Year_2032!AJ23/Year_2025!AJ23</f>
        <v>1.0011373249182334</v>
      </c>
      <c r="AK20">
        <f>Year_2032!AK23/Year_2025!AK23</f>
        <v>1.0004644667957052</v>
      </c>
      <c r="AL20" t="e">
        <f>Year_2032!AL23/Year_2025!AL23</f>
        <v>#DIV/0!</v>
      </c>
      <c r="AM20" t="e">
        <f>Year_2032!AM23/Year_2025!AM23</f>
        <v>#DIV/0!</v>
      </c>
      <c r="AN20" t="e">
        <f>Year_2032!AN23/Year_2025!AN23</f>
        <v>#VALUE!</v>
      </c>
      <c r="AO20">
        <f>Year_2032!AO23/Year_2025!AO23</f>
        <v>1.2023608768971332</v>
      </c>
      <c r="AP20">
        <f>Year_2032!AP23/Year_2025!AP23</f>
        <v>1.2023344651952463</v>
      </c>
      <c r="AQ20">
        <f>Year_2032!AQ23/Year_2025!AQ23</f>
        <v>1.2023247496423464</v>
      </c>
      <c r="AR20">
        <f>Year_2032!AR23/Year_2025!AR23</f>
        <v>1.2022335970218707</v>
      </c>
      <c r="AS20">
        <f>Year_2032!AS23/Year_2025!AS23</f>
        <v>1.2114188807235726</v>
      </c>
      <c r="AT20">
        <f>Year_2032!AT23/Year_2025!AT23</f>
        <v>1.2114993646759846</v>
      </c>
      <c r="AU20">
        <f>Year_2032!AU23/Year_2025!AU23</f>
        <v>1.2115409413281755</v>
      </c>
      <c r="AV20">
        <f>Year_2032!AV23/Year_2025!AV23</f>
        <v>1.2116755117513267</v>
      </c>
      <c r="AW20">
        <f>Year_2032!AW23/Year_2025!AW23</f>
        <v>1</v>
      </c>
      <c r="AX20">
        <f>Year_2032!AX23/Year_2025!AX23</f>
        <v>1</v>
      </c>
    </row>
    <row r="21" spans="2:50" x14ac:dyDescent="0.3">
      <c r="B21" t="str">
        <f>Year_2032!B24</f>
        <v>AM-Early</v>
      </c>
      <c r="C21">
        <f>Year_2032!C24/Year_2025!C24</f>
        <v>1.125</v>
      </c>
      <c r="D21">
        <f>Year_2032!D24/Year_2025!D24</f>
        <v>1</v>
      </c>
      <c r="E21">
        <f>Year_2032!E24/Year_2025!E24</f>
        <v>1</v>
      </c>
      <c r="F21">
        <f>Year_2032!F24/Year_2025!F24</f>
        <v>1.2352941176470587</v>
      </c>
      <c r="G21">
        <f>Year_2032!G24/Year_2025!G24</f>
        <v>0.94117647058823528</v>
      </c>
      <c r="H21">
        <f>Year_2032!H24/Year_2025!H24</f>
        <v>1</v>
      </c>
      <c r="I21">
        <f>Year_2032!I24/Year_2025!I24</f>
        <v>1</v>
      </c>
      <c r="J21">
        <f>Year_2032!J24/Year_2025!J24</f>
        <v>1</v>
      </c>
      <c r="K21">
        <f>Year_2032!K24/Year_2025!K24</f>
        <v>1.0588235294117645</v>
      </c>
      <c r="L21">
        <f>Year_2032!L24/Year_2025!L24</f>
        <v>1</v>
      </c>
      <c r="M21" t="e">
        <f>Year_2032!M24/Year_2025!M24</f>
        <v>#DIV/0!</v>
      </c>
      <c r="N21" t="str">
        <f>Year_2032!N24</f>
        <v>AM-Early</v>
      </c>
      <c r="O21">
        <f>Year_2032!O24/Year_2025!O24</f>
        <v>1.2150015940065353</v>
      </c>
      <c r="P21">
        <f>Year_2032!P24/Year_2025!P24</f>
        <v>1.1991763384500189</v>
      </c>
      <c r="Q21">
        <f>Year_2032!Q24/Year_2025!Q24</f>
        <v>1.1828200351677431</v>
      </c>
      <c r="R21">
        <f>Year_2032!R24/Year_2025!R24</f>
        <v>1.269525916858905</v>
      </c>
      <c r="S21">
        <f>Year_2032!S24/Year_2025!S24</f>
        <v>1.1674837379025862</v>
      </c>
      <c r="T21">
        <f>Year_2032!T24/Year_2025!T24</f>
        <v>1.2054031627491344</v>
      </c>
      <c r="U21">
        <f>Year_2032!U24/Year_2025!U24</f>
        <v>1.2131504539786797</v>
      </c>
      <c r="V21">
        <f>Year_2032!V24/Year_2025!V24</f>
        <v>1.2115457039866573</v>
      </c>
      <c r="W21">
        <f>Year_2032!W24/Year_2025!W24</f>
        <v>1.0676604458741303</v>
      </c>
      <c r="X21">
        <f>Year_2032!X24/Year_2025!X24</f>
        <v>0.99916155740711632</v>
      </c>
      <c r="Y21" t="e">
        <f>Year_2032!Y24/Year_2025!Y24</f>
        <v>#DIV/0!</v>
      </c>
      <c r="Z21" t="e">
        <f>Year_2032!Z24/Year_2025!Z24</f>
        <v>#DIV/0!</v>
      </c>
      <c r="AA21" t="e">
        <f>Year_2032!AA24/Year_2025!AA24</f>
        <v>#VALUE!</v>
      </c>
      <c r="AB21">
        <f>Year_2032!AB24/Year_2025!AB24</f>
        <v>1.1070879048523368</v>
      </c>
      <c r="AC21">
        <f>Year_2032!AC24/Year_2025!AC24</f>
        <v>1.2027992852888625</v>
      </c>
      <c r="AD21">
        <f>Year_2032!AD24/Year_2025!AD24</f>
        <v>1.2055242969723552</v>
      </c>
      <c r="AE21">
        <f>Year_2032!AE24/Year_2025!AE24</f>
        <v>0.99114746921467511</v>
      </c>
      <c r="AF21">
        <f>Year_2032!AF24/Year_2025!AF24</f>
        <v>1.2197086205880621</v>
      </c>
      <c r="AG21">
        <f>Year_2032!AG24/Year_2025!AG24</f>
        <v>1.2126202568413271</v>
      </c>
      <c r="AH21">
        <f>Year_2032!AH24/Year_2025!AH24</f>
        <v>1.2036504319912129</v>
      </c>
      <c r="AI21">
        <f>Year_2032!AI24/Year_2025!AI24</f>
        <v>1.2115159217486062</v>
      </c>
      <c r="AJ21">
        <f>Year_2032!AJ24/Year_2025!AJ24</f>
        <v>1.023110999222</v>
      </c>
      <c r="AK21">
        <f>Year_2032!AK24/Year_2025!AK24</f>
        <v>1.0001419988107598</v>
      </c>
      <c r="AL21" t="e">
        <f>Year_2032!AL24/Year_2025!AL24</f>
        <v>#DIV/0!</v>
      </c>
      <c r="AM21" t="e">
        <f>Year_2032!AM24/Year_2025!AM24</f>
        <v>#DIV/0!</v>
      </c>
      <c r="AN21" t="e">
        <f>Year_2032!AN24/Year_2025!AN24</f>
        <v>#VALUE!</v>
      </c>
      <c r="AO21">
        <f>Year_2032!AO24/Year_2025!AO24</f>
        <v>1.1230760147601477</v>
      </c>
      <c r="AP21">
        <f>Year_2032!AP24/Year_2025!AP24</f>
        <v>1.2022716946842344</v>
      </c>
      <c r="AQ21">
        <f>Year_2032!AQ24/Year_2025!AQ24</f>
        <v>1.2022778192681105</v>
      </c>
      <c r="AR21">
        <f>Year_2032!AR24/Year_2025!AR24</f>
        <v>1.0299996714884856</v>
      </c>
      <c r="AS21">
        <f>Year_2032!AS24/Year_2025!AS24</f>
        <v>1.2115293825319915</v>
      </c>
      <c r="AT21">
        <f>Year_2032!AT24/Year_2025!AT24</f>
        <v>1.2114993804213134</v>
      </c>
      <c r="AU21">
        <f>Year_2032!AU24/Year_2025!AU24</f>
        <v>1.205141242937853</v>
      </c>
      <c r="AV21">
        <f>Year_2032!AV24/Year_2025!AV24</f>
        <v>1.2115173674588664</v>
      </c>
      <c r="AW21">
        <f>Year_2032!AW24/Year_2025!AW24</f>
        <v>1.03</v>
      </c>
      <c r="AX21">
        <f>Year_2032!AX24/Year_2025!AX24</f>
        <v>1</v>
      </c>
    </row>
    <row r="22" spans="2:50" x14ac:dyDescent="0.3">
      <c r="B22" t="str">
        <f>Year_2032!B25</f>
        <v>AM-Peak</v>
      </c>
      <c r="C22">
        <f>Year_2032!C25/Year_2025!C25</f>
        <v>1</v>
      </c>
      <c r="D22">
        <f>Year_2032!D25/Year_2025!D25</f>
        <v>1.2352941176470587</v>
      </c>
      <c r="E22">
        <f>Year_2032!E25/Year_2025!E25</f>
        <v>0.9375</v>
      </c>
      <c r="F22">
        <f>Year_2032!F25/Year_2025!F25</f>
        <v>1.1153846153846152</v>
      </c>
      <c r="G22">
        <f>Year_2032!G25/Year_2025!G25</f>
        <v>1.0588235294117645</v>
      </c>
      <c r="H22">
        <f>Year_2032!H25/Year_2025!H25</f>
        <v>0.94117647058823528</v>
      </c>
      <c r="I22">
        <f>Year_2032!I25/Year_2025!I25</f>
        <v>0.9375</v>
      </c>
      <c r="J22">
        <f>Year_2032!J25/Year_2025!J25</f>
        <v>0.94117647058823528</v>
      </c>
      <c r="K22">
        <f>Year_2032!K25/Year_2025!K25</f>
        <v>1</v>
      </c>
      <c r="L22">
        <f>Year_2032!L25/Year_2025!L25</f>
        <v>1.1499999999999999</v>
      </c>
      <c r="M22" t="e">
        <f>Year_2032!M25/Year_2025!M25</f>
        <v>#DIV/0!</v>
      </c>
      <c r="N22" t="str">
        <f>Year_2032!N25</f>
        <v>AM-Peak</v>
      </c>
      <c r="O22">
        <f>Year_2032!O25/Year_2025!O25</f>
        <v>1.1903101059266317</v>
      </c>
      <c r="P22">
        <f>Year_2032!P25/Year_2025!P25</f>
        <v>1.4855668142674745</v>
      </c>
      <c r="Q22">
        <f>Year_2032!Q25/Year_2025!Q25</f>
        <v>1.180557867452976</v>
      </c>
      <c r="R22">
        <f>Year_2032!R25/Year_2025!R25</f>
        <v>1.4177045946742854</v>
      </c>
      <c r="S22">
        <f>Year_2032!S25/Year_2025!S25</f>
        <v>1.3078154383688563</v>
      </c>
      <c r="T22">
        <f>Year_2032!T25/Year_2025!T25</f>
        <v>1.1796089796973697</v>
      </c>
      <c r="U22">
        <f>Year_2032!U25/Year_2025!U25</f>
        <v>1.1224043607728302</v>
      </c>
      <c r="V22">
        <f>Year_2032!V25/Year_2025!V25</f>
        <v>1.1848595432398292</v>
      </c>
      <c r="W22">
        <f>Year_2032!W25/Year_2025!W25</f>
        <v>0.99919753261543576</v>
      </c>
      <c r="X22">
        <f>Year_2032!X25/Year_2025!X25</f>
        <v>1.1355611504362053</v>
      </c>
      <c r="Y22" t="e">
        <f>Year_2032!Y25/Year_2025!Y25</f>
        <v>#DIV/0!</v>
      </c>
      <c r="Z22" t="e">
        <f>Year_2032!Z25/Year_2025!Z25</f>
        <v>#DIV/0!</v>
      </c>
      <c r="AA22" t="e">
        <f>Year_2032!AA25/Year_2025!AA25</f>
        <v>#VALUE!</v>
      </c>
      <c r="AB22">
        <f>Year_2032!AB25/Year_2025!AB25</f>
        <v>1.1927477650985479</v>
      </c>
      <c r="AC22">
        <f>Year_2032!AC25/Year_2025!AC25</f>
        <v>1.155243479517376</v>
      </c>
      <c r="AD22">
        <f>Year_2032!AD25/Year_2025!AD25</f>
        <v>1.2057066847500064</v>
      </c>
      <c r="AE22">
        <f>Year_2032!AE25/Year_2025!AE25</f>
        <v>1.0342453140152941</v>
      </c>
      <c r="AF22">
        <f>Year_2032!AF25/Year_2025!AF25</f>
        <v>1.1938313143506798</v>
      </c>
      <c r="AG22">
        <f>Year_2032!AG25/Year_2025!AG25</f>
        <v>1.2172329360558949</v>
      </c>
      <c r="AH22">
        <f>Year_2032!AH25/Year_2025!AH25</f>
        <v>1.2269733354566188</v>
      </c>
      <c r="AI22">
        <f>Year_2032!AI25/Year_2025!AI25</f>
        <v>1.2161310514887875</v>
      </c>
      <c r="AJ22">
        <f>Year_2032!AJ25/Year_2025!AJ25</f>
        <v>1.0001414931529462</v>
      </c>
      <c r="AK22">
        <f>Year_2032!AK25/Year_2025!AK25</f>
        <v>0.97285735705070109</v>
      </c>
      <c r="AL22" t="e">
        <f>Year_2032!AL25/Year_2025!AL25</f>
        <v>#DIV/0!</v>
      </c>
      <c r="AM22" t="e">
        <f>Year_2032!AM25/Year_2025!AM25</f>
        <v>#DIV/0!</v>
      </c>
      <c r="AN22" t="e">
        <f>Year_2032!AN25/Year_2025!AN25</f>
        <v>#VALUE!</v>
      </c>
      <c r="AO22">
        <f>Year_2032!AO25/Year_2025!AO25</f>
        <v>1.1923054054307791</v>
      </c>
      <c r="AP22">
        <f>Year_2032!AP25/Year_2025!AP25</f>
        <v>1.2023239515694999</v>
      </c>
      <c r="AQ22">
        <f>Year_2032!AQ25/Year_2025!AQ25</f>
        <v>1.2022999613451875</v>
      </c>
      <c r="AR22">
        <f>Year_2032!AR25/Year_2025!AR25</f>
        <v>1.1135174617187418</v>
      </c>
      <c r="AS22">
        <f>Year_2032!AS25/Year_2025!AS25</f>
        <v>1.2115571088269963</v>
      </c>
      <c r="AT22">
        <f>Year_2032!AT25/Year_2025!AT25</f>
        <v>1.2115304346241125</v>
      </c>
      <c r="AU22">
        <f>Year_2032!AU25/Year_2025!AU25</f>
        <v>1.2115089125858844</v>
      </c>
      <c r="AV22">
        <f>Year_2032!AV25/Year_2025!AV25</f>
        <v>1.2115380462205085</v>
      </c>
      <c r="AW22">
        <f>Year_2032!AW25/Year_2025!AW25</f>
        <v>1</v>
      </c>
      <c r="AX22">
        <f>Year_2032!AX25/Year_2025!AX25</f>
        <v>1</v>
      </c>
    </row>
    <row r="23" spans="2:50" x14ac:dyDescent="0.3">
      <c r="B23" t="str">
        <f>Year_2032!B26</f>
        <v>AM-Shoulder</v>
      </c>
      <c r="C23">
        <f>Year_2032!C26/Year_2025!C26</f>
        <v>1.1875</v>
      </c>
      <c r="D23">
        <f>Year_2032!D26/Year_2025!D26</f>
        <v>1</v>
      </c>
      <c r="E23">
        <f>Year_2032!E26/Year_2025!E26</f>
        <v>1</v>
      </c>
      <c r="F23">
        <f>Year_2032!F26/Year_2025!F26</f>
        <v>1.1176470588235294</v>
      </c>
      <c r="G23">
        <f>Year_2032!G26/Year_2025!G26</f>
        <v>1</v>
      </c>
      <c r="H23">
        <f>Year_2032!H26/Year_2025!H26</f>
        <v>1</v>
      </c>
      <c r="I23">
        <f>Year_2032!I26/Year_2025!I26</f>
        <v>0.94117647058823528</v>
      </c>
      <c r="J23">
        <f>Year_2032!J26/Year_2025!J26</f>
        <v>1</v>
      </c>
      <c r="K23">
        <f>Year_2032!K26/Year_2025!K26</f>
        <v>1</v>
      </c>
      <c r="L23">
        <f>Year_2032!L26/Year_2025!L26</f>
        <v>1</v>
      </c>
      <c r="M23" t="e">
        <f>Year_2032!M26/Year_2025!M26</f>
        <v>#DIV/0!</v>
      </c>
      <c r="N23" t="str">
        <f>Year_2032!N26</f>
        <v>AM-Shoulder</v>
      </c>
      <c r="O23">
        <f>Year_2032!O26/Year_2025!O26</f>
        <v>1.2734346159307113</v>
      </c>
      <c r="P23">
        <f>Year_2032!P26/Year_2025!P26</f>
        <v>1.1988260953236256</v>
      </c>
      <c r="Q23">
        <f>Year_2032!Q26/Year_2025!Q26</f>
        <v>1.1851720145550777</v>
      </c>
      <c r="R23">
        <f>Year_2032!R26/Year_2025!R26</f>
        <v>1.2043547418480465</v>
      </c>
      <c r="S23">
        <f>Year_2032!S26/Year_2025!S26</f>
        <v>1.1093443369124811</v>
      </c>
      <c r="T23">
        <f>Year_2032!T26/Year_2025!T26</f>
        <v>1.1836355023470135</v>
      </c>
      <c r="U23">
        <f>Year_2032!U26/Year_2025!U26</f>
        <v>1.1856402294850861</v>
      </c>
      <c r="V23">
        <f>Year_2032!V26/Year_2025!V26</f>
        <v>1.1962122880422814</v>
      </c>
      <c r="W23">
        <f>Year_2032!W26/Year_2025!W26</f>
        <v>0.99975679948117224</v>
      </c>
      <c r="X23">
        <f>Year_2032!X26/Year_2025!X26</f>
        <v>0.99969785344578432</v>
      </c>
      <c r="Y23" t="e">
        <f>Year_2032!Y26/Year_2025!Y26</f>
        <v>#DIV/0!</v>
      </c>
      <c r="Z23" t="e">
        <f>Year_2032!Z26/Year_2025!Z26</f>
        <v>#DIV/0!</v>
      </c>
      <c r="AA23" t="e">
        <f>Year_2032!AA26/Year_2025!AA26</f>
        <v>#VALUE!</v>
      </c>
      <c r="AB23">
        <f>Year_2032!AB26/Year_2025!AB26</f>
        <v>1.0492977145340316</v>
      </c>
      <c r="AC23">
        <f>Year_2032!AC26/Year_2025!AC26</f>
        <v>1.2027933777638864</v>
      </c>
      <c r="AD23">
        <f>Year_2032!AD26/Year_2025!AD26</f>
        <v>1.2047638783630163</v>
      </c>
      <c r="AE23">
        <f>Year_2032!AE26/Year_2025!AE26</f>
        <v>1.0155188981026557</v>
      </c>
      <c r="AF23">
        <f>Year_2032!AF26/Year_2025!AF26</f>
        <v>1.1557233585037756</v>
      </c>
      <c r="AG23">
        <f>Year_2032!AG26/Year_2025!AG26</f>
        <v>1.2162717023097918</v>
      </c>
      <c r="AH23">
        <f>Year_2032!AH26/Year_2025!AH26</f>
        <v>1.2160071989966166</v>
      </c>
      <c r="AI23">
        <f>Year_2032!AI26/Year_2025!AI26</f>
        <v>1.2141110411512577</v>
      </c>
      <c r="AJ23">
        <f>Year_2032!AJ26/Year_2025!AJ26</f>
        <v>1.0000382663636538</v>
      </c>
      <c r="AK23">
        <f>Year_2032!AK26/Year_2025!AK26</f>
        <v>1.0000487434779108</v>
      </c>
      <c r="AL23" t="e">
        <f>Year_2032!AL26/Year_2025!AL26</f>
        <v>#DIV/0!</v>
      </c>
      <c r="AM23" t="e">
        <f>Year_2032!AM26/Year_2025!AM26</f>
        <v>#DIV/0!</v>
      </c>
      <c r="AN23" t="e">
        <f>Year_2032!AN26/Year_2025!AN26</f>
        <v>#VALUE!</v>
      </c>
      <c r="AO23">
        <f>Year_2032!AO26/Year_2025!AO26</f>
        <v>1.079481198215424</v>
      </c>
      <c r="AP23">
        <f>Year_2032!AP26/Year_2025!AP26</f>
        <v>1.2022545090180361</v>
      </c>
      <c r="AQ23">
        <f>Year_2032!AQ26/Year_2025!AQ26</f>
        <v>1.2023099233478352</v>
      </c>
      <c r="AR23">
        <f>Year_2032!AR26/Year_2025!AR26</f>
        <v>1.0404617957293543</v>
      </c>
      <c r="AS23">
        <f>Year_2032!AS26/Year_2025!AS26</f>
        <v>1.1489222015537806</v>
      </c>
      <c r="AT23">
        <f>Year_2032!AT26/Year_2025!AT26</f>
        <v>1.2115322076297688</v>
      </c>
      <c r="AU23">
        <f>Year_2032!AU26/Year_2025!AU26</f>
        <v>1.2115023163467902</v>
      </c>
      <c r="AV23">
        <f>Year_2032!AV26/Year_2025!AV26</f>
        <v>1.2115091463414633</v>
      </c>
      <c r="AW23">
        <f>Year_2032!AW26/Year_2025!AW26</f>
        <v>1</v>
      </c>
      <c r="AX23">
        <f>Year_2032!AX26/Year_2025!AX26</f>
        <v>1</v>
      </c>
    </row>
    <row r="24" spans="2:50" x14ac:dyDescent="0.3">
      <c r="B24" t="str">
        <f>Year_2032!B27</f>
        <v>MD</v>
      </c>
      <c r="C24">
        <f>Year_2032!C27/Year_2025!C27</f>
        <v>1.25</v>
      </c>
      <c r="D24">
        <f>Year_2032!D27/Year_2025!D27</f>
        <v>1.1764705882352942</v>
      </c>
      <c r="E24">
        <f>Year_2032!E27/Year_2025!E27</f>
        <v>1.125</v>
      </c>
      <c r="F24">
        <f>Year_2032!F27/Year_2025!F27</f>
        <v>1.1764705882352942</v>
      </c>
      <c r="G24">
        <f>Year_2032!G27/Year_2025!G27</f>
        <v>1</v>
      </c>
      <c r="H24">
        <f>Year_2032!H27/Year_2025!H27</f>
        <v>1</v>
      </c>
      <c r="I24">
        <f>Year_2032!I27/Year_2025!I27</f>
        <v>1</v>
      </c>
      <c r="J24">
        <f>Year_2032!J27/Year_2025!J27</f>
        <v>1</v>
      </c>
      <c r="K24">
        <f>Year_2032!K27/Year_2025!K27</f>
        <v>1.0555555555555556</v>
      </c>
      <c r="L24">
        <f>Year_2032!L27/Year_2025!L27</f>
        <v>1.1666666666666667</v>
      </c>
      <c r="M24" t="e">
        <f>Year_2032!M27/Year_2025!M27</f>
        <v>#DIV/0!</v>
      </c>
      <c r="N24" t="str">
        <f>Year_2032!N27</f>
        <v>MD</v>
      </c>
      <c r="O24">
        <f>Year_2032!O27/Year_2025!O27</f>
        <v>1.3321100039093354</v>
      </c>
      <c r="P24">
        <f>Year_2032!P27/Year_2025!P27</f>
        <v>1.2965472149574315</v>
      </c>
      <c r="Q24">
        <f>Year_2032!Q27/Year_2025!Q27</f>
        <v>1.3323984517662273</v>
      </c>
      <c r="R24">
        <f>Year_2032!R27/Year_2025!R27</f>
        <v>1.3579825488995663</v>
      </c>
      <c r="S24">
        <f>Year_2032!S27/Year_2025!S27</f>
        <v>1.1961561194863568</v>
      </c>
      <c r="T24">
        <f>Year_2032!T27/Year_2025!T27</f>
        <v>1.1865372123023359</v>
      </c>
      <c r="U24">
        <f>Year_2032!U27/Year_2025!U27</f>
        <v>1.2019207029171979</v>
      </c>
      <c r="V24">
        <f>Year_2032!V27/Year_2025!V27</f>
        <v>1.1945247622512083</v>
      </c>
      <c r="W24">
        <f>Year_2032!W27/Year_2025!W27</f>
        <v>1.0628642653735227</v>
      </c>
      <c r="X24">
        <f>Year_2032!X27/Year_2025!X27</f>
        <v>1.2672397728871698</v>
      </c>
      <c r="Y24" t="e">
        <f>Year_2032!Y27/Year_2025!Y27</f>
        <v>#DIV/0!</v>
      </c>
      <c r="Z24" t="e">
        <f>Year_2032!Z27/Year_2025!Z27</f>
        <v>#DIV/0!</v>
      </c>
      <c r="AA24" t="e">
        <f>Year_2032!AA27/Year_2025!AA27</f>
        <v>#VALUE!</v>
      </c>
      <c r="AB24">
        <f>Year_2032!AB27/Year_2025!AB27</f>
        <v>1.0324510609033701</v>
      </c>
      <c r="AC24">
        <f>Year_2032!AC27/Year_2025!AC27</f>
        <v>1.0595360447479967</v>
      </c>
      <c r="AD24">
        <f>Year_2032!AD27/Year_2025!AD27</f>
        <v>1.1829801853668949</v>
      </c>
      <c r="AE24">
        <f>Year_2032!AE27/Year_2025!AE27</f>
        <v>1.1272822461385856</v>
      </c>
      <c r="AF24">
        <f>Year_2032!AF27/Year_2025!AF27</f>
        <v>1.2141943236225576</v>
      </c>
      <c r="AG24">
        <f>Year_2032!AG27/Year_2025!AG27</f>
        <v>1.2161333328374342</v>
      </c>
      <c r="AH24">
        <f>Year_2032!AH27/Year_2025!AH27</f>
        <v>1.2131874842261252</v>
      </c>
      <c r="AI24">
        <f>Year_2032!AI27/Year_2025!AI27</f>
        <v>1.2146091751088115</v>
      </c>
      <c r="AJ24">
        <f>Year_2032!AJ27/Year_2025!AJ27</f>
        <v>0.98982216480798735</v>
      </c>
      <c r="AK24">
        <f>Year_2032!AK27/Year_2025!AK27</f>
        <v>1.0130590911654664</v>
      </c>
      <c r="AL24" t="e">
        <f>Year_2032!AL27/Year_2025!AL27</f>
        <v>#DIV/0!</v>
      </c>
      <c r="AM24" t="e">
        <f>Year_2032!AM27/Year_2025!AM27</f>
        <v>#DIV/0!</v>
      </c>
      <c r="AN24" t="e">
        <f>Year_2032!AN27/Year_2025!AN27</f>
        <v>#VALUE!</v>
      </c>
      <c r="AO24">
        <f>Year_2032!AO27/Year_2025!AO27</f>
        <v>1.0740990574755129</v>
      </c>
      <c r="AP24">
        <f>Year_2032!AP27/Year_2025!AP27</f>
        <v>1.0936106666666667</v>
      </c>
      <c r="AQ24">
        <f>Year_2032!AQ27/Year_2025!AQ27</f>
        <v>1.2023502760866487</v>
      </c>
      <c r="AR24">
        <f>Year_2032!AR27/Year_2025!AR27</f>
        <v>1.1586493834080718</v>
      </c>
      <c r="AS24">
        <f>Year_2032!AS27/Year_2025!AS27</f>
        <v>1.211502423263328</v>
      </c>
      <c r="AT24">
        <f>Year_2032!AT27/Year_2025!AT27</f>
        <v>1.2115395601256784</v>
      </c>
      <c r="AU24">
        <f>Year_2032!AU27/Year_2025!AU27</f>
        <v>1.2114744582043344</v>
      </c>
      <c r="AV24">
        <f>Year_2032!AV27/Year_2025!AV27</f>
        <v>1.2115212527964205</v>
      </c>
      <c r="AW24">
        <f>Year_2032!AW27/Year_2025!AW27</f>
        <v>1</v>
      </c>
      <c r="AX24">
        <f>Year_2032!AX27/Year_2025!AX27</f>
        <v>1.0490196236676292</v>
      </c>
    </row>
    <row r="25" spans="2:50" x14ac:dyDescent="0.3">
      <c r="B25" t="str">
        <f>Year_2032!B28</f>
        <v>PM-Shoulder</v>
      </c>
      <c r="C25">
        <f>Year_2032!C28/Year_2025!C28</f>
        <v>1</v>
      </c>
      <c r="D25">
        <f>Year_2032!D28/Year_2025!D28</f>
        <v>1</v>
      </c>
      <c r="E25">
        <f>Year_2032!E28/Year_2025!E28</f>
        <v>1</v>
      </c>
      <c r="F25">
        <f>Year_2032!F28/Year_2025!F28</f>
        <v>0.95</v>
      </c>
      <c r="G25">
        <f>Year_2032!G28/Year_2025!G28</f>
        <v>0.95</v>
      </c>
      <c r="H25">
        <f>Year_2032!H28/Year_2025!H28</f>
        <v>1</v>
      </c>
      <c r="I25">
        <f>Year_2032!I28/Year_2025!I28</f>
        <v>1</v>
      </c>
      <c r="J25">
        <f>Year_2032!J28/Year_2025!J28</f>
        <v>0.85</v>
      </c>
      <c r="K25">
        <f>Year_2032!K28/Year_2025!K28</f>
        <v>1.0909090909090908</v>
      </c>
      <c r="L25">
        <f>Year_2032!L28/Year_2025!L28</f>
        <v>1.1363636363636365</v>
      </c>
      <c r="M25" t="e">
        <f>Year_2032!M28/Year_2025!M28</f>
        <v>#DIV/0!</v>
      </c>
      <c r="N25" t="str">
        <f>Year_2032!N28</f>
        <v>PM-Shoulder</v>
      </c>
      <c r="O25">
        <f>Year_2032!O28/Year_2025!O28</f>
        <v>1.049516063440423</v>
      </c>
      <c r="P25">
        <f>Year_2032!P28/Year_2025!P28</f>
        <v>1.0397421465508143</v>
      </c>
      <c r="Q25">
        <f>Year_2032!Q28/Year_2025!Q28</f>
        <v>1.1883509051711407</v>
      </c>
      <c r="R25">
        <f>Year_2032!R28/Year_2025!R28</f>
        <v>1.1333970035917058</v>
      </c>
      <c r="S25">
        <f>Year_2032!S28/Year_2025!S28</f>
        <v>1.1171986036653783</v>
      </c>
      <c r="T25">
        <f>Year_2032!T28/Year_2025!T28</f>
        <v>0.98434347304165704</v>
      </c>
      <c r="U25">
        <f>Year_2032!U28/Year_2025!U28</f>
        <v>1.1779910438786652</v>
      </c>
      <c r="V25">
        <f>Year_2032!V28/Year_2025!V28</f>
        <v>1.0794024826425415</v>
      </c>
      <c r="W25">
        <f>Year_2032!W28/Year_2025!W28</f>
        <v>1.138291782782255</v>
      </c>
      <c r="X25">
        <f>Year_2032!X28/Year_2025!X28</f>
        <v>1.2387591298556155</v>
      </c>
      <c r="Y25" t="e">
        <f>Year_2032!Y28/Year_2025!Y28</f>
        <v>#DIV/0!</v>
      </c>
      <c r="Z25" t="e">
        <f>Year_2032!Z28/Year_2025!Z28</f>
        <v>#DIV/0!</v>
      </c>
      <c r="AA25" t="e">
        <f>Year_2032!AA28/Year_2025!AA28</f>
        <v>#VALUE!</v>
      </c>
      <c r="AB25">
        <f>Year_2032!AB28/Year_2025!AB28</f>
        <v>1.0253518305368052</v>
      </c>
      <c r="AC25">
        <f>Year_2032!AC28/Year_2025!AC28</f>
        <v>1.027183405492436</v>
      </c>
      <c r="AD25">
        <f>Year_2032!AD28/Year_2025!AD28</f>
        <v>1.2015729131329733</v>
      </c>
      <c r="AE25">
        <f>Year_2032!AE28/Year_2025!AE28</f>
        <v>1.2154852014548883</v>
      </c>
      <c r="AF25">
        <f>Year_2032!AF28/Year_2025!AF28</f>
        <v>1.1994035894822386</v>
      </c>
      <c r="AG25">
        <f>Year_2032!AG28/Year_2025!AG28</f>
        <v>1.0392598769214969</v>
      </c>
      <c r="AH25">
        <f>Year_2032!AH28/Year_2025!AH28</f>
        <v>1.2191127731915639</v>
      </c>
      <c r="AI25">
        <f>Year_2032!AI28/Year_2025!AI28</f>
        <v>1.2414260389525407</v>
      </c>
      <c r="AJ25">
        <f>Year_2032!AJ28/Year_2025!AJ28</f>
        <v>1.0208951827607915</v>
      </c>
      <c r="AK25">
        <f>Year_2032!AK28/Year_2025!AK28</f>
        <v>1.0166385958022099</v>
      </c>
      <c r="AL25" t="e">
        <f>Year_2032!AL28/Year_2025!AL28</f>
        <v>#DIV/0!</v>
      </c>
      <c r="AM25" t="e">
        <f>Year_2032!AM28/Year_2025!AM28</f>
        <v>#DIV/0!</v>
      </c>
      <c r="AN25" t="e">
        <f>Year_2032!AN28/Year_2025!AN28</f>
        <v>#VALUE!</v>
      </c>
      <c r="AO25">
        <f>Year_2032!AO28/Year_2025!AO28</f>
        <v>1.0294120459739966</v>
      </c>
      <c r="AP25">
        <f>Year_2032!AP28/Year_2025!AP28</f>
        <v>1.0294111682253926</v>
      </c>
      <c r="AQ25">
        <f>Year_2032!AQ28/Year_2025!AQ28</f>
        <v>1.1995270436228</v>
      </c>
      <c r="AR25">
        <f>Year_2032!AR28/Year_2025!AR28</f>
        <v>1.2015002994609703</v>
      </c>
      <c r="AS25">
        <f>Year_2032!AS28/Year_2025!AS28</f>
        <v>1.1845266969755086</v>
      </c>
      <c r="AT25">
        <f>Year_2032!AT28/Year_2025!AT28</f>
        <v>1.0294123844029259</v>
      </c>
      <c r="AU25">
        <f>Year_2032!AU28/Year_2025!AU28</f>
        <v>1.2115339749198017</v>
      </c>
      <c r="AV25">
        <f>Year_2032!AV28/Year_2025!AV28</f>
        <v>1.2115376032135685</v>
      </c>
      <c r="AW25">
        <f>Year_2032!AW28/Year_2025!AW28</f>
        <v>1.0405749741781845</v>
      </c>
      <c r="AX25">
        <f>Year_2032!AX28/Year_2025!AX28</f>
        <v>1.0571417396745932</v>
      </c>
    </row>
    <row r="26" spans="2:50" x14ac:dyDescent="0.3">
      <c r="B26" t="str">
        <f>Year_2032!B29</f>
        <v>PM-Peak</v>
      </c>
      <c r="C26">
        <f>Year_2032!C29/Year_2025!C29</f>
        <v>1.35</v>
      </c>
      <c r="D26">
        <f>Year_2032!D29/Year_2025!D29</f>
        <v>1.35</v>
      </c>
      <c r="E26">
        <f>Year_2032!E29/Year_2025!E29</f>
        <v>1.1499999999999999</v>
      </c>
      <c r="F26">
        <f>Year_2032!F29/Year_2025!F29</f>
        <v>1</v>
      </c>
      <c r="G26">
        <f>Year_2032!G29/Year_2025!G29</f>
        <v>0.95</v>
      </c>
      <c r="H26">
        <f>Year_2032!H29/Year_2025!H29</f>
        <v>1</v>
      </c>
      <c r="I26">
        <f>Year_2032!I29/Year_2025!I29</f>
        <v>1</v>
      </c>
      <c r="J26">
        <f>Year_2032!J29/Year_2025!J29</f>
        <v>0.95</v>
      </c>
      <c r="K26">
        <f>Year_2032!K29/Year_2025!K29</f>
        <v>1.1363636363636365</v>
      </c>
      <c r="L26">
        <f>Year_2032!L29/Year_2025!L29</f>
        <v>1</v>
      </c>
      <c r="M26" t="e">
        <f>Year_2032!M29/Year_2025!M29</f>
        <v>#DIV/0!</v>
      </c>
      <c r="N26" t="str">
        <f>Year_2032!N29</f>
        <v>PM-Peak</v>
      </c>
      <c r="O26">
        <f>Year_2032!O29/Year_2025!O29</f>
        <v>1.6468454715079672</v>
      </c>
      <c r="P26">
        <f>Year_2032!P29/Year_2025!P29</f>
        <v>1.5796700453835428</v>
      </c>
      <c r="Q26">
        <f>Year_2032!Q29/Year_2025!Q29</f>
        <v>1.3898796721154765</v>
      </c>
      <c r="R26">
        <f>Year_2032!R29/Year_2025!R29</f>
        <v>1.1620478340399385</v>
      </c>
      <c r="S26">
        <f>Year_2032!S29/Year_2025!S29</f>
        <v>1.1471139931237269</v>
      </c>
      <c r="T26">
        <f>Year_2032!T29/Year_2025!T29</f>
        <v>1.2290460630159956</v>
      </c>
      <c r="U26">
        <f>Year_2032!U29/Year_2025!U29</f>
        <v>1.1719521064202698</v>
      </c>
      <c r="V26">
        <f>Year_2032!V29/Year_2025!V29</f>
        <v>1.17227690937871</v>
      </c>
      <c r="W26">
        <f>Year_2032!W29/Year_2025!W29</f>
        <v>1.1768727642190375</v>
      </c>
      <c r="X26">
        <f>Year_2032!X29/Year_2025!X29</f>
        <v>0.99879649700858408</v>
      </c>
      <c r="Y26" t="e">
        <f>Year_2032!Y29/Year_2025!Y29</f>
        <v>#DIV/0!</v>
      </c>
      <c r="Z26" t="e">
        <f>Year_2032!Z29/Year_2025!Z29</f>
        <v>#DIV/0!</v>
      </c>
      <c r="AA26" t="e">
        <f>Year_2032!AA29/Year_2025!AA29</f>
        <v>#VALUE!</v>
      </c>
      <c r="AB26">
        <f>Year_2032!AB29/Year_2025!AB29</f>
        <v>1.1113550161077625</v>
      </c>
      <c r="AC26">
        <f>Year_2032!AC29/Year_2025!AC29</f>
        <v>1.1229309506455591</v>
      </c>
      <c r="AD26">
        <f>Year_2032!AD29/Year_2025!AD29</f>
        <v>1.1670055797208794</v>
      </c>
      <c r="AE26">
        <f>Year_2032!AE29/Year_2025!AE29</f>
        <v>1.2100701180549318</v>
      </c>
      <c r="AF26">
        <f>Year_2032!AF29/Year_2025!AF29</f>
        <v>1.2255403576305719</v>
      </c>
      <c r="AG26">
        <f>Year_2032!AG29/Year_2025!AG29</f>
        <v>1.2075622179379415</v>
      </c>
      <c r="AH26">
        <f>Year_2032!AH29/Year_2025!AH29</f>
        <v>1.2202482091320983</v>
      </c>
      <c r="AI26">
        <f>Year_2032!AI29/Year_2025!AI29</f>
        <v>1.2203059361539963</v>
      </c>
      <c r="AJ26">
        <f>Year_2032!AJ29/Year_2025!AJ29</f>
        <v>0.96396132182073813</v>
      </c>
      <c r="AK26">
        <f>Year_2032!AK29/Year_2025!AK29</f>
        <v>1.0002482055170292</v>
      </c>
      <c r="AL26" t="e">
        <f>Year_2032!AL29/Year_2025!AL29</f>
        <v>#DIV/0!</v>
      </c>
      <c r="AM26" t="e">
        <f>Year_2032!AM29/Year_2025!AM29</f>
        <v>#DIV/0!</v>
      </c>
      <c r="AN26" t="e">
        <f>Year_2032!AN29/Year_2025!AN29</f>
        <v>#VALUE!</v>
      </c>
      <c r="AO26">
        <f>Year_2032!AO29/Year_2025!AO29</f>
        <v>1.2022735829917934</v>
      </c>
      <c r="AP26">
        <f>Year_2032!AP29/Year_2025!AP29</f>
        <v>1.2023255813953488</v>
      </c>
      <c r="AQ26">
        <f>Year_2032!AQ29/Year_2025!AQ29</f>
        <v>1.2022490221642765</v>
      </c>
      <c r="AR26">
        <f>Year_2032!AR29/Year_2025!AR29</f>
        <v>1.2023290500229462</v>
      </c>
      <c r="AS26">
        <f>Year_2032!AS29/Year_2025!AS29</f>
        <v>1.2114927821860844</v>
      </c>
      <c r="AT26">
        <f>Year_2032!AT29/Year_2025!AT29</f>
        <v>1.2115244400626322</v>
      </c>
      <c r="AU26">
        <f>Year_2032!AU29/Year_2025!AU29</f>
        <v>1.2115679707047173</v>
      </c>
      <c r="AV26">
        <f>Year_2032!AV29/Year_2025!AV29</f>
        <v>1.2115182269875542</v>
      </c>
      <c r="AW26">
        <f>Year_2032!AW29/Year_2025!AW29</f>
        <v>1</v>
      </c>
      <c r="AX26">
        <f>Year_2032!AX29/Year_2025!AX29</f>
        <v>1</v>
      </c>
    </row>
    <row r="27" spans="2:50" x14ac:dyDescent="0.3">
      <c r="B27" t="str">
        <f>Year_2032!B30</f>
        <v>PM-Late</v>
      </c>
      <c r="C27">
        <f>Year_2032!C30/Year_2025!C30</f>
        <v>1</v>
      </c>
      <c r="D27">
        <f>Year_2032!D30/Year_2025!D30</f>
        <v>1</v>
      </c>
      <c r="E27">
        <f>Year_2032!E30/Year_2025!E30</f>
        <v>1</v>
      </c>
      <c r="F27">
        <f>Year_2032!F30/Year_2025!F30</f>
        <v>1.1666666666666667</v>
      </c>
      <c r="G27">
        <f>Year_2032!G30/Year_2025!G30</f>
        <v>1</v>
      </c>
      <c r="H27">
        <f>Year_2032!H30/Year_2025!H30</f>
        <v>1</v>
      </c>
      <c r="I27">
        <f>Year_2032!I30/Year_2025!I30</f>
        <v>1</v>
      </c>
      <c r="J27">
        <f>Year_2032!J30/Year_2025!J30</f>
        <v>1</v>
      </c>
      <c r="K27">
        <f>Year_2032!K30/Year_2025!K30</f>
        <v>1</v>
      </c>
      <c r="L27">
        <f>Year_2032!L30/Year_2025!L30</f>
        <v>1</v>
      </c>
      <c r="M27" t="e">
        <f>Year_2032!M30/Year_2025!M30</f>
        <v>#DIV/0!</v>
      </c>
      <c r="N27" t="str">
        <f>Year_2032!N30</f>
        <v>PM-Late</v>
      </c>
      <c r="O27">
        <f>Year_2032!O30/Year_2025!O30</f>
        <v>1.1998798360620559</v>
      </c>
      <c r="P27">
        <f>Year_2032!P30/Year_2025!P30</f>
        <v>1.1962040623911128</v>
      </c>
      <c r="Q27">
        <f>Year_2032!Q30/Year_2025!Q30</f>
        <v>1.1988302660991519</v>
      </c>
      <c r="R27">
        <f>Year_2032!R30/Year_2025!R30</f>
        <v>1.3446969696969697</v>
      </c>
      <c r="S27">
        <f>Year_2032!S30/Year_2025!S30</f>
        <v>1.2015707154742097</v>
      </c>
      <c r="T27">
        <f>Year_2032!T30/Year_2025!T30</f>
        <v>1.2076965365585488</v>
      </c>
      <c r="U27">
        <f>Year_2032!U30/Year_2025!U30</f>
        <v>1.2108327793812004</v>
      </c>
      <c r="V27">
        <f>Year_2032!V30/Year_2025!V30</f>
        <v>1.2114678577274747</v>
      </c>
      <c r="W27">
        <f>Year_2032!W30/Year_2025!W30</f>
        <v>0.99992746194169868</v>
      </c>
      <c r="X27">
        <f>Year_2032!X30/Year_2025!X30</f>
        <v>1.0307644335918631</v>
      </c>
      <c r="Y27" t="e">
        <f>Year_2032!Y30/Year_2025!Y30</f>
        <v>#DIV/0!</v>
      </c>
      <c r="Z27" t="e">
        <f>Year_2032!Z30/Year_2025!Z30</f>
        <v>#DIV/0!</v>
      </c>
      <c r="AA27" t="e">
        <f>Year_2032!AA30/Year_2025!AA30</f>
        <v>#VALUE!</v>
      </c>
      <c r="AB27">
        <f>Year_2032!AB30/Year_2025!AB30</f>
        <v>1.2027806415630071</v>
      </c>
      <c r="AC27">
        <f>Year_2032!AC30/Year_2025!AC30</f>
        <v>1.2036692594584433</v>
      </c>
      <c r="AD27">
        <f>Year_2032!AD30/Year_2025!AD30</f>
        <v>1.2028528796158138</v>
      </c>
      <c r="AE27">
        <f>Year_2032!AE30/Year_2025!AE30</f>
        <v>1.1791799340818949</v>
      </c>
      <c r="AF27">
        <f>Year_2032!AF30/Year_2025!AF30</f>
        <v>1.2136410184470787</v>
      </c>
      <c r="AG27">
        <f>Year_2032!AG30/Year_2025!AG30</f>
        <v>1.2122913317670334</v>
      </c>
      <c r="AH27">
        <f>Year_2032!AH30/Year_2025!AH30</f>
        <v>1.2117266882217417</v>
      </c>
      <c r="AI27">
        <f>Year_2032!AI30/Year_2025!AI30</f>
        <v>1.2114203948290883</v>
      </c>
      <c r="AJ27">
        <f>Year_2032!AJ30/Year_2025!AJ30</f>
        <v>1.0000130694808453</v>
      </c>
      <c r="AK27">
        <f>Year_2032!AK30/Year_2025!AK30</f>
        <v>1.0317360673987908</v>
      </c>
      <c r="AL27" t="e">
        <f>Year_2032!AL30/Year_2025!AL30</f>
        <v>#DIV/0!</v>
      </c>
      <c r="AM27" t="e">
        <f>Year_2032!AM30/Year_2025!AM30</f>
        <v>#DIV/0!</v>
      </c>
      <c r="AN27" t="e">
        <f>Year_2032!AN30/Year_2025!AN30</f>
        <v>#VALUE!</v>
      </c>
      <c r="AO27">
        <f>Year_2032!AO30/Year_2025!AO30</f>
        <v>1.2023034154090548</v>
      </c>
      <c r="AP27">
        <f>Year_2032!AP30/Year_2025!AP30</f>
        <v>1.2023567567567568</v>
      </c>
      <c r="AQ27">
        <f>Year_2032!AQ30/Year_2025!AQ30</f>
        <v>1.2022792769190462</v>
      </c>
      <c r="AR27">
        <f>Year_2032!AR30/Year_2025!AR30</f>
        <v>1.2022831050228311</v>
      </c>
      <c r="AS27">
        <f>Year_2032!AS30/Year_2025!AS30</f>
        <v>1.2115397984011123</v>
      </c>
      <c r="AT27">
        <f>Year_2032!AT30/Year_2025!AT30</f>
        <v>1.2114476075105998</v>
      </c>
      <c r="AU27">
        <f>Year_2032!AU30/Year_2025!AU30</f>
        <v>1.2115720524017468</v>
      </c>
      <c r="AV27">
        <f>Year_2032!AV30/Year_2025!AV30</f>
        <v>1.2114227086183311</v>
      </c>
      <c r="AW27">
        <f>Year_2032!AW30/Year_2025!AW30</f>
        <v>1</v>
      </c>
      <c r="AX27">
        <f>Year_2032!AX30/Year_2025!AX30</f>
        <v>1.0315789698970697</v>
      </c>
    </row>
    <row r="28" spans="2:50" x14ac:dyDescent="0.3">
      <c r="B28">
        <f>Year_2032!B31</f>
        <v>0</v>
      </c>
      <c r="C28" t="e">
        <f>Year_2032!C31/Year_2025!C31</f>
        <v>#DIV/0!</v>
      </c>
      <c r="D28" t="e">
        <f>Year_2032!D31/Year_2025!D31</f>
        <v>#DIV/0!</v>
      </c>
      <c r="E28" t="e">
        <f>Year_2032!E31/Year_2025!E31</f>
        <v>#DIV/0!</v>
      </c>
      <c r="F28" t="e">
        <f>Year_2032!F31/Year_2025!F31</f>
        <v>#DIV/0!</v>
      </c>
      <c r="G28" t="e">
        <f>Year_2032!G31/Year_2025!G31</f>
        <v>#DIV/0!</v>
      </c>
      <c r="H28" t="e">
        <f>Year_2032!H31/Year_2025!H31</f>
        <v>#DIV/0!</v>
      </c>
      <c r="I28" t="e">
        <f>Year_2032!I31/Year_2025!I31</f>
        <v>#DIV/0!</v>
      </c>
      <c r="J28" t="e">
        <f>Year_2032!J31/Year_2025!J31</f>
        <v>#DIV/0!</v>
      </c>
      <c r="K28" t="e">
        <f>Year_2032!K31/Year_2025!K31</f>
        <v>#DIV/0!</v>
      </c>
      <c r="L28" t="e">
        <f>Year_2032!L31/Year_2025!L31</f>
        <v>#DIV/0!</v>
      </c>
      <c r="M28" t="e">
        <f>Year_2032!M31/Year_2025!M31</f>
        <v>#DIV/0!</v>
      </c>
      <c r="N28">
        <f>Year_2032!N31</f>
        <v>0</v>
      </c>
      <c r="O28" t="e">
        <f>Year_2032!O31/Year_2025!O31</f>
        <v>#DIV/0!</v>
      </c>
      <c r="P28" t="e">
        <f>Year_2032!P31/Year_2025!P31</f>
        <v>#DIV/0!</v>
      </c>
      <c r="Q28" t="e">
        <f>Year_2032!Q31/Year_2025!Q31</f>
        <v>#DIV/0!</v>
      </c>
      <c r="R28" t="e">
        <f>Year_2032!R31/Year_2025!R31</f>
        <v>#DIV/0!</v>
      </c>
      <c r="S28" t="e">
        <f>Year_2032!S31/Year_2025!S31</f>
        <v>#DIV/0!</v>
      </c>
      <c r="T28" t="e">
        <f>Year_2032!T31/Year_2025!T31</f>
        <v>#DIV/0!</v>
      </c>
      <c r="U28" t="e">
        <f>Year_2032!U31/Year_2025!U31</f>
        <v>#DIV/0!</v>
      </c>
      <c r="V28" t="e">
        <f>Year_2032!V31/Year_2025!V31</f>
        <v>#DIV/0!</v>
      </c>
      <c r="W28" t="e">
        <f>Year_2032!W31/Year_2025!W31</f>
        <v>#DIV/0!</v>
      </c>
      <c r="X28" t="e">
        <f>Year_2032!X31/Year_2025!X31</f>
        <v>#DIV/0!</v>
      </c>
      <c r="Y28" t="e">
        <f>Year_2032!Y31/Year_2025!Y31</f>
        <v>#DIV/0!</v>
      </c>
      <c r="Z28" t="e">
        <f>Year_2032!Z31/Year_2025!Z31</f>
        <v>#DIV/0!</v>
      </c>
      <c r="AA28" t="e">
        <f>Year_2032!AA31/Year_2025!AA31</f>
        <v>#DIV/0!</v>
      </c>
      <c r="AB28" t="e">
        <f>Year_2032!AB31/Year_2025!AB31</f>
        <v>#DIV/0!</v>
      </c>
      <c r="AC28" t="e">
        <f>Year_2032!AC31/Year_2025!AC31</f>
        <v>#DIV/0!</v>
      </c>
      <c r="AD28" t="e">
        <f>Year_2032!AD31/Year_2025!AD31</f>
        <v>#DIV/0!</v>
      </c>
      <c r="AE28" t="e">
        <f>Year_2032!AE31/Year_2025!AE31</f>
        <v>#DIV/0!</v>
      </c>
      <c r="AF28" t="e">
        <f>Year_2032!AF31/Year_2025!AF31</f>
        <v>#DIV/0!</v>
      </c>
      <c r="AG28" t="e">
        <f>Year_2032!AG31/Year_2025!AG31</f>
        <v>#DIV/0!</v>
      </c>
      <c r="AH28" t="e">
        <f>Year_2032!AH31/Year_2025!AH31</f>
        <v>#DIV/0!</v>
      </c>
      <c r="AI28" t="e">
        <f>Year_2032!AI31/Year_2025!AI31</f>
        <v>#DIV/0!</v>
      </c>
      <c r="AJ28" t="e">
        <f>Year_2032!AJ31/Year_2025!AJ31</f>
        <v>#DIV/0!</v>
      </c>
      <c r="AK28" t="e">
        <f>Year_2032!AK31/Year_2025!AK31</f>
        <v>#DIV/0!</v>
      </c>
      <c r="AL28" t="e">
        <f>Year_2032!AL31/Year_2025!AL31</f>
        <v>#DIV/0!</v>
      </c>
      <c r="AM28" t="e">
        <f>Year_2032!AM31/Year_2025!AM31</f>
        <v>#DIV/0!</v>
      </c>
      <c r="AN28" t="e">
        <f>Year_2032!AN31/Year_2025!AN31</f>
        <v>#DIV/0!</v>
      </c>
      <c r="AO28" t="e">
        <f>Year_2032!AO31/Year_2025!AO31</f>
        <v>#DIV/0!</v>
      </c>
      <c r="AP28" t="e">
        <f>Year_2032!AP31/Year_2025!AP31</f>
        <v>#DIV/0!</v>
      </c>
      <c r="AQ28" t="e">
        <f>Year_2032!AQ31/Year_2025!AQ31</f>
        <v>#DIV/0!</v>
      </c>
      <c r="AR28" t="e">
        <f>Year_2032!AR31/Year_2025!AR31</f>
        <v>#DIV/0!</v>
      </c>
      <c r="AS28" t="e">
        <f>Year_2032!AS31/Year_2025!AS31</f>
        <v>#DIV/0!</v>
      </c>
      <c r="AT28" t="e">
        <f>Year_2032!AT31/Year_2025!AT31</f>
        <v>#DIV/0!</v>
      </c>
      <c r="AU28" t="e">
        <f>Year_2032!AU31/Year_2025!AU31</f>
        <v>#DIV/0!</v>
      </c>
      <c r="AV28" t="e">
        <f>Year_2032!AV31/Year_2025!AV31</f>
        <v>#DIV/0!</v>
      </c>
      <c r="AW28" t="e">
        <f>Year_2032!AW31/Year_2025!AW31</f>
        <v>#DIV/0!</v>
      </c>
      <c r="AX28" t="e">
        <f>Year_2032!AX31/Year_2025!AX31</f>
        <v>#DIV/0!</v>
      </c>
    </row>
    <row r="29" spans="2:50" x14ac:dyDescent="0.3">
      <c r="B29">
        <f>Year_2032!B32</f>
        <v>0</v>
      </c>
      <c r="C29" t="e">
        <f>Year_2032!C32/Year_2025!C32</f>
        <v>#DIV/0!</v>
      </c>
      <c r="D29" t="e">
        <f>Year_2032!D32/Year_2025!D32</f>
        <v>#DIV/0!</v>
      </c>
      <c r="E29" t="e">
        <f>Year_2032!E32/Year_2025!E32</f>
        <v>#DIV/0!</v>
      </c>
      <c r="F29" t="e">
        <f>Year_2032!F32/Year_2025!F32</f>
        <v>#DIV/0!</v>
      </c>
      <c r="G29" t="e">
        <f>Year_2032!G32/Year_2025!G32</f>
        <v>#DIV/0!</v>
      </c>
      <c r="H29" t="e">
        <f>Year_2032!H32/Year_2025!H32</f>
        <v>#DIV/0!</v>
      </c>
      <c r="I29" t="e">
        <f>Year_2032!I32/Year_2025!I32</f>
        <v>#DIV/0!</v>
      </c>
      <c r="J29" t="e">
        <f>Year_2032!J32/Year_2025!J32</f>
        <v>#DIV/0!</v>
      </c>
      <c r="K29" t="e">
        <f>Year_2032!K32/Year_2025!K32</f>
        <v>#DIV/0!</v>
      </c>
      <c r="L29" t="e">
        <f>Year_2032!L32/Year_2025!L32</f>
        <v>#DIV/0!</v>
      </c>
      <c r="M29" t="e">
        <f>Year_2032!M32/Year_2025!M32</f>
        <v>#DIV/0!</v>
      </c>
      <c r="N29">
        <f>Year_2032!N32</f>
        <v>0</v>
      </c>
      <c r="O29" t="e">
        <f>Year_2032!O32/Year_2025!O32</f>
        <v>#DIV/0!</v>
      </c>
      <c r="P29" t="e">
        <f>Year_2032!P32/Year_2025!P32</f>
        <v>#DIV/0!</v>
      </c>
      <c r="Q29" t="e">
        <f>Year_2032!Q32/Year_2025!Q32</f>
        <v>#DIV/0!</v>
      </c>
      <c r="R29" t="e">
        <f>Year_2032!R32/Year_2025!R32</f>
        <v>#DIV/0!</v>
      </c>
      <c r="S29" t="e">
        <f>Year_2032!S32/Year_2025!S32</f>
        <v>#DIV/0!</v>
      </c>
      <c r="T29" t="e">
        <f>Year_2032!T32/Year_2025!T32</f>
        <v>#DIV/0!</v>
      </c>
      <c r="U29" t="e">
        <f>Year_2032!U32/Year_2025!U32</f>
        <v>#DIV/0!</v>
      </c>
      <c r="V29" t="e">
        <f>Year_2032!V32/Year_2025!V32</f>
        <v>#DIV/0!</v>
      </c>
      <c r="W29" t="e">
        <f>Year_2032!W32/Year_2025!W32</f>
        <v>#DIV/0!</v>
      </c>
      <c r="X29" t="e">
        <f>Year_2032!X32/Year_2025!X32</f>
        <v>#DIV/0!</v>
      </c>
      <c r="Y29" t="e">
        <f>Year_2032!Y32/Year_2025!Y32</f>
        <v>#DIV/0!</v>
      </c>
      <c r="Z29" t="e">
        <f>Year_2032!Z32/Year_2025!Z32</f>
        <v>#DIV/0!</v>
      </c>
      <c r="AA29" t="e">
        <f>Year_2032!AA32/Year_2025!AA32</f>
        <v>#DIV/0!</v>
      </c>
      <c r="AB29" t="e">
        <f>Year_2032!AB32/Year_2025!AB32</f>
        <v>#DIV/0!</v>
      </c>
      <c r="AC29" t="e">
        <f>Year_2032!AC32/Year_2025!AC32</f>
        <v>#DIV/0!</v>
      </c>
      <c r="AD29" t="e">
        <f>Year_2032!AD32/Year_2025!AD32</f>
        <v>#DIV/0!</v>
      </c>
      <c r="AE29" t="e">
        <f>Year_2032!AE32/Year_2025!AE32</f>
        <v>#DIV/0!</v>
      </c>
      <c r="AF29" t="e">
        <f>Year_2032!AF32/Year_2025!AF32</f>
        <v>#DIV/0!</v>
      </c>
      <c r="AG29" t="e">
        <f>Year_2032!AG32/Year_2025!AG32</f>
        <v>#DIV/0!</v>
      </c>
      <c r="AH29" t="e">
        <f>Year_2032!AH32/Year_2025!AH32</f>
        <v>#DIV/0!</v>
      </c>
      <c r="AI29" t="e">
        <f>Year_2032!AI32/Year_2025!AI32</f>
        <v>#DIV/0!</v>
      </c>
      <c r="AJ29" t="e">
        <f>Year_2032!AJ32/Year_2025!AJ32</f>
        <v>#DIV/0!</v>
      </c>
      <c r="AK29" t="e">
        <f>Year_2032!AK32/Year_2025!AK32</f>
        <v>#DIV/0!</v>
      </c>
      <c r="AL29" t="e">
        <f>Year_2032!AL32/Year_2025!AL32</f>
        <v>#DIV/0!</v>
      </c>
      <c r="AM29" t="e">
        <f>Year_2032!AM32/Year_2025!AM32</f>
        <v>#DIV/0!</v>
      </c>
      <c r="AN29" t="e">
        <f>Year_2032!AN32/Year_2025!AN32</f>
        <v>#DIV/0!</v>
      </c>
      <c r="AO29" t="e">
        <f>Year_2032!AO32/Year_2025!AO32</f>
        <v>#DIV/0!</v>
      </c>
      <c r="AP29" t="e">
        <f>Year_2032!AP32/Year_2025!AP32</f>
        <v>#DIV/0!</v>
      </c>
      <c r="AQ29" t="e">
        <f>Year_2032!AQ32/Year_2025!AQ32</f>
        <v>#DIV/0!</v>
      </c>
      <c r="AR29" t="e">
        <f>Year_2032!AR32/Year_2025!AR32</f>
        <v>#DIV/0!</v>
      </c>
      <c r="AS29" t="e">
        <f>Year_2032!AS32/Year_2025!AS32</f>
        <v>#DIV/0!</v>
      </c>
      <c r="AT29" t="e">
        <f>Year_2032!AT32/Year_2025!AT32</f>
        <v>#DIV/0!</v>
      </c>
      <c r="AU29" t="e">
        <f>Year_2032!AU32/Year_2025!AU32</f>
        <v>#DIV/0!</v>
      </c>
      <c r="AV29" t="e">
        <f>Year_2032!AV32/Year_2025!AV32</f>
        <v>#DIV/0!</v>
      </c>
      <c r="AW29" t="e">
        <f>Year_2032!AW32/Year_2025!AW32</f>
        <v>#DIV/0!</v>
      </c>
      <c r="AX29" t="e">
        <f>Year_2032!AX32/Year_2025!AX32</f>
        <v>#DIV/0!</v>
      </c>
    </row>
    <row r="30" spans="2:50" x14ac:dyDescent="0.3">
      <c r="B30" t="str">
        <f>Year_2032!B33</f>
        <v>Revenue Per Period</v>
      </c>
      <c r="C30" t="e">
        <f>Year_2032!C33/Year_2025!C33</f>
        <v>#DIV/0!</v>
      </c>
      <c r="D30" t="e">
        <f>Year_2032!D33/Year_2025!D33</f>
        <v>#DIV/0!</v>
      </c>
      <c r="E30" t="e">
        <f>Year_2032!E33/Year_2025!E33</f>
        <v>#DIV/0!</v>
      </c>
      <c r="F30" t="e">
        <f>Year_2032!F33/Year_2025!F33</f>
        <v>#DIV/0!</v>
      </c>
      <c r="G30" t="e">
        <f>Year_2032!G33/Year_2025!G33</f>
        <v>#DIV/0!</v>
      </c>
      <c r="H30" t="e">
        <f>Year_2032!H33/Year_2025!H33</f>
        <v>#DIV/0!</v>
      </c>
      <c r="I30" t="e">
        <f>Year_2032!I33/Year_2025!I33</f>
        <v>#DIV/0!</v>
      </c>
      <c r="J30" t="e">
        <f>Year_2032!J33/Year_2025!J33</f>
        <v>#DIV/0!</v>
      </c>
      <c r="K30" t="e">
        <f>Year_2032!K33/Year_2025!K33</f>
        <v>#DIV/0!</v>
      </c>
      <c r="L30" t="e">
        <f>Year_2032!L33/Year_2025!L33</f>
        <v>#DIV/0!</v>
      </c>
      <c r="M30" t="e">
        <f>Year_2032!M33/Year_2025!M33</f>
        <v>#DIV/0!</v>
      </c>
      <c r="N30" t="str">
        <f>Year_2032!N33</f>
        <v>ML Flow (PCE/hr)</v>
      </c>
      <c r="O30" t="e">
        <f>Year_2032!O33/Year_2025!O33</f>
        <v>#DIV/0!</v>
      </c>
      <c r="P30" t="e">
        <f>Year_2032!P33/Year_2025!P33</f>
        <v>#DIV/0!</v>
      </c>
      <c r="Q30" t="e">
        <f>Year_2032!Q33/Year_2025!Q33</f>
        <v>#DIV/0!</v>
      </c>
      <c r="R30" t="e">
        <f>Year_2032!R33/Year_2025!R33</f>
        <v>#DIV/0!</v>
      </c>
      <c r="S30" t="e">
        <f>Year_2032!S33/Year_2025!S33</f>
        <v>#DIV/0!</v>
      </c>
      <c r="T30" t="e">
        <f>Year_2032!T33/Year_2025!T33</f>
        <v>#DIV/0!</v>
      </c>
      <c r="U30" t="e">
        <f>Year_2032!U33/Year_2025!U33</f>
        <v>#DIV/0!</v>
      </c>
      <c r="V30" t="e">
        <f>Year_2032!V33/Year_2025!V33</f>
        <v>#DIV/0!</v>
      </c>
      <c r="W30" t="e">
        <f>Year_2032!W33/Year_2025!W33</f>
        <v>#DIV/0!</v>
      </c>
      <c r="X30" t="e">
        <f>Year_2032!X33/Year_2025!X33</f>
        <v>#DIV/0!</v>
      </c>
      <c r="Y30" t="e">
        <f>Year_2032!Y33/Year_2025!Y33</f>
        <v>#DIV/0!</v>
      </c>
      <c r="Z30" t="e">
        <f>Year_2032!Z33/Year_2025!Z33</f>
        <v>#DIV/0!</v>
      </c>
      <c r="AA30" t="e">
        <f>Year_2032!AA33/Year_2025!AA33</f>
        <v>#VALUE!</v>
      </c>
      <c r="AB30" t="e">
        <f>Year_2032!AB33/Year_2025!AB33</f>
        <v>#DIV/0!</v>
      </c>
      <c r="AC30" t="e">
        <f>Year_2032!AC33/Year_2025!AC33</f>
        <v>#DIV/0!</v>
      </c>
      <c r="AD30" t="e">
        <f>Year_2032!AD33/Year_2025!AD33</f>
        <v>#DIV/0!</v>
      </c>
      <c r="AE30" t="e">
        <f>Year_2032!AE33/Year_2025!AE33</f>
        <v>#DIV/0!</v>
      </c>
      <c r="AF30" t="e">
        <f>Year_2032!AF33/Year_2025!AF33</f>
        <v>#DIV/0!</v>
      </c>
      <c r="AG30" t="e">
        <f>Year_2032!AG33/Year_2025!AG33</f>
        <v>#DIV/0!</v>
      </c>
      <c r="AH30" t="e">
        <f>Year_2032!AH33/Year_2025!AH33</f>
        <v>#DIV/0!</v>
      </c>
      <c r="AI30" t="e">
        <f>Year_2032!AI33/Year_2025!AI33</f>
        <v>#DIV/0!</v>
      </c>
      <c r="AJ30" t="e">
        <f>Year_2032!AJ33/Year_2025!AJ33</f>
        <v>#DIV/0!</v>
      </c>
      <c r="AK30" t="e">
        <f>Year_2032!AK33/Year_2025!AK33</f>
        <v>#DIV/0!</v>
      </c>
      <c r="AL30" t="e">
        <f>Year_2032!AL33/Year_2025!AL33</f>
        <v>#DIV/0!</v>
      </c>
      <c r="AM30" t="e">
        <f>Year_2032!AM33/Year_2025!AM33</f>
        <v>#DIV/0!</v>
      </c>
      <c r="AN30" t="e">
        <f>Year_2032!AN33/Year_2025!AN33</f>
        <v>#VALUE!</v>
      </c>
      <c r="AO30" t="e">
        <f>Year_2032!AO33/Year_2025!AO33</f>
        <v>#DIV/0!</v>
      </c>
      <c r="AP30" t="e">
        <f>Year_2032!AP33/Year_2025!AP33</f>
        <v>#DIV/0!</v>
      </c>
      <c r="AQ30" t="e">
        <f>Year_2032!AQ33/Year_2025!AQ33</f>
        <v>#DIV/0!</v>
      </c>
      <c r="AR30" t="e">
        <f>Year_2032!AR33/Year_2025!AR33</f>
        <v>#DIV/0!</v>
      </c>
      <c r="AS30" t="e">
        <f>Year_2032!AS33/Year_2025!AS33</f>
        <v>#DIV/0!</v>
      </c>
      <c r="AT30" t="e">
        <f>Year_2032!AT33/Year_2025!AT33</f>
        <v>#DIV/0!</v>
      </c>
      <c r="AU30" t="e">
        <f>Year_2032!AU33/Year_2025!AU33</f>
        <v>#DIV/0!</v>
      </c>
      <c r="AV30" t="e">
        <f>Year_2032!AV33/Year_2025!AV33</f>
        <v>#DIV/0!</v>
      </c>
      <c r="AW30" t="e">
        <f>Year_2032!AW33/Year_2025!AW33</f>
        <v>#DIV/0!</v>
      </c>
      <c r="AX30" t="e">
        <f>Year_2032!AX33/Year_2025!AX33</f>
        <v>#DIV/0!</v>
      </c>
    </row>
    <row r="31" spans="2:50" x14ac:dyDescent="0.3">
      <c r="B31" t="str">
        <f>Year_2032!B34</f>
        <v>Direction</v>
      </c>
      <c r="C31" t="e">
        <f>Year_2032!C34/Year_2025!C34</f>
        <v>#VALUE!</v>
      </c>
      <c r="D31" t="e">
        <f>Year_2032!D34/Year_2025!D34</f>
        <v>#VALUE!</v>
      </c>
      <c r="E31" t="e">
        <f>Year_2032!E34/Year_2025!E34</f>
        <v>#VALUE!</v>
      </c>
      <c r="F31" t="e">
        <f>Year_2032!F34/Year_2025!F34</f>
        <v>#VALUE!</v>
      </c>
      <c r="G31" t="e">
        <f>Year_2032!G34/Year_2025!G34</f>
        <v>#VALUE!</v>
      </c>
      <c r="H31" t="e">
        <f>Year_2032!H34/Year_2025!H34</f>
        <v>#VALUE!</v>
      </c>
      <c r="I31" t="e">
        <f>Year_2032!I34/Year_2025!I34</f>
        <v>#VALUE!</v>
      </c>
      <c r="J31" t="e">
        <f>Year_2032!J34/Year_2025!J34</f>
        <v>#VALUE!</v>
      </c>
      <c r="K31" t="e">
        <f>Year_2032!K34/Year_2025!K34</f>
        <v>#VALUE!</v>
      </c>
      <c r="L31" t="e">
        <f>Year_2032!L34/Year_2025!L34</f>
        <v>#VALUE!</v>
      </c>
      <c r="M31" t="e">
        <f>Year_2032!M34/Year_2025!M34</f>
        <v>#DIV/0!</v>
      </c>
      <c r="N31" t="str">
        <f>Year_2032!N34</f>
        <v>Direction</v>
      </c>
      <c r="O31" t="e">
        <f>Year_2032!O34/Year_2025!O34</f>
        <v>#VALUE!</v>
      </c>
      <c r="P31" t="e">
        <f>Year_2032!P34/Year_2025!P34</f>
        <v>#VALUE!</v>
      </c>
      <c r="Q31" t="e">
        <f>Year_2032!Q34/Year_2025!Q34</f>
        <v>#VALUE!</v>
      </c>
      <c r="R31" t="e">
        <f>Year_2032!R34/Year_2025!R34</f>
        <v>#VALUE!</v>
      </c>
      <c r="S31" t="e">
        <f>Year_2032!S34/Year_2025!S34</f>
        <v>#VALUE!</v>
      </c>
      <c r="T31" t="e">
        <f>Year_2032!T34/Year_2025!T34</f>
        <v>#VALUE!</v>
      </c>
      <c r="U31" t="e">
        <f>Year_2032!U34/Year_2025!U34</f>
        <v>#VALUE!</v>
      </c>
      <c r="V31" t="e">
        <f>Year_2032!V34/Year_2025!V34</f>
        <v>#VALUE!</v>
      </c>
      <c r="W31" t="e">
        <f>Year_2032!W34/Year_2025!W34</f>
        <v>#VALUE!</v>
      </c>
      <c r="X31" t="e">
        <f>Year_2032!X34/Year_2025!X34</f>
        <v>#VALUE!</v>
      </c>
      <c r="Y31" t="e">
        <f>Year_2032!Y34/Year_2025!Y34</f>
        <v>#DIV/0!</v>
      </c>
      <c r="Z31" t="e">
        <f>Year_2032!Z34/Year_2025!Z34</f>
        <v>#DIV/0!</v>
      </c>
      <c r="AA31" t="e">
        <f>Year_2032!AA34/Year_2025!AA34</f>
        <v>#VALUE!</v>
      </c>
      <c r="AB31" t="e">
        <f>Year_2032!AB34/Year_2025!AB34</f>
        <v>#VALUE!</v>
      </c>
      <c r="AC31" t="e">
        <f>Year_2032!AC34/Year_2025!AC34</f>
        <v>#VALUE!</v>
      </c>
      <c r="AD31" t="e">
        <f>Year_2032!AD34/Year_2025!AD34</f>
        <v>#VALUE!</v>
      </c>
      <c r="AE31" t="e">
        <f>Year_2032!AE34/Year_2025!AE34</f>
        <v>#VALUE!</v>
      </c>
      <c r="AF31" t="e">
        <f>Year_2032!AF34/Year_2025!AF34</f>
        <v>#VALUE!</v>
      </c>
      <c r="AG31" t="e">
        <f>Year_2032!AG34/Year_2025!AG34</f>
        <v>#VALUE!</v>
      </c>
      <c r="AH31" t="e">
        <f>Year_2032!AH34/Year_2025!AH34</f>
        <v>#VALUE!</v>
      </c>
      <c r="AI31" t="e">
        <f>Year_2032!AI34/Year_2025!AI34</f>
        <v>#VALUE!</v>
      </c>
      <c r="AJ31" t="e">
        <f>Year_2032!AJ34/Year_2025!AJ34</f>
        <v>#VALUE!</v>
      </c>
      <c r="AK31" t="e">
        <f>Year_2032!AK34/Year_2025!AK34</f>
        <v>#VALUE!</v>
      </c>
      <c r="AL31" t="e">
        <f>Year_2032!AL34/Year_2025!AL34</f>
        <v>#DIV/0!</v>
      </c>
      <c r="AM31" t="e">
        <f>Year_2032!AM34/Year_2025!AM34</f>
        <v>#DIV/0!</v>
      </c>
      <c r="AN31" t="e">
        <f>Year_2032!AN34/Year_2025!AN34</f>
        <v>#VALUE!</v>
      </c>
      <c r="AO31" t="e">
        <f>Year_2032!AO34/Year_2025!AO34</f>
        <v>#VALUE!</v>
      </c>
      <c r="AP31" t="e">
        <f>Year_2032!AP34/Year_2025!AP34</f>
        <v>#VALUE!</v>
      </c>
      <c r="AQ31" t="e">
        <f>Year_2032!AQ34/Year_2025!AQ34</f>
        <v>#VALUE!</v>
      </c>
      <c r="AR31" t="e">
        <f>Year_2032!AR34/Year_2025!AR34</f>
        <v>#VALUE!</v>
      </c>
      <c r="AS31" t="e">
        <f>Year_2032!AS34/Year_2025!AS34</f>
        <v>#VALUE!</v>
      </c>
      <c r="AT31" t="e">
        <f>Year_2032!AT34/Year_2025!AT34</f>
        <v>#VALUE!</v>
      </c>
      <c r="AU31" t="e">
        <f>Year_2032!AU34/Year_2025!AU34</f>
        <v>#VALUE!</v>
      </c>
      <c r="AV31" t="e">
        <f>Year_2032!AV34/Year_2025!AV34</f>
        <v>#VALUE!</v>
      </c>
      <c r="AW31" t="e">
        <f>Year_2032!AW34/Year_2025!AW34</f>
        <v>#VALUE!</v>
      </c>
      <c r="AX31" t="e">
        <f>Year_2032!AX34/Year_2025!AX34</f>
        <v>#VALUE!</v>
      </c>
    </row>
    <row r="32" spans="2:50" x14ac:dyDescent="0.3">
      <c r="B32" t="str">
        <f>Year_2032!B35</f>
        <v>Segment</v>
      </c>
      <c r="C32">
        <f>Year_2032!C35/Year_2025!C35</f>
        <v>1</v>
      </c>
      <c r="D32">
        <f>Year_2032!D35/Year_2025!D35</f>
        <v>1</v>
      </c>
      <c r="E32">
        <f>Year_2032!E35/Year_2025!E35</f>
        <v>1</v>
      </c>
      <c r="F32">
        <f>Year_2032!F35/Year_2025!F35</f>
        <v>1</v>
      </c>
      <c r="G32">
        <f>Year_2032!G35/Year_2025!G35</f>
        <v>1</v>
      </c>
      <c r="H32">
        <f>Year_2032!H35/Year_2025!H35</f>
        <v>1</v>
      </c>
      <c r="I32">
        <f>Year_2032!I35/Year_2025!I35</f>
        <v>1</v>
      </c>
      <c r="J32">
        <f>Year_2032!J35/Year_2025!J35</f>
        <v>1</v>
      </c>
      <c r="K32">
        <f>Year_2032!K35/Year_2025!K35</f>
        <v>1</v>
      </c>
      <c r="L32">
        <f>Year_2032!L35/Year_2025!L35</f>
        <v>1</v>
      </c>
      <c r="M32" t="e">
        <f>Year_2032!M35/Year_2025!M35</f>
        <v>#DIV/0!</v>
      </c>
      <c r="N32" t="str">
        <f>Year_2032!N35</f>
        <v>Segment</v>
      </c>
      <c r="O32">
        <f>Year_2032!O35/Year_2025!O35</f>
        <v>1</v>
      </c>
      <c r="P32">
        <f>Year_2032!P35/Year_2025!P35</f>
        <v>1</v>
      </c>
      <c r="Q32">
        <f>Year_2032!Q35/Year_2025!Q35</f>
        <v>1</v>
      </c>
      <c r="R32">
        <f>Year_2032!R35/Year_2025!R35</f>
        <v>1</v>
      </c>
      <c r="S32">
        <f>Year_2032!S35/Year_2025!S35</f>
        <v>1</v>
      </c>
      <c r="T32">
        <f>Year_2032!T35/Year_2025!T35</f>
        <v>1</v>
      </c>
      <c r="U32">
        <f>Year_2032!U35/Year_2025!U35</f>
        <v>1</v>
      </c>
      <c r="V32">
        <f>Year_2032!V35/Year_2025!V35</f>
        <v>1</v>
      </c>
      <c r="W32">
        <f>Year_2032!W35/Year_2025!W35</f>
        <v>1</v>
      </c>
      <c r="X32">
        <f>Year_2032!X35/Year_2025!X35</f>
        <v>1</v>
      </c>
      <c r="Y32" t="e">
        <f>Year_2032!Y35/Year_2025!Y35</f>
        <v>#DIV/0!</v>
      </c>
      <c r="Z32" t="e">
        <f>Year_2032!Z35/Year_2025!Z35</f>
        <v>#DIV/0!</v>
      </c>
      <c r="AA32" t="e">
        <f>Year_2032!AA35/Year_2025!AA35</f>
        <v>#VALUE!</v>
      </c>
      <c r="AB32">
        <f>Year_2032!AB35/Year_2025!AB35</f>
        <v>1</v>
      </c>
      <c r="AC32">
        <f>Year_2032!AC35/Year_2025!AC35</f>
        <v>1</v>
      </c>
      <c r="AD32">
        <f>Year_2032!AD35/Year_2025!AD35</f>
        <v>1</v>
      </c>
      <c r="AE32">
        <f>Year_2032!AE35/Year_2025!AE35</f>
        <v>1</v>
      </c>
      <c r="AF32">
        <f>Year_2032!AF35/Year_2025!AF35</f>
        <v>1</v>
      </c>
      <c r="AG32">
        <f>Year_2032!AG35/Year_2025!AG35</f>
        <v>1</v>
      </c>
      <c r="AH32">
        <f>Year_2032!AH35/Year_2025!AH35</f>
        <v>1</v>
      </c>
      <c r="AI32">
        <f>Year_2032!AI35/Year_2025!AI35</f>
        <v>1</v>
      </c>
      <c r="AJ32">
        <f>Year_2032!AJ35/Year_2025!AJ35</f>
        <v>1</v>
      </c>
      <c r="AK32">
        <f>Year_2032!AK35/Year_2025!AK35</f>
        <v>1</v>
      </c>
      <c r="AL32" t="e">
        <f>Year_2032!AL35/Year_2025!AL35</f>
        <v>#DIV/0!</v>
      </c>
      <c r="AM32" t="e">
        <f>Year_2032!AM35/Year_2025!AM35</f>
        <v>#DIV/0!</v>
      </c>
      <c r="AN32" t="e">
        <f>Year_2032!AN35/Year_2025!AN35</f>
        <v>#VALUE!</v>
      </c>
      <c r="AO32">
        <f>Year_2032!AO35/Year_2025!AO35</f>
        <v>1</v>
      </c>
      <c r="AP32">
        <f>Year_2032!AP35/Year_2025!AP35</f>
        <v>1</v>
      </c>
      <c r="AQ32">
        <f>Year_2032!AQ35/Year_2025!AQ35</f>
        <v>1</v>
      </c>
      <c r="AR32">
        <f>Year_2032!AR35/Year_2025!AR35</f>
        <v>1</v>
      </c>
      <c r="AS32">
        <f>Year_2032!AS35/Year_2025!AS35</f>
        <v>1</v>
      </c>
      <c r="AT32">
        <f>Year_2032!AT35/Year_2025!AT35</f>
        <v>1</v>
      </c>
      <c r="AU32">
        <f>Year_2032!AU35/Year_2025!AU35</f>
        <v>1</v>
      </c>
      <c r="AV32">
        <f>Year_2032!AV35/Year_2025!AV35</f>
        <v>1</v>
      </c>
      <c r="AW32">
        <f>Year_2032!AW35/Year_2025!AW35</f>
        <v>1</v>
      </c>
      <c r="AX32">
        <f>Year_2032!AX35/Year_2025!AX35</f>
        <v>1</v>
      </c>
    </row>
    <row r="33" spans="2:50" x14ac:dyDescent="0.3">
      <c r="B33" t="str">
        <f>Year_2032!B36</f>
        <v>Period</v>
      </c>
      <c r="C33" t="e">
        <f>Year_2032!C36/Year_2025!C36</f>
        <v>#DIV/0!</v>
      </c>
      <c r="D33" t="e">
        <f>Year_2032!D36/Year_2025!D36</f>
        <v>#DIV/0!</v>
      </c>
      <c r="E33" t="e">
        <f>Year_2032!E36/Year_2025!E36</f>
        <v>#DIV/0!</v>
      </c>
      <c r="F33" t="e">
        <f>Year_2032!F36/Year_2025!F36</f>
        <v>#DIV/0!</v>
      </c>
      <c r="G33" t="e">
        <f>Year_2032!G36/Year_2025!G36</f>
        <v>#DIV/0!</v>
      </c>
      <c r="H33" t="e">
        <f>Year_2032!H36/Year_2025!H36</f>
        <v>#DIV/0!</v>
      </c>
      <c r="I33" t="e">
        <f>Year_2032!I36/Year_2025!I36</f>
        <v>#DIV/0!</v>
      </c>
      <c r="J33" t="e">
        <f>Year_2032!J36/Year_2025!J36</f>
        <v>#DIV/0!</v>
      </c>
      <c r="K33" t="e">
        <f>Year_2032!K36/Year_2025!K36</f>
        <v>#DIV/0!</v>
      </c>
      <c r="L33" t="e">
        <f>Year_2032!L36/Year_2025!L36</f>
        <v>#DIV/0!</v>
      </c>
      <c r="M33" t="e">
        <f>Year_2032!M36/Year_2025!M36</f>
        <v>#DIV/0!</v>
      </c>
      <c r="N33" t="str">
        <f>Year_2032!N36</f>
        <v>Period</v>
      </c>
      <c r="O33" t="e">
        <f>Year_2032!O36/Year_2025!O36</f>
        <v>#DIV/0!</v>
      </c>
      <c r="P33" t="e">
        <f>Year_2032!P36/Year_2025!P36</f>
        <v>#DIV/0!</v>
      </c>
      <c r="Q33" t="e">
        <f>Year_2032!Q36/Year_2025!Q36</f>
        <v>#DIV/0!</v>
      </c>
      <c r="R33" t="e">
        <f>Year_2032!R36/Year_2025!R36</f>
        <v>#DIV/0!</v>
      </c>
      <c r="S33" t="e">
        <f>Year_2032!S36/Year_2025!S36</f>
        <v>#DIV/0!</v>
      </c>
      <c r="T33" t="e">
        <f>Year_2032!T36/Year_2025!T36</f>
        <v>#DIV/0!</v>
      </c>
      <c r="U33" t="e">
        <f>Year_2032!U36/Year_2025!U36</f>
        <v>#DIV/0!</v>
      </c>
      <c r="V33" t="e">
        <f>Year_2032!V36/Year_2025!V36</f>
        <v>#DIV/0!</v>
      </c>
      <c r="W33" t="e">
        <f>Year_2032!W36/Year_2025!W36</f>
        <v>#DIV/0!</v>
      </c>
      <c r="X33" t="e">
        <f>Year_2032!X36/Year_2025!X36</f>
        <v>#DIV/0!</v>
      </c>
      <c r="Y33" t="e">
        <f>Year_2032!Y36/Year_2025!Y36</f>
        <v>#DIV/0!</v>
      </c>
      <c r="Z33" t="e">
        <f>Year_2032!Z36/Year_2025!Z36</f>
        <v>#DIV/0!</v>
      </c>
      <c r="AA33" t="e">
        <f>Year_2032!AA36/Year_2025!AA36</f>
        <v>#VALUE!</v>
      </c>
      <c r="AB33" t="e">
        <f>Year_2032!AB36/Year_2025!AB36</f>
        <v>#DIV/0!</v>
      </c>
      <c r="AC33" t="e">
        <f>Year_2032!AC36/Year_2025!AC36</f>
        <v>#DIV/0!</v>
      </c>
      <c r="AD33" t="e">
        <f>Year_2032!AD36/Year_2025!AD36</f>
        <v>#DIV/0!</v>
      </c>
      <c r="AE33" t="e">
        <f>Year_2032!AE36/Year_2025!AE36</f>
        <v>#DIV/0!</v>
      </c>
      <c r="AF33" t="e">
        <f>Year_2032!AF36/Year_2025!AF36</f>
        <v>#DIV/0!</v>
      </c>
      <c r="AG33" t="e">
        <f>Year_2032!AG36/Year_2025!AG36</f>
        <v>#DIV/0!</v>
      </c>
      <c r="AH33" t="e">
        <f>Year_2032!AH36/Year_2025!AH36</f>
        <v>#DIV/0!</v>
      </c>
      <c r="AI33" t="e">
        <f>Year_2032!AI36/Year_2025!AI36</f>
        <v>#DIV/0!</v>
      </c>
      <c r="AJ33" t="e">
        <f>Year_2032!AJ36/Year_2025!AJ36</f>
        <v>#DIV/0!</v>
      </c>
      <c r="AK33" t="e">
        <f>Year_2032!AK36/Year_2025!AK36</f>
        <v>#DIV/0!</v>
      </c>
      <c r="AL33" t="e">
        <f>Year_2032!AL36/Year_2025!AL36</f>
        <v>#DIV/0!</v>
      </c>
      <c r="AM33" t="e">
        <f>Year_2032!AM36/Year_2025!AM36</f>
        <v>#DIV/0!</v>
      </c>
      <c r="AN33" t="e">
        <f>Year_2032!AN36/Year_2025!AN36</f>
        <v>#VALUE!</v>
      </c>
      <c r="AO33" t="e">
        <f>Year_2032!AO36/Year_2025!AO36</f>
        <v>#DIV/0!</v>
      </c>
      <c r="AP33" t="e">
        <f>Year_2032!AP36/Year_2025!AP36</f>
        <v>#DIV/0!</v>
      </c>
      <c r="AQ33" t="e">
        <f>Year_2032!AQ36/Year_2025!AQ36</f>
        <v>#DIV/0!</v>
      </c>
      <c r="AR33" t="e">
        <f>Year_2032!AR36/Year_2025!AR36</f>
        <v>#DIV/0!</v>
      </c>
      <c r="AS33" t="e">
        <f>Year_2032!AS36/Year_2025!AS36</f>
        <v>#DIV/0!</v>
      </c>
      <c r="AT33" t="e">
        <f>Year_2032!AT36/Year_2025!AT36</f>
        <v>#DIV/0!</v>
      </c>
      <c r="AU33" t="e">
        <f>Year_2032!AU36/Year_2025!AU36</f>
        <v>#DIV/0!</v>
      </c>
      <c r="AV33" t="e">
        <f>Year_2032!AV36/Year_2025!AV36</f>
        <v>#DIV/0!</v>
      </c>
      <c r="AW33" t="e">
        <f>Year_2032!AW36/Year_2025!AW36</f>
        <v>#DIV/0!</v>
      </c>
      <c r="AX33" t="e">
        <f>Year_2032!AX36/Year_2025!AX36</f>
        <v>#DIV/0!</v>
      </c>
    </row>
    <row r="34" spans="2:50" x14ac:dyDescent="0.3">
      <c r="B34" t="str">
        <f>Year_2032!B37</f>
        <v>Night</v>
      </c>
      <c r="C34">
        <f>Year_2032!C37/Year_2025!C37</f>
        <v>1.9731518510722892</v>
      </c>
      <c r="D34">
        <f>Year_2032!D37/Year_2025!D37</f>
        <v>1.9522970687711387</v>
      </c>
      <c r="E34">
        <f>Year_2032!E37/Year_2025!E37</f>
        <v>1.9514809304841763</v>
      </c>
      <c r="F34">
        <f>Year_2032!F37/Year_2025!F37</f>
        <v>1.2022903304556249</v>
      </c>
      <c r="G34">
        <f>Year_2032!G37/Year_2025!G37</f>
        <v>1.292670752336319</v>
      </c>
      <c r="H34">
        <f>Year_2032!H37/Year_2025!H37</f>
        <v>1.2975709136498981</v>
      </c>
      <c r="I34">
        <f>Year_2032!I37/Year_2025!I37</f>
        <v>1.2116322614947179</v>
      </c>
      <c r="J34">
        <f>Year_2032!J37/Year_2025!J37</f>
        <v>1.2116088947024197</v>
      </c>
      <c r="K34">
        <f>Year_2032!K37/Year_2025!K37</f>
        <v>0.98963960220504721</v>
      </c>
      <c r="L34">
        <f>Year_2032!L37/Year_2025!L37</f>
        <v>0.99571142007332081</v>
      </c>
      <c r="M34" t="e">
        <f>Year_2032!M37/Year_2025!M37</f>
        <v>#DIV/0!</v>
      </c>
      <c r="N34" t="str">
        <f>Year_2032!N37</f>
        <v>Night</v>
      </c>
      <c r="O34">
        <f>Year_2032!O37/Year_2025!O37</f>
        <v>1.9731326082258875</v>
      </c>
      <c r="P34">
        <f>Year_2032!P37/Year_2025!P37</f>
        <v>1.9523258337553355</v>
      </c>
      <c r="Q34">
        <f>Year_2032!Q37/Year_2025!Q37</f>
        <v>1.9515384615384614</v>
      </c>
      <c r="R34">
        <f>Year_2032!R37/Year_2025!R37</f>
        <v>1.2022681373310549</v>
      </c>
      <c r="S34">
        <f>Year_2032!S37/Year_2025!S37</f>
        <v>1.2927492118708557</v>
      </c>
      <c r="T34">
        <f>Year_2032!T37/Year_2025!T37</f>
        <v>1.297579555227915</v>
      </c>
      <c r="U34">
        <f>Year_2032!U37/Year_2025!U37</f>
        <v>1.2116842892235395</v>
      </c>
      <c r="V34">
        <f>Year_2032!V37/Year_2025!V37</f>
        <v>1.2116633932618222</v>
      </c>
      <c r="W34">
        <f>Year_2032!W37/Year_2025!W37</f>
        <v>0.98963730569948194</v>
      </c>
      <c r="X34">
        <f>Year_2032!X37/Year_2025!X37</f>
        <v>0.9957003408738766</v>
      </c>
      <c r="Y34" t="e">
        <f>Year_2032!Y37/Year_2025!Y37</f>
        <v>#DIV/0!</v>
      </c>
      <c r="Z34" t="e">
        <f>Year_2032!Z37/Year_2025!Z37</f>
        <v>#DIV/0!</v>
      </c>
      <c r="AA34" t="e">
        <f>Year_2032!AA37/Year_2025!AA37</f>
        <v>#VALUE!</v>
      </c>
      <c r="AB34">
        <f>Year_2032!AB37/Year_2025!AB37</f>
        <v>1.1544441309886844</v>
      </c>
      <c r="AC34">
        <f>Year_2032!AC37/Year_2025!AC37</f>
        <v>1.155588722004536</v>
      </c>
      <c r="AD34">
        <f>Year_2032!AD37/Year_2025!AD37</f>
        <v>1.1541263799010277</v>
      </c>
      <c r="AE34">
        <f>Year_2032!AE37/Year_2025!AE37</f>
        <v>1.2022313959589361</v>
      </c>
      <c r="AF34">
        <f>Year_2032!AF37/Year_2025!AF37</f>
        <v>1.2069576210040489</v>
      </c>
      <c r="AG34">
        <f>Year_2032!AG37/Year_2025!AG37</f>
        <v>1.2068055285707586</v>
      </c>
      <c r="AH34">
        <f>Year_2032!AH37/Year_2025!AH37</f>
        <v>1.2115317318182754</v>
      </c>
      <c r="AI34">
        <f>Year_2032!AI37/Year_2025!AI37</f>
        <v>1.211676152010281</v>
      </c>
      <c r="AJ34">
        <f>Year_2032!AJ37/Year_2025!AJ37</f>
        <v>1.0011392746163477</v>
      </c>
      <c r="AK34">
        <f>Year_2032!AK37/Year_2025!AK37</f>
        <v>1.0004644662404176</v>
      </c>
      <c r="AL34" t="e">
        <f>Year_2032!AL37/Year_2025!AL37</f>
        <v>#DIV/0!</v>
      </c>
      <c r="AM34" t="e">
        <f>Year_2032!AM37/Year_2025!AM37</f>
        <v>#DIV/0!</v>
      </c>
      <c r="AN34" t="e">
        <f>Year_2032!AN37/Year_2025!AN37</f>
        <v>#VALUE!</v>
      </c>
      <c r="AO34">
        <f>Year_2032!AO37/Year_2025!AO37</f>
        <v>1.2023608768971332</v>
      </c>
      <c r="AP34">
        <f>Year_2032!AP37/Year_2025!AP37</f>
        <v>1.2023344651952461</v>
      </c>
      <c r="AQ34">
        <f>Year_2032!AQ37/Year_2025!AQ37</f>
        <v>1.2023247496423461</v>
      </c>
      <c r="AR34">
        <f>Year_2032!AR37/Year_2025!AR37</f>
        <v>1.2022335970218705</v>
      </c>
      <c r="AS34">
        <f>Year_2032!AS37/Year_2025!AS37</f>
        <v>1.2114188807235726</v>
      </c>
      <c r="AT34">
        <f>Year_2032!AT37/Year_2025!AT37</f>
        <v>1.2114993646759848</v>
      </c>
      <c r="AU34">
        <f>Year_2032!AU37/Year_2025!AU37</f>
        <v>1.2115409413281752</v>
      </c>
      <c r="AV34">
        <f>Year_2032!AV37/Year_2025!AV37</f>
        <v>1.2116755117513267</v>
      </c>
      <c r="AW34">
        <f>Year_2032!AW37/Year_2025!AW37</f>
        <v>1</v>
      </c>
      <c r="AX34">
        <f>Year_2032!AX37/Year_2025!AX37</f>
        <v>1</v>
      </c>
    </row>
    <row r="35" spans="2:50" x14ac:dyDescent="0.3">
      <c r="B35" t="str">
        <f>Year_2032!B38</f>
        <v>AM-Early</v>
      </c>
      <c r="C35">
        <f>Year_2032!C38/Year_2025!C38</f>
        <v>2.0987193471147285</v>
      </c>
      <c r="D35">
        <f>Year_2032!D38/Year_2025!D38</f>
        <v>2.1567963177380389</v>
      </c>
      <c r="E35">
        <f>Year_2032!E38/Year_2025!E38</f>
        <v>2.4017853296225131</v>
      </c>
      <c r="F35">
        <f>Year_2032!F38/Year_2025!F38</f>
        <v>1.4681165966301832</v>
      </c>
      <c r="G35">
        <f>Year_2032!G38/Year_2025!G38</f>
        <v>2.7729846243438456</v>
      </c>
      <c r="H35">
        <f>Year_2032!H38/Year_2025!H38</f>
        <v>2.3117174544735364</v>
      </c>
      <c r="I35">
        <f>Year_2032!I38/Year_2025!I38</f>
        <v>2.8084818036837533</v>
      </c>
      <c r="J35">
        <f>Year_2032!J38/Year_2025!J38</f>
        <v>1.2115206955891678</v>
      </c>
      <c r="K35">
        <f>Year_2032!K38/Year_2025!K38</f>
        <v>1.5307276404308887</v>
      </c>
      <c r="L35">
        <f>Year_2032!L38/Year_2025!L38</f>
        <v>1.3773257909769014</v>
      </c>
      <c r="M35" t="e">
        <f>Year_2032!M38/Year_2025!M38</f>
        <v>#DIV/0!</v>
      </c>
      <c r="N35" t="str">
        <f>Year_2032!N38</f>
        <v>AM-Early</v>
      </c>
      <c r="O35">
        <f>Year_2032!O38/Year_2025!O38</f>
        <v>1.2150015940065353</v>
      </c>
      <c r="P35">
        <f>Year_2032!P38/Year_2025!P38</f>
        <v>1.1991763384500189</v>
      </c>
      <c r="Q35">
        <f>Year_2032!Q38/Year_2025!Q38</f>
        <v>1.1828200351677431</v>
      </c>
      <c r="R35">
        <f>Year_2032!R38/Year_2025!R38</f>
        <v>1.269525916858905</v>
      </c>
      <c r="S35">
        <f>Year_2032!S38/Year_2025!S38</f>
        <v>1.1674837379025862</v>
      </c>
      <c r="T35">
        <f>Year_2032!T38/Year_2025!T38</f>
        <v>1.2054031627491344</v>
      </c>
      <c r="U35">
        <f>Year_2032!U38/Year_2025!U38</f>
        <v>1.2131504539786797</v>
      </c>
      <c r="V35">
        <f>Year_2032!V38/Year_2025!V38</f>
        <v>1.2115457039866573</v>
      </c>
      <c r="W35">
        <f>Year_2032!W38/Year_2025!W38</f>
        <v>1.0676604458741303</v>
      </c>
      <c r="X35">
        <f>Year_2032!X38/Year_2025!X38</f>
        <v>0.99916155740711632</v>
      </c>
      <c r="Y35" t="e">
        <f>Year_2032!Y38/Year_2025!Y38</f>
        <v>#DIV/0!</v>
      </c>
      <c r="Z35" t="e">
        <f>Year_2032!Z38/Year_2025!Z38</f>
        <v>#DIV/0!</v>
      </c>
      <c r="AA35" t="e">
        <f>Year_2032!AA38/Year_2025!AA38</f>
        <v>#VALUE!</v>
      </c>
      <c r="AB35">
        <f>Year_2032!AB38/Year_2025!AB38</f>
        <v>1.1070879048523368</v>
      </c>
      <c r="AC35">
        <f>Year_2032!AC38/Year_2025!AC38</f>
        <v>1.2027992852888625</v>
      </c>
      <c r="AD35">
        <f>Year_2032!AD38/Year_2025!AD38</f>
        <v>1.2055242969723552</v>
      </c>
      <c r="AE35">
        <f>Year_2032!AE38/Year_2025!AE38</f>
        <v>0.99114746921467511</v>
      </c>
      <c r="AF35">
        <f>Year_2032!AF38/Year_2025!AF38</f>
        <v>1.2197086205880621</v>
      </c>
      <c r="AG35">
        <f>Year_2032!AG38/Year_2025!AG38</f>
        <v>1.2126202568413271</v>
      </c>
      <c r="AH35">
        <f>Year_2032!AH38/Year_2025!AH38</f>
        <v>1.2036504319912129</v>
      </c>
      <c r="AI35">
        <f>Year_2032!AI38/Year_2025!AI38</f>
        <v>1.2115159217486062</v>
      </c>
      <c r="AJ35">
        <f>Year_2032!AJ38/Year_2025!AJ38</f>
        <v>1.023110999222</v>
      </c>
      <c r="AK35">
        <f>Year_2032!AK38/Year_2025!AK38</f>
        <v>1.0001419988107598</v>
      </c>
      <c r="AL35" t="e">
        <f>Year_2032!AL38/Year_2025!AL38</f>
        <v>#DIV/0!</v>
      </c>
      <c r="AM35" t="e">
        <f>Year_2032!AM38/Year_2025!AM38</f>
        <v>#DIV/0!</v>
      </c>
      <c r="AN35" t="e">
        <f>Year_2032!AN38/Year_2025!AN38</f>
        <v>#VALUE!</v>
      </c>
      <c r="AO35">
        <f>Year_2032!AO38/Year_2025!AO38</f>
        <v>1.1230760147601477</v>
      </c>
      <c r="AP35">
        <f>Year_2032!AP38/Year_2025!AP38</f>
        <v>1.2022716946842344</v>
      </c>
      <c r="AQ35">
        <f>Year_2032!AQ38/Year_2025!AQ38</f>
        <v>1.2022778192681105</v>
      </c>
      <c r="AR35">
        <f>Year_2032!AR38/Year_2025!AR38</f>
        <v>1.0299996714884856</v>
      </c>
      <c r="AS35">
        <f>Year_2032!AS38/Year_2025!AS38</f>
        <v>1.2115293825319915</v>
      </c>
      <c r="AT35">
        <f>Year_2032!AT38/Year_2025!AT38</f>
        <v>1.2114993804213134</v>
      </c>
      <c r="AU35">
        <f>Year_2032!AU38/Year_2025!AU38</f>
        <v>1.205141242937853</v>
      </c>
      <c r="AV35">
        <f>Year_2032!AV38/Year_2025!AV38</f>
        <v>1.2115173674588664</v>
      </c>
      <c r="AW35">
        <f>Year_2032!AW38/Year_2025!AW38</f>
        <v>1.03</v>
      </c>
      <c r="AX35">
        <f>Year_2032!AX38/Year_2025!AX38</f>
        <v>1</v>
      </c>
    </row>
    <row r="36" spans="2:50" x14ac:dyDescent="0.3">
      <c r="B36" t="str">
        <f>Year_2032!B39</f>
        <v>AM-Peak</v>
      </c>
      <c r="C36">
        <f>Year_2032!C39/Year_2025!C39</f>
        <v>2.9396208944676165</v>
      </c>
      <c r="D36">
        <f>Year_2032!D39/Year_2025!D39</f>
        <v>2.0767668320639237</v>
      </c>
      <c r="E36">
        <f>Year_2032!E39/Year_2025!E39</f>
        <v>2.6011864495584289</v>
      </c>
      <c r="F36">
        <f>Year_2032!F39/Year_2025!F39</f>
        <v>1.5949143710481999</v>
      </c>
      <c r="G36">
        <f>Year_2032!G39/Year_2025!G39</f>
        <v>3.0375745713125593</v>
      </c>
      <c r="H36">
        <f>Year_2032!H39/Year_2025!H39</f>
        <v>2.3741769724571351</v>
      </c>
      <c r="I36">
        <f>Year_2032!I39/Year_2025!I39</f>
        <v>3.005140595816441</v>
      </c>
      <c r="J36">
        <f>Year_2032!J39/Year_2025!J39</f>
        <v>2.184705686123444</v>
      </c>
      <c r="K36">
        <f>Year_2032!K39/Year_2025!K39</f>
        <v>1.377193096711169</v>
      </c>
      <c r="L36">
        <f>Year_2032!L39/Year_2025!L39</f>
        <v>1.2774987721612852</v>
      </c>
      <c r="M36" t="e">
        <f>Year_2032!M39/Year_2025!M39</f>
        <v>#DIV/0!</v>
      </c>
      <c r="N36" t="str">
        <f>Year_2032!N39</f>
        <v>AM-Peak</v>
      </c>
      <c r="O36">
        <f>Year_2032!O39/Year_2025!O39</f>
        <v>1.1903126717754715</v>
      </c>
      <c r="P36">
        <f>Year_2032!P39/Year_2025!P39</f>
        <v>1.4855587429912636</v>
      </c>
      <c r="Q36">
        <f>Year_2032!Q39/Year_2025!Q39</f>
        <v>1.1805574380961212</v>
      </c>
      <c r="R36">
        <f>Year_2032!R39/Year_2025!R39</f>
        <v>1.4177081982964383</v>
      </c>
      <c r="S36">
        <f>Year_2032!S39/Year_2025!S39</f>
        <v>1.3078175584997107</v>
      </c>
      <c r="T36">
        <f>Year_2032!T39/Year_2025!T39</f>
        <v>1.1796125261562882</v>
      </c>
      <c r="U36">
        <f>Year_2032!U39/Year_2025!U39</f>
        <v>1.122409609948285</v>
      </c>
      <c r="V36">
        <f>Year_2032!V39/Year_2025!V39</f>
        <v>1.184859543239829</v>
      </c>
      <c r="W36">
        <f>Year_2032!W39/Year_2025!W39</f>
        <v>0.99919752936313</v>
      </c>
      <c r="X36">
        <f>Year_2032!X39/Year_2025!X39</f>
        <v>1.1355576510613119</v>
      </c>
      <c r="Y36" t="e">
        <f>Year_2032!Y39/Year_2025!Y39</f>
        <v>#DIV/0!</v>
      </c>
      <c r="Z36" t="e">
        <f>Year_2032!Z39/Year_2025!Z39</f>
        <v>#DIV/0!</v>
      </c>
      <c r="AA36" t="e">
        <f>Year_2032!AA39/Year_2025!AA39</f>
        <v>#VALUE!</v>
      </c>
      <c r="AB36">
        <f>Year_2032!AB39/Year_2025!AB39</f>
        <v>1.1927483351135135</v>
      </c>
      <c r="AC36">
        <f>Year_2032!AC39/Year_2025!AC39</f>
        <v>1.1552454259495575</v>
      </c>
      <c r="AD36">
        <f>Year_2032!AD39/Year_2025!AD39</f>
        <v>1.2057067613955823</v>
      </c>
      <c r="AE36">
        <f>Year_2032!AE39/Year_2025!AE39</f>
        <v>1.0342446289072205</v>
      </c>
      <c r="AF36">
        <f>Year_2032!AF39/Year_2025!AF39</f>
        <v>1.1938321708626878</v>
      </c>
      <c r="AG36">
        <f>Year_2032!AG39/Year_2025!AG39</f>
        <v>1.2172334731350329</v>
      </c>
      <c r="AH36">
        <f>Year_2032!AH39/Year_2025!AH39</f>
        <v>1.2269738621174544</v>
      </c>
      <c r="AI36">
        <f>Year_2032!AI39/Year_2025!AI39</f>
        <v>1.2161311758360303</v>
      </c>
      <c r="AJ36">
        <f>Year_2032!AJ39/Year_2025!AJ39</f>
        <v>1.0001414930518335</v>
      </c>
      <c r="AK36">
        <f>Year_2032!AK39/Year_2025!AK39</f>
        <v>0.97285795732203939</v>
      </c>
      <c r="AL36" t="e">
        <f>Year_2032!AL39/Year_2025!AL39</f>
        <v>#DIV/0!</v>
      </c>
      <c r="AM36" t="e">
        <f>Year_2032!AM39/Year_2025!AM39</f>
        <v>#DIV/0!</v>
      </c>
      <c r="AN36" t="e">
        <f>Year_2032!AN39/Year_2025!AN39</f>
        <v>#VALUE!</v>
      </c>
      <c r="AO36">
        <f>Year_2032!AO39/Year_2025!AO39</f>
        <v>1.1923049390293277</v>
      </c>
      <c r="AP36">
        <f>Year_2032!AP39/Year_2025!AP39</f>
        <v>1.2023231771771075</v>
      </c>
      <c r="AQ36">
        <f>Year_2032!AQ39/Year_2025!AQ39</f>
        <v>1.2022999613451875</v>
      </c>
      <c r="AR36">
        <f>Year_2032!AR39/Year_2025!AR39</f>
        <v>1.1135179871992937</v>
      </c>
      <c r="AS36">
        <f>Year_2032!AS39/Year_2025!AS39</f>
        <v>1.2115571785782111</v>
      </c>
      <c r="AT36">
        <f>Year_2032!AT39/Year_2025!AT39</f>
        <v>1.2115314423667112</v>
      </c>
      <c r="AU36">
        <f>Year_2032!AU39/Year_2025!AU39</f>
        <v>1.2115088352250283</v>
      </c>
      <c r="AV36">
        <f>Year_2032!AV39/Year_2025!AV39</f>
        <v>1.2115381500498437</v>
      </c>
      <c r="AW36">
        <f>Year_2032!AW39/Year_2025!AW39</f>
        <v>1</v>
      </c>
      <c r="AX36">
        <f>Year_2032!AX39/Year_2025!AX39</f>
        <v>1</v>
      </c>
    </row>
    <row r="37" spans="2:50" x14ac:dyDescent="0.3">
      <c r="B37" t="str">
        <f>Year_2032!B40</f>
        <v>AM-Shoulder</v>
      </c>
      <c r="C37">
        <f>Year_2032!C40/Year_2025!C40</f>
        <v>1.7682291753100843</v>
      </c>
      <c r="D37">
        <f>Year_2032!D40/Year_2025!D40</f>
        <v>2.5098020863468511</v>
      </c>
      <c r="E37">
        <f>Year_2032!E40/Year_2025!E40</f>
        <v>2.678324481961325</v>
      </c>
      <c r="F37">
        <f>Year_2032!F40/Year_2025!F40</f>
        <v>1.5259809701390223</v>
      </c>
      <c r="G37">
        <f>Year_2032!G40/Year_2025!G40</f>
        <v>2.4903027182705095</v>
      </c>
      <c r="H37">
        <f>Year_2032!H40/Year_2025!H40</f>
        <v>2.7257506175772948</v>
      </c>
      <c r="I37">
        <f>Year_2032!I40/Year_2025!I40</f>
        <v>2.4774103900205273</v>
      </c>
      <c r="J37">
        <f>Year_2032!J40/Year_2025!J40</f>
        <v>2.1826156404247241</v>
      </c>
      <c r="K37">
        <f>Year_2032!K40/Year_2025!K40</f>
        <v>1.3770032246042163</v>
      </c>
      <c r="L37">
        <f>Year_2032!L40/Year_2025!L40</f>
        <v>1.3770090397893087</v>
      </c>
      <c r="M37" t="e">
        <f>Year_2032!M40/Year_2025!M40</f>
        <v>#DIV/0!</v>
      </c>
      <c r="N37" t="str">
        <f>Year_2032!N40</f>
        <v>AM-Shoulder</v>
      </c>
      <c r="O37">
        <f>Year_2032!O40/Year_2025!O40</f>
        <v>1.2734346159307113</v>
      </c>
      <c r="P37">
        <f>Year_2032!P40/Year_2025!P40</f>
        <v>1.1988260953236256</v>
      </c>
      <c r="Q37">
        <f>Year_2032!Q40/Year_2025!Q40</f>
        <v>1.1851720145550777</v>
      </c>
      <c r="R37">
        <f>Year_2032!R40/Year_2025!R40</f>
        <v>1.2043547418480465</v>
      </c>
      <c r="S37">
        <f>Year_2032!S40/Year_2025!S40</f>
        <v>1.1093443369124811</v>
      </c>
      <c r="T37">
        <f>Year_2032!T40/Year_2025!T40</f>
        <v>1.1836355023470135</v>
      </c>
      <c r="U37">
        <f>Year_2032!U40/Year_2025!U40</f>
        <v>1.1856402294850861</v>
      </c>
      <c r="V37">
        <f>Year_2032!V40/Year_2025!V40</f>
        <v>1.1962122880422814</v>
      </c>
      <c r="W37">
        <f>Year_2032!W40/Year_2025!W40</f>
        <v>0.99975679948117224</v>
      </c>
      <c r="X37">
        <f>Year_2032!X40/Year_2025!X40</f>
        <v>0.99969785344578432</v>
      </c>
      <c r="Y37" t="e">
        <f>Year_2032!Y40/Year_2025!Y40</f>
        <v>#DIV/0!</v>
      </c>
      <c r="Z37" t="e">
        <f>Year_2032!Z40/Year_2025!Z40</f>
        <v>#DIV/0!</v>
      </c>
      <c r="AA37" t="e">
        <f>Year_2032!AA40/Year_2025!AA40</f>
        <v>#VALUE!</v>
      </c>
      <c r="AB37">
        <f>Year_2032!AB40/Year_2025!AB40</f>
        <v>1.0492977145340316</v>
      </c>
      <c r="AC37">
        <f>Year_2032!AC40/Year_2025!AC40</f>
        <v>1.2027933777638864</v>
      </c>
      <c r="AD37">
        <f>Year_2032!AD40/Year_2025!AD40</f>
        <v>1.2047638783630163</v>
      </c>
      <c r="AE37">
        <f>Year_2032!AE40/Year_2025!AE40</f>
        <v>1.0155188981026557</v>
      </c>
      <c r="AF37">
        <f>Year_2032!AF40/Year_2025!AF40</f>
        <v>1.1557233585037756</v>
      </c>
      <c r="AG37">
        <f>Year_2032!AG40/Year_2025!AG40</f>
        <v>1.2162717023097918</v>
      </c>
      <c r="AH37">
        <f>Year_2032!AH40/Year_2025!AH40</f>
        <v>1.2160071989966166</v>
      </c>
      <c r="AI37">
        <f>Year_2032!AI40/Year_2025!AI40</f>
        <v>1.2141110411512577</v>
      </c>
      <c r="AJ37">
        <f>Year_2032!AJ40/Year_2025!AJ40</f>
        <v>1.0000382663636538</v>
      </c>
      <c r="AK37">
        <f>Year_2032!AK40/Year_2025!AK40</f>
        <v>1.0000487434779108</v>
      </c>
      <c r="AL37" t="e">
        <f>Year_2032!AL40/Year_2025!AL40</f>
        <v>#DIV/0!</v>
      </c>
      <c r="AM37" t="e">
        <f>Year_2032!AM40/Year_2025!AM40</f>
        <v>#DIV/0!</v>
      </c>
      <c r="AN37" t="e">
        <f>Year_2032!AN40/Year_2025!AN40</f>
        <v>#VALUE!</v>
      </c>
      <c r="AO37">
        <f>Year_2032!AO40/Year_2025!AO40</f>
        <v>1.079481198215424</v>
      </c>
      <c r="AP37">
        <f>Year_2032!AP40/Year_2025!AP40</f>
        <v>1.2022545090180361</v>
      </c>
      <c r="AQ37">
        <f>Year_2032!AQ40/Year_2025!AQ40</f>
        <v>1.2023099233478352</v>
      </c>
      <c r="AR37">
        <f>Year_2032!AR40/Year_2025!AR40</f>
        <v>1.0404617957293543</v>
      </c>
      <c r="AS37">
        <f>Year_2032!AS40/Year_2025!AS40</f>
        <v>1.1489222015537806</v>
      </c>
      <c r="AT37">
        <f>Year_2032!AT40/Year_2025!AT40</f>
        <v>1.2115322076297688</v>
      </c>
      <c r="AU37">
        <f>Year_2032!AU40/Year_2025!AU40</f>
        <v>1.2115023163467902</v>
      </c>
      <c r="AV37">
        <f>Year_2032!AV40/Year_2025!AV40</f>
        <v>1.2115091463414633</v>
      </c>
      <c r="AW37">
        <f>Year_2032!AW40/Year_2025!AW40</f>
        <v>1</v>
      </c>
      <c r="AX37">
        <f>Year_2032!AX40/Year_2025!AX40</f>
        <v>1</v>
      </c>
    </row>
    <row r="38" spans="2:50" x14ac:dyDescent="0.3">
      <c r="B38" t="str">
        <f>Year_2032!B41</f>
        <v>MD</v>
      </c>
      <c r="C38">
        <f>Year_2032!C41/Year_2025!C41</f>
        <v>1.7126610060905587</v>
      </c>
      <c r="D38">
        <f>Year_2032!D41/Year_2025!D41</f>
        <v>1.8487843404414477</v>
      </c>
      <c r="E38">
        <f>Year_2032!E41/Year_2025!E41</f>
        <v>2.6661195105510478</v>
      </c>
      <c r="F38">
        <f>Year_2032!F41/Year_2025!F41</f>
        <v>2.3246049364032491</v>
      </c>
      <c r="G38">
        <f>Year_2032!G41/Year_2025!G41</f>
        <v>2.4877759785990921</v>
      </c>
      <c r="H38">
        <f>Year_2032!H41/Year_2025!H41</f>
        <v>2.559904088913552</v>
      </c>
      <c r="I38">
        <f>Year_2032!I41/Year_2025!I41</f>
        <v>2.1846488081404161</v>
      </c>
      <c r="J38">
        <f>Year_2032!J41/Year_2025!J41</f>
        <v>2.1778341327963275</v>
      </c>
      <c r="K38">
        <f>Year_2032!K41/Year_2025!K41</f>
        <v>1.3451022033448365</v>
      </c>
      <c r="L38">
        <f>Year_2032!L41/Year_2025!L41</f>
        <v>1.5497353284091608</v>
      </c>
      <c r="M38" t="e">
        <f>Year_2032!M41/Year_2025!M41</f>
        <v>#DIV/0!</v>
      </c>
      <c r="N38" t="str">
        <f>Year_2032!N41</f>
        <v>MD</v>
      </c>
      <c r="O38">
        <f>Year_2032!O41/Year_2025!O41</f>
        <v>1.3321055780865634</v>
      </c>
      <c r="P38">
        <f>Year_2032!P41/Year_2025!P41</f>
        <v>1.2965418903096417</v>
      </c>
      <c r="Q38">
        <f>Year_2032!Q41/Year_2025!Q41</f>
        <v>1.3324086411393372</v>
      </c>
      <c r="R38">
        <f>Year_2032!R41/Year_2025!R41</f>
        <v>1.3579902087090956</v>
      </c>
      <c r="S38">
        <f>Year_2032!S41/Year_2025!S41</f>
        <v>1.1961569688768607</v>
      </c>
      <c r="T38">
        <f>Year_2032!T41/Year_2025!T41</f>
        <v>1.1865350287996173</v>
      </c>
      <c r="U38">
        <f>Year_2032!U41/Year_2025!U41</f>
        <v>1.2019217308304169</v>
      </c>
      <c r="V38">
        <f>Year_2032!V41/Year_2025!V41</f>
        <v>1.1945226835732474</v>
      </c>
      <c r="W38">
        <f>Year_2032!W41/Year_2025!W41</f>
        <v>1.0628679046154685</v>
      </c>
      <c r="X38">
        <f>Year_2032!X41/Year_2025!X41</f>
        <v>1.2672440840075681</v>
      </c>
      <c r="Y38" t="e">
        <f>Year_2032!Y41/Year_2025!Y41</f>
        <v>#DIV/0!</v>
      </c>
      <c r="Z38" t="e">
        <f>Year_2032!Z41/Year_2025!Z41</f>
        <v>#DIV/0!</v>
      </c>
      <c r="AA38" t="e">
        <f>Year_2032!AA41/Year_2025!AA41</f>
        <v>#VALUE!</v>
      </c>
      <c r="AB38">
        <f>Year_2032!AB41/Year_2025!AB41</f>
        <v>1.0324515180459117</v>
      </c>
      <c r="AC38">
        <f>Year_2032!AC41/Year_2025!AC41</f>
        <v>1.0595360679255419</v>
      </c>
      <c r="AD38">
        <f>Year_2032!AD41/Year_2025!AD41</f>
        <v>1.1829787649372578</v>
      </c>
      <c r="AE38">
        <f>Year_2032!AE41/Year_2025!AE41</f>
        <v>1.1272821635648542</v>
      </c>
      <c r="AF38">
        <f>Year_2032!AF41/Year_2025!AF41</f>
        <v>1.2141941609304534</v>
      </c>
      <c r="AG38">
        <f>Year_2032!AG41/Year_2025!AG41</f>
        <v>1.2161337440280768</v>
      </c>
      <c r="AH38">
        <f>Year_2032!AH41/Year_2025!AH41</f>
        <v>1.2131872896343203</v>
      </c>
      <c r="AI38">
        <f>Year_2032!AI41/Year_2025!AI41</f>
        <v>1.2146095527630125</v>
      </c>
      <c r="AJ38">
        <f>Year_2032!AJ41/Year_2025!AJ41</f>
        <v>0.98982157560831197</v>
      </c>
      <c r="AK38">
        <f>Year_2032!AK41/Year_2025!AK41</f>
        <v>1.0130587778174684</v>
      </c>
      <c r="AL38" t="e">
        <f>Year_2032!AL41/Year_2025!AL41</f>
        <v>#DIV/0!</v>
      </c>
      <c r="AM38" t="e">
        <f>Year_2032!AM41/Year_2025!AM41</f>
        <v>#DIV/0!</v>
      </c>
      <c r="AN38" t="e">
        <f>Year_2032!AN41/Year_2025!AN41</f>
        <v>#VALUE!</v>
      </c>
      <c r="AO38">
        <f>Year_2032!AO41/Year_2025!AO41</f>
        <v>1.0740990574755127</v>
      </c>
      <c r="AP38">
        <f>Year_2032!AP41/Year_2025!AP41</f>
        <v>1.09361</v>
      </c>
      <c r="AQ38">
        <f>Year_2032!AQ41/Year_2025!AQ41</f>
        <v>1.2023502760866489</v>
      </c>
      <c r="AR38">
        <f>Year_2032!AR41/Year_2025!AR41</f>
        <v>1.1586491031390136</v>
      </c>
      <c r="AS38">
        <f>Year_2032!AS41/Year_2025!AS41</f>
        <v>1.211502423263328</v>
      </c>
      <c r="AT38">
        <f>Year_2032!AT41/Year_2025!AT41</f>
        <v>1.2115395601256784</v>
      </c>
      <c r="AU38">
        <f>Year_2032!AU41/Year_2025!AU41</f>
        <v>1.2114744582043342</v>
      </c>
      <c r="AV38">
        <f>Year_2032!AV41/Year_2025!AV41</f>
        <v>1.2115212527964205</v>
      </c>
      <c r="AW38">
        <f>Year_2032!AW41/Year_2025!AW41</f>
        <v>1</v>
      </c>
      <c r="AX38">
        <f>Year_2032!AX41/Year_2025!AX41</f>
        <v>1.0490201748875849</v>
      </c>
    </row>
    <row r="39" spans="2:50" x14ac:dyDescent="0.3">
      <c r="B39" t="str">
        <f>Year_2032!B42</f>
        <v>PM-Shoulder</v>
      </c>
      <c r="C39">
        <f>Year_2032!C42/Year_2025!C42</f>
        <v>1.5656111647287714</v>
      </c>
      <c r="D39">
        <f>Year_2032!D42/Year_2025!D42</f>
        <v>1.5686562263367039</v>
      </c>
      <c r="E39">
        <f>Year_2032!E42/Year_2025!E42</f>
        <v>2.9868286487199787</v>
      </c>
      <c r="F39">
        <f>Year_2032!F42/Year_2025!F42</f>
        <v>3.3624900666903748</v>
      </c>
      <c r="G39">
        <f>Year_2032!G42/Year_2025!G42</f>
        <v>2.9433838963919365</v>
      </c>
      <c r="H39">
        <f>Year_2032!H42/Year_2025!H42</f>
        <v>1.6826892477641422</v>
      </c>
      <c r="I39">
        <f>Year_2032!I42/Year_2025!I42</f>
        <v>2.5834304671388866</v>
      </c>
      <c r="J39">
        <f>Year_2032!J42/Year_2025!J42</f>
        <v>4.3155293794654241</v>
      </c>
      <c r="K39">
        <f>Year_2032!K42/Year_2025!K42</f>
        <v>1.5751083833332127</v>
      </c>
      <c r="L39">
        <f>Year_2032!L42/Year_2025!L42</f>
        <v>1.6152493687836693</v>
      </c>
      <c r="M39" t="e">
        <f>Year_2032!M42/Year_2025!M42</f>
        <v>#DIV/0!</v>
      </c>
      <c r="N39" t="str">
        <f>Year_2032!N42</f>
        <v>PM-Shoulder</v>
      </c>
      <c r="O39">
        <f>Year_2032!O42/Year_2025!O42</f>
        <v>1.049516063440423</v>
      </c>
      <c r="P39">
        <f>Year_2032!P42/Year_2025!P42</f>
        <v>1.0397421465508143</v>
      </c>
      <c r="Q39">
        <f>Year_2032!Q42/Year_2025!Q42</f>
        <v>1.1883509051711407</v>
      </c>
      <c r="R39">
        <f>Year_2032!R42/Year_2025!R42</f>
        <v>1.1333970035917058</v>
      </c>
      <c r="S39">
        <f>Year_2032!S42/Year_2025!S42</f>
        <v>1.1171986036653783</v>
      </c>
      <c r="T39">
        <f>Year_2032!T42/Year_2025!T42</f>
        <v>0.98434347304165704</v>
      </c>
      <c r="U39">
        <f>Year_2032!U42/Year_2025!U42</f>
        <v>1.1779910438786652</v>
      </c>
      <c r="V39">
        <f>Year_2032!V42/Year_2025!V42</f>
        <v>1.0794024826425415</v>
      </c>
      <c r="W39">
        <f>Year_2032!W42/Year_2025!W42</f>
        <v>1.138291782782255</v>
      </c>
      <c r="X39">
        <f>Year_2032!X42/Year_2025!X42</f>
        <v>1.2387591298556155</v>
      </c>
      <c r="Y39" t="e">
        <f>Year_2032!Y42/Year_2025!Y42</f>
        <v>#DIV/0!</v>
      </c>
      <c r="Z39" t="e">
        <f>Year_2032!Z42/Year_2025!Z42</f>
        <v>#DIV/0!</v>
      </c>
      <c r="AA39" t="e">
        <f>Year_2032!AA42/Year_2025!AA42</f>
        <v>#VALUE!</v>
      </c>
      <c r="AB39">
        <f>Year_2032!AB42/Year_2025!AB42</f>
        <v>1.0253518305368052</v>
      </c>
      <c r="AC39">
        <f>Year_2032!AC42/Year_2025!AC42</f>
        <v>1.027183405492436</v>
      </c>
      <c r="AD39">
        <f>Year_2032!AD42/Year_2025!AD42</f>
        <v>1.2015729131329733</v>
      </c>
      <c r="AE39">
        <f>Year_2032!AE42/Year_2025!AE42</f>
        <v>1.2154852014548883</v>
      </c>
      <c r="AF39">
        <f>Year_2032!AF42/Year_2025!AF42</f>
        <v>1.1994035894822386</v>
      </c>
      <c r="AG39">
        <f>Year_2032!AG42/Year_2025!AG42</f>
        <v>1.0392598769214969</v>
      </c>
      <c r="AH39">
        <f>Year_2032!AH42/Year_2025!AH42</f>
        <v>1.2191127731915639</v>
      </c>
      <c r="AI39">
        <f>Year_2032!AI42/Year_2025!AI42</f>
        <v>1.2414260389525407</v>
      </c>
      <c r="AJ39">
        <f>Year_2032!AJ42/Year_2025!AJ42</f>
        <v>1.0208951827607915</v>
      </c>
      <c r="AK39">
        <f>Year_2032!AK42/Year_2025!AK42</f>
        <v>1.0166385958022099</v>
      </c>
      <c r="AL39" t="e">
        <f>Year_2032!AL42/Year_2025!AL42</f>
        <v>#DIV/0!</v>
      </c>
      <c r="AM39" t="e">
        <f>Year_2032!AM42/Year_2025!AM42</f>
        <v>#DIV/0!</v>
      </c>
      <c r="AN39" t="e">
        <f>Year_2032!AN42/Year_2025!AN42</f>
        <v>#VALUE!</v>
      </c>
      <c r="AO39">
        <f>Year_2032!AO42/Year_2025!AO42</f>
        <v>1.0294120459739966</v>
      </c>
      <c r="AP39">
        <f>Year_2032!AP42/Year_2025!AP42</f>
        <v>1.0294111682253926</v>
      </c>
      <c r="AQ39">
        <f>Year_2032!AQ42/Year_2025!AQ42</f>
        <v>1.1995270436228</v>
      </c>
      <c r="AR39">
        <f>Year_2032!AR42/Year_2025!AR42</f>
        <v>1.2015002994609703</v>
      </c>
      <c r="AS39">
        <f>Year_2032!AS42/Year_2025!AS42</f>
        <v>1.1845266969755086</v>
      </c>
      <c r="AT39">
        <f>Year_2032!AT42/Year_2025!AT42</f>
        <v>1.0294123844029259</v>
      </c>
      <c r="AU39">
        <f>Year_2032!AU42/Year_2025!AU42</f>
        <v>1.2115339749198017</v>
      </c>
      <c r="AV39">
        <f>Year_2032!AV42/Year_2025!AV42</f>
        <v>1.2115376032135685</v>
      </c>
      <c r="AW39">
        <f>Year_2032!AW42/Year_2025!AW42</f>
        <v>1.0405749741781845</v>
      </c>
      <c r="AX39">
        <f>Year_2032!AX42/Year_2025!AX42</f>
        <v>1.0571417396745932</v>
      </c>
    </row>
    <row r="40" spans="2:50" x14ac:dyDescent="0.3">
      <c r="B40" t="str">
        <f>Year_2032!B43</f>
        <v>PM-Peak</v>
      </c>
      <c r="C40">
        <f>Year_2032!C43/Year_2025!C43</f>
        <v>1.9213861761610509</v>
      </c>
      <c r="D40">
        <f>Year_2032!D43/Year_2025!D43</f>
        <v>1.9860659257793278</v>
      </c>
      <c r="E40">
        <f>Year_2032!E43/Year_2025!E43</f>
        <v>2.3468741277789174</v>
      </c>
      <c r="F40">
        <f>Year_2032!F43/Year_2025!F43</f>
        <v>2.651230941047575</v>
      </c>
      <c r="G40">
        <f>Year_2032!G43/Year_2025!G43</f>
        <v>2.724905186895461</v>
      </c>
      <c r="H40">
        <f>Year_2032!H43/Year_2025!H43</f>
        <v>2.7054806903869224</v>
      </c>
      <c r="I40">
        <f>Year_2032!I43/Year_2025!I43</f>
        <v>2.404028867164036</v>
      </c>
      <c r="J40">
        <f>Year_2032!J43/Year_2025!J43</f>
        <v>2.5554818570523845</v>
      </c>
      <c r="K40">
        <f>Year_2032!K43/Year_2025!K43</f>
        <v>1.3264675865176878</v>
      </c>
      <c r="L40">
        <f>Year_2032!L43/Year_2025!L43</f>
        <v>1.3991733977734087</v>
      </c>
      <c r="M40" t="e">
        <f>Year_2032!M43/Year_2025!M43</f>
        <v>#DIV/0!</v>
      </c>
      <c r="N40" t="str">
        <f>Year_2032!N43</f>
        <v>PM-Peak</v>
      </c>
      <c r="O40">
        <f>Year_2032!O43/Year_2025!O43</f>
        <v>1.6468479659951507</v>
      </c>
      <c r="P40">
        <f>Year_2032!P43/Year_2025!P43</f>
        <v>1.5796764012388109</v>
      </c>
      <c r="Q40">
        <f>Year_2032!Q43/Year_2025!Q43</f>
        <v>1.3898766848293664</v>
      </c>
      <c r="R40">
        <f>Year_2032!R43/Year_2025!R43</f>
        <v>1.1620427046263346</v>
      </c>
      <c r="S40">
        <f>Year_2032!S43/Year_2025!S43</f>
        <v>1.1471116887426376</v>
      </c>
      <c r="T40">
        <f>Year_2032!T43/Year_2025!T43</f>
        <v>1.2290439723784972</v>
      </c>
      <c r="U40">
        <f>Year_2032!U43/Year_2025!U43</f>
        <v>1.1719525855583235</v>
      </c>
      <c r="V40">
        <f>Year_2032!V43/Year_2025!V43</f>
        <v>1.1722822820594629</v>
      </c>
      <c r="W40">
        <f>Year_2032!W43/Year_2025!W43</f>
        <v>1.1768777464502527</v>
      </c>
      <c r="X40">
        <f>Year_2032!X43/Year_2025!X43</f>
        <v>0.99880342947517364</v>
      </c>
      <c r="Y40" t="e">
        <f>Year_2032!Y43/Year_2025!Y43</f>
        <v>#DIV/0!</v>
      </c>
      <c r="Z40" t="e">
        <f>Year_2032!Z43/Year_2025!Z43</f>
        <v>#DIV/0!</v>
      </c>
      <c r="AA40" t="e">
        <f>Year_2032!AA43/Year_2025!AA43</f>
        <v>#VALUE!</v>
      </c>
      <c r="AB40">
        <f>Year_2032!AB43/Year_2025!AB43</f>
        <v>1.1113539390155063</v>
      </c>
      <c r="AC40">
        <f>Year_2032!AC43/Year_2025!AC43</f>
        <v>1.1229298501265146</v>
      </c>
      <c r="AD40">
        <f>Year_2032!AD43/Year_2025!AD43</f>
        <v>1.1670061408352075</v>
      </c>
      <c r="AE40">
        <f>Year_2032!AE43/Year_2025!AE43</f>
        <v>1.2100711257009984</v>
      </c>
      <c r="AF40">
        <f>Year_2032!AF43/Year_2025!AF43</f>
        <v>1.2255398548319949</v>
      </c>
      <c r="AG40">
        <f>Year_2032!AG43/Year_2025!AG43</f>
        <v>1.2075623160656668</v>
      </c>
      <c r="AH40">
        <f>Year_2032!AH43/Year_2025!AH43</f>
        <v>1.2202489541434967</v>
      </c>
      <c r="AI40">
        <f>Year_2032!AI43/Year_2025!AI43</f>
        <v>1.2203060581839571</v>
      </c>
      <c r="AJ40">
        <f>Year_2032!AJ43/Year_2025!AJ43</f>
        <v>0.96396049032571929</v>
      </c>
      <c r="AK40">
        <f>Year_2032!AK43/Year_2025!AK43</f>
        <v>1.000246774761165</v>
      </c>
      <c r="AL40" t="e">
        <f>Year_2032!AL43/Year_2025!AL43</f>
        <v>#DIV/0!</v>
      </c>
      <c r="AM40" t="e">
        <f>Year_2032!AM43/Year_2025!AM43</f>
        <v>#DIV/0!</v>
      </c>
      <c r="AN40" t="e">
        <f>Year_2032!AN43/Year_2025!AN43</f>
        <v>#VALUE!</v>
      </c>
      <c r="AO40">
        <f>Year_2032!AO43/Year_2025!AO43</f>
        <v>1.202273073795487</v>
      </c>
      <c r="AP40">
        <f>Year_2032!AP43/Year_2025!AP43</f>
        <v>1.2023255813953488</v>
      </c>
      <c r="AQ40">
        <f>Year_2032!AQ43/Year_2025!AQ43</f>
        <v>1.2022490221642763</v>
      </c>
      <c r="AR40">
        <f>Year_2032!AR43/Year_2025!AR43</f>
        <v>1.2023290500229462</v>
      </c>
      <c r="AS40">
        <f>Year_2032!AS43/Year_2025!AS43</f>
        <v>1.2114936949609219</v>
      </c>
      <c r="AT40">
        <f>Year_2032!AT43/Year_2025!AT43</f>
        <v>1.2115252927649691</v>
      </c>
      <c r="AU40">
        <f>Year_2032!AU43/Year_2025!AU43</f>
        <v>1.2115668631336662</v>
      </c>
      <c r="AV40">
        <f>Year_2032!AV43/Year_2025!AV43</f>
        <v>1.2115187752697019</v>
      </c>
      <c r="AW40">
        <f>Year_2032!AW43/Year_2025!AW43</f>
        <v>1</v>
      </c>
      <c r="AX40">
        <f>Year_2032!AX43/Year_2025!AX43</f>
        <v>1</v>
      </c>
    </row>
    <row r="41" spans="2:50" x14ac:dyDescent="0.3">
      <c r="B41" t="str">
        <f>Year_2032!B44</f>
        <v>PM-Late</v>
      </c>
      <c r="C41">
        <f>Year_2032!C44/Year_2025!C44</f>
        <v>2.2070545433321334</v>
      </c>
      <c r="D41">
        <f>Year_2032!D44/Year_2025!D44</f>
        <v>2.242677643542375</v>
      </c>
      <c r="E41">
        <f>Year_2032!E44/Year_2025!E44</f>
        <v>2.2589559288618721</v>
      </c>
      <c r="F41">
        <f>Year_2032!F44/Year_2025!F44</f>
        <v>1.7916207529843891</v>
      </c>
      <c r="G41">
        <f>Year_2032!G44/Year_2025!G44</f>
        <v>2.2291137476822822</v>
      </c>
      <c r="H41">
        <f>Year_2032!H44/Year_2025!H44</f>
        <v>2.2004564574127885</v>
      </c>
      <c r="I41">
        <f>Year_2032!I44/Year_2025!I44</f>
        <v>2.1582448712441962</v>
      </c>
      <c r="J41">
        <f>Year_2032!J44/Year_2025!J44</f>
        <v>1.8171754312754416</v>
      </c>
      <c r="K41">
        <f>Year_2032!K44/Year_2025!K44</f>
        <v>1.3986987816019332</v>
      </c>
      <c r="L41">
        <f>Year_2032!L44/Year_2025!L44</f>
        <v>1.5675892615372713</v>
      </c>
      <c r="M41" t="e">
        <f>Year_2032!M44/Year_2025!M44</f>
        <v>#DIV/0!</v>
      </c>
      <c r="N41" t="str">
        <f>Year_2032!N44</f>
        <v>PM-Late</v>
      </c>
      <c r="O41">
        <f>Year_2032!O44/Year_2025!O44</f>
        <v>1.1998809083154964</v>
      </c>
      <c r="P41">
        <f>Year_2032!P44/Year_2025!P44</f>
        <v>1.1961999631064379</v>
      </c>
      <c r="Q41">
        <f>Year_2032!Q44/Year_2025!Q44</f>
        <v>1.1988314837951055</v>
      </c>
      <c r="R41">
        <f>Year_2032!R44/Year_2025!R44</f>
        <v>1.3446969696969697</v>
      </c>
      <c r="S41">
        <f>Year_2032!S44/Year_2025!S44</f>
        <v>1.2015853682886408</v>
      </c>
      <c r="T41">
        <f>Year_2032!T44/Year_2025!T44</f>
        <v>1.2077086734946316</v>
      </c>
      <c r="U41">
        <f>Year_2032!U44/Year_2025!U44</f>
        <v>1.2108345534407028</v>
      </c>
      <c r="V41">
        <f>Year_2032!V44/Year_2025!V44</f>
        <v>1.2115195734530659</v>
      </c>
      <c r="W41">
        <f>Year_2032!W44/Year_2025!W44</f>
        <v>0.9999274615909125</v>
      </c>
      <c r="X41">
        <f>Year_2032!X44/Year_2025!X44</f>
        <v>1.030764568703145</v>
      </c>
      <c r="Y41" t="e">
        <f>Year_2032!Y44/Year_2025!Y44</f>
        <v>#DIV/0!</v>
      </c>
      <c r="Z41" t="e">
        <f>Year_2032!Z44/Year_2025!Z44</f>
        <v>#DIV/0!</v>
      </c>
      <c r="AA41" t="e">
        <f>Year_2032!AA44/Year_2025!AA44</f>
        <v>#VALUE!</v>
      </c>
      <c r="AB41">
        <f>Year_2032!AB44/Year_2025!AB44</f>
        <v>1.2027804273631573</v>
      </c>
      <c r="AC41">
        <f>Year_2032!AC44/Year_2025!AC44</f>
        <v>1.2036701339244724</v>
      </c>
      <c r="AD41">
        <f>Year_2032!AD44/Year_2025!AD44</f>
        <v>1.2028526730059401</v>
      </c>
      <c r="AE41">
        <f>Year_2032!AE44/Year_2025!AE44</f>
        <v>1.1791799340818949</v>
      </c>
      <c r="AF41">
        <f>Year_2032!AF44/Year_2025!AF44</f>
        <v>1.2136379131122772</v>
      </c>
      <c r="AG41">
        <f>Year_2032!AG44/Year_2025!AG44</f>
        <v>1.2122885961560577</v>
      </c>
      <c r="AH41">
        <f>Year_2032!AH44/Year_2025!AH44</f>
        <v>1.2117263155671487</v>
      </c>
      <c r="AI41">
        <f>Year_2032!AI44/Year_2025!AI44</f>
        <v>1.2114177446377083</v>
      </c>
      <c r="AJ41">
        <f>Year_2032!AJ44/Year_2025!AJ44</f>
        <v>1.000013069469458</v>
      </c>
      <c r="AK41">
        <f>Year_2032!AK44/Year_2025!AK44</f>
        <v>1.0317369462005099</v>
      </c>
      <c r="AL41" t="e">
        <f>Year_2032!AL44/Year_2025!AL44</f>
        <v>#DIV/0!</v>
      </c>
      <c r="AM41" t="e">
        <f>Year_2032!AM44/Year_2025!AM44</f>
        <v>#DIV/0!</v>
      </c>
      <c r="AN41" t="e">
        <f>Year_2032!AN44/Year_2025!AN44</f>
        <v>#VALUE!</v>
      </c>
      <c r="AO41">
        <f>Year_2032!AO44/Year_2025!AO44</f>
        <v>1.2023034154090548</v>
      </c>
      <c r="AP41">
        <f>Year_2032!AP44/Year_2025!AP44</f>
        <v>1.2023567567567566</v>
      </c>
      <c r="AQ41">
        <f>Year_2032!AQ44/Year_2025!AQ44</f>
        <v>1.2022792769190465</v>
      </c>
      <c r="AR41">
        <f>Year_2032!AR44/Year_2025!AR44</f>
        <v>1.2022831050228311</v>
      </c>
      <c r="AS41">
        <f>Year_2032!AS44/Year_2025!AS44</f>
        <v>1.2115397984011123</v>
      </c>
      <c r="AT41">
        <f>Year_2032!AT44/Year_2025!AT44</f>
        <v>1.2114476075105995</v>
      </c>
      <c r="AU41">
        <f>Year_2032!AU44/Year_2025!AU44</f>
        <v>1.2115720524017468</v>
      </c>
      <c r="AV41">
        <f>Year_2032!AV44/Year_2025!AV44</f>
        <v>1.2114227086183309</v>
      </c>
      <c r="AW41">
        <f>Year_2032!AW44/Year_2025!AW44</f>
        <v>1</v>
      </c>
      <c r="AX41">
        <f>Year_2032!AX44/Year_2025!AX44</f>
        <v>1.0315789924257504</v>
      </c>
    </row>
    <row r="42" spans="2:50" x14ac:dyDescent="0.3">
      <c r="B42">
        <f>Year_2032!B45</f>
        <v>0</v>
      </c>
      <c r="C42" t="e">
        <f>Year_2032!C45/Year_2025!C45</f>
        <v>#DIV/0!</v>
      </c>
      <c r="D42" t="e">
        <f>Year_2032!D45/Year_2025!D45</f>
        <v>#DIV/0!</v>
      </c>
      <c r="E42" t="e">
        <f>Year_2032!E45/Year_2025!E45</f>
        <v>#DIV/0!</v>
      </c>
      <c r="F42" t="e">
        <f>Year_2032!F45/Year_2025!F45</f>
        <v>#DIV/0!</v>
      </c>
      <c r="G42" t="e">
        <f>Year_2032!G45/Year_2025!G45</f>
        <v>#DIV/0!</v>
      </c>
      <c r="H42" t="e">
        <f>Year_2032!H45/Year_2025!H45</f>
        <v>#DIV/0!</v>
      </c>
      <c r="I42" t="e">
        <f>Year_2032!I45/Year_2025!I45</f>
        <v>#DIV/0!</v>
      </c>
      <c r="J42" t="e">
        <f>Year_2032!J45/Year_2025!J45</f>
        <v>#DIV/0!</v>
      </c>
      <c r="K42" t="e">
        <f>Year_2032!K45/Year_2025!K45</f>
        <v>#DIV/0!</v>
      </c>
      <c r="L42" t="e">
        <f>Year_2032!L45/Year_2025!L45</f>
        <v>#DIV/0!</v>
      </c>
      <c r="M42" t="e">
        <f>Year_2032!M45/Year_2025!M45</f>
        <v>#DIV/0!</v>
      </c>
      <c r="N42">
        <f>Year_2032!N45</f>
        <v>0</v>
      </c>
      <c r="O42" t="e">
        <f>Year_2032!O45/Year_2025!O45</f>
        <v>#DIV/0!</v>
      </c>
      <c r="P42" t="e">
        <f>Year_2032!P45/Year_2025!P45</f>
        <v>#DIV/0!</v>
      </c>
      <c r="Q42" t="e">
        <f>Year_2032!Q45/Year_2025!Q45</f>
        <v>#DIV/0!</v>
      </c>
      <c r="R42" t="e">
        <f>Year_2032!R45/Year_2025!R45</f>
        <v>#DIV/0!</v>
      </c>
      <c r="S42" t="e">
        <f>Year_2032!S45/Year_2025!S45</f>
        <v>#DIV/0!</v>
      </c>
      <c r="T42" t="e">
        <f>Year_2032!T45/Year_2025!T45</f>
        <v>#DIV/0!</v>
      </c>
      <c r="U42" t="e">
        <f>Year_2032!U45/Year_2025!U45</f>
        <v>#DIV/0!</v>
      </c>
      <c r="V42" t="e">
        <f>Year_2032!V45/Year_2025!V45</f>
        <v>#DIV/0!</v>
      </c>
      <c r="W42" t="e">
        <f>Year_2032!W45/Year_2025!W45</f>
        <v>#DIV/0!</v>
      </c>
      <c r="X42" t="e">
        <f>Year_2032!X45/Year_2025!X45</f>
        <v>#DIV/0!</v>
      </c>
      <c r="Y42" t="e">
        <f>Year_2032!Y45/Year_2025!Y45</f>
        <v>#DIV/0!</v>
      </c>
      <c r="Z42" t="e">
        <f>Year_2032!Z45/Year_2025!Z45</f>
        <v>#DIV/0!</v>
      </c>
      <c r="AA42" t="e">
        <f>Year_2032!AA45/Year_2025!AA45</f>
        <v>#DIV/0!</v>
      </c>
      <c r="AB42" t="e">
        <f>Year_2032!AB45/Year_2025!AB45</f>
        <v>#DIV/0!</v>
      </c>
      <c r="AC42" t="e">
        <f>Year_2032!AC45/Year_2025!AC45</f>
        <v>#DIV/0!</v>
      </c>
      <c r="AD42" t="e">
        <f>Year_2032!AD45/Year_2025!AD45</f>
        <v>#DIV/0!</v>
      </c>
      <c r="AE42" t="e">
        <f>Year_2032!AE45/Year_2025!AE45</f>
        <v>#DIV/0!</v>
      </c>
      <c r="AF42" t="e">
        <f>Year_2032!AF45/Year_2025!AF45</f>
        <v>#DIV/0!</v>
      </c>
      <c r="AG42" t="e">
        <f>Year_2032!AG45/Year_2025!AG45</f>
        <v>#DIV/0!</v>
      </c>
      <c r="AH42" t="e">
        <f>Year_2032!AH45/Year_2025!AH45</f>
        <v>#DIV/0!</v>
      </c>
      <c r="AI42" t="e">
        <f>Year_2032!AI45/Year_2025!AI45</f>
        <v>#DIV/0!</v>
      </c>
      <c r="AJ42" t="e">
        <f>Year_2032!AJ45/Year_2025!AJ45</f>
        <v>#DIV/0!</v>
      </c>
      <c r="AK42" t="e">
        <f>Year_2032!AK45/Year_2025!AK45</f>
        <v>#DIV/0!</v>
      </c>
      <c r="AL42" t="e">
        <f>Year_2032!AL45/Year_2025!AL45</f>
        <v>#DIV/0!</v>
      </c>
      <c r="AM42" t="e">
        <f>Year_2032!AM45/Year_2025!AM45</f>
        <v>#DIV/0!</v>
      </c>
      <c r="AN42" t="e">
        <f>Year_2032!AN45/Year_2025!AN45</f>
        <v>#DIV/0!</v>
      </c>
      <c r="AO42" t="e">
        <f>Year_2032!AO45/Year_2025!AO45</f>
        <v>#DIV/0!</v>
      </c>
      <c r="AP42" t="e">
        <f>Year_2032!AP45/Year_2025!AP45</f>
        <v>#DIV/0!</v>
      </c>
      <c r="AQ42" t="e">
        <f>Year_2032!AQ45/Year_2025!AQ45</f>
        <v>#DIV/0!</v>
      </c>
      <c r="AR42" t="e">
        <f>Year_2032!AR45/Year_2025!AR45</f>
        <v>#DIV/0!</v>
      </c>
      <c r="AS42" t="e">
        <f>Year_2032!AS45/Year_2025!AS45</f>
        <v>#DIV/0!</v>
      </c>
      <c r="AT42" t="e">
        <f>Year_2032!AT45/Year_2025!AT45</f>
        <v>#DIV/0!</v>
      </c>
      <c r="AU42" t="e">
        <f>Year_2032!AU45/Year_2025!AU45</f>
        <v>#DIV/0!</v>
      </c>
      <c r="AV42" t="e">
        <f>Year_2032!AV45/Year_2025!AV45</f>
        <v>#DIV/0!</v>
      </c>
      <c r="AW42" t="e">
        <f>Year_2032!AW45/Year_2025!AW45</f>
        <v>#DIV/0!</v>
      </c>
      <c r="AX42" t="e">
        <f>Year_2032!AX45/Year_2025!AX45</f>
        <v>#DIV/0!</v>
      </c>
    </row>
    <row r="43" spans="2:50" x14ac:dyDescent="0.3">
      <c r="B43">
        <f>Year_2032!B46</f>
        <v>0</v>
      </c>
      <c r="C43" t="e">
        <f>Year_2032!C46/Year_2025!C46</f>
        <v>#DIV/0!</v>
      </c>
      <c r="D43" t="e">
        <f>Year_2032!D46/Year_2025!D46</f>
        <v>#DIV/0!</v>
      </c>
      <c r="E43" t="e">
        <f>Year_2032!E46/Year_2025!E46</f>
        <v>#DIV/0!</v>
      </c>
      <c r="F43" t="e">
        <f>Year_2032!F46/Year_2025!F46</f>
        <v>#DIV/0!</v>
      </c>
      <c r="G43" t="e">
        <f>Year_2032!G46/Year_2025!G46</f>
        <v>#DIV/0!</v>
      </c>
      <c r="H43" t="e">
        <f>Year_2032!H46/Year_2025!H46</f>
        <v>#DIV/0!</v>
      </c>
      <c r="I43" t="e">
        <f>Year_2032!I46/Year_2025!I46</f>
        <v>#DIV/0!</v>
      </c>
      <c r="J43" t="e">
        <f>Year_2032!J46/Year_2025!J46</f>
        <v>#DIV/0!</v>
      </c>
      <c r="K43" t="e">
        <f>Year_2032!K46/Year_2025!K46</f>
        <v>#DIV/0!</v>
      </c>
      <c r="L43" t="e">
        <f>Year_2032!L46/Year_2025!L46</f>
        <v>#DIV/0!</v>
      </c>
      <c r="M43" t="e">
        <f>Year_2032!M46/Year_2025!M46</f>
        <v>#DIV/0!</v>
      </c>
      <c r="N43">
        <f>Year_2032!N46</f>
        <v>0</v>
      </c>
      <c r="O43" t="e">
        <f>Year_2032!O46/Year_2025!O46</f>
        <v>#DIV/0!</v>
      </c>
      <c r="P43" t="e">
        <f>Year_2032!P46/Year_2025!P46</f>
        <v>#DIV/0!</v>
      </c>
      <c r="Q43" t="e">
        <f>Year_2032!Q46/Year_2025!Q46</f>
        <v>#DIV/0!</v>
      </c>
      <c r="R43" t="e">
        <f>Year_2032!R46/Year_2025!R46</f>
        <v>#DIV/0!</v>
      </c>
      <c r="S43" t="e">
        <f>Year_2032!S46/Year_2025!S46</f>
        <v>#DIV/0!</v>
      </c>
      <c r="T43" t="e">
        <f>Year_2032!T46/Year_2025!T46</f>
        <v>#DIV/0!</v>
      </c>
      <c r="U43" t="e">
        <f>Year_2032!U46/Year_2025!U46</f>
        <v>#DIV/0!</v>
      </c>
      <c r="V43" t="e">
        <f>Year_2032!V46/Year_2025!V46</f>
        <v>#DIV/0!</v>
      </c>
      <c r="W43" t="e">
        <f>Year_2032!W46/Year_2025!W46</f>
        <v>#DIV/0!</v>
      </c>
      <c r="X43" t="e">
        <f>Year_2032!X46/Year_2025!X46</f>
        <v>#DIV/0!</v>
      </c>
      <c r="Y43" t="e">
        <f>Year_2032!Y46/Year_2025!Y46</f>
        <v>#DIV/0!</v>
      </c>
      <c r="Z43" t="e">
        <f>Year_2032!Z46/Year_2025!Z46</f>
        <v>#DIV/0!</v>
      </c>
      <c r="AA43" t="e">
        <f>Year_2032!AA46/Year_2025!AA46</f>
        <v>#DIV/0!</v>
      </c>
      <c r="AB43" t="e">
        <f>Year_2032!AB46/Year_2025!AB46</f>
        <v>#DIV/0!</v>
      </c>
      <c r="AC43" t="e">
        <f>Year_2032!AC46/Year_2025!AC46</f>
        <v>#DIV/0!</v>
      </c>
      <c r="AD43" t="e">
        <f>Year_2032!AD46/Year_2025!AD46</f>
        <v>#DIV/0!</v>
      </c>
      <c r="AE43" t="e">
        <f>Year_2032!AE46/Year_2025!AE46</f>
        <v>#DIV/0!</v>
      </c>
      <c r="AF43" t="e">
        <f>Year_2032!AF46/Year_2025!AF46</f>
        <v>#DIV/0!</v>
      </c>
      <c r="AG43" t="e">
        <f>Year_2032!AG46/Year_2025!AG46</f>
        <v>#DIV/0!</v>
      </c>
      <c r="AH43" t="e">
        <f>Year_2032!AH46/Year_2025!AH46</f>
        <v>#DIV/0!</v>
      </c>
      <c r="AI43" t="e">
        <f>Year_2032!AI46/Year_2025!AI46</f>
        <v>#DIV/0!</v>
      </c>
      <c r="AJ43" t="e">
        <f>Year_2032!AJ46/Year_2025!AJ46</f>
        <v>#DIV/0!</v>
      </c>
      <c r="AK43" t="e">
        <f>Year_2032!AK46/Year_2025!AK46</f>
        <v>#DIV/0!</v>
      </c>
      <c r="AL43" t="e">
        <f>Year_2032!AL46/Year_2025!AL46</f>
        <v>#DIV/0!</v>
      </c>
      <c r="AM43" t="e">
        <f>Year_2032!AM46/Year_2025!AM46</f>
        <v>#DIV/0!</v>
      </c>
      <c r="AN43" t="e">
        <f>Year_2032!AN46/Year_2025!AN46</f>
        <v>#DIV/0!</v>
      </c>
      <c r="AO43" t="e">
        <f>Year_2032!AO46/Year_2025!AO46</f>
        <v>#DIV/0!</v>
      </c>
      <c r="AP43" t="e">
        <f>Year_2032!AP46/Year_2025!AP46</f>
        <v>#DIV/0!</v>
      </c>
      <c r="AQ43" t="e">
        <f>Year_2032!AQ46/Year_2025!AQ46</f>
        <v>#DIV/0!</v>
      </c>
      <c r="AR43" t="e">
        <f>Year_2032!AR46/Year_2025!AR46</f>
        <v>#DIV/0!</v>
      </c>
      <c r="AS43" t="e">
        <f>Year_2032!AS46/Year_2025!AS46</f>
        <v>#DIV/0!</v>
      </c>
      <c r="AT43" t="e">
        <f>Year_2032!AT46/Year_2025!AT46</f>
        <v>#DIV/0!</v>
      </c>
      <c r="AU43" t="e">
        <f>Year_2032!AU46/Year_2025!AU46</f>
        <v>#DIV/0!</v>
      </c>
      <c r="AV43" t="e">
        <f>Year_2032!AV46/Year_2025!AV46</f>
        <v>#DIV/0!</v>
      </c>
      <c r="AW43" t="e">
        <f>Year_2032!AW46/Year_2025!AW46</f>
        <v>#DIV/0!</v>
      </c>
      <c r="AX43" t="e">
        <f>Year_2032!AX46/Year_2025!AX46</f>
        <v>#DIV/0!</v>
      </c>
    </row>
    <row r="44" spans="2:50" x14ac:dyDescent="0.3">
      <c r="B44" t="str">
        <f>Year_2032!B47</f>
        <v>Revenue Per Period Lights</v>
      </c>
      <c r="C44" t="e">
        <f>Year_2032!C47/Year_2025!C47</f>
        <v>#DIV/0!</v>
      </c>
      <c r="D44" t="e">
        <f>Year_2032!D47/Year_2025!D47</f>
        <v>#DIV/0!</v>
      </c>
      <c r="E44" t="e">
        <f>Year_2032!E47/Year_2025!E47</f>
        <v>#DIV/0!</v>
      </c>
      <c r="F44" t="e">
        <f>Year_2032!F47/Year_2025!F47</f>
        <v>#DIV/0!</v>
      </c>
      <c r="G44" t="e">
        <f>Year_2032!G47/Year_2025!G47</f>
        <v>#DIV/0!</v>
      </c>
      <c r="H44" t="e">
        <f>Year_2032!H47/Year_2025!H47</f>
        <v>#DIV/0!</v>
      </c>
      <c r="I44" t="e">
        <f>Year_2032!I47/Year_2025!I47</f>
        <v>#DIV/0!</v>
      </c>
      <c r="J44" t="e">
        <f>Year_2032!J47/Year_2025!J47</f>
        <v>#DIV/0!</v>
      </c>
      <c r="K44" t="e">
        <f>Year_2032!K47/Year_2025!K47</f>
        <v>#DIV/0!</v>
      </c>
      <c r="L44" t="e">
        <f>Year_2032!L47/Year_2025!L47</f>
        <v>#DIV/0!</v>
      </c>
      <c r="M44" t="e">
        <f>Year_2032!M47/Year_2025!M47</f>
        <v>#DIV/0!</v>
      </c>
      <c r="N44" t="str">
        <f>Year_2032!N47</f>
        <v>ML V/C</v>
      </c>
      <c r="O44" t="e">
        <f>Year_2032!O47/Year_2025!O47</f>
        <v>#DIV/0!</v>
      </c>
      <c r="P44" t="e">
        <f>Year_2032!P47/Year_2025!P47</f>
        <v>#DIV/0!</v>
      </c>
      <c r="Q44" t="e">
        <f>Year_2032!Q47/Year_2025!Q47</f>
        <v>#DIV/0!</v>
      </c>
      <c r="R44" t="e">
        <f>Year_2032!R47/Year_2025!R47</f>
        <v>#DIV/0!</v>
      </c>
      <c r="S44" t="e">
        <f>Year_2032!S47/Year_2025!S47</f>
        <v>#DIV/0!</v>
      </c>
      <c r="T44" t="e">
        <f>Year_2032!T47/Year_2025!T47</f>
        <v>#DIV/0!</v>
      </c>
      <c r="U44" t="e">
        <f>Year_2032!U47/Year_2025!U47</f>
        <v>#DIV/0!</v>
      </c>
      <c r="V44" t="e">
        <f>Year_2032!V47/Year_2025!V47</f>
        <v>#DIV/0!</v>
      </c>
      <c r="W44" t="e">
        <f>Year_2032!W47/Year_2025!W47</f>
        <v>#DIV/0!</v>
      </c>
      <c r="X44" t="e">
        <f>Year_2032!X47/Year_2025!X47</f>
        <v>#DIV/0!</v>
      </c>
      <c r="Y44" t="e">
        <f>Year_2032!Y47/Year_2025!Y47</f>
        <v>#DIV/0!</v>
      </c>
      <c r="Z44" t="e">
        <f>Year_2032!Z47/Year_2025!Z47</f>
        <v>#DIV/0!</v>
      </c>
      <c r="AA44" t="e">
        <f>Year_2032!AA47/Year_2025!AA47</f>
        <v>#VALUE!</v>
      </c>
      <c r="AB44" t="e">
        <f>Year_2032!AB47/Year_2025!AB47</f>
        <v>#DIV/0!</v>
      </c>
      <c r="AC44" t="e">
        <f>Year_2032!AC47/Year_2025!AC47</f>
        <v>#DIV/0!</v>
      </c>
      <c r="AD44" t="e">
        <f>Year_2032!AD47/Year_2025!AD47</f>
        <v>#DIV/0!</v>
      </c>
      <c r="AE44" t="e">
        <f>Year_2032!AE47/Year_2025!AE47</f>
        <v>#DIV/0!</v>
      </c>
      <c r="AF44" t="e">
        <f>Year_2032!AF47/Year_2025!AF47</f>
        <v>#DIV/0!</v>
      </c>
      <c r="AG44" t="e">
        <f>Year_2032!AG47/Year_2025!AG47</f>
        <v>#DIV/0!</v>
      </c>
      <c r="AH44" t="e">
        <f>Year_2032!AH47/Year_2025!AH47</f>
        <v>#DIV/0!</v>
      </c>
      <c r="AI44" t="e">
        <f>Year_2032!AI47/Year_2025!AI47</f>
        <v>#DIV/0!</v>
      </c>
      <c r="AJ44" t="e">
        <f>Year_2032!AJ47/Year_2025!AJ47</f>
        <v>#DIV/0!</v>
      </c>
      <c r="AK44" t="e">
        <f>Year_2032!AK47/Year_2025!AK47</f>
        <v>#DIV/0!</v>
      </c>
      <c r="AL44" t="e">
        <f>Year_2032!AL47/Year_2025!AL47</f>
        <v>#DIV/0!</v>
      </c>
      <c r="AM44" t="e">
        <f>Year_2032!AM47/Year_2025!AM47</f>
        <v>#DIV/0!</v>
      </c>
      <c r="AN44" t="e">
        <f>Year_2032!AN47/Year_2025!AN47</f>
        <v>#VALUE!</v>
      </c>
      <c r="AO44" t="e">
        <f>Year_2032!AO47/Year_2025!AO47</f>
        <v>#DIV/0!</v>
      </c>
      <c r="AP44" t="e">
        <f>Year_2032!AP47/Year_2025!AP47</f>
        <v>#DIV/0!</v>
      </c>
      <c r="AQ44" t="e">
        <f>Year_2032!AQ47/Year_2025!AQ47</f>
        <v>#DIV/0!</v>
      </c>
      <c r="AR44" t="e">
        <f>Year_2032!AR47/Year_2025!AR47</f>
        <v>#DIV/0!</v>
      </c>
      <c r="AS44" t="e">
        <f>Year_2032!AS47/Year_2025!AS47</f>
        <v>#DIV/0!</v>
      </c>
      <c r="AT44" t="e">
        <f>Year_2032!AT47/Year_2025!AT47</f>
        <v>#DIV/0!</v>
      </c>
      <c r="AU44" t="e">
        <f>Year_2032!AU47/Year_2025!AU47</f>
        <v>#DIV/0!</v>
      </c>
      <c r="AV44" t="e">
        <f>Year_2032!AV47/Year_2025!AV47</f>
        <v>#DIV/0!</v>
      </c>
      <c r="AW44" t="e">
        <f>Year_2032!AW47/Year_2025!AW47</f>
        <v>#DIV/0!</v>
      </c>
      <c r="AX44" t="e">
        <f>Year_2032!AX47/Year_2025!AX47</f>
        <v>#DIV/0!</v>
      </c>
    </row>
    <row r="45" spans="2:50" x14ac:dyDescent="0.3">
      <c r="B45" t="str">
        <f>Year_2032!B48</f>
        <v>Direction</v>
      </c>
      <c r="C45" t="e">
        <f>Year_2032!C48/Year_2025!C48</f>
        <v>#VALUE!</v>
      </c>
      <c r="D45" t="e">
        <f>Year_2032!D48/Year_2025!D48</f>
        <v>#VALUE!</v>
      </c>
      <c r="E45" t="e">
        <f>Year_2032!E48/Year_2025!E48</f>
        <v>#VALUE!</v>
      </c>
      <c r="F45" t="e">
        <f>Year_2032!F48/Year_2025!F48</f>
        <v>#VALUE!</v>
      </c>
      <c r="G45" t="e">
        <f>Year_2032!G48/Year_2025!G48</f>
        <v>#VALUE!</v>
      </c>
      <c r="H45" t="e">
        <f>Year_2032!H48/Year_2025!H48</f>
        <v>#VALUE!</v>
      </c>
      <c r="I45" t="e">
        <f>Year_2032!I48/Year_2025!I48</f>
        <v>#VALUE!</v>
      </c>
      <c r="J45" t="e">
        <f>Year_2032!J48/Year_2025!J48</f>
        <v>#VALUE!</v>
      </c>
      <c r="K45" t="e">
        <f>Year_2032!K48/Year_2025!K48</f>
        <v>#VALUE!</v>
      </c>
      <c r="L45" t="e">
        <f>Year_2032!L48/Year_2025!L48</f>
        <v>#VALUE!</v>
      </c>
      <c r="M45" t="e">
        <f>Year_2032!M48/Year_2025!M48</f>
        <v>#DIV/0!</v>
      </c>
      <c r="N45" t="str">
        <f>Year_2032!N48</f>
        <v>Direction</v>
      </c>
      <c r="O45" t="e">
        <f>Year_2032!O48/Year_2025!O48</f>
        <v>#VALUE!</v>
      </c>
      <c r="P45" t="e">
        <f>Year_2032!P48/Year_2025!P48</f>
        <v>#VALUE!</v>
      </c>
      <c r="Q45" t="e">
        <f>Year_2032!Q48/Year_2025!Q48</f>
        <v>#VALUE!</v>
      </c>
      <c r="R45" t="e">
        <f>Year_2032!R48/Year_2025!R48</f>
        <v>#VALUE!</v>
      </c>
      <c r="S45" t="e">
        <f>Year_2032!S48/Year_2025!S48</f>
        <v>#VALUE!</v>
      </c>
      <c r="T45" t="e">
        <f>Year_2032!T48/Year_2025!T48</f>
        <v>#VALUE!</v>
      </c>
      <c r="U45" t="e">
        <f>Year_2032!U48/Year_2025!U48</f>
        <v>#VALUE!</v>
      </c>
      <c r="V45" t="e">
        <f>Year_2032!V48/Year_2025!V48</f>
        <v>#VALUE!</v>
      </c>
      <c r="W45" t="e">
        <f>Year_2032!W48/Year_2025!W48</f>
        <v>#VALUE!</v>
      </c>
      <c r="X45" t="e">
        <f>Year_2032!X48/Year_2025!X48</f>
        <v>#VALUE!</v>
      </c>
      <c r="Y45" t="e">
        <f>Year_2032!Y48/Year_2025!Y48</f>
        <v>#DIV/0!</v>
      </c>
      <c r="Z45" t="e">
        <f>Year_2032!Z48/Year_2025!Z48</f>
        <v>#DIV/0!</v>
      </c>
      <c r="AA45" t="e">
        <f>Year_2032!AA48/Year_2025!AA48</f>
        <v>#VALUE!</v>
      </c>
      <c r="AB45" t="e">
        <f>Year_2032!AB48/Year_2025!AB48</f>
        <v>#VALUE!</v>
      </c>
      <c r="AC45" t="e">
        <f>Year_2032!AC48/Year_2025!AC48</f>
        <v>#VALUE!</v>
      </c>
      <c r="AD45" t="e">
        <f>Year_2032!AD48/Year_2025!AD48</f>
        <v>#VALUE!</v>
      </c>
      <c r="AE45" t="e">
        <f>Year_2032!AE48/Year_2025!AE48</f>
        <v>#VALUE!</v>
      </c>
      <c r="AF45" t="e">
        <f>Year_2032!AF48/Year_2025!AF48</f>
        <v>#VALUE!</v>
      </c>
      <c r="AG45" t="e">
        <f>Year_2032!AG48/Year_2025!AG48</f>
        <v>#VALUE!</v>
      </c>
      <c r="AH45" t="e">
        <f>Year_2032!AH48/Year_2025!AH48</f>
        <v>#VALUE!</v>
      </c>
      <c r="AI45" t="e">
        <f>Year_2032!AI48/Year_2025!AI48</f>
        <v>#VALUE!</v>
      </c>
      <c r="AJ45" t="e">
        <f>Year_2032!AJ48/Year_2025!AJ48</f>
        <v>#VALUE!</v>
      </c>
      <c r="AK45" t="e">
        <f>Year_2032!AK48/Year_2025!AK48</f>
        <v>#VALUE!</v>
      </c>
      <c r="AL45" t="e">
        <f>Year_2032!AL48/Year_2025!AL48</f>
        <v>#DIV/0!</v>
      </c>
      <c r="AM45" t="e">
        <f>Year_2032!AM48/Year_2025!AM48</f>
        <v>#DIV/0!</v>
      </c>
      <c r="AN45" t="e">
        <f>Year_2032!AN48/Year_2025!AN48</f>
        <v>#VALUE!</v>
      </c>
      <c r="AO45" t="e">
        <f>Year_2032!AO48/Year_2025!AO48</f>
        <v>#VALUE!</v>
      </c>
      <c r="AP45" t="e">
        <f>Year_2032!AP48/Year_2025!AP48</f>
        <v>#VALUE!</v>
      </c>
      <c r="AQ45" t="e">
        <f>Year_2032!AQ48/Year_2025!AQ48</f>
        <v>#VALUE!</v>
      </c>
      <c r="AR45" t="e">
        <f>Year_2032!AR48/Year_2025!AR48</f>
        <v>#VALUE!</v>
      </c>
      <c r="AS45" t="e">
        <f>Year_2032!AS48/Year_2025!AS48</f>
        <v>#VALUE!</v>
      </c>
      <c r="AT45" t="e">
        <f>Year_2032!AT48/Year_2025!AT48</f>
        <v>#VALUE!</v>
      </c>
      <c r="AU45" t="e">
        <f>Year_2032!AU48/Year_2025!AU48</f>
        <v>#VALUE!</v>
      </c>
      <c r="AV45" t="e">
        <f>Year_2032!AV48/Year_2025!AV48</f>
        <v>#VALUE!</v>
      </c>
      <c r="AW45" t="e">
        <f>Year_2032!AW48/Year_2025!AW48</f>
        <v>#VALUE!</v>
      </c>
      <c r="AX45" t="e">
        <f>Year_2032!AX48/Year_2025!AX48</f>
        <v>#VALUE!</v>
      </c>
    </row>
    <row r="46" spans="2:50" x14ac:dyDescent="0.3">
      <c r="B46" t="str">
        <f>Year_2032!B49</f>
        <v>Segment</v>
      </c>
      <c r="C46">
        <f>Year_2032!C49/Year_2025!C49</f>
        <v>1</v>
      </c>
      <c r="D46">
        <f>Year_2032!D49/Year_2025!D49</f>
        <v>1</v>
      </c>
      <c r="E46">
        <f>Year_2032!E49/Year_2025!E49</f>
        <v>1</v>
      </c>
      <c r="F46">
        <f>Year_2032!F49/Year_2025!F49</f>
        <v>1</v>
      </c>
      <c r="G46">
        <f>Year_2032!G49/Year_2025!G49</f>
        <v>1</v>
      </c>
      <c r="H46">
        <f>Year_2032!H49/Year_2025!H49</f>
        <v>1</v>
      </c>
      <c r="I46">
        <f>Year_2032!I49/Year_2025!I49</f>
        <v>1</v>
      </c>
      <c r="J46">
        <f>Year_2032!J49/Year_2025!J49</f>
        <v>1</v>
      </c>
      <c r="K46">
        <f>Year_2032!K49/Year_2025!K49</f>
        <v>1</v>
      </c>
      <c r="L46">
        <f>Year_2032!L49/Year_2025!L49</f>
        <v>1</v>
      </c>
      <c r="M46" t="e">
        <f>Year_2032!M49/Year_2025!M49</f>
        <v>#DIV/0!</v>
      </c>
      <c r="N46" t="str">
        <f>Year_2032!N49</f>
        <v>Segment</v>
      </c>
      <c r="O46" t="str">
        <f>Year_2032!O49</f>
        <v>11</v>
      </c>
      <c r="P46" t="str">
        <f>Year_2032!P49</f>
        <v>11</v>
      </c>
      <c r="Q46" t="str">
        <f>Year_2032!Q49</f>
        <v>12</v>
      </c>
      <c r="R46" t="str">
        <f>Year_2032!R49</f>
        <v>12</v>
      </c>
      <c r="S46" t="str">
        <f>Year_2032!S49</f>
        <v>13</v>
      </c>
      <c r="T46" t="str">
        <f>Year_2032!T49</f>
        <v>13</v>
      </c>
      <c r="U46" t="str">
        <f>Year_2032!U49</f>
        <v>14</v>
      </c>
      <c r="V46" t="str">
        <f>Year_2032!V49</f>
        <v>14</v>
      </c>
      <c r="W46" t="str">
        <f>Year_2032!W49</f>
        <v>18</v>
      </c>
      <c r="X46" t="str">
        <f>Year_2032!X49</f>
        <v>18</v>
      </c>
      <c r="Y46" t="e">
        <f>Year_2032!Y49/Year_2025!Y49</f>
        <v>#DIV/0!</v>
      </c>
      <c r="Z46" t="e">
        <f>Year_2032!Z49/Year_2025!Z49</f>
        <v>#DIV/0!</v>
      </c>
      <c r="AA46" t="e">
        <f>Year_2032!AA49/Year_2025!AA49</f>
        <v>#VALUE!</v>
      </c>
      <c r="AB46">
        <f>Year_2032!AB49/Year_2025!AB49</f>
        <v>1</v>
      </c>
      <c r="AC46">
        <f>Year_2032!AC49/Year_2025!AC49</f>
        <v>1</v>
      </c>
      <c r="AD46">
        <f>Year_2032!AD49/Year_2025!AD49</f>
        <v>1</v>
      </c>
      <c r="AE46">
        <f>Year_2032!AE49/Year_2025!AE49</f>
        <v>1</v>
      </c>
      <c r="AF46">
        <f>Year_2032!AF49/Year_2025!AF49</f>
        <v>1</v>
      </c>
      <c r="AG46">
        <f>Year_2032!AG49/Year_2025!AG49</f>
        <v>1</v>
      </c>
      <c r="AH46">
        <f>Year_2032!AH49/Year_2025!AH49</f>
        <v>1</v>
      </c>
      <c r="AI46">
        <f>Year_2032!AI49/Year_2025!AI49</f>
        <v>1</v>
      </c>
      <c r="AJ46">
        <f>Year_2032!AJ49/Year_2025!AJ49</f>
        <v>1</v>
      </c>
      <c r="AK46">
        <f>Year_2032!AK49/Year_2025!AK49</f>
        <v>1</v>
      </c>
      <c r="AL46" t="e">
        <f>Year_2032!AL49/Year_2025!AL49</f>
        <v>#DIV/0!</v>
      </c>
      <c r="AM46" t="e">
        <f>Year_2032!AM49/Year_2025!AM49</f>
        <v>#DIV/0!</v>
      </c>
      <c r="AN46" t="e">
        <f>Year_2032!AN49/Year_2025!AN49</f>
        <v>#VALUE!</v>
      </c>
      <c r="AO46">
        <f>Year_2032!AO49/Year_2025!AO49</f>
        <v>1</v>
      </c>
      <c r="AP46">
        <f>Year_2032!AP49/Year_2025!AP49</f>
        <v>1</v>
      </c>
      <c r="AQ46">
        <f>Year_2032!AQ49/Year_2025!AQ49</f>
        <v>1</v>
      </c>
      <c r="AR46">
        <f>Year_2032!AR49/Year_2025!AR49</f>
        <v>1</v>
      </c>
      <c r="AS46">
        <f>Year_2032!AS49/Year_2025!AS49</f>
        <v>1</v>
      </c>
      <c r="AT46">
        <f>Year_2032!AT49/Year_2025!AT49</f>
        <v>1</v>
      </c>
      <c r="AU46">
        <f>Year_2032!AU49/Year_2025!AU49</f>
        <v>1</v>
      </c>
      <c r="AV46">
        <f>Year_2032!AV49/Year_2025!AV49</f>
        <v>1</v>
      </c>
      <c r="AW46">
        <f>Year_2032!AW49/Year_2025!AW49</f>
        <v>1</v>
      </c>
      <c r="AX46">
        <f>Year_2032!AX49/Year_2025!AX49</f>
        <v>1</v>
      </c>
    </row>
    <row r="47" spans="2:50" x14ac:dyDescent="0.3">
      <c r="B47" t="str">
        <f>Year_2032!B50</f>
        <v>Period</v>
      </c>
      <c r="C47" t="e">
        <f>Year_2032!C50/Year_2025!C50</f>
        <v>#DIV/0!</v>
      </c>
      <c r="D47" t="e">
        <f>Year_2032!D50/Year_2025!D50</f>
        <v>#DIV/0!</v>
      </c>
      <c r="E47" t="e">
        <f>Year_2032!E50/Year_2025!E50</f>
        <v>#DIV/0!</v>
      </c>
      <c r="F47" t="e">
        <f>Year_2032!F50/Year_2025!F50</f>
        <v>#DIV/0!</v>
      </c>
      <c r="G47" t="e">
        <f>Year_2032!G50/Year_2025!G50</f>
        <v>#DIV/0!</v>
      </c>
      <c r="H47" t="e">
        <f>Year_2032!H50/Year_2025!H50</f>
        <v>#DIV/0!</v>
      </c>
      <c r="I47" t="e">
        <f>Year_2032!I50/Year_2025!I50</f>
        <v>#DIV/0!</v>
      </c>
      <c r="J47" t="e">
        <f>Year_2032!J50/Year_2025!J50</f>
        <v>#DIV/0!</v>
      </c>
      <c r="K47" t="e">
        <f>Year_2032!K50/Year_2025!K50</f>
        <v>#DIV/0!</v>
      </c>
      <c r="L47" t="e">
        <f>Year_2032!L50/Year_2025!L50</f>
        <v>#DIV/0!</v>
      </c>
      <c r="M47" t="e">
        <f>Year_2032!M50/Year_2025!M50</f>
        <v>#DIV/0!</v>
      </c>
      <c r="N47" t="str">
        <f>Year_2032!N50</f>
        <v>Period</v>
      </c>
      <c r="O47">
        <f>Year_2032!O50</f>
        <v>0</v>
      </c>
      <c r="P47">
        <f>Year_2032!P50</f>
        <v>0</v>
      </c>
      <c r="Q47">
        <f>Year_2032!Q50</f>
        <v>0</v>
      </c>
      <c r="R47">
        <f>Year_2032!R50</f>
        <v>0</v>
      </c>
      <c r="S47">
        <f>Year_2032!S50</f>
        <v>0</v>
      </c>
      <c r="T47">
        <f>Year_2032!T50</f>
        <v>0</v>
      </c>
      <c r="U47">
        <f>Year_2032!U50</f>
        <v>0</v>
      </c>
      <c r="V47">
        <f>Year_2032!V50</f>
        <v>0</v>
      </c>
      <c r="W47">
        <f>Year_2032!W50</f>
        <v>0</v>
      </c>
      <c r="X47">
        <f>Year_2032!X50</f>
        <v>0</v>
      </c>
      <c r="Y47" t="e">
        <f>Year_2032!Y50/Year_2025!Y50</f>
        <v>#DIV/0!</v>
      </c>
      <c r="Z47" t="e">
        <f>Year_2032!Z50/Year_2025!Z50</f>
        <v>#DIV/0!</v>
      </c>
      <c r="AA47" t="e">
        <f>Year_2032!AA50/Year_2025!AA50</f>
        <v>#VALUE!</v>
      </c>
      <c r="AB47" t="e">
        <f>Year_2032!AB50/Year_2025!AB50</f>
        <v>#DIV/0!</v>
      </c>
      <c r="AC47" t="e">
        <f>Year_2032!AC50/Year_2025!AC50</f>
        <v>#DIV/0!</v>
      </c>
      <c r="AD47" t="e">
        <f>Year_2032!AD50/Year_2025!AD50</f>
        <v>#DIV/0!</v>
      </c>
      <c r="AE47" t="e">
        <f>Year_2032!AE50/Year_2025!AE50</f>
        <v>#DIV/0!</v>
      </c>
      <c r="AF47" t="e">
        <f>Year_2032!AF50/Year_2025!AF50</f>
        <v>#DIV/0!</v>
      </c>
      <c r="AG47" t="e">
        <f>Year_2032!AG50/Year_2025!AG50</f>
        <v>#DIV/0!</v>
      </c>
      <c r="AH47" t="e">
        <f>Year_2032!AH50/Year_2025!AH50</f>
        <v>#DIV/0!</v>
      </c>
      <c r="AI47" t="e">
        <f>Year_2032!AI50/Year_2025!AI50</f>
        <v>#DIV/0!</v>
      </c>
      <c r="AJ47" t="e">
        <f>Year_2032!AJ50/Year_2025!AJ50</f>
        <v>#DIV/0!</v>
      </c>
      <c r="AK47" t="e">
        <f>Year_2032!AK50/Year_2025!AK50</f>
        <v>#DIV/0!</v>
      </c>
      <c r="AL47" t="e">
        <f>Year_2032!AL50/Year_2025!AL50</f>
        <v>#DIV/0!</v>
      </c>
      <c r="AM47" t="e">
        <f>Year_2032!AM50/Year_2025!AM50</f>
        <v>#DIV/0!</v>
      </c>
      <c r="AN47" t="e">
        <f>Year_2032!AN50/Year_2025!AN50</f>
        <v>#VALUE!</v>
      </c>
      <c r="AO47" t="e">
        <f>Year_2032!AO50/Year_2025!AO50</f>
        <v>#DIV/0!</v>
      </c>
      <c r="AP47" t="e">
        <f>Year_2032!AP50/Year_2025!AP50</f>
        <v>#DIV/0!</v>
      </c>
      <c r="AQ47" t="e">
        <f>Year_2032!AQ50/Year_2025!AQ50</f>
        <v>#DIV/0!</v>
      </c>
      <c r="AR47" t="e">
        <f>Year_2032!AR50/Year_2025!AR50</f>
        <v>#DIV/0!</v>
      </c>
      <c r="AS47" t="e">
        <f>Year_2032!AS50/Year_2025!AS50</f>
        <v>#DIV/0!</v>
      </c>
      <c r="AT47" t="e">
        <f>Year_2032!AT50/Year_2025!AT50</f>
        <v>#DIV/0!</v>
      </c>
      <c r="AU47" t="e">
        <f>Year_2032!AU50/Year_2025!AU50</f>
        <v>#DIV/0!</v>
      </c>
      <c r="AV47" t="e">
        <f>Year_2032!AV50/Year_2025!AV50</f>
        <v>#DIV/0!</v>
      </c>
      <c r="AW47" t="e">
        <f>Year_2032!AW50/Year_2025!AW50</f>
        <v>#DIV/0!</v>
      </c>
      <c r="AX47" t="e">
        <f>Year_2032!AX50/Year_2025!AX50</f>
        <v>#DIV/0!</v>
      </c>
    </row>
    <row r="48" spans="2:50" x14ac:dyDescent="0.3">
      <c r="B48" t="str">
        <f>Year_2032!B51</f>
        <v>Night</v>
      </c>
      <c r="C48">
        <f>Year_2032!C51/Year_2025!C51</f>
        <v>1.9729915574741188</v>
      </c>
      <c r="D48">
        <f>Year_2032!D51/Year_2025!D51</f>
        <v>1.9760902906130797</v>
      </c>
      <c r="E48">
        <f>Year_2032!E51/Year_2025!E51</f>
        <v>1.9763147204949538</v>
      </c>
      <c r="F48">
        <f>Year_2032!F51/Year_2025!F51</f>
        <v>1.2023376623376623</v>
      </c>
      <c r="G48">
        <f>Year_2032!G51/Year_2025!G51</f>
        <v>1.3250901197720841</v>
      </c>
      <c r="H48">
        <f>Year_2032!H51/Year_2025!H51</f>
        <v>1.3434993471367283</v>
      </c>
      <c r="I48">
        <f>Year_2032!I51/Year_2025!I51</f>
        <v>1.2115172021037821</v>
      </c>
      <c r="J48">
        <f>Year_2032!J51/Year_2025!J51</f>
        <v>1.2115684962070505</v>
      </c>
      <c r="K48">
        <f>Year_2032!K51/Year_2025!K51</f>
        <v>0.99158660088288753</v>
      </c>
      <c r="L48">
        <f>Year_2032!L51/Year_2025!L51</f>
        <v>0.99606235936997756</v>
      </c>
      <c r="M48" t="e">
        <f>Year_2032!M51/Year_2025!M51</f>
        <v>#DIV/0!</v>
      </c>
      <c r="N48" t="str">
        <f>Year_2032!N51</f>
        <v>Night</v>
      </c>
      <c r="O48">
        <f>Year_2032!O51/Year_2025!O51</f>
        <v>2</v>
      </c>
      <c r="P48">
        <f>Year_2032!P51/Year_2025!P51</f>
        <v>1.7500000000000002</v>
      </c>
      <c r="Q48">
        <f>Year_2032!Q51/Year_2025!Q51</f>
        <v>1.7999999999999998</v>
      </c>
      <c r="R48">
        <f>Year_2032!R51/Year_2025!R51</f>
        <v>1</v>
      </c>
      <c r="S48">
        <f>Year_2032!S51/Year_2025!S51</f>
        <v>1</v>
      </c>
      <c r="T48">
        <f>Year_2032!T51/Year_2025!T51</f>
        <v>1.5</v>
      </c>
      <c r="U48">
        <f>Year_2032!U51/Year_2025!U51</f>
        <v>1</v>
      </c>
      <c r="V48">
        <f>Year_2032!V51/Year_2025!V51</f>
        <v>1</v>
      </c>
      <c r="W48">
        <f>Year_2032!W51/Year_2025!W51</f>
        <v>1</v>
      </c>
      <c r="X48">
        <f>Year_2032!X51/Year_2025!X51</f>
        <v>1</v>
      </c>
      <c r="Y48" t="e">
        <f>Year_2032!Y51/Year_2025!Y51</f>
        <v>#DIV/0!</v>
      </c>
      <c r="Z48" t="e">
        <f>Year_2032!Z51/Year_2025!Z51</f>
        <v>#DIV/0!</v>
      </c>
      <c r="AA48" t="e">
        <f>Year_2032!AA51/Year_2025!AA51</f>
        <v>#VALUE!</v>
      </c>
      <c r="AB48">
        <f>Year_2032!AB51/Year_2025!AB51</f>
        <v>1.1428571428571428</v>
      </c>
      <c r="AC48">
        <f>Year_2032!AC51/Year_2025!AC51</f>
        <v>1.1428571428571428</v>
      </c>
      <c r="AD48">
        <f>Year_2032!AD51/Year_2025!AD51</f>
        <v>1.1538461538461537</v>
      </c>
      <c r="AE48">
        <f>Year_2032!AE51/Year_2025!AE51</f>
        <v>1.2</v>
      </c>
      <c r="AF48">
        <f>Year_2032!AF51/Year_2025!AF51</f>
        <v>1.1764705882352942</v>
      </c>
      <c r="AG48">
        <f>Year_2032!AG51/Year_2025!AG51</f>
        <v>1.2</v>
      </c>
      <c r="AH48">
        <f>Year_2032!AH51/Year_2025!AH51</f>
        <v>1.2</v>
      </c>
      <c r="AI48">
        <f>Year_2032!AI51/Year_2025!AI51</f>
        <v>1.1538461538461537</v>
      </c>
      <c r="AJ48">
        <f>Year_2032!AJ51/Year_2025!AJ51</f>
        <v>1</v>
      </c>
      <c r="AK48">
        <f>Year_2032!AK51/Year_2025!AK51</f>
        <v>1</v>
      </c>
      <c r="AL48" t="e">
        <f>Year_2032!AL51/Year_2025!AL51</f>
        <v>#DIV/0!</v>
      </c>
      <c r="AM48" t="e">
        <f>Year_2032!AM51/Year_2025!AM51</f>
        <v>#DIV/0!</v>
      </c>
      <c r="AN48" t="e">
        <f>Year_2032!AN51/Year_2025!AN51</f>
        <v>#VALUE!</v>
      </c>
      <c r="AO48">
        <f>Year_2032!AO51/Year_2025!AO51</f>
        <v>1.2</v>
      </c>
      <c r="AP48">
        <f>Year_2032!AP51/Year_2025!AP51</f>
        <v>1.2068965517241379</v>
      </c>
      <c r="AQ48">
        <f>Year_2032!AQ51/Year_2025!AQ51</f>
        <v>1.2142857142857142</v>
      </c>
      <c r="AR48">
        <f>Year_2032!AR51/Year_2025!AR51</f>
        <v>1.2380952380952381</v>
      </c>
      <c r="AS48">
        <f>Year_2032!AS51/Year_2025!AS51</f>
        <v>1.1666666666666667</v>
      </c>
      <c r="AT48">
        <f>Year_2032!AT51/Year_2025!AT51</f>
        <v>1.1875</v>
      </c>
      <c r="AU48">
        <f>Year_2032!AU51/Year_2025!AU51</f>
        <v>1.1875</v>
      </c>
      <c r="AV48">
        <f>Year_2032!AV51/Year_2025!AV51</f>
        <v>1.2307692307692308</v>
      </c>
      <c r="AW48">
        <f>Year_2032!AW51/Year_2025!AW51</f>
        <v>1</v>
      </c>
      <c r="AX48">
        <f>Year_2032!AX51/Year_2025!AX51</f>
        <v>1</v>
      </c>
    </row>
    <row r="49" spans="2:50" x14ac:dyDescent="0.3">
      <c r="B49" t="str">
        <f>Year_2032!B52</f>
        <v>AM-Early</v>
      </c>
      <c r="C49">
        <f>Year_2032!C52/Year_2025!C52</f>
        <v>2.097001610831311</v>
      </c>
      <c r="D49">
        <f>Year_2032!D52/Year_2025!D52</f>
        <v>2.1561626768710509</v>
      </c>
      <c r="E49">
        <f>Year_2032!E52/Year_2025!E52</f>
        <v>2.3988606028372419</v>
      </c>
      <c r="F49">
        <f>Year_2032!F52/Year_2025!F52</f>
        <v>1.4581559051012427</v>
      </c>
      <c r="G49">
        <f>Year_2032!G52/Year_2025!G52</f>
        <v>2.7686802721088433</v>
      </c>
      <c r="H49">
        <f>Year_2032!H52/Year_2025!H52</f>
        <v>2.3107359754859433</v>
      </c>
      <c r="I49">
        <f>Year_2032!I52/Year_2025!I52</f>
        <v>2.807847236581126</v>
      </c>
      <c r="J49">
        <f>Year_2032!J52/Year_2025!J52</f>
        <v>1.2115413704432005</v>
      </c>
      <c r="K49">
        <f>Year_2032!K52/Year_2025!K52</f>
        <v>1.5303255886847158</v>
      </c>
      <c r="L49">
        <f>Year_2032!L52/Year_2025!L52</f>
        <v>1.3771538447178302</v>
      </c>
      <c r="M49" t="e">
        <f>Year_2032!M52/Year_2025!M52</f>
        <v>#DIV/0!</v>
      </c>
      <c r="N49" t="str">
        <f>Year_2032!N52</f>
        <v>AM-Early</v>
      </c>
      <c r="O49">
        <f>Year_2032!O52/Year_2025!O52</f>
        <v>1.2142857142857142</v>
      </c>
      <c r="P49">
        <f>Year_2032!P52/Year_2025!P52</f>
        <v>1.1666666666666667</v>
      </c>
      <c r="Q49">
        <f>Year_2032!Q52/Year_2025!Q52</f>
        <v>1.1875</v>
      </c>
      <c r="R49">
        <f>Year_2032!R52/Year_2025!R52</f>
        <v>1.2222222222222223</v>
      </c>
      <c r="S49">
        <f>Year_2032!S52/Year_2025!S52</f>
        <v>1.1714285714285715</v>
      </c>
      <c r="T49">
        <f>Year_2032!T52/Year_2025!T52</f>
        <v>1.2352941176470587</v>
      </c>
      <c r="U49">
        <f>Year_2032!U52/Year_2025!U52</f>
        <v>1.1875</v>
      </c>
      <c r="V49">
        <f>Year_2032!V52/Year_2025!V52</f>
        <v>1.2</v>
      </c>
      <c r="W49">
        <f>Year_2032!W52/Year_2025!W52</f>
        <v>1.0588235294117645</v>
      </c>
      <c r="X49">
        <f>Year_2032!X52/Year_2025!X52</f>
        <v>0.96296296296296291</v>
      </c>
      <c r="Y49" t="e">
        <f>Year_2032!Y52/Year_2025!Y52</f>
        <v>#DIV/0!</v>
      </c>
      <c r="Z49" t="e">
        <f>Year_2032!Z52/Year_2025!Z52</f>
        <v>#DIV/0!</v>
      </c>
      <c r="AA49" t="e">
        <f>Year_2032!AA52/Year_2025!AA52</f>
        <v>#VALUE!</v>
      </c>
      <c r="AB49">
        <f>Year_2032!AB52/Year_2025!AB52</f>
        <v>1.1025641025641024</v>
      </c>
      <c r="AC49">
        <f>Year_2032!AC52/Year_2025!AC52</f>
        <v>1.2156862745098038</v>
      </c>
      <c r="AD49">
        <f>Year_2032!AD52/Year_2025!AD52</f>
        <v>1.2105263157894737</v>
      </c>
      <c r="AE49">
        <f>Year_2032!AE52/Year_2025!AE52</f>
        <v>0.98837209302325579</v>
      </c>
      <c r="AF49">
        <f>Year_2032!AF52/Year_2025!AF52</f>
        <v>1.2205882352941175</v>
      </c>
      <c r="AG49">
        <f>Year_2032!AG52/Year_2025!AG52</f>
        <v>1.2166666666666668</v>
      </c>
      <c r="AH49">
        <f>Year_2032!AH52/Year_2025!AH52</f>
        <v>1.2083333333333335</v>
      </c>
      <c r="AI49">
        <f>Year_2032!AI52/Year_2025!AI52</f>
        <v>1.2142857142857142</v>
      </c>
      <c r="AJ49">
        <f>Year_2032!AJ52/Year_2025!AJ52</f>
        <v>1.0117647058823529</v>
      </c>
      <c r="AK49">
        <f>Year_2032!AK52/Year_2025!AK52</f>
        <v>1</v>
      </c>
      <c r="AL49" t="e">
        <f>Year_2032!AL52/Year_2025!AL52</f>
        <v>#DIV/0!</v>
      </c>
      <c r="AM49" t="e">
        <f>Year_2032!AM52/Year_2025!AM52</f>
        <v>#DIV/0!</v>
      </c>
      <c r="AN49" t="e">
        <f>Year_2032!AN52/Year_2025!AN52</f>
        <v>#VALUE!</v>
      </c>
      <c r="AO49">
        <f>Year_2032!AO52/Year_2025!AO52</f>
        <v>1.1195652173913044</v>
      </c>
      <c r="AP49">
        <f>Year_2032!AP52/Year_2025!AP52</f>
        <v>1.2</v>
      </c>
      <c r="AQ49">
        <f>Year_2032!AQ52/Year_2025!AQ52</f>
        <v>1.1940298507462686</v>
      </c>
      <c r="AR49">
        <f>Year_2032!AR52/Year_2025!AR52</f>
        <v>1.03</v>
      </c>
      <c r="AS49">
        <f>Year_2032!AS52/Year_2025!AS52</f>
        <v>1.2249999999999999</v>
      </c>
      <c r="AT49">
        <f>Year_2032!AT52/Year_2025!AT52</f>
        <v>1.2112676056338028</v>
      </c>
      <c r="AU49">
        <f>Year_2032!AU52/Year_2025!AU52</f>
        <v>1.2117647058823531</v>
      </c>
      <c r="AV49">
        <f>Year_2032!AV52/Year_2025!AV52</f>
        <v>1.2413793103448276</v>
      </c>
      <c r="AW49">
        <f>Year_2032!AW52/Year_2025!AW52</f>
        <v>1.03</v>
      </c>
      <c r="AX49">
        <f>Year_2032!AX52/Year_2025!AX52</f>
        <v>1</v>
      </c>
    </row>
    <row r="50" spans="2:50" x14ac:dyDescent="0.3">
      <c r="B50" t="str">
        <f>Year_2032!B53</f>
        <v>AM-Peak</v>
      </c>
      <c r="C50">
        <f>Year_2032!C53/Year_2025!C53</f>
        <v>2.9370446544251836</v>
      </c>
      <c r="D50">
        <f>Year_2032!D53/Year_2025!D53</f>
        <v>2.0637093383654195</v>
      </c>
      <c r="E50">
        <f>Year_2032!E53/Year_2025!E53</f>
        <v>2.5955350353694784</v>
      </c>
      <c r="F50">
        <f>Year_2032!F53/Year_2025!F53</f>
        <v>1.4409925240713266</v>
      </c>
      <c r="G50">
        <f>Year_2032!G53/Year_2025!G53</f>
        <v>3.0292604931228584</v>
      </c>
      <c r="H50">
        <f>Year_2032!H53/Year_2025!H53</f>
        <v>2.3691349857971127</v>
      </c>
      <c r="I50">
        <f>Year_2032!I53/Year_2025!I53</f>
        <v>2.9892721616652205</v>
      </c>
      <c r="J50">
        <f>Year_2032!J53/Year_2025!J53</f>
        <v>2.1804705223166696</v>
      </c>
      <c r="K50">
        <f>Year_2032!K53/Year_2025!K53</f>
        <v>1.3770643725325291</v>
      </c>
      <c r="L50">
        <f>Year_2032!L53/Year_2025!L53</f>
        <v>1.2710113481441656</v>
      </c>
      <c r="M50" t="e">
        <f>Year_2032!M53/Year_2025!M53</f>
        <v>#DIV/0!</v>
      </c>
      <c r="N50" t="str">
        <f>Year_2032!N53</f>
        <v>AM-Peak</v>
      </c>
      <c r="O50">
        <f>Year_2032!O53/Year_2025!O53</f>
        <v>1.1860465116279071</v>
      </c>
      <c r="P50">
        <f>Year_2032!P53/Year_2025!P53</f>
        <v>1.4705882352941175</v>
      </c>
      <c r="Q50">
        <f>Year_2032!Q53/Year_2025!Q53</f>
        <v>1.1794871794871795</v>
      </c>
      <c r="R50">
        <f>Year_2032!R53/Year_2025!R53</f>
        <v>1.4444444444444446</v>
      </c>
      <c r="S50">
        <f>Year_2032!S53/Year_2025!S53</f>
        <v>1.2954545454545454</v>
      </c>
      <c r="T50">
        <f>Year_2032!T53/Year_2025!T53</f>
        <v>1.161290322580645</v>
      </c>
      <c r="U50">
        <f>Year_2032!U53/Year_2025!U53</f>
        <v>1.1351351351351351</v>
      </c>
      <c r="V50">
        <f>Year_2032!V53/Year_2025!V53</f>
        <v>1.1785714285714286</v>
      </c>
      <c r="W50">
        <f>Year_2032!W53/Year_2025!W53</f>
        <v>1</v>
      </c>
      <c r="X50">
        <f>Year_2032!X53/Year_2025!X53</f>
        <v>1.1333333333333335</v>
      </c>
      <c r="Y50" t="e">
        <f>Year_2032!Y53/Year_2025!Y53</f>
        <v>#DIV/0!</v>
      </c>
      <c r="Z50" t="e">
        <f>Year_2032!Z53/Year_2025!Z53</f>
        <v>#DIV/0!</v>
      </c>
      <c r="AA50" t="e">
        <f>Year_2032!AA53/Year_2025!AA53</f>
        <v>#VALUE!</v>
      </c>
      <c r="AB50">
        <f>Year_2032!AB53/Year_2025!AB53</f>
        <v>1.1954022988505748</v>
      </c>
      <c r="AC50">
        <f>Year_2032!AC53/Year_2025!AC53</f>
        <v>1.1587301587301586</v>
      </c>
      <c r="AD50">
        <f>Year_2032!AD53/Year_2025!AD53</f>
        <v>1.2028985507246377</v>
      </c>
      <c r="AE50">
        <f>Year_2032!AE53/Year_2025!AE53</f>
        <v>1.0444444444444443</v>
      </c>
      <c r="AF50">
        <f>Year_2032!AF53/Year_2025!AF53</f>
        <v>1.2</v>
      </c>
      <c r="AG50">
        <f>Year_2032!AG53/Year_2025!AG53</f>
        <v>1.2258064516129032</v>
      </c>
      <c r="AH50">
        <f>Year_2032!AH53/Year_2025!AH53</f>
        <v>1.2179487179487178</v>
      </c>
      <c r="AI50">
        <f>Year_2032!AI53/Year_2025!AI53</f>
        <v>1.2</v>
      </c>
      <c r="AJ50">
        <f>Year_2032!AJ53/Year_2025!AJ53</f>
        <v>1</v>
      </c>
      <c r="AK50">
        <f>Year_2032!AK53/Year_2025!AK53</f>
        <v>0.97619047619047616</v>
      </c>
      <c r="AL50" t="e">
        <f>Year_2032!AL53/Year_2025!AL53</f>
        <v>#DIV/0!</v>
      </c>
      <c r="AM50" t="e">
        <f>Year_2032!AM53/Year_2025!AM53</f>
        <v>#DIV/0!</v>
      </c>
      <c r="AN50" t="e">
        <f>Year_2032!AN53/Year_2025!AN53</f>
        <v>#VALUE!</v>
      </c>
      <c r="AO50">
        <f>Year_2032!AO53/Year_2025!AO53</f>
        <v>1.1869158878504673</v>
      </c>
      <c r="AP50">
        <f>Year_2032!AP53/Year_2025!AP53</f>
        <v>1.2054794520547945</v>
      </c>
      <c r="AQ50">
        <f>Year_2032!AQ53/Year_2025!AQ53</f>
        <v>1.2</v>
      </c>
      <c r="AR50">
        <f>Year_2032!AR53/Year_2025!AR53</f>
        <v>1.1140350877192984</v>
      </c>
      <c r="AS50">
        <f>Year_2032!AS53/Year_2025!AS53</f>
        <v>1.2079207920792079</v>
      </c>
      <c r="AT50">
        <f>Year_2032!AT53/Year_2025!AT53</f>
        <v>1.2191780821917808</v>
      </c>
      <c r="AU50">
        <f>Year_2032!AU53/Year_2025!AU53</f>
        <v>1.2087912087912089</v>
      </c>
      <c r="AV50">
        <f>Year_2032!AV53/Year_2025!AV53</f>
        <v>1.2115384615384615</v>
      </c>
      <c r="AW50">
        <f>Year_2032!AW53/Year_2025!AW53</f>
        <v>1</v>
      </c>
      <c r="AX50">
        <f>Year_2032!AX53/Year_2025!AX53</f>
        <v>1</v>
      </c>
    </row>
    <row r="51" spans="2:50" x14ac:dyDescent="0.3">
      <c r="B51" t="str">
        <f>Year_2032!B54</f>
        <v>AM-Shoulder</v>
      </c>
      <c r="C51">
        <f>Year_2032!C54/Year_2025!C54</f>
        <v>1.7606956947244978</v>
      </c>
      <c r="D51">
        <f>Year_2032!D54/Year_2025!D54</f>
        <v>2.5085276255532247</v>
      </c>
      <c r="E51">
        <f>Year_2032!E54/Year_2025!E54</f>
        <v>2.6714856851940585</v>
      </c>
      <c r="F51">
        <f>Year_2032!F54/Year_2025!F54</f>
        <v>1.5205675791887632</v>
      </c>
      <c r="G51">
        <f>Year_2032!G54/Year_2025!G54</f>
        <v>2.4828436611674927</v>
      </c>
      <c r="H51">
        <f>Year_2032!H54/Year_2025!H54</f>
        <v>2.71875846177534</v>
      </c>
      <c r="I51">
        <f>Year_2032!I54/Year_2025!I54</f>
        <v>2.4731247686638023</v>
      </c>
      <c r="J51">
        <f>Year_2032!J54/Year_2025!J54</f>
        <v>2.1799539514005066</v>
      </c>
      <c r="K51">
        <f>Year_2032!K54/Year_2025!K54</f>
        <v>1.376903916944034</v>
      </c>
      <c r="L51">
        <f>Year_2032!L54/Year_2025!L54</f>
        <v>1.3769014419267944</v>
      </c>
      <c r="M51" t="e">
        <f>Year_2032!M54/Year_2025!M54</f>
        <v>#DIV/0!</v>
      </c>
      <c r="N51" t="str">
        <f>Year_2032!N54</f>
        <v>AM-Shoulder</v>
      </c>
      <c r="O51">
        <f>Year_2032!O54/Year_2025!O54</f>
        <v>1.2758620689655173</v>
      </c>
      <c r="P51">
        <f>Year_2032!P54/Year_2025!P54</f>
        <v>1.2352941176470587</v>
      </c>
      <c r="Q51">
        <f>Year_2032!Q54/Year_2025!Q54</f>
        <v>1.1764705882352942</v>
      </c>
      <c r="R51">
        <f>Year_2032!R54/Year_2025!R54</f>
        <v>1.2058823529411764</v>
      </c>
      <c r="S51">
        <f>Year_2032!S54/Year_2025!S54</f>
        <v>1.1081081081081081</v>
      </c>
      <c r="T51">
        <f>Year_2032!T54/Year_2025!T54</f>
        <v>1.1875</v>
      </c>
      <c r="U51">
        <f>Year_2032!U54/Year_2025!U54</f>
        <v>1.1935483870967742</v>
      </c>
      <c r="V51">
        <f>Year_2032!V54/Year_2025!V54</f>
        <v>1.2307692307692308</v>
      </c>
      <c r="W51">
        <f>Year_2032!W54/Year_2025!W54</f>
        <v>1</v>
      </c>
      <c r="X51">
        <f>Year_2032!X54/Year_2025!X54</f>
        <v>1</v>
      </c>
      <c r="Y51" t="e">
        <f>Year_2032!Y54/Year_2025!Y54</f>
        <v>#DIV/0!</v>
      </c>
      <c r="Z51" t="e">
        <f>Year_2032!Z54/Year_2025!Z54</f>
        <v>#DIV/0!</v>
      </c>
      <c r="AA51" t="e">
        <f>Year_2032!AA54/Year_2025!AA54</f>
        <v>#VALUE!</v>
      </c>
      <c r="AB51">
        <f>Year_2032!AB54/Year_2025!AB54</f>
        <v>1.0476190476190477</v>
      </c>
      <c r="AC51">
        <f>Year_2032!AC54/Year_2025!AC54</f>
        <v>1.2058823529411764</v>
      </c>
      <c r="AD51">
        <f>Year_2032!AD54/Year_2025!AD54</f>
        <v>1.208955223880597</v>
      </c>
      <c r="AE51">
        <f>Year_2032!AE54/Year_2025!AE54</f>
        <v>1.0113636363636365</v>
      </c>
      <c r="AF51">
        <f>Year_2032!AF54/Year_2025!AF54</f>
        <v>1.1538461538461537</v>
      </c>
      <c r="AG51">
        <f>Year_2032!AG54/Year_2025!AG54</f>
        <v>1.2205882352941175</v>
      </c>
      <c r="AH51">
        <f>Year_2032!AH54/Year_2025!AH54</f>
        <v>1.2068965517241379</v>
      </c>
      <c r="AI51">
        <f>Year_2032!AI54/Year_2025!AI54</f>
        <v>1.2093023255813955</v>
      </c>
      <c r="AJ51">
        <f>Year_2032!AJ54/Year_2025!AJ54</f>
        <v>1</v>
      </c>
      <c r="AK51">
        <f>Year_2032!AK54/Year_2025!AK54</f>
        <v>1</v>
      </c>
      <c r="AL51" t="e">
        <f>Year_2032!AL54/Year_2025!AL54</f>
        <v>#DIV/0!</v>
      </c>
      <c r="AM51" t="e">
        <f>Year_2032!AM54/Year_2025!AM54</f>
        <v>#DIV/0!</v>
      </c>
      <c r="AN51" t="e">
        <f>Year_2032!AN54/Year_2025!AN54</f>
        <v>#VALUE!</v>
      </c>
      <c r="AO51">
        <f>Year_2032!AO54/Year_2025!AO54</f>
        <v>1.0824742268041239</v>
      </c>
      <c r="AP51">
        <f>Year_2032!AP54/Year_2025!AP54</f>
        <v>1.2025316455696202</v>
      </c>
      <c r="AQ51">
        <f>Year_2032!AQ54/Year_2025!AQ54</f>
        <v>1.1948051948051948</v>
      </c>
      <c r="AR51">
        <f>Year_2032!AR54/Year_2025!AR54</f>
        <v>1.0396039603960396</v>
      </c>
      <c r="AS51">
        <f>Year_2032!AS54/Year_2025!AS54</f>
        <v>1.153846153846154</v>
      </c>
      <c r="AT51">
        <f>Year_2032!AT54/Year_2025!AT54</f>
        <v>1.2124999999999999</v>
      </c>
      <c r="AU51">
        <f>Year_2032!AU54/Year_2025!AU54</f>
        <v>1.2058823529411764</v>
      </c>
      <c r="AV51">
        <f>Year_2032!AV54/Year_2025!AV54</f>
        <v>1.22</v>
      </c>
      <c r="AW51">
        <f>Year_2032!AW54/Year_2025!AW54</f>
        <v>1</v>
      </c>
      <c r="AX51">
        <f>Year_2032!AX54/Year_2025!AX54</f>
        <v>1</v>
      </c>
    </row>
    <row r="52" spans="2:50" x14ac:dyDescent="0.3">
      <c r="B52" t="str">
        <f>Year_2032!B55</f>
        <v>MD</v>
      </c>
      <c r="C52">
        <f>Year_2032!C55/Year_2025!C55</f>
        <v>1.7022381023692965</v>
      </c>
      <c r="D52">
        <f>Year_2032!D55/Year_2025!D55</f>
        <v>1.8405093152304879</v>
      </c>
      <c r="E52">
        <f>Year_2032!E55/Year_2025!E55</f>
        <v>2.656156070930074</v>
      </c>
      <c r="F52">
        <f>Year_2032!F55/Year_2025!F55</f>
        <v>2.3120270761542443</v>
      </c>
      <c r="G52">
        <f>Year_2032!G55/Year_2025!G55</f>
        <v>2.4849856886021562</v>
      </c>
      <c r="H52">
        <f>Year_2032!H55/Year_2025!H55</f>
        <v>2.5561416333470346</v>
      </c>
      <c r="I52">
        <f>Year_2032!I55/Year_2025!I55</f>
        <v>2.1834375736391483</v>
      </c>
      <c r="J52">
        <f>Year_2032!J55/Year_2025!J55</f>
        <v>2.1758232718489077</v>
      </c>
      <c r="K52">
        <f>Year_2032!K55/Year_2025!K55</f>
        <v>1.3425740558515151</v>
      </c>
      <c r="L52">
        <f>Year_2032!L55/Year_2025!L55</f>
        <v>1.538915303103108</v>
      </c>
      <c r="M52" t="e">
        <f>Year_2032!M55/Year_2025!M55</f>
        <v>#DIV/0!</v>
      </c>
      <c r="N52" t="str">
        <f>Year_2032!N55</f>
        <v>MD</v>
      </c>
      <c r="O52">
        <f>Year_2032!O55/Year_2025!O55</f>
        <v>1.3333333333333335</v>
      </c>
      <c r="P52">
        <f>Year_2032!P55/Year_2025!P55</f>
        <v>1.2916666666666667</v>
      </c>
      <c r="Q52">
        <f>Year_2032!Q55/Year_2025!Q55</f>
        <v>1.36</v>
      </c>
      <c r="R52">
        <f>Year_2032!R55/Year_2025!R55</f>
        <v>1.3703703703703702</v>
      </c>
      <c r="S52">
        <f>Year_2032!S55/Year_2025!S55</f>
        <v>1.1923076923076923</v>
      </c>
      <c r="T52">
        <f>Year_2032!T55/Year_2025!T55</f>
        <v>1.2</v>
      </c>
      <c r="U52">
        <f>Year_2032!U55/Year_2025!U55</f>
        <v>1.1818181818181819</v>
      </c>
      <c r="V52">
        <f>Year_2032!V55/Year_2025!V55</f>
        <v>1.1851851851851851</v>
      </c>
      <c r="W52">
        <f>Year_2032!W55/Year_2025!W55</f>
        <v>1.032258064516129</v>
      </c>
      <c r="X52">
        <f>Year_2032!X55/Year_2025!X55</f>
        <v>1.2758620689655173</v>
      </c>
      <c r="Y52" t="e">
        <f>Year_2032!Y55/Year_2025!Y55</f>
        <v>#DIV/0!</v>
      </c>
      <c r="Z52" t="e">
        <f>Year_2032!Z55/Year_2025!Z55</f>
        <v>#DIV/0!</v>
      </c>
      <c r="AA52" t="e">
        <f>Year_2032!AA55/Year_2025!AA55</f>
        <v>#VALUE!</v>
      </c>
      <c r="AB52">
        <f>Year_2032!AB55/Year_2025!AB55</f>
        <v>1.0357142857142858</v>
      </c>
      <c r="AC52">
        <f>Year_2032!AC55/Year_2025!AC55</f>
        <v>1.0609756097560976</v>
      </c>
      <c r="AD52">
        <f>Year_2032!AD55/Year_2025!AD55</f>
        <v>1.1756756756756757</v>
      </c>
      <c r="AE52">
        <f>Year_2032!AE55/Year_2025!AE55</f>
        <v>1.1282051282051282</v>
      </c>
      <c r="AF52">
        <f>Year_2032!AF55/Year_2025!AF55</f>
        <v>1.21875</v>
      </c>
      <c r="AG52">
        <f>Year_2032!AG55/Year_2025!AG55</f>
        <v>1.21875</v>
      </c>
      <c r="AH52">
        <f>Year_2032!AH55/Year_2025!AH55</f>
        <v>1.2083333333333333</v>
      </c>
      <c r="AI52">
        <f>Year_2032!AI55/Year_2025!AI55</f>
        <v>1.1951219512195121</v>
      </c>
      <c r="AJ52">
        <f>Year_2032!AJ55/Year_2025!AJ55</f>
        <v>0.9885057471264368</v>
      </c>
      <c r="AK52">
        <f>Year_2032!AK55/Year_2025!AK55</f>
        <v>1.0113636363636365</v>
      </c>
      <c r="AL52" t="e">
        <f>Year_2032!AL55/Year_2025!AL55</f>
        <v>#DIV/0!</v>
      </c>
      <c r="AM52" t="e">
        <f>Year_2032!AM55/Year_2025!AM55</f>
        <v>#DIV/0!</v>
      </c>
      <c r="AN52" t="e">
        <f>Year_2032!AN55/Year_2025!AN55</f>
        <v>#VALUE!</v>
      </c>
      <c r="AO52">
        <f>Year_2032!AO55/Year_2025!AO55</f>
        <v>1.0714285714285714</v>
      </c>
      <c r="AP52">
        <f>Year_2032!AP55/Year_2025!AP55</f>
        <v>1.09375</v>
      </c>
      <c r="AQ52">
        <f>Year_2032!AQ55/Year_2025!AQ55</f>
        <v>1.2</v>
      </c>
      <c r="AR52">
        <f>Year_2032!AR55/Year_2025!AR55</f>
        <v>1.153846153846154</v>
      </c>
      <c r="AS52">
        <f>Year_2032!AS55/Year_2025!AS55</f>
        <v>1.2133333333333334</v>
      </c>
      <c r="AT52">
        <f>Year_2032!AT55/Year_2025!AT55</f>
        <v>1.2105263157894737</v>
      </c>
      <c r="AU52">
        <f>Year_2032!AU55/Year_2025!AU55</f>
        <v>1.2105263157894737</v>
      </c>
      <c r="AV52">
        <f>Year_2032!AV55/Year_2025!AV55</f>
        <v>1.2083333333333333</v>
      </c>
      <c r="AW52">
        <f>Year_2032!AW55/Year_2025!AW55</f>
        <v>1</v>
      </c>
      <c r="AX52">
        <f>Year_2032!AX55/Year_2025!AX55</f>
        <v>1.0490196078431373</v>
      </c>
    </row>
    <row r="53" spans="2:50" x14ac:dyDescent="0.3">
      <c r="B53" t="str">
        <f>Year_2032!B56</f>
        <v>PM-Shoulder</v>
      </c>
      <c r="C53">
        <f>Year_2032!C56/Year_2025!C56</f>
        <v>1.5667517506292297</v>
      </c>
      <c r="D53">
        <f>Year_2032!D56/Year_2025!D56</f>
        <v>1.5694001705676113</v>
      </c>
      <c r="E53">
        <f>Year_2032!E56/Year_2025!E56</f>
        <v>2.9828517165962047</v>
      </c>
      <c r="F53">
        <f>Year_2032!F56/Year_2025!F56</f>
        <v>3.3477314506191544</v>
      </c>
      <c r="G53">
        <f>Year_2032!G56/Year_2025!G56</f>
        <v>2.9345926746536621</v>
      </c>
      <c r="H53">
        <f>Year_2032!H56/Year_2025!H56</f>
        <v>1.6796928614374296</v>
      </c>
      <c r="I53">
        <f>Year_2032!I56/Year_2025!I56</f>
        <v>2.5800190246034398</v>
      </c>
      <c r="J53">
        <f>Year_2032!J56/Year_2025!J56</f>
        <v>4.2998621026473423</v>
      </c>
      <c r="K53">
        <f>Year_2032!K56/Year_2025!K56</f>
        <v>1.5703535161264619</v>
      </c>
      <c r="L53">
        <f>Year_2032!L56/Year_2025!L56</f>
        <v>1.6080895553912768</v>
      </c>
      <c r="M53" t="e">
        <f>Year_2032!M56/Year_2025!M56</f>
        <v>#DIV/0!</v>
      </c>
      <c r="N53" t="str">
        <f>Year_2032!N56</f>
        <v>PM-Shoulder</v>
      </c>
      <c r="O53">
        <f>Year_2032!O56/Year_2025!O56</f>
        <v>1.0588235294117645</v>
      </c>
      <c r="P53">
        <f>Year_2032!P56/Year_2025!P56</f>
        <v>1.03125</v>
      </c>
      <c r="Q53">
        <f>Year_2032!Q56/Year_2025!Q56</f>
        <v>1.1842105263157894</v>
      </c>
      <c r="R53">
        <f>Year_2032!R56/Year_2025!R56</f>
        <v>1.1489361702127661</v>
      </c>
      <c r="S53">
        <f>Year_2032!S56/Year_2025!S56</f>
        <v>1.1111111111111112</v>
      </c>
      <c r="T53">
        <f>Year_2032!T56/Year_2025!T56</f>
        <v>1</v>
      </c>
      <c r="U53">
        <f>Year_2032!U56/Year_2025!U56</f>
        <v>1.1714285714285715</v>
      </c>
      <c r="V53">
        <f>Year_2032!V56/Year_2025!V56</f>
        <v>1.0754716981132073</v>
      </c>
      <c r="W53">
        <f>Year_2032!W56/Year_2025!W56</f>
        <v>1.1351351351351351</v>
      </c>
      <c r="X53">
        <f>Year_2032!X56/Year_2025!X56</f>
        <v>1.2</v>
      </c>
      <c r="Y53" t="e">
        <f>Year_2032!Y56/Year_2025!Y56</f>
        <v>#DIV/0!</v>
      </c>
      <c r="Z53" t="e">
        <f>Year_2032!Z56/Year_2025!Z56</f>
        <v>#DIV/0!</v>
      </c>
      <c r="AA53" t="e">
        <f>Year_2032!AA56/Year_2025!AA56</f>
        <v>#VALUE!</v>
      </c>
      <c r="AB53">
        <f>Year_2032!AB56/Year_2025!AB56</f>
        <v>1.0235294117647058</v>
      </c>
      <c r="AC53">
        <f>Year_2032!AC56/Year_2025!AC56</f>
        <v>1.0238095238095237</v>
      </c>
      <c r="AD53">
        <f>Year_2032!AD56/Year_2025!AD56</f>
        <v>1.2027027027027026</v>
      </c>
      <c r="AE53">
        <f>Year_2032!AE56/Year_2025!AE56</f>
        <v>1.2054794520547945</v>
      </c>
      <c r="AF53">
        <f>Year_2032!AF56/Year_2025!AF56</f>
        <v>1.1917808219178083</v>
      </c>
      <c r="AG53">
        <f>Year_2032!AG56/Year_2025!AG56</f>
        <v>1.0357142857142858</v>
      </c>
      <c r="AH53">
        <f>Year_2032!AH56/Year_2025!AH56</f>
        <v>1.2142857142857142</v>
      </c>
      <c r="AI53">
        <f>Year_2032!AI56/Year_2025!AI56</f>
        <v>1.2307692307692308</v>
      </c>
      <c r="AJ53">
        <f>Year_2032!AJ56/Year_2025!AJ56</f>
        <v>1.0229885057471264</v>
      </c>
      <c r="AK53">
        <f>Year_2032!AK56/Year_2025!AK56</f>
        <v>1.0116279069767442</v>
      </c>
      <c r="AL53" t="e">
        <f>Year_2032!AL56/Year_2025!AL56</f>
        <v>#DIV/0!</v>
      </c>
      <c r="AM53" t="e">
        <f>Year_2032!AM56/Year_2025!AM56</f>
        <v>#DIV/0!</v>
      </c>
      <c r="AN53" t="e">
        <f>Year_2032!AN56/Year_2025!AN56</f>
        <v>#VALUE!</v>
      </c>
      <c r="AO53">
        <f>Year_2032!AO56/Year_2025!AO56</f>
        <v>1.0294117647058825</v>
      </c>
      <c r="AP53">
        <f>Year_2032!AP56/Year_2025!AP56</f>
        <v>1.0294117647058825</v>
      </c>
      <c r="AQ53">
        <f>Year_2032!AQ56/Year_2025!AQ56</f>
        <v>1.1931818181818181</v>
      </c>
      <c r="AR53">
        <f>Year_2032!AR56/Year_2025!AR56</f>
        <v>1.2068965517241379</v>
      </c>
      <c r="AS53">
        <f>Year_2032!AS56/Year_2025!AS56</f>
        <v>1.1797752808988764</v>
      </c>
      <c r="AT53">
        <f>Year_2032!AT56/Year_2025!AT56</f>
        <v>1.0294117647058825</v>
      </c>
      <c r="AU53">
        <f>Year_2032!AU56/Year_2025!AU56</f>
        <v>1.2028985507246377</v>
      </c>
      <c r="AV53">
        <f>Year_2032!AV56/Year_2025!AV56</f>
        <v>1.2151898734177213</v>
      </c>
      <c r="AW53">
        <f>Year_2032!AW56/Year_2025!AW56</f>
        <v>1.0380952380952382</v>
      </c>
      <c r="AX53">
        <f>Year_2032!AX56/Year_2025!AX56</f>
        <v>1.0571428571428572</v>
      </c>
    </row>
    <row r="54" spans="2:50" x14ac:dyDescent="0.3">
      <c r="B54" t="str">
        <f>Year_2032!B57</f>
        <v>PM-Peak</v>
      </c>
      <c r="C54">
        <f>Year_2032!C57/Year_2025!C57</f>
        <v>1.9096706997270583</v>
      </c>
      <c r="D54">
        <f>Year_2032!D57/Year_2025!D57</f>
        <v>1.9758117897255265</v>
      </c>
      <c r="E54">
        <f>Year_2032!E57/Year_2025!E57</f>
        <v>2.336782589020264</v>
      </c>
      <c r="F54">
        <f>Year_2032!F57/Year_2025!F57</f>
        <v>2.6420454809088763</v>
      </c>
      <c r="G54">
        <f>Year_2032!G57/Year_2025!G57</f>
        <v>2.7178688839296425</v>
      </c>
      <c r="H54">
        <f>Year_2032!H57/Year_2025!H57</f>
        <v>2.7059699500155738</v>
      </c>
      <c r="I54">
        <f>Year_2032!I57/Year_2025!I57</f>
        <v>2.3998975500674793</v>
      </c>
      <c r="J54">
        <f>Year_2032!J57/Year_2025!J57</f>
        <v>2.5526235090947238</v>
      </c>
      <c r="K54">
        <f>Year_2032!K57/Year_2025!K57</f>
        <v>1.3173009554451764</v>
      </c>
      <c r="L54">
        <f>Year_2032!L57/Year_2025!L57</f>
        <v>1.3990039268269321</v>
      </c>
      <c r="M54" t="e">
        <f>Year_2032!M57/Year_2025!M57</f>
        <v>#DIV/0!</v>
      </c>
      <c r="N54" t="str">
        <f>Year_2032!N57</f>
        <v>PM-Peak</v>
      </c>
      <c r="O54">
        <f>Year_2032!O57/Year_2025!O57</f>
        <v>1.6486486486486487</v>
      </c>
      <c r="P54">
        <f>Year_2032!P57/Year_2025!P57</f>
        <v>1.5526315789473684</v>
      </c>
      <c r="Q54">
        <f>Year_2032!Q57/Year_2025!Q57</f>
        <v>1.3870967741935483</v>
      </c>
      <c r="R54">
        <f>Year_2032!R57/Year_2025!R57</f>
        <v>1.1538461538461537</v>
      </c>
      <c r="S54">
        <f>Year_2032!S57/Year_2025!S57</f>
        <v>1.1499999999999999</v>
      </c>
      <c r="T54">
        <f>Year_2032!T57/Year_2025!T57</f>
        <v>1.2272727272727273</v>
      </c>
      <c r="U54">
        <f>Year_2032!U57/Year_2025!U57</f>
        <v>1.1818181818181819</v>
      </c>
      <c r="V54">
        <f>Year_2032!V57/Year_2025!V57</f>
        <v>1.1891891891891893</v>
      </c>
      <c r="W54">
        <f>Year_2032!W57/Year_2025!W57</f>
        <v>1.1818181818181819</v>
      </c>
      <c r="X54">
        <f>Year_2032!X57/Year_2025!X57</f>
        <v>1</v>
      </c>
      <c r="Y54" t="e">
        <f>Year_2032!Y57/Year_2025!Y57</f>
        <v>#DIV/0!</v>
      </c>
      <c r="Z54" t="e">
        <f>Year_2032!Z57/Year_2025!Z57</f>
        <v>#DIV/0!</v>
      </c>
      <c r="AA54" t="e">
        <f>Year_2032!AA57/Year_2025!AA57</f>
        <v>#VALUE!</v>
      </c>
      <c r="AB54">
        <f>Year_2032!AB57/Year_2025!AB57</f>
        <v>1.1097560975609757</v>
      </c>
      <c r="AC54">
        <f>Year_2032!AC57/Year_2025!AC57</f>
        <v>1.125</v>
      </c>
      <c r="AD54">
        <f>Year_2032!AD57/Year_2025!AD57</f>
        <v>1.1666666666666667</v>
      </c>
      <c r="AE54">
        <f>Year_2032!AE57/Year_2025!AE57</f>
        <v>1.208955223880597</v>
      </c>
      <c r="AF54">
        <f>Year_2032!AF57/Year_2025!AF57</f>
        <v>1.2272727272727273</v>
      </c>
      <c r="AG54">
        <f>Year_2032!AG57/Year_2025!AG57</f>
        <v>1.1971830985915493</v>
      </c>
      <c r="AH54">
        <f>Year_2032!AH57/Year_2025!AH57</f>
        <v>1.2181818181818183</v>
      </c>
      <c r="AI54">
        <f>Year_2032!AI57/Year_2025!AI57</f>
        <v>1.2173913043478262</v>
      </c>
      <c r="AJ54">
        <f>Year_2032!AJ57/Year_2025!AJ57</f>
        <v>0.97499999999999998</v>
      </c>
      <c r="AK54">
        <f>Year_2032!AK57/Year_2025!AK57</f>
        <v>1</v>
      </c>
      <c r="AL54" t="e">
        <f>Year_2032!AL57/Year_2025!AL57</f>
        <v>#DIV/0!</v>
      </c>
      <c r="AM54" t="e">
        <f>Year_2032!AM57/Year_2025!AM57</f>
        <v>#DIV/0!</v>
      </c>
      <c r="AN54" t="e">
        <f>Year_2032!AN57/Year_2025!AN57</f>
        <v>#VALUE!</v>
      </c>
      <c r="AO54">
        <f>Year_2032!AO57/Year_2025!AO57</f>
        <v>1.2040816326530612</v>
      </c>
      <c r="AP54">
        <f>Year_2032!AP57/Year_2025!AP57</f>
        <v>1.1958762886597938</v>
      </c>
      <c r="AQ54">
        <f>Year_2032!AQ57/Year_2025!AQ57</f>
        <v>1.1976744186046513</v>
      </c>
      <c r="AR54">
        <f>Year_2032!AR57/Year_2025!AR57</f>
        <v>1.2</v>
      </c>
      <c r="AS54">
        <f>Year_2032!AS57/Year_2025!AS57</f>
        <v>1.2098765432098764</v>
      </c>
      <c r="AT54">
        <f>Year_2032!AT57/Year_2025!AT57</f>
        <v>1.2209302325581397</v>
      </c>
      <c r="AU54">
        <f>Year_2032!AU57/Year_2025!AU57</f>
        <v>1.208955223880597</v>
      </c>
      <c r="AV54">
        <f>Year_2032!AV57/Year_2025!AV57</f>
        <v>1.2105263157894737</v>
      </c>
      <c r="AW54">
        <f>Year_2032!AW57/Year_2025!AW57</f>
        <v>1</v>
      </c>
      <c r="AX54">
        <f>Year_2032!AX57/Year_2025!AX57</f>
        <v>1</v>
      </c>
    </row>
    <row r="55" spans="2:50" x14ac:dyDescent="0.3">
      <c r="B55" t="str">
        <f>Year_2032!B58</f>
        <v>PM-Late</v>
      </c>
      <c r="C55">
        <f>Year_2032!C58/Year_2025!C58</f>
        <v>2.2067513328611357</v>
      </c>
      <c r="D55">
        <f>Year_2032!D58/Year_2025!D58</f>
        <v>2.2419783122151169</v>
      </c>
      <c r="E55">
        <f>Year_2032!E58/Year_2025!E58</f>
        <v>2.2592709697818329</v>
      </c>
      <c r="F55">
        <f>Year_2032!F58/Year_2025!F58</f>
        <v>1.8160905550146056</v>
      </c>
      <c r="G55">
        <f>Year_2032!G58/Year_2025!G58</f>
        <v>2.2292626774319051</v>
      </c>
      <c r="H55">
        <f>Year_2032!H58/Year_2025!H58</f>
        <v>2.2000852760356118</v>
      </c>
      <c r="I55">
        <f>Year_2032!I58/Year_2025!I58</f>
        <v>2.1582237612786357</v>
      </c>
      <c r="J55">
        <f>Year_2032!J58/Year_2025!J58</f>
        <v>1.8172931205448184</v>
      </c>
      <c r="K55">
        <f>Year_2032!K58/Year_2025!K58</f>
        <v>1.3986788278510602</v>
      </c>
      <c r="L55">
        <f>Year_2032!L58/Year_2025!L58</f>
        <v>1.5674627704411352</v>
      </c>
      <c r="M55" t="e">
        <f>Year_2032!M58/Year_2025!M58</f>
        <v>#DIV/0!</v>
      </c>
      <c r="N55" t="str">
        <f>Year_2032!N58</f>
        <v>PM-Late</v>
      </c>
      <c r="O55">
        <f>Year_2032!O58/Year_2025!O58</f>
        <v>1.2352941176470587</v>
      </c>
      <c r="P55">
        <f>Year_2032!P58/Year_2025!P58</f>
        <v>1.173913043478261</v>
      </c>
      <c r="Q55">
        <f>Year_2032!Q58/Year_2025!Q58</f>
        <v>1.2</v>
      </c>
      <c r="R55">
        <f>Year_2032!R58/Year_2025!R58</f>
        <v>1.375</v>
      </c>
      <c r="S55">
        <f>Year_2032!S58/Year_2025!S58</f>
        <v>1.2142857142857142</v>
      </c>
      <c r="T55">
        <f>Year_2032!T58/Year_2025!T58</f>
        <v>1.1764705882352942</v>
      </c>
      <c r="U55">
        <f>Year_2032!U58/Year_2025!U58</f>
        <v>1.1818181818181819</v>
      </c>
      <c r="V55">
        <f>Year_2032!V58/Year_2025!V58</f>
        <v>1.25</v>
      </c>
      <c r="W55">
        <f>Year_2032!W58/Year_2025!W58</f>
        <v>1</v>
      </c>
      <c r="X55">
        <f>Year_2032!X58/Year_2025!X58</f>
        <v>1.0476190476190477</v>
      </c>
      <c r="Y55" t="e">
        <f>Year_2032!Y58/Year_2025!Y58</f>
        <v>#DIV/0!</v>
      </c>
      <c r="Z55" t="e">
        <f>Year_2032!Z58/Year_2025!Z58</f>
        <v>#DIV/0!</v>
      </c>
      <c r="AA55" t="e">
        <f>Year_2032!AA58/Year_2025!AA58</f>
        <v>#VALUE!</v>
      </c>
      <c r="AB55">
        <f>Year_2032!AB58/Year_2025!AB58</f>
        <v>1.1886792452830188</v>
      </c>
      <c r="AC55">
        <f>Year_2032!AC58/Year_2025!AC58</f>
        <v>1.1886792452830188</v>
      </c>
      <c r="AD55">
        <f>Year_2032!AD58/Year_2025!AD58</f>
        <v>1.192982456140351</v>
      </c>
      <c r="AE55">
        <f>Year_2032!AE58/Year_2025!AE58</f>
        <v>1.2</v>
      </c>
      <c r="AF55">
        <f>Year_2032!AF58/Year_2025!AF58</f>
        <v>1.2181818181818183</v>
      </c>
      <c r="AG55">
        <f>Year_2032!AG58/Year_2025!AG58</f>
        <v>1.2075471698113207</v>
      </c>
      <c r="AH55">
        <f>Year_2032!AH58/Year_2025!AH58</f>
        <v>1.2127659574468084</v>
      </c>
      <c r="AI55">
        <f>Year_2032!AI58/Year_2025!AI58</f>
        <v>1.2272727272727273</v>
      </c>
      <c r="AJ55">
        <f>Year_2032!AJ58/Year_2025!AJ58</f>
        <v>1</v>
      </c>
      <c r="AK55">
        <f>Year_2032!AK58/Year_2025!AK58</f>
        <v>1.0249999999999999</v>
      </c>
      <c r="AL55" t="e">
        <f>Year_2032!AL58/Year_2025!AL58</f>
        <v>#DIV/0!</v>
      </c>
      <c r="AM55" t="e">
        <f>Year_2032!AM58/Year_2025!AM58</f>
        <v>#DIV/0!</v>
      </c>
      <c r="AN55" t="e">
        <f>Year_2032!AN58/Year_2025!AN58</f>
        <v>#VALUE!</v>
      </c>
      <c r="AO55">
        <f>Year_2032!AO58/Year_2025!AO58</f>
        <v>1.2063492063492063</v>
      </c>
      <c r="AP55">
        <f>Year_2032!AP58/Year_2025!AP58</f>
        <v>1.203125</v>
      </c>
      <c r="AQ55">
        <f>Year_2032!AQ58/Year_2025!AQ58</f>
        <v>1.196969696969697</v>
      </c>
      <c r="AR55">
        <f>Year_2032!AR58/Year_2025!AR58</f>
        <v>1.2</v>
      </c>
      <c r="AS55">
        <f>Year_2032!AS58/Year_2025!AS58</f>
        <v>1.208955223880597</v>
      </c>
      <c r="AT55">
        <f>Year_2032!AT58/Year_2025!AT58</f>
        <v>1.2153846153846155</v>
      </c>
      <c r="AU55">
        <f>Year_2032!AU58/Year_2025!AU58</f>
        <v>1.2105263157894737</v>
      </c>
      <c r="AV55">
        <f>Year_2032!AV58/Year_2025!AV58</f>
        <v>1.2173913043478262</v>
      </c>
      <c r="AW55">
        <f>Year_2032!AW58/Year_2025!AW58</f>
        <v>1</v>
      </c>
      <c r="AX55">
        <f>Year_2032!AX58/Year_2025!AX58</f>
        <v>1.0315789473684212</v>
      </c>
    </row>
    <row r="56" spans="2:50" x14ac:dyDescent="0.3">
      <c r="B56">
        <f>Year_2032!B59</f>
        <v>0</v>
      </c>
      <c r="C56" t="e">
        <f>Year_2032!C59/Year_2025!C59</f>
        <v>#DIV/0!</v>
      </c>
      <c r="D56" t="e">
        <f>Year_2032!D59/Year_2025!D59</f>
        <v>#DIV/0!</v>
      </c>
      <c r="E56" t="e">
        <f>Year_2032!E59/Year_2025!E59</f>
        <v>#DIV/0!</v>
      </c>
      <c r="F56" t="e">
        <f>Year_2032!F59/Year_2025!F59</f>
        <v>#DIV/0!</v>
      </c>
      <c r="G56" t="e">
        <f>Year_2032!G59/Year_2025!G59</f>
        <v>#DIV/0!</v>
      </c>
      <c r="H56" t="e">
        <f>Year_2032!H59/Year_2025!H59</f>
        <v>#DIV/0!</v>
      </c>
      <c r="I56" t="e">
        <f>Year_2032!I59/Year_2025!I59</f>
        <v>#DIV/0!</v>
      </c>
      <c r="J56" t="e">
        <f>Year_2032!J59/Year_2025!J59</f>
        <v>#DIV/0!</v>
      </c>
      <c r="K56" t="e">
        <f>Year_2032!K59/Year_2025!K59</f>
        <v>#DIV/0!</v>
      </c>
      <c r="L56" t="e">
        <f>Year_2032!L59/Year_2025!L59</f>
        <v>#DIV/0!</v>
      </c>
      <c r="M56" t="e">
        <f>Year_2032!M59/Year_2025!M59</f>
        <v>#DIV/0!</v>
      </c>
      <c r="N56">
        <f>Year_2032!N59</f>
        <v>0</v>
      </c>
      <c r="O56" t="e">
        <f>Year_2032!O59/Year_2025!O59</f>
        <v>#DIV/0!</v>
      </c>
      <c r="P56" t="e">
        <f>Year_2032!P59/Year_2025!P59</f>
        <v>#DIV/0!</v>
      </c>
      <c r="Q56" t="e">
        <f>Year_2032!Q59/Year_2025!Q59</f>
        <v>#DIV/0!</v>
      </c>
      <c r="R56" t="e">
        <f>Year_2032!R59/Year_2025!R59</f>
        <v>#DIV/0!</v>
      </c>
      <c r="S56" t="e">
        <f>Year_2032!S59/Year_2025!S59</f>
        <v>#DIV/0!</v>
      </c>
      <c r="T56" t="e">
        <f>Year_2032!T59/Year_2025!T59</f>
        <v>#DIV/0!</v>
      </c>
      <c r="U56" t="e">
        <f>Year_2032!U59/Year_2025!U59</f>
        <v>#DIV/0!</v>
      </c>
      <c r="V56" t="e">
        <f>Year_2032!V59/Year_2025!V59</f>
        <v>#DIV/0!</v>
      </c>
      <c r="W56" t="e">
        <f>Year_2032!W59/Year_2025!W59</f>
        <v>#DIV/0!</v>
      </c>
      <c r="X56" t="e">
        <f>Year_2032!X59/Year_2025!X59</f>
        <v>#DIV/0!</v>
      </c>
      <c r="Y56" t="e">
        <f>Year_2032!Y59/Year_2025!Y59</f>
        <v>#DIV/0!</v>
      </c>
      <c r="Z56" t="e">
        <f>Year_2032!Z59/Year_2025!Z59</f>
        <v>#DIV/0!</v>
      </c>
      <c r="AA56" t="e">
        <f>Year_2032!AA59/Year_2025!AA59</f>
        <v>#DIV/0!</v>
      </c>
      <c r="AB56" t="e">
        <f>Year_2032!AB59/Year_2025!AB59</f>
        <v>#DIV/0!</v>
      </c>
      <c r="AC56" t="e">
        <f>Year_2032!AC59/Year_2025!AC59</f>
        <v>#DIV/0!</v>
      </c>
      <c r="AD56" t="e">
        <f>Year_2032!AD59/Year_2025!AD59</f>
        <v>#DIV/0!</v>
      </c>
      <c r="AE56" t="e">
        <f>Year_2032!AE59/Year_2025!AE59</f>
        <v>#DIV/0!</v>
      </c>
      <c r="AF56" t="e">
        <f>Year_2032!AF59/Year_2025!AF59</f>
        <v>#DIV/0!</v>
      </c>
      <c r="AG56" t="e">
        <f>Year_2032!AG59/Year_2025!AG59</f>
        <v>#DIV/0!</v>
      </c>
      <c r="AH56" t="e">
        <f>Year_2032!AH59/Year_2025!AH59</f>
        <v>#DIV/0!</v>
      </c>
      <c r="AI56" t="e">
        <f>Year_2032!AI59/Year_2025!AI59</f>
        <v>#DIV/0!</v>
      </c>
      <c r="AJ56" t="e">
        <f>Year_2032!AJ59/Year_2025!AJ59</f>
        <v>#DIV/0!</v>
      </c>
      <c r="AK56" t="e">
        <f>Year_2032!AK59/Year_2025!AK59</f>
        <v>#DIV/0!</v>
      </c>
      <c r="AL56" t="e">
        <f>Year_2032!AL59/Year_2025!AL59</f>
        <v>#DIV/0!</v>
      </c>
      <c r="AM56" t="e">
        <f>Year_2032!AM59/Year_2025!AM59</f>
        <v>#DIV/0!</v>
      </c>
      <c r="AN56" t="e">
        <f>Year_2032!AN59/Year_2025!AN59</f>
        <v>#DIV/0!</v>
      </c>
      <c r="AO56" t="e">
        <f>Year_2032!AO59/Year_2025!AO59</f>
        <v>#DIV/0!</v>
      </c>
      <c r="AP56" t="e">
        <f>Year_2032!AP59/Year_2025!AP59</f>
        <v>#DIV/0!</v>
      </c>
      <c r="AQ56" t="e">
        <f>Year_2032!AQ59/Year_2025!AQ59</f>
        <v>#DIV/0!</v>
      </c>
      <c r="AR56" t="e">
        <f>Year_2032!AR59/Year_2025!AR59</f>
        <v>#DIV/0!</v>
      </c>
      <c r="AS56" t="e">
        <f>Year_2032!AS59/Year_2025!AS59</f>
        <v>#DIV/0!</v>
      </c>
      <c r="AT56" t="e">
        <f>Year_2032!AT59/Year_2025!AT59</f>
        <v>#DIV/0!</v>
      </c>
      <c r="AU56" t="e">
        <f>Year_2032!AU59/Year_2025!AU59</f>
        <v>#DIV/0!</v>
      </c>
      <c r="AV56" t="e">
        <f>Year_2032!AV59/Year_2025!AV59</f>
        <v>#DIV/0!</v>
      </c>
      <c r="AW56" t="e">
        <f>Year_2032!AW59/Year_2025!AW59</f>
        <v>#DIV/0!</v>
      </c>
      <c r="AX56" t="e">
        <f>Year_2032!AX59/Year_2025!AX59</f>
        <v>#DIV/0!</v>
      </c>
    </row>
    <row r="57" spans="2:50" x14ac:dyDescent="0.3">
      <c r="B57">
        <f>Year_2032!B60</f>
        <v>0</v>
      </c>
      <c r="C57" t="e">
        <f>Year_2032!C60/Year_2025!C60</f>
        <v>#DIV/0!</v>
      </c>
      <c r="D57" t="e">
        <f>Year_2032!D60/Year_2025!D60</f>
        <v>#DIV/0!</v>
      </c>
      <c r="E57" t="e">
        <f>Year_2032!E60/Year_2025!E60</f>
        <v>#DIV/0!</v>
      </c>
      <c r="F57" t="e">
        <f>Year_2032!F60/Year_2025!F60</f>
        <v>#DIV/0!</v>
      </c>
      <c r="G57" t="e">
        <f>Year_2032!G60/Year_2025!G60</f>
        <v>#DIV/0!</v>
      </c>
      <c r="H57" t="e">
        <f>Year_2032!H60/Year_2025!H60</f>
        <v>#DIV/0!</v>
      </c>
      <c r="I57" t="e">
        <f>Year_2032!I60/Year_2025!I60</f>
        <v>#DIV/0!</v>
      </c>
      <c r="J57" t="e">
        <f>Year_2032!J60/Year_2025!J60</f>
        <v>#DIV/0!</v>
      </c>
      <c r="K57" t="e">
        <f>Year_2032!K60/Year_2025!K60</f>
        <v>#DIV/0!</v>
      </c>
      <c r="L57" t="e">
        <f>Year_2032!L60/Year_2025!L60</f>
        <v>#DIV/0!</v>
      </c>
      <c r="M57" t="e">
        <f>Year_2032!M60/Year_2025!M60</f>
        <v>#DIV/0!</v>
      </c>
      <c r="N57">
        <f>Year_2032!N60</f>
        <v>0</v>
      </c>
      <c r="O57" t="e">
        <f>Year_2032!O60/Year_2025!O60</f>
        <v>#DIV/0!</v>
      </c>
      <c r="P57" t="e">
        <f>Year_2032!P60/Year_2025!P60</f>
        <v>#DIV/0!</v>
      </c>
      <c r="Q57" t="e">
        <f>Year_2032!Q60/Year_2025!Q60</f>
        <v>#DIV/0!</v>
      </c>
      <c r="R57" t="e">
        <f>Year_2032!R60/Year_2025!R60</f>
        <v>#DIV/0!</v>
      </c>
      <c r="S57" t="e">
        <f>Year_2032!S60/Year_2025!S60</f>
        <v>#DIV/0!</v>
      </c>
      <c r="T57" t="e">
        <f>Year_2032!T60/Year_2025!T60</f>
        <v>#DIV/0!</v>
      </c>
      <c r="U57" t="e">
        <f>Year_2032!U60/Year_2025!U60</f>
        <v>#DIV/0!</v>
      </c>
      <c r="V57" t="e">
        <f>Year_2032!V60/Year_2025!V60</f>
        <v>#DIV/0!</v>
      </c>
      <c r="W57" t="e">
        <f>Year_2032!W60/Year_2025!W60</f>
        <v>#DIV/0!</v>
      </c>
      <c r="X57" t="e">
        <f>Year_2032!X60/Year_2025!X60</f>
        <v>#DIV/0!</v>
      </c>
      <c r="Y57" t="e">
        <f>Year_2032!Y60/Year_2025!Y60</f>
        <v>#DIV/0!</v>
      </c>
      <c r="Z57" t="e">
        <f>Year_2032!Z60/Year_2025!Z60</f>
        <v>#DIV/0!</v>
      </c>
      <c r="AA57" t="e">
        <f>Year_2032!AA60/Year_2025!AA60</f>
        <v>#DIV/0!</v>
      </c>
      <c r="AB57" t="e">
        <f>Year_2032!AB60/Year_2025!AB60</f>
        <v>#DIV/0!</v>
      </c>
      <c r="AC57" t="e">
        <f>Year_2032!AC60/Year_2025!AC60</f>
        <v>#DIV/0!</v>
      </c>
      <c r="AD57" t="e">
        <f>Year_2032!AD60/Year_2025!AD60</f>
        <v>#DIV/0!</v>
      </c>
      <c r="AE57" t="e">
        <f>Year_2032!AE60/Year_2025!AE60</f>
        <v>#DIV/0!</v>
      </c>
      <c r="AF57" t="e">
        <f>Year_2032!AF60/Year_2025!AF60</f>
        <v>#DIV/0!</v>
      </c>
      <c r="AG57" t="e">
        <f>Year_2032!AG60/Year_2025!AG60</f>
        <v>#DIV/0!</v>
      </c>
      <c r="AH57" t="e">
        <f>Year_2032!AH60/Year_2025!AH60</f>
        <v>#DIV/0!</v>
      </c>
      <c r="AI57" t="e">
        <f>Year_2032!AI60/Year_2025!AI60</f>
        <v>#DIV/0!</v>
      </c>
      <c r="AJ57" t="e">
        <f>Year_2032!AJ60/Year_2025!AJ60</f>
        <v>#DIV/0!</v>
      </c>
      <c r="AK57" t="e">
        <f>Year_2032!AK60/Year_2025!AK60</f>
        <v>#DIV/0!</v>
      </c>
      <c r="AL57" t="e">
        <f>Year_2032!AL60/Year_2025!AL60</f>
        <v>#DIV/0!</v>
      </c>
      <c r="AM57" t="e">
        <f>Year_2032!AM60/Year_2025!AM60</f>
        <v>#DIV/0!</v>
      </c>
      <c r="AN57" t="e">
        <f>Year_2032!AN60/Year_2025!AN60</f>
        <v>#DIV/0!</v>
      </c>
      <c r="AO57" t="e">
        <f>Year_2032!AO60/Year_2025!AO60</f>
        <v>#DIV/0!</v>
      </c>
      <c r="AP57" t="e">
        <f>Year_2032!AP60/Year_2025!AP60</f>
        <v>#DIV/0!</v>
      </c>
      <c r="AQ57" t="e">
        <f>Year_2032!AQ60/Year_2025!AQ60</f>
        <v>#DIV/0!</v>
      </c>
      <c r="AR57" t="e">
        <f>Year_2032!AR60/Year_2025!AR60</f>
        <v>#DIV/0!</v>
      </c>
      <c r="AS57" t="e">
        <f>Year_2032!AS60/Year_2025!AS60</f>
        <v>#DIV/0!</v>
      </c>
      <c r="AT57" t="e">
        <f>Year_2032!AT60/Year_2025!AT60</f>
        <v>#DIV/0!</v>
      </c>
      <c r="AU57" t="e">
        <f>Year_2032!AU60/Year_2025!AU60</f>
        <v>#DIV/0!</v>
      </c>
      <c r="AV57" t="e">
        <f>Year_2032!AV60/Year_2025!AV60</f>
        <v>#DIV/0!</v>
      </c>
      <c r="AW57" t="e">
        <f>Year_2032!AW60/Year_2025!AW60</f>
        <v>#DIV/0!</v>
      </c>
      <c r="AX57" t="e">
        <f>Year_2032!AX60/Year_2025!AX60</f>
        <v>#DIV/0!</v>
      </c>
    </row>
    <row r="58" spans="2:50" x14ac:dyDescent="0.3">
      <c r="B58" t="str">
        <f>Year_2032!B61</f>
        <v>Revenue Per Period Medium A</v>
      </c>
      <c r="C58" t="e">
        <f>Year_2032!C61/Year_2025!C61</f>
        <v>#DIV/0!</v>
      </c>
      <c r="D58" t="e">
        <f>Year_2032!D61/Year_2025!D61</f>
        <v>#DIV/0!</v>
      </c>
      <c r="E58" t="e">
        <f>Year_2032!E61/Year_2025!E61</f>
        <v>#DIV/0!</v>
      </c>
      <c r="F58" t="e">
        <f>Year_2032!F61/Year_2025!F61</f>
        <v>#DIV/0!</v>
      </c>
      <c r="G58" t="e">
        <f>Year_2032!G61/Year_2025!G61</f>
        <v>#DIV/0!</v>
      </c>
      <c r="H58" t="e">
        <f>Year_2032!H61/Year_2025!H61</f>
        <v>#DIV/0!</v>
      </c>
      <c r="I58" t="e">
        <f>Year_2032!I61/Year_2025!I61</f>
        <v>#DIV/0!</v>
      </c>
      <c r="J58" t="e">
        <f>Year_2032!J61/Year_2025!J61</f>
        <v>#DIV/0!</v>
      </c>
      <c r="K58" t="e">
        <f>Year_2032!K61/Year_2025!K61</f>
        <v>#DIV/0!</v>
      </c>
      <c r="L58" t="e">
        <f>Year_2032!L61/Year_2025!L61</f>
        <v>#DIV/0!</v>
      </c>
      <c r="M58" t="e">
        <f>Year_2032!M61/Year_2025!M61</f>
        <v>#DIV/0!</v>
      </c>
      <c r="N58" t="str">
        <f>Year_2032!N61</f>
        <v>ML Speed</v>
      </c>
      <c r="O58" t="e">
        <f>Year_2032!O61/Year_2025!O61</f>
        <v>#DIV/0!</v>
      </c>
      <c r="P58" t="e">
        <f>Year_2032!P61/Year_2025!P61</f>
        <v>#DIV/0!</v>
      </c>
      <c r="Q58" t="e">
        <f>Year_2032!Q61/Year_2025!Q61</f>
        <v>#DIV/0!</v>
      </c>
      <c r="R58" t="e">
        <f>Year_2032!R61/Year_2025!R61</f>
        <v>#DIV/0!</v>
      </c>
      <c r="S58" t="e">
        <f>Year_2032!S61/Year_2025!S61</f>
        <v>#DIV/0!</v>
      </c>
      <c r="T58" t="e">
        <f>Year_2032!T61/Year_2025!T61</f>
        <v>#DIV/0!</v>
      </c>
      <c r="U58" t="e">
        <f>Year_2032!U61/Year_2025!U61</f>
        <v>#DIV/0!</v>
      </c>
      <c r="V58" t="e">
        <f>Year_2032!V61/Year_2025!V61</f>
        <v>#DIV/0!</v>
      </c>
      <c r="W58" t="e">
        <f>Year_2032!W61/Year_2025!W61</f>
        <v>#DIV/0!</v>
      </c>
      <c r="X58" t="e">
        <f>Year_2032!X61/Year_2025!X61</f>
        <v>#DIV/0!</v>
      </c>
      <c r="Y58" t="e">
        <f>Year_2032!Y61/Year_2025!Y61</f>
        <v>#DIV/0!</v>
      </c>
      <c r="Z58" t="e">
        <f>Year_2032!Z61/Year_2025!Z61</f>
        <v>#DIV/0!</v>
      </c>
      <c r="AA58" t="e">
        <f>Year_2032!AA61/Year_2025!AA61</f>
        <v>#VALUE!</v>
      </c>
      <c r="AB58" t="e">
        <f>Year_2032!AB61/Year_2025!AB61</f>
        <v>#DIV/0!</v>
      </c>
      <c r="AC58" t="e">
        <f>Year_2032!AC61/Year_2025!AC61</f>
        <v>#DIV/0!</v>
      </c>
      <c r="AD58" t="e">
        <f>Year_2032!AD61/Year_2025!AD61</f>
        <v>#DIV/0!</v>
      </c>
      <c r="AE58" t="e">
        <f>Year_2032!AE61/Year_2025!AE61</f>
        <v>#DIV/0!</v>
      </c>
      <c r="AF58" t="e">
        <f>Year_2032!AF61/Year_2025!AF61</f>
        <v>#DIV/0!</v>
      </c>
      <c r="AG58" t="e">
        <f>Year_2032!AG61/Year_2025!AG61</f>
        <v>#DIV/0!</v>
      </c>
      <c r="AH58" t="e">
        <f>Year_2032!AH61/Year_2025!AH61</f>
        <v>#DIV/0!</v>
      </c>
      <c r="AI58" t="e">
        <f>Year_2032!AI61/Year_2025!AI61</f>
        <v>#DIV/0!</v>
      </c>
      <c r="AJ58" t="e">
        <f>Year_2032!AJ61/Year_2025!AJ61</f>
        <v>#DIV/0!</v>
      </c>
      <c r="AK58" t="e">
        <f>Year_2032!AK61/Year_2025!AK61</f>
        <v>#DIV/0!</v>
      </c>
      <c r="AL58" t="e">
        <f>Year_2032!AL61/Year_2025!AL61</f>
        <v>#DIV/0!</v>
      </c>
      <c r="AM58" t="e">
        <f>Year_2032!AM61/Year_2025!AM61</f>
        <v>#DIV/0!</v>
      </c>
      <c r="AN58" t="e">
        <f>Year_2032!AN61/Year_2025!AN61</f>
        <v>#VALUE!</v>
      </c>
      <c r="AO58" t="e">
        <f>Year_2032!AO61/Year_2025!AO61</f>
        <v>#DIV/0!</v>
      </c>
      <c r="AP58" t="e">
        <f>Year_2032!AP61/Year_2025!AP61</f>
        <v>#DIV/0!</v>
      </c>
      <c r="AQ58" t="e">
        <f>Year_2032!AQ61/Year_2025!AQ61</f>
        <v>#DIV/0!</v>
      </c>
      <c r="AR58" t="e">
        <f>Year_2032!AR61/Year_2025!AR61</f>
        <v>#DIV/0!</v>
      </c>
      <c r="AS58" t="e">
        <f>Year_2032!AS61/Year_2025!AS61</f>
        <v>#DIV/0!</v>
      </c>
      <c r="AT58" t="e">
        <f>Year_2032!AT61/Year_2025!AT61</f>
        <v>#DIV/0!</v>
      </c>
      <c r="AU58" t="e">
        <f>Year_2032!AU61/Year_2025!AU61</f>
        <v>#DIV/0!</v>
      </c>
      <c r="AV58" t="e">
        <f>Year_2032!AV61/Year_2025!AV61</f>
        <v>#DIV/0!</v>
      </c>
      <c r="AW58" t="e">
        <f>Year_2032!AW61/Year_2025!AW61</f>
        <v>#DIV/0!</v>
      </c>
      <c r="AX58" t="e">
        <f>Year_2032!AX61/Year_2025!AX61</f>
        <v>#DIV/0!</v>
      </c>
    </row>
    <row r="59" spans="2:50" x14ac:dyDescent="0.3">
      <c r="B59" t="str">
        <f>Year_2032!B62</f>
        <v>Direction</v>
      </c>
      <c r="C59" t="e">
        <f>Year_2032!C62/Year_2025!C62</f>
        <v>#VALUE!</v>
      </c>
      <c r="D59" t="e">
        <f>Year_2032!D62/Year_2025!D62</f>
        <v>#VALUE!</v>
      </c>
      <c r="E59" t="e">
        <f>Year_2032!E62/Year_2025!E62</f>
        <v>#VALUE!</v>
      </c>
      <c r="F59" t="e">
        <f>Year_2032!F62/Year_2025!F62</f>
        <v>#VALUE!</v>
      </c>
      <c r="G59" t="e">
        <f>Year_2032!G62/Year_2025!G62</f>
        <v>#VALUE!</v>
      </c>
      <c r="H59" t="e">
        <f>Year_2032!H62/Year_2025!H62</f>
        <v>#VALUE!</v>
      </c>
      <c r="I59" t="e">
        <f>Year_2032!I62/Year_2025!I62</f>
        <v>#VALUE!</v>
      </c>
      <c r="J59" t="e">
        <f>Year_2032!J62/Year_2025!J62</f>
        <v>#VALUE!</v>
      </c>
      <c r="K59" t="e">
        <f>Year_2032!K62/Year_2025!K62</f>
        <v>#VALUE!</v>
      </c>
      <c r="L59" t="e">
        <f>Year_2032!L62/Year_2025!L62</f>
        <v>#VALUE!</v>
      </c>
      <c r="M59" t="e">
        <f>Year_2032!M62/Year_2025!M62</f>
        <v>#DIV/0!</v>
      </c>
      <c r="N59" t="str">
        <f>Year_2032!N62</f>
        <v>Direction</v>
      </c>
      <c r="O59" t="e">
        <f>Year_2032!O62/Year_2025!O62</f>
        <v>#VALUE!</v>
      </c>
      <c r="P59" t="e">
        <f>Year_2032!P62/Year_2025!P62</f>
        <v>#VALUE!</v>
      </c>
      <c r="Q59" t="e">
        <f>Year_2032!Q62/Year_2025!Q62</f>
        <v>#VALUE!</v>
      </c>
      <c r="R59" t="e">
        <f>Year_2032!R62/Year_2025!R62</f>
        <v>#VALUE!</v>
      </c>
      <c r="S59" t="e">
        <f>Year_2032!S62/Year_2025!S62</f>
        <v>#VALUE!</v>
      </c>
      <c r="T59" t="e">
        <f>Year_2032!T62/Year_2025!T62</f>
        <v>#VALUE!</v>
      </c>
      <c r="U59" t="e">
        <f>Year_2032!U62/Year_2025!U62</f>
        <v>#VALUE!</v>
      </c>
      <c r="V59" t="e">
        <f>Year_2032!V62/Year_2025!V62</f>
        <v>#VALUE!</v>
      </c>
      <c r="W59" t="e">
        <f>Year_2032!W62/Year_2025!W62</f>
        <v>#VALUE!</v>
      </c>
      <c r="X59" t="e">
        <f>Year_2032!X62/Year_2025!X62</f>
        <v>#VALUE!</v>
      </c>
      <c r="Y59" t="e">
        <f>Year_2032!Y62/Year_2025!Y62</f>
        <v>#DIV/0!</v>
      </c>
      <c r="Z59" t="e">
        <f>Year_2032!Z62/Year_2025!Z62</f>
        <v>#DIV/0!</v>
      </c>
      <c r="AA59" t="e">
        <f>Year_2032!AA62/Year_2025!AA62</f>
        <v>#VALUE!</v>
      </c>
      <c r="AB59" t="e">
        <f>Year_2032!AB62/Year_2025!AB62</f>
        <v>#VALUE!</v>
      </c>
      <c r="AC59" t="e">
        <f>Year_2032!AC62/Year_2025!AC62</f>
        <v>#VALUE!</v>
      </c>
      <c r="AD59" t="e">
        <f>Year_2032!AD62/Year_2025!AD62</f>
        <v>#VALUE!</v>
      </c>
      <c r="AE59" t="e">
        <f>Year_2032!AE62/Year_2025!AE62</f>
        <v>#VALUE!</v>
      </c>
      <c r="AF59" t="e">
        <f>Year_2032!AF62/Year_2025!AF62</f>
        <v>#VALUE!</v>
      </c>
      <c r="AG59" t="e">
        <f>Year_2032!AG62/Year_2025!AG62</f>
        <v>#VALUE!</v>
      </c>
      <c r="AH59" t="e">
        <f>Year_2032!AH62/Year_2025!AH62</f>
        <v>#VALUE!</v>
      </c>
      <c r="AI59" t="e">
        <f>Year_2032!AI62/Year_2025!AI62</f>
        <v>#VALUE!</v>
      </c>
      <c r="AJ59" t="e">
        <f>Year_2032!AJ62/Year_2025!AJ62</f>
        <v>#VALUE!</v>
      </c>
      <c r="AK59" t="e">
        <f>Year_2032!AK62/Year_2025!AK62</f>
        <v>#VALUE!</v>
      </c>
      <c r="AL59" t="e">
        <f>Year_2032!AL62/Year_2025!AL62</f>
        <v>#DIV/0!</v>
      </c>
      <c r="AM59" t="e">
        <f>Year_2032!AM62/Year_2025!AM62</f>
        <v>#DIV/0!</v>
      </c>
      <c r="AN59" t="e">
        <f>Year_2032!AN62/Year_2025!AN62</f>
        <v>#VALUE!</v>
      </c>
      <c r="AO59" t="e">
        <f>Year_2032!AO62/Year_2025!AO62</f>
        <v>#VALUE!</v>
      </c>
      <c r="AP59" t="e">
        <f>Year_2032!AP62/Year_2025!AP62</f>
        <v>#VALUE!</v>
      </c>
      <c r="AQ59" t="e">
        <f>Year_2032!AQ62/Year_2025!AQ62</f>
        <v>#VALUE!</v>
      </c>
      <c r="AR59" t="e">
        <f>Year_2032!AR62/Year_2025!AR62</f>
        <v>#VALUE!</v>
      </c>
      <c r="AS59" t="e">
        <f>Year_2032!AS62/Year_2025!AS62</f>
        <v>#VALUE!</v>
      </c>
      <c r="AT59" t="e">
        <f>Year_2032!AT62/Year_2025!AT62</f>
        <v>#VALUE!</v>
      </c>
      <c r="AU59" t="e">
        <f>Year_2032!AU62/Year_2025!AU62</f>
        <v>#VALUE!</v>
      </c>
      <c r="AV59" t="e">
        <f>Year_2032!AV62/Year_2025!AV62</f>
        <v>#VALUE!</v>
      </c>
      <c r="AW59" t="e">
        <f>Year_2032!AW62/Year_2025!AW62</f>
        <v>#VALUE!</v>
      </c>
      <c r="AX59" t="e">
        <f>Year_2032!AX62/Year_2025!AX62</f>
        <v>#VALUE!</v>
      </c>
    </row>
    <row r="60" spans="2:50" x14ac:dyDescent="0.3">
      <c r="B60" t="str">
        <f>Year_2032!B63</f>
        <v>Segment</v>
      </c>
      <c r="C60">
        <f>Year_2032!C63/Year_2025!C63</f>
        <v>1</v>
      </c>
      <c r="D60">
        <f>Year_2032!D63/Year_2025!D63</f>
        <v>1</v>
      </c>
      <c r="E60">
        <f>Year_2032!E63/Year_2025!E63</f>
        <v>1</v>
      </c>
      <c r="F60">
        <f>Year_2032!F63/Year_2025!F63</f>
        <v>1</v>
      </c>
      <c r="G60">
        <f>Year_2032!G63/Year_2025!G63</f>
        <v>1</v>
      </c>
      <c r="H60">
        <f>Year_2032!H63/Year_2025!H63</f>
        <v>1</v>
      </c>
      <c r="I60">
        <f>Year_2032!I63/Year_2025!I63</f>
        <v>1</v>
      </c>
      <c r="J60">
        <f>Year_2032!J63/Year_2025!J63</f>
        <v>1</v>
      </c>
      <c r="K60">
        <f>Year_2032!K63/Year_2025!K63</f>
        <v>1</v>
      </c>
      <c r="L60">
        <f>Year_2032!L63/Year_2025!L63</f>
        <v>1</v>
      </c>
      <c r="M60" t="e">
        <f>Year_2032!M63/Year_2025!M63</f>
        <v>#DIV/0!</v>
      </c>
      <c r="N60" t="str">
        <f>Year_2032!N63</f>
        <v>Segment</v>
      </c>
      <c r="O60">
        <f>Year_2032!O63/Year_2025!O63</f>
        <v>1</v>
      </c>
      <c r="P60">
        <f>Year_2032!P63/Year_2025!P63</f>
        <v>1</v>
      </c>
      <c r="Q60">
        <f>Year_2032!Q63/Year_2025!Q63</f>
        <v>1</v>
      </c>
      <c r="R60">
        <f>Year_2032!R63/Year_2025!R63</f>
        <v>1</v>
      </c>
      <c r="S60">
        <f>Year_2032!S63/Year_2025!S63</f>
        <v>1</v>
      </c>
      <c r="T60">
        <f>Year_2032!T63/Year_2025!T63</f>
        <v>1</v>
      </c>
      <c r="U60">
        <f>Year_2032!U63/Year_2025!U63</f>
        <v>1</v>
      </c>
      <c r="V60">
        <f>Year_2032!V63/Year_2025!V63</f>
        <v>1</v>
      </c>
      <c r="W60">
        <f>Year_2032!W63/Year_2025!W63</f>
        <v>1</v>
      </c>
      <c r="X60">
        <f>Year_2032!X63/Year_2025!X63</f>
        <v>1</v>
      </c>
      <c r="Y60" t="e">
        <f>Year_2032!Y63/Year_2025!Y63</f>
        <v>#DIV/0!</v>
      </c>
      <c r="Z60" t="e">
        <f>Year_2032!Z63/Year_2025!Z63</f>
        <v>#DIV/0!</v>
      </c>
      <c r="AA60" t="e">
        <f>Year_2032!AA63/Year_2025!AA63</f>
        <v>#VALUE!</v>
      </c>
      <c r="AB60">
        <f>Year_2032!AB63/Year_2025!AB63</f>
        <v>1</v>
      </c>
      <c r="AC60">
        <f>Year_2032!AC63/Year_2025!AC63</f>
        <v>1</v>
      </c>
      <c r="AD60">
        <f>Year_2032!AD63/Year_2025!AD63</f>
        <v>1</v>
      </c>
      <c r="AE60">
        <f>Year_2032!AE63/Year_2025!AE63</f>
        <v>1</v>
      </c>
      <c r="AF60">
        <f>Year_2032!AF63/Year_2025!AF63</f>
        <v>1</v>
      </c>
      <c r="AG60">
        <f>Year_2032!AG63/Year_2025!AG63</f>
        <v>1</v>
      </c>
      <c r="AH60">
        <f>Year_2032!AH63/Year_2025!AH63</f>
        <v>1</v>
      </c>
      <c r="AI60">
        <f>Year_2032!AI63/Year_2025!AI63</f>
        <v>1</v>
      </c>
      <c r="AJ60">
        <f>Year_2032!AJ63/Year_2025!AJ63</f>
        <v>1</v>
      </c>
      <c r="AK60">
        <f>Year_2032!AK63/Year_2025!AK63</f>
        <v>1</v>
      </c>
      <c r="AL60" t="e">
        <f>Year_2032!AL63/Year_2025!AL63</f>
        <v>#DIV/0!</v>
      </c>
      <c r="AM60" t="e">
        <f>Year_2032!AM63/Year_2025!AM63</f>
        <v>#DIV/0!</v>
      </c>
      <c r="AN60" t="e">
        <f>Year_2032!AN63/Year_2025!AN63</f>
        <v>#VALUE!</v>
      </c>
      <c r="AO60">
        <f>Year_2032!AO63/Year_2025!AO63</f>
        <v>1</v>
      </c>
      <c r="AP60">
        <f>Year_2032!AP63/Year_2025!AP63</f>
        <v>1</v>
      </c>
      <c r="AQ60">
        <f>Year_2032!AQ63/Year_2025!AQ63</f>
        <v>1</v>
      </c>
      <c r="AR60">
        <f>Year_2032!AR63/Year_2025!AR63</f>
        <v>1</v>
      </c>
      <c r="AS60">
        <f>Year_2032!AS63/Year_2025!AS63</f>
        <v>1</v>
      </c>
      <c r="AT60">
        <f>Year_2032!AT63/Year_2025!AT63</f>
        <v>1</v>
      </c>
      <c r="AU60">
        <f>Year_2032!AU63/Year_2025!AU63</f>
        <v>1</v>
      </c>
      <c r="AV60">
        <f>Year_2032!AV63/Year_2025!AV63</f>
        <v>1</v>
      </c>
      <c r="AW60">
        <f>Year_2032!AW63/Year_2025!AW63</f>
        <v>1</v>
      </c>
      <c r="AX60">
        <f>Year_2032!AX63/Year_2025!AX63</f>
        <v>1</v>
      </c>
    </row>
    <row r="61" spans="2:50" x14ac:dyDescent="0.3">
      <c r="B61" t="str">
        <f>Year_2032!B64</f>
        <v>Period</v>
      </c>
      <c r="C61" t="e">
        <f>Year_2032!C64/Year_2025!C64</f>
        <v>#DIV/0!</v>
      </c>
      <c r="D61" t="e">
        <f>Year_2032!D64/Year_2025!D64</f>
        <v>#DIV/0!</v>
      </c>
      <c r="E61" t="e">
        <f>Year_2032!E64/Year_2025!E64</f>
        <v>#DIV/0!</v>
      </c>
      <c r="F61" t="e">
        <f>Year_2032!F64/Year_2025!F64</f>
        <v>#DIV/0!</v>
      </c>
      <c r="G61" t="e">
        <f>Year_2032!G64/Year_2025!G64</f>
        <v>#DIV/0!</v>
      </c>
      <c r="H61" t="e">
        <f>Year_2032!H64/Year_2025!H64</f>
        <v>#DIV/0!</v>
      </c>
      <c r="I61" t="e">
        <f>Year_2032!I64/Year_2025!I64</f>
        <v>#DIV/0!</v>
      </c>
      <c r="J61" t="e">
        <f>Year_2032!J64/Year_2025!J64</f>
        <v>#DIV/0!</v>
      </c>
      <c r="K61" t="e">
        <f>Year_2032!K64/Year_2025!K64</f>
        <v>#DIV/0!</v>
      </c>
      <c r="L61" t="e">
        <f>Year_2032!L64/Year_2025!L64</f>
        <v>#DIV/0!</v>
      </c>
      <c r="M61" t="e">
        <f>Year_2032!M64/Year_2025!M64</f>
        <v>#DIV/0!</v>
      </c>
      <c r="N61" t="str">
        <f>Year_2032!N64</f>
        <v>Period</v>
      </c>
      <c r="O61" t="e">
        <f>Year_2032!O64/Year_2025!O64</f>
        <v>#DIV/0!</v>
      </c>
      <c r="P61" t="e">
        <f>Year_2032!P64/Year_2025!P64</f>
        <v>#DIV/0!</v>
      </c>
      <c r="Q61" t="e">
        <f>Year_2032!Q64/Year_2025!Q64</f>
        <v>#DIV/0!</v>
      </c>
      <c r="R61" t="e">
        <f>Year_2032!R64/Year_2025!R64</f>
        <v>#DIV/0!</v>
      </c>
      <c r="S61" t="e">
        <f>Year_2032!S64/Year_2025!S64</f>
        <v>#DIV/0!</v>
      </c>
      <c r="T61" t="e">
        <f>Year_2032!T64/Year_2025!T64</f>
        <v>#DIV/0!</v>
      </c>
      <c r="U61" t="e">
        <f>Year_2032!U64/Year_2025!U64</f>
        <v>#DIV/0!</v>
      </c>
      <c r="V61" t="e">
        <f>Year_2032!V64/Year_2025!V64</f>
        <v>#DIV/0!</v>
      </c>
      <c r="W61" t="e">
        <f>Year_2032!W64/Year_2025!W64</f>
        <v>#DIV/0!</v>
      </c>
      <c r="X61" t="e">
        <f>Year_2032!X64/Year_2025!X64</f>
        <v>#DIV/0!</v>
      </c>
      <c r="Y61" t="e">
        <f>Year_2032!Y64/Year_2025!Y64</f>
        <v>#DIV/0!</v>
      </c>
      <c r="Z61" t="e">
        <f>Year_2032!Z64/Year_2025!Z64</f>
        <v>#DIV/0!</v>
      </c>
      <c r="AA61" t="e">
        <f>Year_2032!AA64/Year_2025!AA64</f>
        <v>#VALUE!</v>
      </c>
      <c r="AB61" t="e">
        <f>Year_2032!AB64/Year_2025!AB64</f>
        <v>#DIV/0!</v>
      </c>
      <c r="AC61" t="e">
        <f>Year_2032!AC64/Year_2025!AC64</f>
        <v>#DIV/0!</v>
      </c>
      <c r="AD61" t="e">
        <f>Year_2032!AD64/Year_2025!AD64</f>
        <v>#DIV/0!</v>
      </c>
      <c r="AE61" t="e">
        <f>Year_2032!AE64/Year_2025!AE64</f>
        <v>#DIV/0!</v>
      </c>
      <c r="AF61" t="e">
        <f>Year_2032!AF64/Year_2025!AF64</f>
        <v>#DIV/0!</v>
      </c>
      <c r="AG61" t="e">
        <f>Year_2032!AG64/Year_2025!AG64</f>
        <v>#DIV/0!</v>
      </c>
      <c r="AH61" t="e">
        <f>Year_2032!AH64/Year_2025!AH64</f>
        <v>#DIV/0!</v>
      </c>
      <c r="AI61" t="e">
        <f>Year_2032!AI64/Year_2025!AI64</f>
        <v>#DIV/0!</v>
      </c>
      <c r="AJ61" t="e">
        <f>Year_2032!AJ64/Year_2025!AJ64</f>
        <v>#DIV/0!</v>
      </c>
      <c r="AK61" t="e">
        <f>Year_2032!AK64/Year_2025!AK64</f>
        <v>#DIV/0!</v>
      </c>
      <c r="AL61" t="e">
        <f>Year_2032!AL64/Year_2025!AL64</f>
        <v>#DIV/0!</v>
      </c>
      <c r="AM61" t="e">
        <f>Year_2032!AM64/Year_2025!AM64</f>
        <v>#DIV/0!</v>
      </c>
      <c r="AN61" t="e">
        <f>Year_2032!AN64/Year_2025!AN64</f>
        <v>#VALUE!</v>
      </c>
      <c r="AO61" t="e">
        <f>Year_2032!AO64/Year_2025!AO64</f>
        <v>#DIV/0!</v>
      </c>
      <c r="AP61" t="e">
        <f>Year_2032!AP64/Year_2025!AP64</f>
        <v>#DIV/0!</v>
      </c>
      <c r="AQ61" t="e">
        <f>Year_2032!AQ64/Year_2025!AQ64</f>
        <v>#DIV/0!</v>
      </c>
      <c r="AR61" t="e">
        <f>Year_2032!AR64/Year_2025!AR64</f>
        <v>#DIV/0!</v>
      </c>
      <c r="AS61" t="e">
        <f>Year_2032!AS64/Year_2025!AS64</f>
        <v>#DIV/0!</v>
      </c>
      <c r="AT61" t="e">
        <f>Year_2032!AT64/Year_2025!AT64</f>
        <v>#DIV/0!</v>
      </c>
      <c r="AU61" t="e">
        <f>Year_2032!AU64/Year_2025!AU64</f>
        <v>#DIV/0!</v>
      </c>
      <c r="AV61" t="e">
        <f>Year_2032!AV64/Year_2025!AV64</f>
        <v>#DIV/0!</v>
      </c>
      <c r="AW61" t="e">
        <f>Year_2032!AW64/Year_2025!AW64</f>
        <v>#DIV/0!</v>
      </c>
      <c r="AX61" t="e">
        <f>Year_2032!AX64/Year_2025!AX64</f>
        <v>#DIV/0!</v>
      </c>
    </row>
    <row r="62" spans="2:50" x14ac:dyDescent="0.3">
      <c r="B62" t="str">
        <f>Year_2032!B65</f>
        <v>Night</v>
      </c>
      <c r="C62">
        <f>Year_2032!C65/Year_2025!C65</f>
        <v>1.954807692307692</v>
      </c>
      <c r="D62">
        <f>Year_2032!D65/Year_2025!D65</f>
        <v>1.6861313868613137</v>
      </c>
      <c r="E62">
        <f>Year_2032!E65/Year_2025!E65</f>
        <v>1.5231449965963242</v>
      </c>
      <c r="F62">
        <f>Year_2032!F65/Year_2025!F65</f>
        <v>1.2019867549668874</v>
      </c>
      <c r="G62">
        <f>Year_2032!G65/Year_2025!G65</f>
        <v>1.3234515616728428</v>
      </c>
      <c r="H62">
        <f>Year_2032!H65/Year_2025!H65</f>
        <v>1.3414763674986725</v>
      </c>
      <c r="I62">
        <f>Year_2032!I65/Year_2025!I65</f>
        <v>1.2124505928853755</v>
      </c>
      <c r="J62">
        <f>Year_2032!J65/Year_2025!J65</f>
        <v>1.2122015915119364</v>
      </c>
      <c r="K62">
        <f>Year_2032!K65/Year_2025!K65</f>
        <v>0.97304884896125765</v>
      </c>
      <c r="L62">
        <f>Year_2032!L65/Year_2025!L65</f>
        <v>1.0018735362997657</v>
      </c>
      <c r="M62" t="e">
        <f>Year_2032!M65/Year_2025!M65</f>
        <v>#DIV/0!</v>
      </c>
      <c r="N62" t="str">
        <f>Year_2032!N65</f>
        <v>Night</v>
      </c>
      <c r="O62">
        <f>Year_2032!O65/Year_2025!O65</f>
        <v>1</v>
      </c>
      <c r="P62">
        <f>Year_2032!P65/Year_2025!P65</f>
        <v>1</v>
      </c>
      <c r="Q62">
        <f>Year_2032!Q65/Year_2025!Q65</f>
        <v>1</v>
      </c>
      <c r="R62">
        <f>Year_2032!R65/Year_2025!R65</f>
        <v>1</v>
      </c>
      <c r="S62">
        <f>Year_2032!S65/Year_2025!S65</f>
        <v>1</v>
      </c>
      <c r="T62">
        <f>Year_2032!T65/Year_2025!T65</f>
        <v>1</v>
      </c>
      <c r="U62">
        <f>Year_2032!U65/Year_2025!U65</f>
        <v>1</v>
      </c>
      <c r="V62">
        <f>Year_2032!V65/Year_2025!V65</f>
        <v>1</v>
      </c>
      <c r="W62">
        <f>Year_2032!W65/Year_2025!W65</f>
        <v>1</v>
      </c>
      <c r="X62">
        <f>Year_2032!X65/Year_2025!X65</f>
        <v>1</v>
      </c>
      <c r="Y62" t="e">
        <f>Year_2032!Y65/Year_2025!Y65</f>
        <v>#DIV/0!</v>
      </c>
      <c r="Z62" t="e">
        <f>Year_2032!Z65/Year_2025!Z65</f>
        <v>#DIV/0!</v>
      </c>
      <c r="AA62" t="e">
        <f>Year_2032!AA65/Year_2025!AA65</f>
        <v>#VALUE!</v>
      </c>
      <c r="AB62">
        <f>Year_2032!AB65/Year_2025!AB65</f>
        <v>0.99933299983324997</v>
      </c>
      <c r="AC62">
        <f>Year_2032!AC65/Year_2025!AC65</f>
        <v>0.9994997498749375</v>
      </c>
      <c r="AD62">
        <f>Year_2032!AD65/Year_2025!AD65</f>
        <v>0.99949983327775938</v>
      </c>
      <c r="AE62">
        <f>Year_2032!AE65/Year_2025!AE65</f>
        <v>0.99983333333333335</v>
      </c>
      <c r="AF62">
        <f>Year_2032!AF65/Year_2025!AF65</f>
        <v>1</v>
      </c>
      <c r="AG62">
        <f>Year_2032!AG65/Year_2025!AG65</f>
        <v>1</v>
      </c>
      <c r="AH62">
        <f>Year_2032!AH65/Year_2025!AH65</f>
        <v>1</v>
      </c>
      <c r="AI62">
        <f>Year_2032!AI65/Year_2025!AI65</f>
        <v>1</v>
      </c>
      <c r="AJ62">
        <f>Year_2032!AJ65/Year_2025!AJ65</f>
        <v>1</v>
      </c>
      <c r="AK62">
        <f>Year_2032!AK65/Year_2025!AK65</f>
        <v>1</v>
      </c>
      <c r="AL62" t="e">
        <f>Year_2032!AL65/Year_2025!AL65</f>
        <v>#DIV/0!</v>
      </c>
      <c r="AM62" t="e">
        <f>Year_2032!AM65/Year_2025!AM65</f>
        <v>#DIV/0!</v>
      </c>
      <c r="AN62" t="e">
        <f>Year_2032!AN65/Year_2025!AN65</f>
        <v>#VALUE!</v>
      </c>
      <c r="AO62" t="e">
        <f>Year_2032!AO65/Year_2025!AO65</f>
        <v>#DIV/0!</v>
      </c>
      <c r="AP62" t="e">
        <f>Year_2032!AP65/Year_2025!AP65</f>
        <v>#DIV/0!</v>
      </c>
      <c r="AQ62" t="e">
        <f>Year_2032!AQ65/Year_2025!AQ65</f>
        <v>#DIV/0!</v>
      </c>
      <c r="AR62" t="e">
        <f>Year_2032!AR65/Year_2025!AR65</f>
        <v>#DIV/0!</v>
      </c>
      <c r="AS62">
        <f>Year_2032!AS65/Year_2025!AS65</f>
        <v>1</v>
      </c>
      <c r="AT62">
        <f>Year_2032!AT65/Year_2025!AT65</f>
        <v>1</v>
      </c>
      <c r="AU62" t="e">
        <f>Year_2032!AU65/Year_2025!AU65</f>
        <v>#DIV/0!</v>
      </c>
      <c r="AV62" t="e">
        <f>Year_2032!AV65/Year_2025!AV65</f>
        <v>#DIV/0!</v>
      </c>
      <c r="AW62">
        <f>Year_2032!AW65/Year_2025!AW65</f>
        <v>1</v>
      </c>
      <c r="AX62" t="e">
        <f>Year_2032!AX65/Year_2025!AX65</f>
        <v>#DIV/0!</v>
      </c>
    </row>
    <row r="63" spans="2:50" x14ac:dyDescent="0.3">
      <c r="B63" t="str">
        <f>Year_2032!B66</f>
        <v>AM-Early</v>
      </c>
      <c r="C63">
        <f>Year_2032!C66/Year_2025!C66</f>
        <v>2.0985606823431855</v>
      </c>
      <c r="D63">
        <f>Year_2032!D66/Year_2025!D66</f>
        <v>2.1584368373220237</v>
      </c>
      <c r="E63">
        <f>Year_2032!E66/Year_2025!E66</f>
        <v>2.4061690870201509</v>
      </c>
      <c r="F63">
        <f>Year_2032!F66/Year_2025!F66</f>
        <v>1.4583036350677121</v>
      </c>
      <c r="G63">
        <f>Year_2032!G66/Year_2025!G66</f>
        <v>2.7904714392616614</v>
      </c>
      <c r="H63">
        <f>Year_2032!H66/Year_2025!H66</f>
        <v>2.313837985956499</v>
      </c>
      <c r="I63">
        <f>Year_2032!I66/Year_2025!I66</f>
        <v>2.8192020852943305</v>
      </c>
      <c r="J63">
        <f>Year_2032!J66/Year_2025!J66</f>
        <v>1.2116886013830026</v>
      </c>
      <c r="K63">
        <f>Year_2032!K66/Year_2025!K66</f>
        <v>1.5303700507066567</v>
      </c>
      <c r="L63">
        <f>Year_2032!L66/Year_2025!L66</f>
        <v>1.3776169950738917</v>
      </c>
      <c r="M63" t="e">
        <f>Year_2032!M66/Year_2025!M66</f>
        <v>#DIV/0!</v>
      </c>
      <c r="N63" t="str">
        <f>Year_2032!N66</f>
        <v>AM-Early</v>
      </c>
      <c r="O63">
        <f>Year_2032!O66/Year_2025!O66</f>
        <v>0.99883274970818747</v>
      </c>
      <c r="P63">
        <f>Year_2032!P66/Year_2025!P66</f>
        <v>0.99983333333333335</v>
      </c>
      <c r="Q63">
        <f>Year_2032!Q66/Year_2025!Q66</f>
        <v>0.99766394126480895</v>
      </c>
      <c r="R63">
        <f>Year_2032!R66/Year_2025!R66</f>
        <v>0.99983333333333335</v>
      </c>
      <c r="S63">
        <f>Year_2032!S66/Year_2025!S66</f>
        <v>0.99649240020043428</v>
      </c>
      <c r="T63">
        <f>Year_2032!T66/Year_2025!T66</f>
        <v>0.99983333333333335</v>
      </c>
      <c r="U63">
        <f>Year_2032!U66/Year_2025!U66</f>
        <v>0.99733021858835313</v>
      </c>
      <c r="V63">
        <f>Year_2032!V66/Year_2025!V66</f>
        <v>1</v>
      </c>
      <c r="W63">
        <f>Year_2032!W66/Year_2025!W66</f>
        <v>0.9991652754590985</v>
      </c>
      <c r="X63">
        <f>Year_2032!X66/Year_2025!X66</f>
        <v>1</v>
      </c>
      <c r="Y63" t="e">
        <f>Year_2032!Y66/Year_2025!Y66</f>
        <v>#DIV/0!</v>
      </c>
      <c r="Z63" t="e">
        <f>Year_2032!Z66/Year_2025!Z66</f>
        <v>#DIV/0!</v>
      </c>
      <c r="AA63" t="e">
        <f>Year_2032!AA66/Year_2025!AA66</f>
        <v>#VALUE!</v>
      </c>
      <c r="AB63">
        <f>Year_2032!AB66/Year_2025!AB66</f>
        <v>0.86500306811208838</v>
      </c>
      <c r="AC63">
        <f>Year_2032!AC66/Year_2025!AC66</f>
        <v>0.96469789545145967</v>
      </c>
      <c r="AD63">
        <f>Year_2032!AD66/Year_2025!AD66</f>
        <v>0.93533367822038282</v>
      </c>
      <c r="AE63">
        <f>Year_2032!AE66/Year_2025!AE66</f>
        <v>1.0152296157450795</v>
      </c>
      <c r="AF63">
        <f>Year_2032!AF66/Year_2025!AF66</f>
        <v>0.83033932135728539</v>
      </c>
      <c r="AG63">
        <f>Year_2032!AG66/Year_2025!AG66</f>
        <v>0.91170313986679352</v>
      </c>
      <c r="AH63">
        <f>Year_2032!AH66/Year_2025!AH66</f>
        <v>0.79973399201976059</v>
      </c>
      <c r="AI63">
        <f>Year_2032!AI66/Year_2025!AI66</f>
        <v>0.9989994997498749</v>
      </c>
      <c r="AJ63">
        <f>Year_2032!AJ66/Year_2025!AJ66</f>
        <v>0.96223839854413096</v>
      </c>
      <c r="AK63">
        <f>Year_2032!AK66/Year_2025!AK66</f>
        <v>1</v>
      </c>
      <c r="AL63" t="e">
        <f>Year_2032!AL66/Year_2025!AL66</f>
        <v>#DIV/0!</v>
      </c>
      <c r="AM63" t="e">
        <f>Year_2032!AM66/Year_2025!AM66</f>
        <v>#DIV/0!</v>
      </c>
      <c r="AN63" t="e">
        <f>Year_2032!AN66/Year_2025!AN66</f>
        <v>#VALUE!</v>
      </c>
      <c r="AO63">
        <f>Year_2032!AO66/Year_2025!AO66</f>
        <v>1.84</v>
      </c>
      <c r="AP63">
        <f>Year_2032!AP66/Year_2025!AP66</f>
        <v>3</v>
      </c>
      <c r="AQ63">
        <f>Year_2032!AQ66/Year_2025!AQ66</f>
        <v>3.25</v>
      </c>
      <c r="AR63">
        <f>Year_2032!AR66/Year_2025!AR66</f>
        <v>0.95049504950495045</v>
      </c>
      <c r="AS63">
        <f>Year_2032!AS66/Year_2025!AS66</f>
        <v>2.2181818181818178</v>
      </c>
      <c r="AT63">
        <f>Year_2032!AT66/Year_2025!AT66</f>
        <v>1.7749999999999999</v>
      </c>
      <c r="AU63">
        <f>Year_2032!AU66/Year_2025!AU66</f>
        <v>3.0217391304347823</v>
      </c>
      <c r="AV63" t="e">
        <f>Year_2032!AV66/Year_2025!AV66</f>
        <v>#DIV/0!</v>
      </c>
      <c r="AW63">
        <f>Year_2032!AW66/Year_2025!AW66</f>
        <v>1.1379310344827587</v>
      </c>
      <c r="AX63">
        <f>Year_2032!AX66/Year_2025!AX66</f>
        <v>1</v>
      </c>
    </row>
    <row r="64" spans="2:50" x14ac:dyDescent="0.3">
      <c r="B64" t="str">
        <f>Year_2032!B67</f>
        <v>AM-Peak</v>
      </c>
      <c r="C64">
        <f>Year_2032!C67/Year_2025!C67</f>
        <v>2.9536134924067055</v>
      </c>
      <c r="D64">
        <f>Year_2032!D67/Year_2025!D67</f>
        <v>2.0654948921883696</v>
      </c>
      <c r="E64">
        <f>Year_2032!E67/Year_2025!E67</f>
        <v>2.6112393674152172</v>
      </c>
      <c r="F64">
        <f>Year_2032!F67/Year_2025!F67</f>
        <v>1.4380378819787143</v>
      </c>
      <c r="G64">
        <f>Year_2032!G67/Year_2025!G67</f>
        <v>3.0624311398622486</v>
      </c>
      <c r="H64">
        <f>Year_2032!H67/Year_2025!H67</f>
        <v>2.3818852987613686</v>
      </c>
      <c r="I64">
        <f>Year_2032!I67/Year_2025!I67</f>
        <v>3.0449685711078684</v>
      </c>
      <c r="J64">
        <f>Year_2032!J67/Year_2025!J67</f>
        <v>2.1873558959156787</v>
      </c>
      <c r="K64">
        <f>Year_2032!K67/Year_2025!K67</f>
        <v>1.3774932055829381</v>
      </c>
      <c r="L64">
        <f>Year_2032!L67/Year_2025!L67</f>
        <v>1.2710660151575588</v>
      </c>
      <c r="M64" t="e">
        <f>Year_2032!M67/Year_2025!M67</f>
        <v>#DIV/0!</v>
      </c>
      <c r="N64" t="str">
        <f>Year_2032!N67</f>
        <v>AM-Peak</v>
      </c>
      <c r="O64">
        <f>Year_2032!O67/Year_2025!O67</f>
        <v>0.98471615720524019</v>
      </c>
      <c r="P64">
        <f>Year_2032!P67/Year_2025!P67</f>
        <v>0.99966666666666659</v>
      </c>
      <c r="Q64">
        <f>Year_2032!Q67/Year_2025!Q67</f>
        <v>0.99230125523012547</v>
      </c>
      <c r="R64">
        <f>Year_2032!R67/Year_2025!R67</f>
        <v>0.97843891024569618</v>
      </c>
      <c r="S64">
        <f>Year_2032!S67/Year_2025!S67</f>
        <v>0.96351714862138538</v>
      </c>
      <c r="T64">
        <f>Year_2032!T67/Year_2025!T67</f>
        <v>0.99833166499833181</v>
      </c>
      <c r="U64">
        <f>Year_2032!U67/Year_2025!U67</f>
        <v>0.99665551839464894</v>
      </c>
      <c r="V64">
        <f>Year_2032!V67/Year_2025!V67</f>
        <v>0.9989994997498749</v>
      </c>
      <c r="W64">
        <f>Year_2032!W67/Year_2025!W67</f>
        <v>1</v>
      </c>
      <c r="X64">
        <f>Year_2032!X67/Year_2025!X67</f>
        <v>0.99899916597164296</v>
      </c>
      <c r="Y64" t="e">
        <f>Year_2032!Y67/Year_2025!Y67</f>
        <v>#DIV/0!</v>
      </c>
      <c r="Z64" t="e">
        <f>Year_2032!Z67/Year_2025!Z67</f>
        <v>#DIV/0!</v>
      </c>
      <c r="AA64" t="e">
        <f>Year_2032!AA67/Year_2025!AA67</f>
        <v>#VALUE!</v>
      </c>
      <c r="AB64">
        <f>Year_2032!AB67/Year_2025!AB67</f>
        <v>0.63540417366274882</v>
      </c>
      <c r="AC64">
        <f>Year_2032!AC67/Year_2025!AC67</f>
        <v>0.92660063671736825</v>
      </c>
      <c r="AD64">
        <f>Year_2032!AD67/Year_2025!AD67</f>
        <v>0.83407079646017701</v>
      </c>
      <c r="AE64">
        <f>Year_2032!AE67/Year_2025!AE67</f>
        <v>0.92645161290322575</v>
      </c>
      <c r="AF64">
        <f>Year_2032!AF67/Year_2025!AF67</f>
        <v>0.65413723511604438</v>
      </c>
      <c r="AG64">
        <f>Year_2032!AG67/Year_2025!AG67</f>
        <v>0.89140880261387667</v>
      </c>
      <c r="AH64">
        <f>Year_2032!AH67/Year_2025!AH67</f>
        <v>0.69741922373501319</v>
      </c>
      <c r="AI64">
        <f>Year_2032!AI67/Year_2025!AI67</f>
        <v>0.98303376448849322</v>
      </c>
      <c r="AJ64">
        <f>Year_2032!AJ67/Year_2025!AJ67</f>
        <v>1</v>
      </c>
      <c r="AK64">
        <f>Year_2032!AK67/Year_2025!AK67</f>
        <v>1.0422727272727272</v>
      </c>
      <c r="AL64" t="e">
        <f>Year_2032!AL67/Year_2025!AL67</f>
        <v>#DIV/0!</v>
      </c>
      <c r="AM64" t="e">
        <f>Year_2032!AM67/Year_2025!AM67</f>
        <v>#DIV/0!</v>
      </c>
      <c r="AN64" t="e">
        <f>Year_2032!AN67/Year_2025!AN67</f>
        <v>#VALUE!</v>
      </c>
      <c r="AO64">
        <f>Year_2032!AO67/Year_2025!AO67</f>
        <v>2.8736842105263158</v>
      </c>
      <c r="AP64">
        <f>Year_2032!AP67/Year_2025!AP67</f>
        <v>2.4615384615384617</v>
      </c>
      <c r="AQ64">
        <f>Year_2032!AQ67/Year_2025!AQ67</f>
        <v>3.0384615384615383</v>
      </c>
      <c r="AR64">
        <f>Year_2032!AR67/Year_2025!AR67</f>
        <v>1.1911764705882353</v>
      </c>
      <c r="AS64">
        <f>Year_2032!AS67/Year_2025!AS67</f>
        <v>2.5177304964539009</v>
      </c>
      <c r="AT64">
        <f>Year_2032!AT67/Year_2025!AT67</f>
        <v>1.8837209302325584</v>
      </c>
      <c r="AU64">
        <f>Year_2032!AU67/Year_2025!AU67</f>
        <v>3.450704225352113</v>
      </c>
      <c r="AV64">
        <f>Year_2032!AV67/Year_2025!AV67</f>
        <v>4</v>
      </c>
      <c r="AW64">
        <f>Year_2032!AW67/Year_2025!AW67</f>
        <v>1</v>
      </c>
      <c r="AX64">
        <f>Year_2032!AX67/Year_2025!AX67</f>
        <v>0.86206896551724144</v>
      </c>
    </row>
    <row r="65" spans="2:50" x14ac:dyDescent="0.3">
      <c r="B65" t="str">
        <f>Year_2032!B68</f>
        <v>AM-Shoulder</v>
      </c>
      <c r="C65">
        <f>Year_2032!C68/Year_2025!C68</f>
        <v>1.7608936426062467</v>
      </c>
      <c r="D65">
        <f>Year_2032!D68/Year_2025!D68</f>
        <v>2.5116868998006887</v>
      </c>
      <c r="E65">
        <f>Year_2032!E68/Year_2025!E68</f>
        <v>2.6818115836841341</v>
      </c>
      <c r="F65">
        <f>Year_2032!F68/Year_2025!F68</f>
        <v>1.5201405520003139</v>
      </c>
      <c r="G65">
        <f>Year_2032!G68/Year_2025!G68</f>
        <v>2.5036809641567892</v>
      </c>
      <c r="H65">
        <f>Year_2032!H68/Year_2025!H68</f>
        <v>2.7328261028604874</v>
      </c>
      <c r="I65">
        <f>Year_2032!I68/Year_2025!I68</f>
        <v>2.482254800335653</v>
      </c>
      <c r="J65">
        <f>Year_2032!J68/Year_2025!J68</f>
        <v>2.1845678182551418</v>
      </c>
      <c r="K65">
        <f>Year_2032!K68/Year_2025!K68</f>
        <v>1.3771779491573837</v>
      </c>
      <c r="L65">
        <f>Year_2032!L68/Year_2025!L68</f>
        <v>1.3771512266569021</v>
      </c>
      <c r="M65" t="e">
        <f>Year_2032!M68/Year_2025!M68</f>
        <v>#DIV/0!</v>
      </c>
      <c r="N65" t="str">
        <f>Year_2032!N68</f>
        <v>AM-Shoulder</v>
      </c>
      <c r="O65">
        <f>Year_2032!O68/Year_2025!O68</f>
        <v>0.99749833222148099</v>
      </c>
      <c r="P65">
        <f>Year_2032!P68/Year_2025!P68</f>
        <v>1</v>
      </c>
      <c r="Q65">
        <f>Year_2032!Q68/Year_2025!Q68</f>
        <v>0.99682804674457437</v>
      </c>
      <c r="R65">
        <f>Year_2032!R68/Year_2025!R68</f>
        <v>0.99582568041409247</v>
      </c>
      <c r="S65">
        <f>Year_2032!S68/Year_2025!S68</f>
        <v>0.99715766594215016</v>
      </c>
      <c r="T65">
        <f>Year_2032!T68/Year_2025!T68</f>
        <v>0.99766355140186913</v>
      </c>
      <c r="U65">
        <f>Year_2032!U68/Year_2025!U68</f>
        <v>0.99799799799799804</v>
      </c>
      <c r="V65">
        <f>Year_2032!V68/Year_2025!V68</f>
        <v>0.99916638879626551</v>
      </c>
      <c r="W65">
        <f>Year_2032!W68/Year_2025!W68</f>
        <v>1</v>
      </c>
      <c r="X65">
        <f>Year_2032!X68/Year_2025!X68</f>
        <v>1</v>
      </c>
      <c r="Y65" t="e">
        <f>Year_2032!Y68/Year_2025!Y68</f>
        <v>#DIV/0!</v>
      </c>
      <c r="Z65" t="e">
        <f>Year_2032!Z68/Year_2025!Z68</f>
        <v>#DIV/0!</v>
      </c>
      <c r="AA65" t="e">
        <f>Year_2032!AA68/Year_2025!AA68</f>
        <v>#VALUE!</v>
      </c>
      <c r="AB65">
        <f>Year_2032!AB68/Year_2025!AB68</f>
        <v>0.91934026208766384</v>
      </c>
      <c r="AC65">
        <f>Year_2032!AC68/Year_2025!AC68</f>
        <v>0.84457478005865094</v>
      </c>
      <c r="AD65">
        <f>Year_2032!AD68/Year_2025!AD68</f>
        <v>0.85405307161032351</v>
      </c>
      <c r="AE65">
        <f>Year_2032!AE68/Year_2025!AE68</f>
        <v>0.97073052733430087</v>
      </c>
      <c r="AF65">
        <f>Year_2032!AF68/Year_2025!AF68</f>
        <v>0.79732739420935406</v>
      </c>
      <c r="AG65">
        <f>Year_2032!AG68/Year_2025!AG68</f>
        <v>0.82852564102564097</v>
      </c>
      <c r="AH65">
        <f>Year_2032!AH68/Year_2025!AH68</f>
        <v>0.92637400622191501</v>
      </c>
      <c r="AI65">
        <f>Year_2032!AI68/Year_2025!AI68</f>
        <v>0.98607849714860785</v>
      </c>
      <c r="AJ65">
        <f>Year_2032!AJ68/Year_2025!AJ68</f>
        <v>1</v>
      </c>
      <c r="AK65">
        <f>Year_2032!AK68/Year_2025!AK68</f>
        <v>1</v>
      </c>
      <c r="AL65" t="e">
        <f>Year_2032!AL68/Year_2025!AL68</f>
        <v>#DIV/0!</v>
      </c>
      <c r="AM65" t="e">
        <f>Year_2032!AM68/Year_2025!AM68</f>
        <v>#DIV/0!</v>
      </c>
      <c r="AN65" t="e">
        <f>Year_2032!AN68/Year_2025!AN68</f>
        <v>#VALUE!</v>
      </c>
      <c r="AO65">
        <f>Year_2032!AO68/Year_2025!AO68</f>
        <v>1.3333333333333333</v>
      </c>
      <c r="AP65">
        <f>Year_2032!AP68/Year_2025!AP68</f>
        <v>3</v>
      </c>
      <c r="AQ65">
        <f>Year_2032!AQ68/Year_2025!AQ68</f>
        <v>3.0909090909090913</v>
      </c>
      <c r="AR65">
        <f>Year_2032!AR68/Year_2025!AR68</f>
        <v>1.0892857142857142</v>
      </c>
      <c r="AS65">
        <f>Year_2032!AS68/Year_2025!AS68</f>
        <v>2.021505376344086</v>
      </c>
      <c r="AT65">
        <f>Year_2032!AT68/Year_2025!AT68</f>
        <v>2.2321428571428568</v>
      </c>
      <c r="AU65">
        <f>Year_2032!AU68/Year_2025!AU68</f>
        <v>3.166666666666667</v>
      </c>
      <c r="AV65">
        <f>Year_2032!AV68/Year_2025!AV68</f>
        <v>3</v>
      </c>
      <c r="AW65">
        <f>Year_2032!AW68/Year_2025!AW68</f>
        <v>1</v>
      </c>
      <c r="AX65">
        <f>Year_2032!AX68/Year_2025!AX68</f>
        <v>1</v>
      </c>
    </row>
    <row r="66" spans="2:50" x14ac:dyDescent="0.3">
      <c r="B66" t="str">
        <f>Year_2032!B69</f>
        <v>MD</v>
      </c>
      <c r="C66">
        <f>Year_2032!C69/Year_2025!C69</f>
        <v>1.7024443981302291</v>
      </c>
      <c r="D66">
        <f>Year_2032!D69/Year_2025!D69</f>
        <v>1.8410350448247759</v>
      </c>
      <c r="E66">
        <f>Year_2032!E69/Year_2025!E69</f>
        <v>2.6607625391638461</v>
      </c>
      <c r="F66">
        <f>Year_2032!F69/Year_2025!F69</f>
        <v>2.3141011326798542</v>
      </c>
      <c r="G66">
        <f>Year_2032!G69/Year_2025!G69</f>
        <v>2.4928655821139687</v>
      </c>
      <c r="H66">
        <f>Year_2032!H69/Year_2025!H69</f>
        <v>2.5679367361610348</v>
      </c>
      <c r="I66">
        <f>Year_2032!I69/Year_2025!I69</f>
        <v>2.1863823484567968</v>
      </c>
      <c r="J66">
        <f>Year_2032!J69/Year_2025!J69</f>
        <v>2.1807008743012757</v>
      </c>
      <c r="K66">
        <f>Year_2032!K69/Year_2025!K69</f>
        <v>1.3424635115230683</v>
      </c>
      <c r="L66">
        <f>Year_2032!L69/Year_2025!L69</f>
        <v>1.5387266893287164</v>
      </c>
      <c r="M66" t="e">
        <f>Year_2032!M69/Year_2025!M69</f>
        <v>#DIV/0!</v>
      </c>
      <c r="N66" t="str">
        <f>Year_2032!N69</f>
        <v>MD</v>
      </c>
      <c r="O66">
        <f>Year_2032!O69/Year_2025!O69</f>
        <v>0.99949999999999994</v>
      </c>
      <c r="P66">
        <f>Year_2032!P69/Year_2025!P69</f>
        <v>0.99916652775462567</v>
      </c>
      <c r="Q66">
        <f>Year_2032!Q69/Year_2025!Q69</f>
        <v>0.99866622207402467</v>
      </c>
      <c r="R66">
        <f>Year_2032!R69/Year_2025!R69</f>
        <v>0.99749916638879632</v>
      </c>
      <c r="S66">
        <f>Year_2032!S69/Year_2025!S69</f>
        <v>0.99933311103701239</v>
      </c>
      <c r="T66">
        <f>Year_2032!T69/Year_2025!T69</f>
        <v>0.99833194328607167</v>
      </c>
      <c r="U66">
        <f>Year_2032!U69/Year_2025!U69</f>
        <v>0.99983330555092509</v>
      </c>
      <c r="V66">
        <f>Year_2032!V69/Year_2025!V69</f>
        <v>0.99916638879626551</v>
      </c>
      <c r="W66">
        <f>Year_2032!W69/Year_2025!W69</f>
        <v>0.99949958298582153</v>
      </c>
      <c r="X66">
        <f>Year_2032!X69/Year_2025!X69</f>
        <v>0.99766511007338221</v>
      </c>
      <c r="Y66" t="e">
        <f>Year_2032!Y69/Year_2025!Y69</f>
        <v>#DIV/0!</v>
      </c>
      <c r="Z66" t="e">
        <f>Year_2032!Z69/Year_2025!Z69</f>
        <v>#DIV/0!</v>
      </c>
      <c r="AA66" t="e">
        <f>Year_2032!AA69/Year_2025!AA69</f>
        <v>#VALUE!</v>
      </c>
      <c r="AB66">
        <f>Year_2032!AB69/Year_2025!AB69</f>
        <v>0.94758246723904205</v>
      </c>
      <c r="AC66">
        <f>Year_2032!AC69/Year_2025!AC69</f>
        <v>0.91079607415485275</v>
      </c>
      <c r="AD66">
        <f>Year_2032!AD69/Year_2025!AD69</f>
        <v>0.80791505791505802</v>
      </c>
      <c r="AE66">
        <f>Year_2032!AE69/Year_2025!AE69</f>
        <v>0.83531583264971287</v>
      </c>
      <c r="AF66">
        <f>Year_2032!AF69/Year_2025!AF69</f>
        <v>0.87667508254029902</v>
      </c>
      <c r="AG66">
        <f>Year_2032!AG69/Year_2025!AG69</f>
        <v>0.87088607594936707</v>
      </c>
      <c r="AH66">
        <f>Year_2032!AH69/Year_2025!AH69</f>
        <v>0.97418592880040489</v>
      </c>
      <c r="AI66">
        <f>Year_2032!AI69/Year_2025!AI69</f>
        <v>0.98995479658463092</v>
      </c>
      <c r="AJ66">
        <f>Year_2032!AJ69/Year_2025!AJ69</f>
        <v>1.018412242945959</v>
      </c>
      <c r="AK66">
        <f>Year_2032!AK69/Year_2025!AK69</f>
        <v>0.97557436517533258</v>
      </c>
      <c r="AL66" t="e">
        <f>Year_2032!AL69/Year_2025!AL69</f>
        <v>#DIV/0!</v>
      </c>
      <c r="AM66" t="e">
        <f>Year_2032!AM69/Year_2025!AM69</f>
        <v>#DIV/0!</v>
      </c>
      <c r="AN66" t="e">
        <f>Year_2032!AN69/Year_2025!AN69</f>
        <v>#VALUE!</v>
      </c>
      <c r="AO66">
        <f>Year_2032!AO69/Year_2025!AO69</f>
        <v>1.2179487179487178</v>
      </c>
      <c r="AP66">
        <f>Year_2032!AP69/Year_2025!AP69</f>
        <v>1.4117647058823528</v>
      </c>
      <c r="AQ66">
        <f>Year_2032!AQ69/Year_2025!AQ69</f>
        <v>2.7692307692307692</v>
      </c>
      <c r="AR66">
        <f>Year_2032!AR69/Year_2025!AR69</f>
        <v>2.0344827586206895</v>
      </c>
      <c r="AS66">
        <f>Year_2032!AS69/Year_2025!AS69</f>
        <v>2</v>
      </c>
      <c r="AT66">
        <f>Year_2032!AT69/Year_2025!AT69</f>
        <v>2.021276595744681</v>
      </c>
      <c r="AU66">
        <f>Year_2032!AU69/Year_2025!AU69</f>
        <v>3.25</v>
      </c>
      <c r="AV66">
        <f>Year_2032!AV69/Year_2025!AV69</f>
        <v>4</v>
      </c>
      <c r="AW66">
        <f>Year_2032!AW69/Year_2025!AW69</f>
        <v>0.94285714285714295</v>
      </c>
      <c r="AX66">
        <f>Year_2032!AX69/Year_2025!AX69</f>
        <v>1.0833333333333335</v>
      </c>
    </row>
    <row r="67" spans="2:50" x14ac:dyDescent="0.3">
      <c r="B67" t="str">
        <f>Year_2032!B70</f>
        <v>PM-Shoulder</v>
      </c>
      <c r="C67">
        <f>Year_2032!C70/Year_2025!C70</f>
        <v>1.567151246750746</v>
      </c>
      <c r="D67">
        <f>Year_2032!D70/Year_2025!D70</f>
        <v>1.5705276197984122</v>
      </c>
      <c r="E67">
        <f>Year_2032!E70/Year_2025!E70</f>
        <v>2.9954818415784961</v>
      </c>
      <c r="F67">
        <f>Year_2032!F70/Year_2025!F70</f>
        <v>3.3795309168443497</v>
      </c>
      <c r="G67">
        <f>Year_2032!G70/Year_2025!G70</f>
        <v>2.9607969704793873</v>
      </c>
      <c r="H67">
        <f>Year_2032!H70/Year_2025!H70</f>
        <v>1.6913374201624034</v>
      </c>
      <c r="I67">
        <f>Year_2032!I70/Year_2025!I70</f>
        <v>2.5897109260166582</v>
      </c>
      <c r="J67">
        <f>Year_2032!J70/Year_2025!J70</f>
        <v>4.3631759069130736</v>
      </c>
      <c r="K67">
        <f>Year_2032!K70/Year_2025!K70</f>
        <v>1.5700681635926221</v>
      </c>
      <c r="L67">
        <f>Year_2032!L70/Year_2025!L70</f>
        <v>1.608084738434933</v>
      </c>
      <c r="M67" t="e">
        <f>Year_2032!M70/Year_2025!M70</f>
        <v>#DIV/0!</v>
      </c>
      <c r="N67" t="str">
        <f>Year_2032!N70</f>
        <v>PM-Shoulder</v>
      </c>
      <c r="O67">
        <f>Year_2032!O70/Year_2025!O70</f>
        <v>0.99933210886625479</v>
      </c>
      <c r="P67">
        <f>Year_2032!P70/Year_2025!P70</f>
        <v>0.99966627732354407</v>
      </c>
      <c r="Q67">
        <f>Year_2032!Q70/Year_2025!Q70</f>
        <v>0.99331103678929766</v>
      </c>
      <c r="R67">
        <f>Year_2032!R70/Year_2025!R70</f>
        <v>0.98309097057828876</v>
      </c>
      <c r="S67">
        <f>Year_2032!S70/Year_2025!S70</f>
        <v>0.99023897677549655</v>
      </c>
      <c r="T67">
        <f>Year_2032!T70/Year_2025!T70</f>
        <v>1.0031034482758621</v>
      </c>
      <c r="U67">
        <f>Year_2032!U70/Year_2025!U70</f>
        <v>0.99599131451478207</v>
      </c>
      <c r="V67">
        <f>Year_2032!V70/Year_2025!V70</f>
        <v>0.98302760157723312</v>
      </c>
      <c r="W67">
        <f>Year_2032!W70/Year_2025!W70</f>
        <v>0.99632230023403545</v>
      </c>
      <c r="X67">
        <f>Year_2032!X70/Year_2025!X70</f>
        <v>0.99933322220370058</v>
      </c>
      <c r="Y67" t="e">
        <f>Year_2032!Y70/Year_2025!Y70</f>
        <v>#DIV/0!</v>
      </c>
      <c r="Z67" t="e">
        <f>Year_2032!Z70/Year_2025!Z70</f>
        <v>#DIV/0!</v>
      </c>
      <c r="AA67" t="e">
        <f>Year_2032!AA70/Year_2025!AA70</f>
        <v>#VALUE!</v>
      </c>
      <c r="AB67">
        <f>Year_2032!AB70/Year_2025!AB70</f>
        <v>0.95787545787545791</v>
      </c>
      <c r="AC67">
        <f>Year_2032!AC70/Year_2025!AC70</f>
        <v>0.95683453237410088</v>
      </c>
      <c r="AD67">
        <f>Year_2032!AD70/Year_2025!AD70</f>
        <v>0.7793946449359721</v>
      </c>
      <c r="AE67">
        <f>Year_2032!AE70/Year_2025!AE70</f>
        <v>0.77991983202901316</v>
      </c>
      <c r="AF67">
        <f>Year_2032!AF70/Year_2025!AF70</f>
        <v>0.79841567646445688</v>
      </c>
      <c r="AG67">
        <f>Year_2032!AG70/Year_2025!AG70</f>
        <v>0.93768328445747795</v>
      </c>
      <c r="AH67">
        <f>Year_2032!AH70/Year_2025!AH70</f>
        <v>0.93644795602885611</v>
      </c>
      <c r="AI67">
        <f>Year_2032!AI70/Year_2025!AI70</f>
        <v>0.84656652360515028</v>
      </c>
      <c r="AJ67">
        <f>Year_2032!AJ70/Year_2025!AJ70</f>
        <v>0.96096385542168683</v>
      </c>
      <c r="AK67">
        <f>Year_2032!AK70/Year_2025!AK70</f>
        <v>0.97128851540616234</v>
      </c>
      <c r="AL67" t="e">
        <f>Year_2032!AL70/Year_2025!AL70</f>
        <v>#DIV/0!</v>
      </c>
      <c r="AM67" t="e">
        <f>Year_2032!AM70/Year_2025!AM70</f>
        <v>#DIV/0!</v>
      </c>
      <c r="AN67" t="e">
        <f>Year_2032!AN70/Year_2025!AN70</f>
        <v>#VALUE!</v>
      </c>
      <c r="AO67">
        <f>Year_2032!AO70/Year_2025!AO70</f>
        <v>1.1585365853658536</v>
      </c>
      <c r="AP67">
        <f>Year_2032!AP70/Year_2025!AP70</f>
        <v>1.1688311688311688</v>
      </c>
      <c r="AQ67">
        <f>Year_2032!AQ70/Year_2025!AQ70</f>
        <v>3.0249999999999999</v>
      </c>
      <c r="AR67">
        <f>Year_2032!AR70/Year_2025!AR70</f>
        <v>3.3030303030303032</v>
      </c>
      <c r="AS67">
        <f>Year_2032!AS70/Year_2025!AS70</f>
        <v>2.2835820895522385</v>
      </c>
      <c r="AT67">
        <f>Year_2032!AT70/Year_2025!AT70</f>
        <v>1.2314049586776861</v>
      </c>
      <c r="AU67">
        <f>Year_2032!AU70/Year_2025!AU70</f>
        <v>3.4444444444444446</v>
      </c>
      <c r="AV67">
        <f>Year_2032!AV70/Year_2025!AV70</f>
        <v>4.8666666666666671</v>
      </c>
      <c r="AW67">
        <f>Year_2032!AW70/Year_2025!AW70</f>
        <v>1.142857142857143</v>
      </c>
      <c r="AX67">
        <f>Year_2032!AX70/Year_2025!AX70</f>
        <v>1.09375</v>
      </c>
    </row>
    <row r="68" spans="2:50" x14ac:dyDescent="0.3">
      <c r="B68" t="str">
        <f>Year_2032!B71</f>
        <v>PM-Peak</v>
      </c>
      <c r="C68">
        <f>Year_2032!C71/Year_2025!C71</f>
        <v>1.9062041654444122</v>
      </c>
      <c r="D68">
        <f>Year_2032!D71/Year_2025!D71</f>
        <v>1.973520206457281</v>
      </c>
      <c r="E68">
        <f>Year_2032!E71/Year_2025!E71</f>
        <v>2.3381011684553683</v>
      </c>
      <c r="F68">
        <f>Year_2032!F71/Year_2025!F71</f>
        <v>2.6591581928176087</v>
      </c>
      <c r="G68">
        <f>Year_2032!G71/Year_2025!G71</f>
        <v>2.7415287055862136</v>
      </c>
      <c r="H68">
        <f>Year_2032!H71/Year_2025!H71</f>
        <v>2.7164878309947134</v>
      </c>
      <c r="I68">
        <f>Year_2032!I71/Year_2025!I71</f>
        <v>2.4113192612137202</v>
      </c>
      <c r="J68">
        <f>Year_2032!J71/Year_2025!J71</f>
        <v>2.563740329633367</v>
      </c>
      <c r="K68">
        <f>Year_2032!K71/Year_2025!K71</f>
        <v>1.317151761660768</v>
      </c>
      <c r="L68">
        <f>Year_2032!L71/Year_2025!L71</f>
        <v>1.3994900379506643</v>
      </c>
      <c r="M68" t="e">
        <f>Year_2032!M71/Year_2025!M71</f>
        <v>#DIV/0!</v>
      </c>
      <c r="N68" t="str">
        <f>Year_2032!N71</f>
        <v>PM-Peak</v>
      </c>
      <c r="O68">
        <f>Year_2032!O71/Year_2025!O71</f>
        <v>0.93579668951680317</v>
      </c>
      <c r="P68">
        <f>Year_2032!P71/Year_2025!P71</f>
        <v>0.9466555183946489</v>
      </c>
      <c r="Q68">
        <f>Year_2032!Q71/Year_2025!Q71</f>
        <v>0.99315982649315993</v>
      </c>
      <c r="R68">
        <f>Year_2032!R71/Year_2025!R71</f>
        <v>0.99330543933054394</v>
      </c>
      <c r="S68">
        <f>Year_2032!S71/Year_2025!S71</f>
        <v>0.99313117775171722</v>
      </c>
      <c r="T68">
        <f>Year_2032!T71/Year_2025!T71</f>
        <v>0.97560565275908484</v>
      </c>
      <c r="U68">
        <f>Year_2032!U71/Year_2025!U71</f>
        <v>0.99732932732431989</v>
      </c>
      <c r="V68">
        <f>Year_2032!V71/Year_2025!V71</f>
        <v>0.99448160535117058</v>
      </c>
      <c r="W68">
        <f>Year_2032!W71/Year_2025!W71</f>
        <v>0.99983330555092509</v>
      </c>
      <c r="X68">
        <f>Year_2032!X71/Year_2025!X71</f>
        <v>1</v>
      </c>
      <c r="Y68" t="e">
        <f>Year_2032!Y71/Year_2025!Y71</f>
        <v>#DIV/0!</v>
      </c>
      <c r="Z68" t="e">
        <f>Year_2032!Z71/Year_2025!Z71</f>
        <v>#DIV/0!</v>
      </c>
      <c r="AA68" t="e">
        <f>Year_2032!AA71/Year_2025!AA71</f>
        <v>#VALUE!</v>
      </c>
      <c r="AB68">
        <f>Year_2032!AB71/Year_2025!AB71</f>
        <v>0.8318201469952442</v>
      </c>
      <c r="AC68">
        <f>Year_2032!AC71/Year_2025!AC71</f>
        <v>0.82854144805876173</v>
      </c>
      <c r="AD68">
        <f>Year_2032!AD71/Year_2025!AD71</f>
        <v>0.83911551658406414</v>
      </c>
      <c r="AE68">
        <f>Year_2032!AE71/Year_2025!AE71</f>
        <v>0.8479170456612698</v>
      </c>
      <c r="AF68">
        <f>Year_2032!AF71/Year_2025!AF71</f>
        <v>0.8424063116370808</v>
      </c>
      <c r="AG68">
        <f>Year_2032!AG71/Year_2025!AG71</f>
        <v>0.81318905675786035</v>
      </c>
      <c r="AH68">
        <f>Year_2032!AH71/Year_2025!AH71</f>
        <v>0.94405474764756192</v>
      </c>
      <c r="AI68">
        <f>Year_2032!AI71/Year_2025!AI71</f>
        <v>0.97795355099293169</v>
      </c>
      <c r="AJ68">
        <f>Year_2032!AJ71/Year_2025!AJ71</f>
        <v>1.0438187976291278</v>
      </c>
      <c r="AK68">
        <f>Year_2032!AK71/Year_2025!AK71</f>
        <v>0.99979317476732166</v>
      </c>
      <c r="AL68" t="e">
        <f>Year_2032!AL71/Year_2025!AL71</f>
        <v>#DIV/0!</v>
      </c>
      <c r="AM68" t="e">
        <f>Year_2032!AM71/Year_2025!AM71</f>
        <v>#DIV/0!</v>
      </c>
      <c r="AN68" t="e">
        <f>Year_2032!AN71/Year_2025!AN71</f>
        <v>#VALUE!</v>
      </c>
      <c r="AO68">
        <f>Year_2032!AO71/Year_2025!AO71</f>
        <v>1.6461538461538463</v>
      </c>
      <c r="AP68">
        <f>Year_2032!AP71/Year_2025!AP71</f>
        <v>1.8035714285714284</v>
      </c>
      <c r="AQ68">
        <f>Year_2032!AQ71/Year_2025!AQ71</f>
        <v>2.4722222222222223</v>
      </c>
      <c r="AR68">
        <f>Year_2032!AR71/Year_2025!AR71</f>
        <v>3.1363636363636362</v>
      </c>
      <c r="AS68">
        <f>Year_2032!AS71/Year_2025!AS71</f>
        <v>2.2000000000000002</v>
      </c>
      <c r="AT68">
        <f>Year_2032!AT71/Year_2025!AT71</f>
        <v>2.2000000000000002</v>
      </c>
      <c r="AU68">
        <f>Year_2032!AU71/Year_2025!AU71</f>
        <v>3.375</v>
      </c>
      <c r="AV68">
        <f>Year_2032!AV71/Year_2025!AV71</f>
        <v>4</v>
      </c>
      <c r="AW68">
        <f>Year_2032!AW71/Year_2025!AW71</f>
        <v>0.77272727272727282</v>
      </c>
      <c r="AX68">
        <f>Year_2032!AX71/Year_2025!AX71</f>
        <v>1</v>
      </c>
    </row>
    <row r="69" spans="2:50" x14ac:dyDescent="0.3">
      <c r="B69" t="str">
        <f>Year_2032!B72</f>
        <v>PM-Late</v>
      </c>
      <c r="C69">
        <f>Year_2032!C72/Year_2025!C72</f>
        <v>2.2074530516431925</v>
      </c>
      <c r="D69">
        <f>Year_2032!D72/Year_2025!D72</f>
        <v>2.2450712332709744</v>
      </c>
      <c r="E69">
        <f>Year_2032!E72/Year_2025!E72</f>
        <v>2.2603138155376961</v>
      </c>
      <c r="F69">
        <f>Year_2032!F72/Year_2025!F72</f>
        <v>1.8001453488372092</v>
      </c>
      <c r="G69">
        <f>Year_2032!G72/Year_2025!G72</f>
        <v>2.2308815181250505</v>
      </c>
      <c r="H69">
        <f>Year_2032!H72/Year_2025!H72</f>
        <v>2.2033167177914113</v>
      </c>
      <c r="I69">
        <f>Year_2032!I72/Year_2025!I72</f>
        <v>2.1578278451761985</v>
      </c>
      <c r="J69">
        <f>Year_2032!J72/Year_2025!J72</f>
        <v>1.8147013782542112</v>
      </c>
      <c r="K69">
        <f>Year_2032!K72/Year_2025!K72</f>
        <v>1.3987953716912347</v>
      </c>
      <c r="L69">
        <f>Year_2032!L72/Year_2025!L72</f>
        <v>1.5678712420285454</v>
      </c>
      <c r="M69" t="e">
        <f>Year_2032!M72/Year_2025!M72</f>
        <v>#DIV/0!</v>
      </c>
      <c r="N69" t="str">
        <f>Year_2032!N72</f>
        <v>PM-Late</v>
      </c>
      <c r="O69">
        <f>Year_2032!O72/Year_2025!O72</f>
        <v>1</v>
      </c>
      <c r="P69">
        <f>Year_2032!P72/Year_2025!P72</f>
        <v>0.99966661110185029</v>
      </c>
      <c r="Q69">
        <f>Year_2032!Q72/Year_2025!Q72</f>
        <v>1</v>
      </c>
      <c r="R69">
        <f>Year_2032!R72/Year_2025!R72</f>
        <v>0.99983333333333335</v>
      </c>
      <c r="S69">
        <f>Year_2032!S72/Year_2025!S72</f>
        <v>1</v>
      </c>
      <c r="T69">
        <f>Year_2032!T72/Year_2025!T72</f>
        <v>1</v>
      </c>
      <c r="U69">
        <f>Year_2032!U72/Year_2025!U72</f>
        <v>1</v>
      </c>
      <c r="V69">
        <f>Year_2032!V72/Year_2025!V72</f>
        <v>1</v>
      </c>
      <c r="W69">
        <f>Year_2032!W72/Year_2025!W72</f>
        <v>1</v>
      </c>
      <c r="X69">
        <f>Year_2032!X72/Year_2025!X72</f>
        <v>1</v>
      </c>
      <c r="Y69" t="e">
        <f>Year_2032!Y72/Year_2025!Y72</f>
        <v>#DIV/0!</v>
      </c>
      <c r="Z69" t="e">
        <f>Year_2032!Z72/Year_2025!Z72</f>
        <v>#DIV/0!</v>
      </c>
      <c r="AA69" t="e">
        <f>Year_2032!AA72/Year_2025!AA72</f>
        <v>#VALUE!</v>
      </c>
      <c r="AB69">
        <f>Year_2032!AB72/Year_2025!AB72</f>
        <v>0.95914198161389175</v>
      </c>
      <c r="AC69">
        <f>Year_2032!AC72/Year_2025!AC72</f>
        <v>0.95880149812734083</v>
      </c>
      <c r="AD69">
        <f>Year_2032!AD72/Year_2025!AD72</f>
        <v>0.93940437252539155</v>
      </c>
      <c r="AE69">
        <f>Year_2032!AE72/Year_2025!AE72</f>
        <v>0.99866555462885731</v>
      </c>
      <c r="AF69">
        <f>Year_2032!AF72/Year_2025!AF72</f>
        <v>0.94297999626098328</v>
      </c>
      <c r="AG69">
        <f>Year_2032!AG72/Year_2025!AG72</f>
        <v>0.95463840862613869</v>
      </c>
      <c r="AH69">
        <f>Year_2032!AH72/Year_2025!AH72</f>
        <v>0.97640316871734367</v>
      </c>
      <c r="AI69">
        <f>Year_2032!AI72/Year_2025!AI72</f>
        <v>0.99983330555092509</v>
      </c>
      <c r="AJ69">
        <f>Year_2032!AJ72/Year_2025!AJ72</f>
        <v>1</v>
      </c>
      <c r="AK69">
        <f>Year_2032!AK72/Year_2025!AK72</f>
        <v>0.95988299206017547</v>
      </c>
      <c r="AL69" t="e">
        <f>Year_2032!AL72/Year_2025!AL72</f>
        <v>#DIV/0!</v>
      </c>
      <c r="AM69" t="e">
        <f>Year_2032!AM72/Year_2025!AM72</f>
        <v>#DIV/0!</v>
      </c>
      <c r="AN69" t="e">
        <f>Year_2032!AN72/Year_2025!AN72</f>
        <v>#VALUE!</v>
      </c>
      <c r="AO69">
        <f>Year_2032!AO72/Year_2025!AO72</f>
        <v>2.8000000000000003</v>
      </c>
      <c r="AP69">
        <f>Year_2032!AP72/Year_2025!AP72</f>
        <v>2.8000000000000003</v>
      </c>
      <c r="AQ69">
        <f>Year_2032!AQ72/Year_2025!AQ72</f>
        <v>3.125</v>
      </c>
      <c r="AR69" t="e">
        <f>Year_2032!AR72/Year_2025!AR72</f>
        <v>#DIV/0!</v>
      </c>
      <c r="AS69">
        <f>Year_2032!AS72/Year_2025!AS72</f>
        <v>1.5588235294117647</v>
      </c>
      <c r="AT69">
        <f>Year_2032!AT72/Year_2025!AT72</f>
        <v>1.4687499999999998</v>
      </c>
      <c r="AU69">
        <f>Year_2032!AU72/Year_2025!AU72</f>
        <v>3</v>
      </c>
      <c r="AV69" t="e">
        <f>Year_2032!AV72/Year_2025!AV72</f>
        <v>#DIV/0!</v>
      </c>
      <c r="AW69">
        <f>Year_2032!AW72/Year_2025!AW72</f>
        <v>1</v>
      </c>
      <c r="AX69">
        <f>Year_2032!AX72/Year_2025!AX72</f>
        <v>1.2</v>
      </c>
    </row>
    <row r="70" spans="2:50" x14ac:dyDescent="0.3">
      <c r="B70">
        <f>Year_2032!B73</f>
        <v>0</v>
      </c>
      <c r="C70" t="e">
        <f>Year_2032!C73/Year_2025!C73</f>
        <v>#DIV/0!</v>
      </c>
      <c r="D70" t="e">
        <f>Year_2032!D73/Year_2025!D73</f>
        <v>#DIV/0!</v>
      </c>
      <c r="E70" t="e">
        <f>Year_2032!E73/Year_2025!E73</f>
        <v>#DIV/0!</v>
      </c>
      <c r="F70" t="e">
        <f>Year_2032!F73/Year_2025!F73</f>
        <v>#DIV/0!</v>
      </c>
      <c r="G70" t="e">
        <f>Year_2032!G73/Year_2025!G73</f>
        <v>#DIV/0!</v>
      </c>
      <c r="H70" t="e">
        <f>Year_2032!H73/Year_2025!H73</f>
        <v>#DIV/0!</v>
      </c>
      <c r="I70" t="e">
        <f>Year_2032!I73/Year_2025!I73</f>
        <v>#DIV/0!</v>
      </c>
      <c r="J70" t="e">
        <f>Year_2032!J73/Year_2025!J73</f>
        <v>#DIV/0!</v>
      </c>
      <c r="K70" t="e">
        <f>Year_2032!K73/Year_2025!K73</f>
        <v>#DIV/0!</v>
      </c>
      <c r="L70" t="e">
        <f>Year_2032!L73/Year_2025!L73</f>
        <v>#DIV/0!</v>
      </c>
      <c r="M70" t="e">
        <f>Year_2032!M73/Year_2025!M73</f>
        <v>#DIV/0!</v>
      </c>
      <c r="N70">
        <f>Year_2032!N73</f>
        <v>0</v>
      </c>
      <c r="O70" t="e">
        <f>Year_2032!O73/Year_2025!O73</f>
        <v>#DIV/0!</v>
      </c>
      <c r="P70" t="e">
        <f>Year_2032!P73/Year_2025!P73</f>
        <v>#DIV/0!</v>
      </c>
      <c r="Q70" t="e">
        <f>Year_2032!Q73/Year_2025!Q73</f>
        <v>#DIV/0!</v>
      </c>
      <c r="R70" t="e">
        <f>Year_2032!R73/Year_2025!R73</f>
        <v>#DIV/0!</v>
      </c>
      <c r="S70" t="e">
        <f>Year_2032!S73/Year_2025!S73</f>
        <v>#DIV/0!</v>
      </c>
      <c r="T70" t="e">
        <f>Year_2032!T73/Year_2025!T73</f>
        <v>#DIV/0!</v>
      </c>
      <c r="U70" t="e">
        <f>Year_2032!U73/Year_2025!U73</f>
        <v>#DIV/0!</v>
      </c>
      <c r="V70" t="e">
        <f>Year_2032!V73/Year_2025!V73</f>
        <v>#DIV/0!</v>
      </c>
      <c r="W70" t="e">
        <f>Year_2032!W73/Year_2025!W73</f>
        <v>#DIV/0!</v>
      </c>
      <c r="X70" t="e">
        <f>Year_2032!X73/Year_2025!X73</f>
        <v>#DIV/0!</v>
      </c>
      <c r="Y70" t="e">
        <f>Year_2032!Y73/Year_2025!Y73</f>
        <v>#DIV/0!</v>
      </c>
      <c r="Z70" t="e">
        <f>Year_2032!Z73/Year_2025!Z73</f>
        <v>#DIV/0!</v>
      </c>
      <c r="AA70" t="e">
        <f>Year_2032!AA73/Year_2025!AA73</f>
        <v>#DIV/0!</v>
      </c>
      <c r="AB70" t="e">
        <f>Year_2032!AB73/Year_2025!AB73</f>
        <v>#DIV/0!</v>
      </c>
      <c r="AC70" t="e">
        <f>Year_2032!AC73/Year_2025!AC73</f>
        <v>#DIV/0!</v>
      </c>
      <c r="AD70" t="e">
        <f>Year_2032!AD73/Year_2025!AD73</f>
        <v>#DIV/0!</v>
      </c>
      <c r="AE70" t="e">
        <f>Year_2032!AE73/Year_2025!AE73</f>
        <v>#DIV/0!</v>
      </c>
      <c r="AF70" t="e">
        <f>Year_2032!AF73/Year_2025!AF73</f>
        <v>#DIV/0!</v>
      </c>
      <c r="AG70" t="e">
        <f>Year_2032!AG73/Year_2025!AG73</f>
        <v>#DIV/0!</v>
      </c>
      <c r="AH70" t="e">
        <f>Year_2032!AH73/Year_2025!AH73</f>
        <v>#DIV/0!</v>
      </c>
      <c r="AI70" t="e">
        <f>Year_2032!AI73/Year_2025!AI73</f>
        <v>#DIV/0!</v>
      </c>
      <c r="AJ70" t="e">
        <f>Year_2032!AJ73/Year_2025!AJ73</f>
        <v>#DIV/0!</v>
      </c>
      <c r="AK70" t="e">
        <f>Year_2032!AK73/Year_2025!AK73</f>
        <v>#DIV/0!</v>
      </c>
      <c r="AL70" t="e">
        <f>Year_2032!AL73/Year_2025!AL73</f>
        <v>#DIV/0!</v>
      </c>
      <c r="AM70" t="e">
        <f>Year_2032!AM73/Year_2025!AM73</f>
        <v>#DIV/0!</v>
      </c>
      <c r="AN70" t="e">
        <f>Year_2032!AN73/Year_2025!AN73</f>
        <v>#DIV/0!</v>
      </c>
      <c r="AO70" t="e">
        <f>Year_2032!AO73/Year_2025!AO73</f>
        <v>#DIV/0!</v>
      </c>
      <c r="AP70" t="e">
        <f>Year_2032!AP73/Year_2025!AP73</f>
        <v>#DIV/0!</v>
      </c>
      <c r="AQ70" t="e">
        <f>Year_2032!AQ73/Year_2025!AQ73</f>
        <v>#DIV/0!</v>
      </c>
      <c r="AR70" t="e">
        <f>Year_2032!AR73/Year_2025!AR73</f>
        <v>#DIV/0!</v>
      </c>
      <c r="AS70" t="e">
        <f>Year_2032!AS73/Year_2025!AS73</f>
        <v>#DIV/0!</v>
      </c>
      <c r="AT70" t="e">
        <f>Year_2032!AT73/Year_2025!AT73</f>
        <v>#DIV/0!</v>
      </c>
      <c r="AU70" t="e">
        <f>Year_2032!AU73/Year_2025!AU73</f>
        <v>#DIV/0!</v>
      </c>
      <c r="AV70" t="e">
        <f>Year_2032!AV73/Year_2025!AV73</f>
        <v>#DIV/0!</v>
      </c>
      <c r="AW70" t="e">
        <f>Year_2032!AW73/Year_2025!AW73</f>
        <v>#DIV/0!</v>
      </c>
      <c r="AX70" t="e">
        <f>Year_2032!AX73/Year_2025!AX73</f>
        <v>#DIV/0!</v>
      </c>
    </row>
    <row r="71" spans="2:50" x14ac:dyDescent="0.3">
      <c r="B71">
        <f>Year_2032!B74</f>
        <v>0</v>
      </c>
      <c r="C71" t="e">
        <f>Year_2032!C74/Year_2025!C74</f>
        <v>#DIV/0!</v>
      </c>
      <c r="D71" t="e">
        <f>Year_2032!D74/Year_2025!D74</f>
        <v>#DIV/0!</v>
      </c>
      <c r="E71" t="e">
        <f>Year_2032!E74/Year_2025!E74</f>
        <v>#DIV/0!</v>
      </c>
      <c r="F71" t="e">
        <f>Year_2032!F74/Year_2025!F74</f>
        <v>#DIV/0!</v>
      </c>
      <c r="G71" t="e">
        <f>Year_2032!G74/Year_2025!G74</f>
        <v>#DIV/0!</v>
      </c>
      <c r="H71" t="e">
        <f>Year_2032!H74/Year_2025!H74</f>
        <v>#DIV/0!</v>
      </c>
      <c r="I71" t="e">
        <f>Year_2032!I74/Year_2025!I74</f>
        <v>#DIV/0!</v>
      </c>
      <c r="J71" t="e">
        <f>Year_2032!J74/Year_2025!J74</f>
        <v>#DIV/0!</v>
      </c>
      <c r="K71" t="e">
        <f>Year_2032!K74/Year_2025!K74</f>
        <v>#DIV/0!</v>
      </c>
      <c r="L71" t="e">
        <f>Year_2032!L74/Year_2025!L74</f>
        <v>#DIV/0!</v>
      </c>
      <c r="M71" t="e">
        <f>Year_2032!M74/Year_2025!M74</f>
        <v>#DIV/0!</v>
      </c>
      <c r="N71">
        <f>Year_2032!N74</f>
        <v>0</v>
      </c>
      <c r="O71" t="e">
        <f>Year_2032!O74/Year_2025!O74</f>
        <v>#DIV/0!</v>
      </c>
      <c r="P71" t="e">
        <f>Year_2032!P74/Year_2025!P74</f>
        <v>#DIV/0!</v>
      </c>
      <c r="Q71" t="e">
        <f>Year_2032!Q74/Year_2025!Q74</f>
        <v>#DIV/0!</v>
      </c>
      <c r="R71" t="e">
        <f>Year_2032!R74/Year_2025!R74</f>
        <v>#DIV/0!</v>
      </c>
      <c r="S71" t="e">
        <f>Year_2032!S74/Year_2025!S74</f>
        <v>#DIV/0!</v>
      </c>
      <c r="T71" t="e">
        <f>Year_2032!T74/Year_2025!T74</f>
        <v>#DIV/0!</v>
      </c>
      <c r="U71" t="e">
        <f>Year_2032!U74/Year_2025!U74</f>
        <v>#DIV/0!</v>
      </c>
      <c r="V71" t="e">
        <f>Year_2032!V74/Year_2025!V74</f>
        <v>#DIV/0!</v>
      </c>
      <c r="W71" t="e">
        <f>Year_2032!W74/Year_2025!W74</f>
        <v>#DIV/0!</v>
      </c>
      <c r="X71" t="e">
        <f>Year_2032!X74/Year_2025!X74</f>
        <v>#DIV/0!</v>
      </c>
      <c r="Y71" t="e">
        <f>Year_2032!Y74/Year_2025!Y74</f>
        <v>#DIV/0!</v>
      </c>
      <c r="Z71" t="e">
        <f>Year_2032!Z74/Year_2025!Z74</f>
        <v>#DIV/0!</v>
      </c>
      <c r="AA71" t="e">
        <f>Year_2032!AA74/Year_2025!AA74</f>
        <v>#DIV/0!</v>
      </c>
      <c r="AB71" t="e">
        <f>Year_2032!AB74/Year_2025!AB74</f>
        <v>#DIV/0!</v>
      </c>
      <c r="AC71" t="e">
        <f>Year_2032!AC74/Year_2025!AC74</f>
        <v>#DIV/0!</v>
      </c>
      <c r="AD71" t="e">
        <f>Year_2032!AD74/Year_2025!AD74</f>
        <v>#DIV/0!</v>
      </c>
      <c r="AE71" t="e">
        <f>Year_2032!AE74/Year_2025!AE74</f>
        <v>#DIV/0!</v>
      </c>
      <c r="AF71" t="e">
        <f>Year_2032!AF74/Year_2025!AF74</f>
        <v>#DIV/0!</v>
      </c>
      <c r="AG71" t="e">
        <f>Year_2032!AG74/Year_2025!AG74</f>
        <v>#DIV/0!</v>
      </c>
      <c r="AH71" t="e">
        <f>Year_2032!AH74/Year_2025!AH74</f>
        <v>#DIV/0!</v>
      </c>
      <c r="AI71" t="e">
        <f>Year_2032!AI74/Year_2025!AI74</f>
        <v>#DIV/0!</v>
      </c>
      <c r="AJ71" t="e">
        <f>Year_2032!AJ74/Year_2025!AJ74</f>
        <v>#DIV/0!</v>
      </c>
      <c r="AK71" t="e">
        <f>Year_2032!AK74/Year_2025!AK74</f>
        <v>#DIV/0!</v>
      </c>
      <c r="AL71" t="e">
        <f>Year_2032!AL74/Year_2025!AL74</f>
        <v>#DIV/0!</v>
      </c>
      <c r="AM71" t="e">
        <f>Year_2032!AM74/Year_2025!AM74</f>
        <v>#DIV/0!</v>
      </c>
      <c r="AN71" t="e">
        <f>Year_2032!AN74/Year_2025!AN74</f>
        <v>#DIV/0!</v>
      </c>
      <c r="AO71" t="e">
        <f>Year_2032!AO74/Year_2025!AO74</f>
        <v>#DIV/0!</v>
      </c>
      <c r="AP71" t="e">
        <f>Year_2032!AP74/Year_2025!AP74</f>
        <v>#DIV/0!</v>
      </c>
      <c r="AQ71" t="e">
        <f>Year_2032!AQ74/Year_2025!AQ74</f>
        <v>#DIV/0!</v>
      </c>
      <c r="AR71" t="e">
        <f>Year_2032!AR74/Year_2025!AR74</f>
        <v>#DIV/0!</v>
      </c>
      <c r="AS71" t="e">
        <f>Year_2032!AS74/Year_2025!AS74</f>
        <v>#DIV/0!</v>
      </c>
      <c r="AT71" t="e">
        <f>Year_2032!AT74/Year_2025!AT74</f>
        <v>#DIV/0!</v>
      </c>
      <c r="AU71" t="e">
        <f>Year_2032!AU74/Year_2025!AU74</f>
        <v>#DIV/0!</v>
      </c>
      <c r="AV71" t="e">
        <f>Year_2032!AV74/Year_2025!AV74</f>
        <v>#DIV/0!</v>
      </c>
      <c r="AW71" t="e">
        <f>Year_2032!AW74/Year_2025!AW74</f>
        <v>#DIV/0!</v>
      </c>
      <c r="AX71" t="e">
        <f>Year_2032!AX74/Year_2025!AX74</f>
        <v>#DIV/0!</v>
      </c>
    </row>
    <row r="72" spans="2:50" x14ac:dyDescent="0.3">
      <c r="B72" t="str">
        <f>Year_2032!B75</f>
        <v>Revenue Per Period Medium B</v>
      </c>
      <c r="C72" t="e">
        <f>Year_2032!C75/Year_2025!C75</f>
        <v>#DIV/0!</v>
      </c>
      <c r="D72" t="e">
        <f>Year_2032!D75/Year_2025!D75</f>
        <v>#DIV/0!</v>
      </c>
      <c r="E72" t="e">
        <f>Year_2032!E75/Year_2025!E75</f>
        <v>#DIV/0!</v>
      </c>
      <c r="F72" t="e">
        <f>Year_2032!F75/Year_2025!F75</f>
        <v>#DIV/0!</v>
      </c>
      <c r="G72" t="e">
        <f>Year_2032!G75/Year_2025!G75</f>
        <v>#DIV/0!</v>
      </c>
      <c r="H72" t="e">
        <f>Year_2032!H75/Year_2025!H75</f>
        <v>#DIV/0!</v>
      </c>
      <c r="I72" t="e">
        <f>Year_2032!I75/Year_2025!I75</f>
        <v>#DIV/0!</v>
      </c>
      <c r="J72" t="e">
        <f>Year_2032!J75/Year_2025!J75</f>
        <v>#DIV/0!</v>
      </c>
      <c r="K72" t="e">
        <f>Year_2032!K75/Year_2025!K75</f>
        <v>#DIV/0!</v>
      </c>
      <c r="L72" t="e">
        <f>Year_2032!L75/Year_2025!L75</f>
        <v>#DIV/0!</v>
      </c>
      <c r="M72" t="e">
        <f>Year_2032!M75/Year_2025!M75</f>
        <v>#DIV/0!</v>
      </c>
      <c r="N72" t="str">
        <f>Year_2032!N75</f>
        <v>ML time</v>
      </c>
      <c r="O72" t="e">
        <f>Year_2032!O75/Year_2025!O75</f>
        <v>#DIV/0!</v>
      </c>
      <c r="P72" t="e">
        <f>Year_2032!P75/Year_2025!P75</f>
        <v>#DIV/0!</v>
      </c>
      <c r="Q72" t="e">
        <f>Year_2032!Q75/Year_2025!Q75</f>
        <v>#DIV/0!</v>
      </c>
      <c r="R72" t="e">
        <f>Year_2032!R75/Year_2025!R75</f>
        <v>#DIV/0!</v>
      </c>
      <c r="S72" t="e">
        <f>Year_2032!S75/Year_2025!S75</f>
        <v>#DIV/0!</v>
      </c>
      <c r="T72" t="e">
        <f>Year_2032!T75/Year_2025!T75</f>
        <v>#DIV/0!</v>
      </c>
      <c r="U72" t="e">
        <f>Year_2032!U75/Year_2025!U75</f>
        <v>#DIV/0!</v>
      </c>
      <c r="V72" t="e">
        <f>Year_2032!V75/Year_2025!V75</f>
        <v>#DIV/0!</v>
      </c>
      <c r="W72" t="e">
        <f>Year_2032!W75/Year_2025!W75</f>
        <v>#DIV/0!</v>
      </c>
      <c r="X72" t="e">
        <f>Year_2032!X75/Year_2025!X75</f>
        <v>#DIV/0!</v>
      </c>
      <c r="Y72" t="e">
        <f>Year_2032!Y75/Year_2025!Y75</f>
        <v>#DIV/0!</v>
      </c>
      <c r="Z72" t="e">
        <f>Year_2032!Z75/Year_2025!Z75</f>
        <v>#DIV/0!</v>
      </c>
      <c r="AA72" t="e">
        <f>Year_2032!AA75/Year_2025!AA75</f>
        <v>#VALUE!</v>
      </c>
      <c r="AB72" t="e">
        <f>Year_2032!AB75/Year_2025!AB75</f>
        <v>#DIV/0!</v>
      </c>
      <c r="AC72" t="e">
        <f>Year_2032!AC75/Year_2025!AC75</f>
        <v>#DIV/0!</v>
      </c>
      <c r="AD72" t="e">
        <f>Year_2032!AD75/Year_2025!AD75</f>
        <v>#DIV/0!</v>
      </c>
      <c r="AE72" t="e">
        <f>Year_2032!AE75/Year_2025!AE75</f>
        <v>#DIV/0!</v>
      </c>
      <c r="AF72" t="e">
        <f>Year_2032!AF75/Year_2025!AF75</f>
        <v>#DIV/0!</v>
      </c>
      <c r="AG72" t="e">
        <f>Year_2032!AG75/Year_2025!AG75</f>
        <v>#DIV/0!</v>
      </c>
      <c r="AH72" t="e">
        <f>Year_2032!AH75/Year_2025!AH75</f>
        <v>#DIV/0!</v>
      </c>
      <c r="AI72" t="e">
        <f>Year_2032!AI75/Year_2025!AI75</f>
        <v>#DIV/0!</v>
      </c>
      <c r="AJ72" t="e">
        <f>Year_2032!AJ75/Year_2025!AJ75</f>
        <v>#DIV/0!</v>
      </c>
      <c r="AK72" t="e">
        <f>Year_2032!AK75/Year_2025!AK75</f>
        <v>#DIV/0!</v>
      </c>
      <c r="AL72" t="e">
        <f>Year_2032!AL75/Year_2025!AL75</f>
        <v>#DIV/0!</v>
      </c>
      <c r="AM72" t="e">
        <f>Year_2032!AM75/Year_2025!AM75</f>
        <v>#DIV/0!</v>
      </c>
      <c r="AN72" t="e">
        <f>Year_2032!AN75/Year_2025!AN75</f>
        <v>#VALUE!</v>
      </c>
      <c r="AO72" t="e">
        <f>Year_2032!AO75/Year_2025!AO75</f>
        <v>#DIV/0!</v>
      </c>
      <c r="AP72" t="e">
        <f>Year_2032!AP75/Year_2025!AP75</f>
        <v>#DIV/0!</v>
      </c>
      <c r="AQ72" t="e">
        <f>Year_2032!AQ75/Year_2025!AQ75</f>
        <v>#DIV/0!</v>
      </c>
      <c r="AR72" t="e">
        <f>Year_2032!AR75/Year_2025!AR75</f>
        <v>#DIV/0!</v>
      </c>
      <c r="AS72" t="e">
        <f>Year_2032!AS75/Year_2025!AS75</f>
        <v>#DIV/0!</v>
      </c>
      <c r="AT72" t="e">
        <f>Year_2032!AT75/Year_2025!AT75</f>
        <v>#DIV/0!</v>
      </c>
      <c r="AU72" t="e">
        <f>Year_2032!AU75/Year_2025!AU75</f>
        <v>#DIV/0!</v>
      </c>
      <c r="AV72" t="e">
        <f>Year_2032!AV75/Year_2025!AV75</f>
        <v>#DIV/0!</v>
      </c>
      <c r="AW72" t="e">
        <f>Year_2032!AW75/Year_2025!AW75</f>
        <v>#DIV/0!</v>
      </c>
      <c r="AX72" t="e">
        <f>Year_2032!AX75/Year_2025!AX75</f>
        <v>#DIV/0!</v>
      </c>
    </row>
    <row r="73" spans="2:50" x14ac:dyDescent="0.3">
      <c r="B73" t="str">
        <f>Year_2032!B76</f>
        <v>Direction</v>
      </c>
      <c r="C73" t="e">
        <f>Year_2032!C76/Year_2025!C76</f>
        <v>#VALUE!</v>
      </c>
      <c r="D73" t="e">
        <f>Year_2032!D76/Year_2025!D76</f>
        <v>#VALUE!</v>
      </c>
      <c r="E73" t="e">
        <f>Year_2032!E76/Year_2025!E76</f>
        <v>#VALUE!</v>
      </c>
      <c r="F73" t="e">
        <f>Year_2032!F76/Year_2025!F76</f>
        <v>#VALUE!</v>
      </c>
      <c r="G73" t="e">
        <f>Year_2032!G76/Year_2025!G76</f>
        <v>#VALUE!</v>
      </c>
      <c r="H73" t="e">
        <f>Year_2032!H76/Year_2025!H76</f>
        <v>#VALUE!</v>
      </c>
      <c r="I73" t="e">
        <f>Year_2032!I76/Year_2025!I76</f>
        <v>#VALUE!</v>
      </c>
      <c r="J73" t="e">
        <f>Year_2032!J76/Year_2025!J76</f>
        <v>#VALUE!</v>
      </c>
      <c r="K73" t="e">
        <f>Year_2032!K76/Year_2025!K76</f>
        <v>#VALUE!</v>
      </c>
      <c r="L73" t="e">
        <f>Year_2032!L76/Year_2025!L76</f>
        <v>#VALUE!</v>
      </c>
      <c r="M73" t="e">
        <f>Year_2032!M76/Year_2025!M76</f>
        <v>#DIV/0!</v>
      </c>
      <c r="N73" t="str">
        <f>Year_2032!N76</f>
        <v>Direction</v>
      </c>
      <c r="O73" t="e">
        <f>Year_2032!O76/Year_2025!O76</f>
        <v>#VALUE!</v>
      </c>
      <c r="P73" t="e">
        <f>Year_2032!P76/Year_2025!P76</f>
        <v>#VALUE!</v>
      </c>
      <c r="Q73" t="e">
        <f>Year_2032!Q76/Year_2025!Q76</f>
        <v>#VALUE!</v>
      </c>
      <c r="R73" t="e">
        <f>Year_2032!R76/Year_2025!R76</f>
        <v>#VALUE!</v>
      </c>
      <c r="S73" t="e">
        <f>Year_2032!S76/Year_2025!S76</f>
        <v>#VALUE!</v>
      </c>
      <c r="T73" t="e">
        <f>Year_2032!T76/Year_2025!T76</f>
        <v>#VALUE!</v>
      </c>
      <c r="U73" t="e">
        <f>Year_2032!U76/Year_2025!U76</f>
        <v>#VALUE!</v>
      </c>
      <c r="V73" t="e">
        <f>Year_2032!V76/Year_2025!V76</f>
        <v>#VALUE!</v>
      </c>
      <c r="W73" t="e">
        <f>Year_2032!W76/Year_2025!W76</f>
        <v>#VALUE!</v>
      </c>
      <c r="X73" t="e">
        <f>Year_2032!X76/Year_2025!X76</f>
        <v>#VALUE!</v>
      </c>
      <c r="Y73" t="e">
        <f>Year_2032!Y76/Year_2025!Y76</f>
        <v>#DIV/0!</v>
      </c>
      <c r="Z73" t="e">
        <f>Year_2032!Z76/Year_2025!Z76</f>
        <v>#DIV/0!</v>
      </c>
      <c r="AA73" t="e">
        <f>Year_2032!AA76/Year_2025!AA76</f>
        <v>#VALUE!</v>
      </c>
      <c r="AB73" t="e">
        <f>Year_2032!AB76/Year_2025!AB76</f>
        <v>#VALUE!</v>
      </c>
      <c r="AC73" t="e">
        <f>Year_2032!AC76/Year_2025!AC76</f>
        <v>#VALUE!</v>
      </c>
      <c r="AD73" t="e">
        <f>Year_2032!AD76/Year_2025!AD76</f>
        <v>#VALUE!</v>
      </c>
      <c r="AE73" t="e">
        <f>Year_2032!AE76/Year_2025!AE76</f>
        <v>#VALUE!</v>
      </c>
      <c r="AF73" t="e">
        <f>Year_2032!AF76/Year_2025!AF76</f>
        <v>#VALUE!</v>
      </c>
      <c r="AG73" t="e">
        <f>Year_2032!AG76/Year_2025!AG76</f>
        <v>#VALUE!</v>
      </c>
      <c r="AH73" t="e">
        <f>Year_2032!AH76/Year_2025!AH76</f>
        <v>#VALUE!</v>
      </c>
      <c r="AI73" t="e">
        <f>Year_2032!AI76/Year_2025!AI76</f>
        <v>#VALUE!</v>
      </c>
      <c r="AJ73" t="e">
        <f>Year_2032!AJ76/Year_2025!AJ76</f>
        <v>#VALUE!</v>
      </c>
      <c r="AK73" t="e">
        <f>Year_2032!AK76/Year_2025!AK76</f>
        <v>#VALUE!</v>
      </c>
      <c r="AL73" t="e">
        <f>Year_2032!AL76/Year_2025!AL76</f>
        <v>#DIV/0!</v>
      </c>
      <c r="AM73" t="e">
        <f>Year_2032!AM76/Year_2025!AM76</f>
        <v>#DIV/0!</v>
      </c>
      <c r="AN73" t="e">
        <f>Year_2032!AN76/Year_2025!AN76</f>
        <v>#VALUE!</v>
      </c>
      <c r="AO73" t="e">
        <f>Year_2032!AO76/Year_2025!AO76</f>
        <v>#VALUE!</v>
      </c>
      <c r="AP73" t="e">
        <f>Year_2032!AP76/Year_2025!AP76</f>
        <v>#VALUE!</v>
      </c>
      <c r="AQ73" t="e">
        <f>Year_2032!AQ76/Year_2025!AQ76</f>
        <v>#VALUE!</v>
      </c>
      <c r="AR73" t="e">
        <f>Year_2032!AR76/Year_2025!AR76</f>
        <v>#VALUE!</v>
      </c>
      <c r="AS73" t="e">
        <f>Year_2032!AS76/Year_2025!AS76</f>
        <v>#VALUE!</v>
      </c>
      <c r="AT73" t="e">
        <f>Year_2032!AT76/Year_2025!AT76</f>
        <v>#VALUE!</v>
      </c>
      <c r="AU73" t="e">
        <f>Year_2032!AU76/Year_2025!AU76</f>
        <v>#VALUE!</v>
      </c>
      <c r="AV73" t="e">
        <f>Year_2032!AV76/Year_2025!AV76</f>
        <v>#VALUE!</v>
      </c>
      <c r="AW73" t="e">
        <f>Year_2032!AW76/Year_2025!AW76</f>
        <v>#VALUE!</v>
      </c>
      <c r="AX73" t="e">
        <f>Year_2032!AX76/Year_2025!AX76</f>
        <v>#VALUE!</v>
      </c>
    </row>
    <row r="74" spans="2:50" x14ac:dyDescent="0.3">
      <c r="B74" t="str">
        <f>Year_2032!B77</f>
        <v>Segment</v>
      </c>
      <c r="C74">
        <f>Year_2032!C77/Year_2025!C77</f>
        <v>1</v>
      </c>
      <c r="D74">
        <f>Year_2032!D77/Year_2025!D77</f>
        <v>1</v>
      </c>
      <c r="E74">
        <f>Year_2032!E77/Year_2025!E77</f>
        <v>1</v>
      </c>
      <c r="F74">
        <f>Year_2032!F77/Year_2025!F77</f>
        <v>1</v>
      </c>
      <c r="G74">
        <f>Year_2032!G77/Year_2025!G77</f>
        <v>1</v>
      </c>
      <c r="H74">
        <f>Year_2032!H77/Year_2025!H77</f>
        <v>1</v>
      </c>
      <c r="I74">
        <f>Year_2032!I77/Year_2025!I77</f>
        <v>1</v>
      </c>
      <c r="J74">
        <f>Year_2032!J77/Year_2025!J77</f>
        <v>1</v>
      </c>
      <c r="K74">
        <f>Year_2032!K77/Year_2025!K77</f>
        <v>1</v>
      </c>
      <c r="L74">
        <f>Year_2032!L77/Year_2025!L77</f>
        <v>1</v>
      </c>
      <c r="M74" t="e">
        <f>Year_2032!M77/Year_2025!M77</f>
        <v>#DIV/0!</v>
      </c>
      <c r="N74" t="str">
        <f>Year_2032!N77</f>
        <v>Segment</v>
      </c>
      <c r="O74">
        <f>Year_2032!O77/Year_2025!O77</f>
        <v>1</v>
      </c>
      <c r="P74">
        <f>Year_2032!P77/Year_2025!P77</f>
        <v>1</v>
      </c>
      <c r="Q74">
        <f>Year_2032!Q77/Year_2025!Q77</f>
        <v>1</v>
      </c>
      <c r="R74">
        <f>Year_2032!R77/Year_2025!R77</f>
        <v>1</v>
      </c>
      <c r="S74">
        <f>Year_2032!S77/Year_2025!S77</f>
        <v>1</v>
      </c>
      <c r="T74">
        <f>Year_2032!T77/Year_2025!T77</f>
        <v>1</v>
      </c>
      <c r="U74">
        <f>Year_2032!U77/Year_2025!U77</f>
        <v>1</v>
      </c>
      <c r="V74">
        <f>Year_2032!V77/Year_2025!V77</f>
        <v>1</v>
      </c>
      <c r="W74">
        <f>Year_2032!W77/Year_2025!W77</f>
        <v>1</v>
      </c>
      <c r="X74">
        <f>Year_2032!X77/Year_2025!X77</f>
        <v>1</v>
      </c>
      <c r="Y74" t="e">
        <f>Year_2032!Y77/Year_2025!Y77</f>
        <v>#DIV/0!</v>
      </c>
      <c r="Z74" t="e">
        <f>Year_2032!Z77/Year_2025!Z77</f>
        <v>#DIV/0!</v>
      </c>
      <c r="AA74" t="e">
        <f>Year_2032!AA77/Year_2025!AA77</f>
        <v>#VALUE!</v>
      </c>
      <c r="AB74">
        <f>Year_2032!AB77/Year_2025!AB77</f>
        <v>1</v>
      </c>
      <c r="AC74">
        <f>Year_2032!AC77/Year_2025!AC77</f>
        <v>1</v>
      </c>
      <c r="AD74">
        <f>Year_2032!AD77/Year_2025!AD77</f>
        <v>1</v>
      </c>
      <c r="AE74">
        <f>Year_2032!AE77/Year_2025!AE77</f>
        <v>1</v>
      </c>
      <c r="AF74">
        <f>Year_2032!AF77/Year_2025!AF77</f>
        <v>1</v>
      </c>
      <c r="AG74">
        <f>Year_2032!AG77/Year_2025!AG77</f>
        <v>1</v>
      </c>
      <c r="AH74">
        <f>Year_2032!AH77/Year_2025!AH77</f>
        <v>1</v>
      </c>
      <c r="AI74">
        <f>Year_2032!AI77/Year_2025!AI77</f>
        <v>1</v>
      </c>
      <c r="AJ74">
        <f>Year_2032!AJ77/Year_2025!AJ77</f>
        <v>1</v>
      </c>
      <c r="AK74">
        <f>Year_2032!AK77/Year_2025!AK77</f>
        <v>1</v>
      </c>
      <c r="AL74" t="e">
        <f>Year_2032!AL77/Year_2025!AL77</f>
        <v>#DIV/0!</v>
      </c>
      <c r="AM74" t="e">
        <f>Year_2032!AM77/Year_2025!AM77</f>
        <v>#DIV/0!</v>
      </c>
      <c r="AN74" t="e">
        <f>Year_2032!AN77/Year_2025!AN77</f>
        <v>#VALUE!</v>
      </c>
      <c r="AO74">
        <f>Year_2032!AO77/Year_2025!AO77</f>
        <v>1</v>
      </c>
      <c r="AP74">
        <f>Year_2032!AP77/Year_2025!AP77</f>
        <v>1</v>
      </c>
      <c r="AQ74">
        <f>Year_2032!AQ77/Year_2025!AQ77</f>
        <v>1</v>
      </c>
      <c r="AR74">
        <f>Year_2032!AR77/Year_2025!AR77</f>
        <v>1</v>
      </c>
      <c r="AS74">
        <f>Year_2032!AS77/Year_2025!AS77</f>
        <v>1</v>
      </c>
      <c r="AT74">
        <f>Year_2032!AT77/Year_2025!AT77</f>
        <v>1</v>
      </c>
      <c r="AU74">
        <f>Year_2032!AU77/Year_2025!AU77</f>
        <v>1</v>
      </c>
      <c r="AV74">
        <f>Year_2032!AV77/Year_2025!AV77</f>
        <v>1</v>
      </c>
      <c r="AW74">
        <f>Year_2032!AW77/Year_2025!AW77</f>
        <v>1</v>
      </c>
      <c r="AX74">
        <f>Year_2032!AX77/Year_2025!AX77</f>
        <v>1</v>
      </c>
    </row>
    <row r="75" spans="2:50" x14ac:dyDescent="0.3">
      <c r="B75" t="str">
        <f>Year_2032!B78</f>
        <v>Period</v>
      </c>
      <c r="C75" t="e">
        <f>Year_2032!C78/Year_2025!C78</f>
        <v>#DIV/0!</v>
      </c>
      <c r="D75" t="e">
        <f>Year_2032!D78/Year_2025!D78</f>
        <v>#DIV/0!</v>
      </c>
      <c r="E75" t="e">
        <f>Year_2032!E78/Year_2025!E78</f>
        <v>#DIV/0!</v>
      </c>
      <c r="F75" t="e">
        <f>Year_2032!F78/Year_2025!F78</f>
        <v>#DIV/0!</v>
      </c>
      <c r="G75" t="e">
        <f>Year_2032!G78/Year_2025!G78</f>
        <v>#DIV/0!</v>
      </c>
      <c r="H75" t="e">
        <f>Year_2032!H78/Year_2025!H78</f>
        <v>#DIV/0!</v>
      </c>
      <c r="I75" t="e">
        <f>Year_2032!I78/Year_2025!I78</f>
        <v>#DIV/0!</v>
      </c>
      <c r="J75" t="e">
        <f>Year_2032!J78/Year_2025!J78</f>
        <v>#DIV/0!</v>
      </c>
      <c r="K75" t="e">
        <f>Year_2032!K78/Year_2025!K78</f>
        <v>#DIV/0!</v>
      </c>
      <c r="L75" t="e">
        <f>Year_2032!L78/Year_2025!L78</f>
        <v>#DIV/0!</v>
      </c>
      <c r="M75" t="e">
        <f>Year_2032!M78/Year_2025!M78</f>
        <v>#DIV/0!</v>
      </c>
      <c r="N75" t="str">
        <f>Year_2032!N78</f>
        <v>Period</v>
      </c>
      <c r="O75" t="e">
        <f>Year_2032!O78/Year_2025!O78</f>
        <v>#DIV/0!</v>
      </c>
      <c r="P75" t="e">
        <f>Year_2032!P78/Year_2025!P78</f>
        <v>#DIV/0!</v>
      </c>
      <c r="Q75" t="e">
        <f>Year_2032!Q78/Year_2025!Q78</f>
        <v>#DIV/0!</v>
      </c>
      <c r="R75" t="e">
        <f>Year_2032!R78/Year_2025!R78</f>
        <v>#DIV/0!</v>
      </c>
      <c r="S75" t="e">
        <f>Year_2032!S78/Year_2025!S78</f>
        <v>#DIV/0!</v>
      </c>
      <c r="T75" t="e">
        <f>Year_2032!T78/Year_2025!T78</f>
        <v>#DIV/0!</v>
      </c>
      <c r="U75" t="e">
        <f>Year_2032!U78/Year_2025!U78</f>
        <v>#DIV/0!</v>
      </c>
      <c r="V75" t="e">
        <f>Year_2032!V78/Year_2025!V78</f>
        <v>#DIV/0!</v>
      </c>
      <c r="W75" t="e">
        <f>Year_2032!W78/Year_2025!W78</f>
        <v>#DIV/0!</v>
      </c>
      <c r="X75" t="e">
        <f>Year_2032!X78/Year_2025!X78</f>
        <v>#DIV/0!</v>
      </c>
      <c r="Y75" t="e">
        <f>Year_2032!Y78/Year_2025!Y78</f>
        <v>#DIV/0!</v>
      </c>
      <c r="Z75" t="e">
        <f>Year_2032!Z78/Year_2025!Z78</f>
        <v>#DIV/0!</v>
      </c>
      <c r="AA75" t="e">
        <f>Year_2032!AA78/Year_2025!AA78</f>
        <v>#VALUE!</v>
      </c>
      <c r="AB75" t="e">
        <f>Year_2032!AB78/Year_2025!AB78</f>
        <v>#DIV/0!</v>
      </c>
      <c r="AC75" t="e">
        <f>Year_2032!AC78/Year_2025!AC78</f>
        <v>#DIV/0!</v>
      </c>
      <c r="AD75" t="e">
        <f>Year_2032!AD78/Year_2025!AD78</f>
        <v>#DIV/0!</v>
      </c>
      <c r="AE75" t="e">
        <f>Year_2032!AE78/Year_2025!AE78</f>
        <v>#DIV/0!</v>
      </c>
      <c r="AF75" t="e">
        <f>Year_2032!AF78/Year_2025!AF78</f>
        <v>#DIV/0!</v>
      </c>
      <c r="AG75" t="e">
        <f>Year_2032!AG78/Year_2025!AG78</f>
        <v>#DIV/0!</v>
      </c>
      <c r="AH75" t="e">
        <f>Year_2032!AH78/Year_2025!AH78</f>
        <v>#DIV/0!</v>
      </c>
      <c r="AI75" t="e">
        <f>Year_2032!AI78/Year_2025!AI78</f>
        <v>#DIV/0!</v>
      </c>
      <c r="AJ75" t="e">
        <f>Year_2032!AJ78/Year_2025!AJ78</f>
        <v>#DIV/0!</v>
      </c>
      <c r="AK75" t="e">
        <f>Year_2032!AK78/Year_2025!AK78</f>
        <v>#DIV/0!</v>
      </c>
      <c r="AL75" t="e">
        <f>Year_2032!AL78/Year_2025!AL78</f>
        <v>#DIV/0!</v>
      </c>
      <c r="AM75" t="e">
        <f>Year_2032!AM78/Year_2025!AM78</f>
        <v>#DIV/0!</v>
      </c>
      <c r="AN75" t="e">
        <f>Year_2032!AN78/Year_2025!AN78</f>
        <v>#VALUE!</v>
      </c>
      <c r="AO75" t="e">
        <f>Year_2032!AO78/Year_2025!AO78</f>
        <v>#DIV/0!</v>
      </c>
      <c r="AP75" t="e">
        <f>Year_2032!AP78/Year_2025!AP78</f>
        <v>#DIV/0!</v>
      </c>
      <c r="AQ75" t="e">
        <f>Year_2032!AQ78/Year_2025!AQ78</f>
        <v>#DIV/0!</v>
      </c>
      <c r="AR75" t="e">
        <f>Year_2032!AR78/Year_2025!AR78</f>
        <v>#DIV/0!</v>
      </c>
      <c r="AS75" t="e">
        <f>Year_2032!AS78/Year_2025!AS78</f>
        <v>#DIV/0!</v>
      </c>
      <c r="AT75" t="e">
        <f>Year_2032!AT78/Year_2025!AT78</f>
        <v>#DIV/0!</v>
      </c>
      <c r="AU75" t="e">
        <f>Year_2032!AU78/Year_2025!AU78</f>
        <v>#DIV/0!</v>
      </c>
      <c r="AV75" t="e">
        <f>Year_2032!AV78/Year_2025!AV78</f>
        <v>#DIV/0!</v>
      </c>
      <c r="AW75" t="e">
        <f>Year_2032!AW78/Year_2025!AW78</f>
        <v>#DIV/0!</v>
      </c>
      <c r="AX75" t="e">
        <f>Year_2032!AX78/Year_2025!AX78</f>
        <v>#DIV/0!</v>
      </c>
    </row>
    <row r="76" spans="2:50" x14ac:dyDescent="0.3">
      <c r="B76" t="str">
        <f>Year_2032!B79</f>
        <v>Night</v>
      </c>
      <c r="C76">
        <f>Year_2032!C79/Year_2025!C79</f>
        <v>1.9697508896797153</v>
      </c>
      <c r="D76">
        <f>Year_2032!D79/Year_2025!D79</f>
        <v>1.5561735261401557</v>
      </c>
      <c r="E76">
        <f>Year_2032!E79/Year_2025!E79</f>
        <v>1.4296875</v>
      </c>
      <c r="F76">
        <f>Year_2032!F79/Year_2025!F79</f>
        <v>1.1996086105675146</v>
      </c>
      <c r="G76">
        <f>Year_2032!G79/Year_2025!G79</f>
        <v>1.3265306122448979</v>
      </c>
      <c r="H76">
        <f>Year_2032!H79/Year_2025!H79</f>
        <v>1.3420289855072463</v>
      </c>
      <c r="I76">
        <f>Year_2032!I79/Year_2025!I79</f>
        <v>1.2180094786729858</v>
      </c>
      <c r="J76">
        <f>Year_2032!J79/Year_2025!J79</f>
        <v>1.1981132075471699</v>
      </c>
      <c r="K76">
        <f>Year_2032!K79/Year_2025!K79</f>
        <v>0.98192771084337349</v>
      </c>
      <c r="L76">
        <f>Year_2032!L79/Year_2025!L79</f>
        <v>0.99388379204892963</v>
      </c>
      <c r="M76" t="e">
        <f>Year_2032!M79/Year_2025!M79</f>
        <v>#DIV/0!</v>
      </c>
      <c r="N76" t="str">
        <f>Year_2032!N79</f>
        <v>Night</v>
      </c>
      <c r="O76">
        <f>Year_2032!O79/Year_2025!O79</f>
        <v>1</v>
      </c>
      <c r="P76">
        <f>Year_2032!P79/Year_2025!P79</f>
        <v>1</v>
      </c>
      <c r="Q76">
        <f>Year_2032!Q79/Year_2025!Q79</f>
        <v>1</v>
      </c>
      <c r="R76">
        <f>Year_2032!R79/Year_2025!R79</f>
        <v>1</v>
      </c>
      <c r="S76">
        <f>Year_2032!S79/Year_2025!S79</f>
        <v>1</v>
      </c>
      <c r="T76">
        <f>Year_2032!T79/Year_2025!T79</f>
        <v>1</v>
      </c>
      <c r="U76">
        <f>Year_2032!U79/Year_2025!U79</f>
        <v>1</v>
      </c>
      <c r="V76">
        <f>Year_2032!V79/Year_2025!V79</f>
        <v>1</v>
      </c>
      <c r="W76">
        <f>Year_2032!W79/Year_2025!W79</f>
        <v>1</v>
      </c>
      <c r="X76">
        <f>Year_2032!X79/Year_2025!X79</f>
        <v>1</v>
      </c>
      <c r="Y76" t="e">
        <f>Year_2032!Y79/Year_2025!Y79</f>
        <v>#DIV/0!</v>
      </c>
      <c r="Z76" t="e">
        <f>Year_2032!Z79/Year_2025!Z79</f>
        <v>#DIV/0!</v>
      </c>
      <c r="AA76" t="e">
        <f>Year_2032!AA79/Year_2025!AA79</f>
        <v>#VALUE!</v>
      </c>
      <c r="AB76">
        <f>Year_2032!AB79/Year_2025!AB79</f>
        <v>1</v>
      </c>
      <c r="AC76">
        <f>Year_2032!AC79/Year_2025!AC79</f>
        <v>1</v>
      </c>
      <c r="AD76">
        <f>Year_2032!AD79/Year_2025!AD79</f>
        <v>1</v>
      </c>
      <c r="AE76">
        <f>Year_2032!AE79/Year_2025!AE79</f>
        <v>1</v>
      </c>
      <c r="AF76">
        <f>Year_2032!AF79/Year_2025!AF79</f>
        <v>1</v>
      </c>
      <c r="AG76">
        <f>Year_2032!AG79/Year_2025!AG79</f>
        <v>1</v>
      </c>
      <c r="AH76">
        <f>Year_2032!AH79/Year_2025!AH79</f>
        <v>1</v>
      </c>
      <c r="AI76">
        <f>Year_2032!AI79/Year_2025!AI79</f>
        <v>1</v>
      </c>
      <c r="AJ76">
        <f>Year_2032!AJ79/Year_2025!AJ79</f>
        <v>1</v>
      </c>
      <c r="AK76">
        <f>Year_2032!AK79/Year_2025!AK79</f>
        <v>1</v>
      </c>
      <c r="AL76" t="e">
        <f>Year_2032!AL79/Year_2025!AL79</f>
        <v>#DIV/0!</v>
      </c>
      <c r="AM76" t="e">
        <f>Year_2032!AM79/Year_2025!AM79</f>
        <v>#DIV/0!</v>
      </c>
      <c r="AN76" t="e">
        <f>Year_2032!AN79/Year_2025!AN79</f>
        <v>#VALUE!</v>
      </c>
      <c r="AO76" t="e">
        <f>Year_2032!AO79/Year_2025!AO79</f>
        <v>#DIV/0!</v>
      </c>
      <c r="AP76" t="e">
        <f>Year_2032!AP79/Year_2025!AP79</f>
        <v>#DIV/0!</v>
      </c>
      <c r="AQ76" t="e">
        <f>Year_2032!AQ79/Year_2025!AQ79</f>
        <v>#DIV/0!</v>
      </c>
      <c r="AR76" t="e">
        <f>Year_2032!AR79/Year_2025!AR79</f>
        <v>#DIV/0!</v>
      </c>
      <c r="AS76">
        <f>Year_2032!AS79/Year_2025!AS79</f>
        <v>1</v>
      </c>
      <c r="AT76">
        <f>Year_2032!AT79/Year_2025!AT79</f>
        <v>1</v>
      </c>
      <c r="AU76" t="e">
        <f>Year_2032!AU79/Year_2025!AU79</f>
        <v>#DIV/0!</v>
      </c>
      <c r="AV76" t="e">
        <f>Year_2032!AV79/Year_2025!AV79</f>
        <v>#DIV/0!</v>
      </c>
      <c r="AW76">
        <f>Year_2032!AW79/Year_2025!AW79</f>
        <v>1</v>
      </c>
      <c r="AX76" t="e">
        <f>Year_2032!AX79/Year_2025!AX79</f>
        <v>#DIV/0!</v>
      </c>
    </row>
    <row r="77" spans="2:50" x14ac:dyDescent="0.3">
      <c r="B77" t="str">
        <f>Year_2032!B80</f>
        <v>AM-Early</v>
      </c>
      <c r="C77">
        <f>Year_2032!C80/Year_2025!C80</f>
        <v>2.099615123386914</v>
      </c>
      <c r="D77">
        <f>Year_2032!D80/Year_2025!D80</f>
        <v>2.157089425365522</v>
      </c>
      <c r="E77">
        <f>Year_2032!E80/Year_2025!E80</f>
        <v>2.4077643171806167</v>
      </c>
      <c r="F77">
        <f>Year_2032!F80/Year_2025!F80</f>
        <v>1.4584890486777995</v>
      </c>
      <c r="G77">
        <f>Year_2032!G80/Year_2025!G80</f>
        <v>2.7911733046286331</v>
      </c>
      <c r="H77">
        <f>Year_2032!H80/Year_2025!H80</f>
        <v>2.3151972872996303</v>
      </c>
      <c r="I77">
        <f>Year_2032!I80/Year_2025!I80</f>
        <v>2.8202408772245189</v>
      </c>
      <c r="J77">
        <f>Year_2032!J80/Year_2025!J80</f>
        <v>1.2109150594993845</v>
      </c>
      <c r="K77">
        <f>Year_2032!K80/Year_2025!K80</f>
        <v>1.5301236516706129</v>
      </c>
      <c r="L77">
        <f>Year_2032!L80/Year_2025!L80</f>
        <v>1.3774684363871803</v>
      </c>
      <c r="M77" t="e">
        <f>Year_2032!M80/Year_2025!M80</f>
        <v>#DIV/0!</v>
      </c>
      <c r="N77" t="str">
        <f>Year_2032!N80</f>
        <v>AM-Early</v>
      </c>
      <c r="O77">
        <f>Year_2032!O80/Year_2025!O80</f>
        <v>1</v>
      </c>
      <c r="P77">
        <f>Year_2032!P80/Year_2025!P80</f>
        <v>1</v>
      </c>
      <c r="Q77">
        <f>Year_2032!Q80/Year_2025!Q80</f>
        <v>1.004</v>
      </c>
      <c r="R77">
        <f>Year_2032!R80/Year_2025!R80</f>
        <v>1</v>
      </c>
      <c r="S77">
        <f>Year_2032!S80/Year_2025!S80</f>
        <v>1.0035587188612098</v>
      </c>
      <c r="T77">
        <f>Year_2032!T80/Year_2025!T80</f>
        <v>1</v>
      </c>
      <c r="U77">
        <f>Year_2032!U80/Year_2025!U80</f>
        <v>1.0030303030303032</v>
      </c>
      <c r="V77">
        <f>Year_2032!V80/Year_2025!V80</f>
        <v>1</v>
      </c>
      <c r="W77">
        <f>Year_2032!W80/Year_2025!W80</f>
        <v>1</v>
      </c>
      <c r="X77">
        <f>Year_2032!X80/Year_2025!X80</f>
        <v>1</v>
      </c>
      <c r="Y77" t="e">
        <f>Year_2032!Y80/Year_2025!Y80</f>
        <v>#DIV/0!</v>
      </c>
      <c r="Z77" t="e">
        <f>Year_2032!Z80/Year_2025!Z80</f>
        <v>#DIV/0!</v>
      </c>
      <c r="AA77" t="e">
        <f>Year_2032!AA80/Year_2025!AA80</f>
        <v>#VALUE!</v>
      </c>
      <c r="AB77">
        <f>Year_2032!AB80/Year_2025!AB80</f>
        <v>1.1555555555555554</v>
      </c>
      <c r="AC77">
        <f>Year_2032!AC80/Year_2025!AC80</f>
        <v>1.0357142857142856</v>
      </c>
      <c r="AD77">
        <f>Year_2032!AD80/Year_2025!AD80</f>
        <v>1.0694980694980696</v>
      </c>
      <c r="AE77">
        <f>Year_2032!AE80/Year_2025!AE80</f>
        <v>0.98575498575498577</v>
      </c>
      <c r="AF77">
        <f>Year_2032!AF80/Year_2025!AF80</f>
        <v>1.2059701492537314</v>
      </c>
      <c r="AG77">
        <f>Year_2032!AG80/Year_2025!AG80</f>
        <v>1.0968749999999998</v>
      </c>
      <c r="AH77">
        <f>Year_2032!AH80/Year_2025!AH80</f>
        <v>1.2500000000000002</v>
      </c>
      <c r="AI77">
        <f>Year_2032!AI80/Year_2025!AI80</f>
        <v>1.0030303030303032</v>
      </c>
      <c r="AJ77">
        <f>Year_2032!AJ80/Year_2025!AJ80</f>
        <v>1.0366972477064218</v>
      </c>
      <c r="AK77">
        <f>Year_2032!AK80/Year_2025!AK80</f>
        <v>1</v>
      </c>
      <c r="AL77" t="e">
        <f>Year_2032!AL80/Year_2025!AL80</f>
        <v>#DIV/0!</v>
      </c>
      <c r="AM77" t="e">
        <f>Year_2032!AM80/Year_2025!AM80</f>
        <v>#DIV/0!</v>
      </c>
      <c r="AN77" t="e">
        <f>Year_2032!AN80/Year_2025!AN80</f>
        <v>#VALUE!</v>
      </c>
      <c r="AO77">
        <f>Year_2032!AO80/Year_2025!AO80</f>
        <v>1.6111111111111112</v>
      </c>
      <c r="AP77">
        <f>Year_2032!AP80/Year_2025!AP80</f>
        <v>2.5</v>
      </c>
      <c r="AQ77">
        <f>Year_2032!AQ80/Year_2025!AQ80</f>
        <v>3</v>
      </c>
      <c r="AR77">
        <f>Year_2032!AR80/Year_2025!AR80</f>
        <v>0.9655172413793105</v>
      </c>
      <c r="AS77">
        <f>Year_2032!AS80/Year_2025!AS80</f>
        <v>1.875</v>
      </c>
      <c r="AT77">
        <f>Year_2032!AT80/Year_2025!AT80</f>
        <v>1.6666666666666667</v>
      </c>
      <c r="AU77">
        <f>Year_2032!AU80/Year_2025!AU80</f>
        <v>2.5</v>
      </c>
      <c r="AV77" t="e">
        <f>Year_2032!AV80/Year_2025!AV80</f>
        <v>#DIV/0!</v>
      </c>
      <c r="AW77">
        <f>Year_2032!AW80/Year_2025!AW80</f>
        <v>1.074074074074074</v>
      </c>
      <c r="AX77">
        <f>Year_2032!AX80/Year_2025!AX80</f>
        <v>1</v>
      </c>
    </row>
    <row r="78" spans="2:50" x14ac:dyDescent="0.3">
      <c r="B78" t="str">
        <f>Year_2032!B81</f>
        <v>AM-Peak</v>
      </c>
      <c r="C78">
        <f>Year_2032!C81/Year_2025!C81</f>
        <v>2.9541277338535781</v>
      </c>
      <c r="D78">
        <f>Year_2032!D81/Year_2025!D81</f>
        <v>2.0653675636663573</v>
      </c>
      <c r="E78">
        <f>Year_2032!E81/Year_2025!E81</f>
        <v>2.6130926052515182</v>
      </c>
      <c r="F78">
        <f>Year_2032!F81/Year_2025!F81</f>
        <v>1.4381331517468965</v>
      </c>
      <c r="G78">
        <f>Year_2032!G81/Year_2025!G81</f>
        <v>3.0644262433505021</v>
      </c>
      <c r="H78">
        <f>Year_2032!H81/Year_2025!H81</f>
        <v>2.3839317038942811</v>
      </c>
      <c r="I78">
        <f>Year_2032!I81/Year_2025!I81</f>
        <v>3.0476983251429144</v>
      </c>
      <c r="J78">
        <f>Year_2032!J81/Year_2025!J81</f>
        <v>2.188876470974952</v>
      </c>
      <c r="K78">
        <f>Year_2032!K81/Year_2025!K81</f>
        <v>1.3775203129702078</v>
      </c>
      <c r="L78">
        <f>Year_2032!L81/Year_2025!L81</f>
        <v>1.2711052720800136</v>
      </c>
      <c r="M78" t="e">
        <f>Year_2032!M81/Year_2025!M81</f>
        <v>#DIV/0!</v>
      </c>
      <c r="N78" t="str">
        <f>Year_2032!N81</f>
        <v>AM-Peak</v>
      </c>
      <c r="O78">
        <f>Year_2032!O81/Year_2025!O81</f>
        <v>1.0135135135135134</v>
      </c>
      <c r="P78">
        <f>Year_2032!P81/Year_2025!P81</f>
        <v>1</v>
      </c>
      <c r="Q78">
        <f>Year_2032!Q81/Year_2025!Q81</f>
        <v>1.0079681274900398</v>
      </c>
      <c r="R78">
        <f>Year_2032!R81/Year_2025!R81</f>
        <v>1.0199203187250998</v>
      </c>
      <c r="S78">
        <f>Year_2032!S81/Year_2025!S81</f>
        <v>1.0390070921985817</v>
      </c>
      <c r="T78">
        <f>Year_2032!T81/Year_2025!T81</f>
        <v>1.0035714285714286</v>
      </c>
      <c r="U78">
        <f>Year_2032!U81/Year_2025!U81</f>
        <v>1.0030211480362536</v>
      </c>
      <c r="V78">
        <f>Year_2032!V81/Year_2025!V81</f>
        <v>1</v>
      </c>
      <c r="W78">
        <f>Year_2032!W81/Year_2025!W81</f>
        <v>1</v>
      </c>
      <c r="X78">
        <f>Year_2032!X81/Year_2025!X81</f>
        <v>1</v>
      </c>
      <c r="Y78" t="e">
        <f>Year_2032!Y81/Year_2025!Y81</f>
        <v>#DIV/0!</v>
      </c>
      <c r="Z78" t="e">
        <f>Year_2032!Z81/Year_2025!Z81</f>
        <v>#DIV/0!</v>
      </c>
      <c r="AA78" t="e">
        <f>Year_2032!AA81/Year_2025!AA81</f>
        <v>#VALUE!</v>
      </c>
      <c r="AB78">
        <f>Year_2032!AB81/Year_2025!AB81</f>
        <v>1.5709779179810728</v>
      </c>
      <c r="AC78">
        <f>Year_2032!AC81/Year_2025!AC81</f>
        <v>1.0815450643776823</v>
      </c>
      <c r="AD78">
        <f>Year_2032!AD81/Year_2025!AD81</f>
        <v>1.1985559566787003</v>
      </c>
      <c r="AE78">
        <f>Year_2032!AE81/Year_2025!AE81</f>
        <v>1.0801033591731266</v>
      </c>
      <c r="AF78">
        <f>Year_2032!AF81/Year_2025!AF81</f>
        <v>1.5283018867924529</v>
      </c>
      <c r="AG78">
        <f>Year_2032!AG81/Year_2025!AG81</f>
        <v>1.1207430340557276</v>
      </c>
      <c r="AH78">
        <f>Year_2032!AH81/Year_2025!AH81</f>
        <v>1.4353233830845771</v>
      </c>
      <c r="AI78">
        <f>Year_2032!AI81/Year_2025!AI81</f>
        <v>1.015015015015015</v>
      </c>
      <c r="AJ78">
        <f>Year_2032!AJ81/Year_2025!AJ81</f>
        <v>1</v>
      </c>
      <c r="AK78">
        <f>Year_2032!AK81/Year_2025!AK81</f>
        <v>0.96330275229357798</v>
      </c>
      <c r="AL78" t="e">
        <f>Year_2032!AL81/Year_2025!AL81</f>
        <v>#DIV/0!</v>
      </c>
      <c r="AM78" t="e">
        <f>Year_2032!AM81/Year_2025!AM81</f>
        <v>#DIV/0!</v>
      </c>
      <c r="AN78" t="e">
        <f>Year_2032!AN81/Year_2025!AN81</f>
        <v>#VALUE!</v>
      </c>
      <c r="AO78">
        <f>Year_2032!AO81/Year_2025!AO81</f>
        <v>1.8333333333333335</v>
      </c>
      <c r="AP78">
        <f>Year_2032!AP81/Year_2025!AP81</f>
        <v>2.166666666666667</v>
      </c>
      <c r="AQ78">
        <f>Year_2032!AQ81/Year_2025!AQ81</f>
        <v>2.6666666666666665</v>
      </c>
      <c r="AR78">
        <f>Year_2032!AR81/Year_2025!AR81</f>
        <v>1.1142857142857143</v>
      </c>
      <c r="AS78">
        <f>Year_2032!AS81/Year_2025!AS81</f>
        <v>1.6666666666666667</v>
      </c>
      <c r="AT78">
        <f>Year_2032!AT81/Year_2025!AT81</f>
        <v>1.6923076923076923</v>
      </c>
      <c r="AU78">
        <f>Year_2032!AU81/Year_2025!AU81</f>
        <v>2.3333333333333335</v>
      </c>
      <c r="AV78">
        <f>Year_2032!AV81/Year_2025!AV81</f>
        <v>2</v>
      </c>
      <c r="AW78">
        <f>Year_2032!AW81/Year_2025!AW81</f>
        <v>1</v>
      </c>
      <c r="AX78">
        <f>Year_2032!AX81/Year_2025!AX81</f>
        <v>0.85185185185185186</v>
      </c>
    </row>
    <row r="79" spans="2:50" x14ac:dyDescent="0.3">
      <c r="B79" t="str">
        <f>Year_2032!B82</f>
        <v>AM-Shoulder</v>
      </c>
      <c r="C79">
        <f>Year_2032!C82/Year_2025!C82</f>
        <v>1.7600592727687221</v>
      </c>
      <c r="D79">
        <f>Year_2032!D82/Year_2025!D82</f>
        <v>2.513124274099884</v>
      </c>
      <c r="E79">
        <f>Year_2032!E82/Year_2025!E82</f>
        <v>2.6821648577295392</v>
      </c>
      <c r="F79">
        <f>Year_2032!F82/Year_2025!F82</f>
        <v>1.519952085049038</v>
      </c>
      <c r="G79">
        <f>Year_2032!G82/Year_2025!G82</f>
        <v>2.5038820382331828</v>
      </c>
      <c r="H79">
        <f>Year_2032!H82/Year_2025!H82</f>
        <v>2.7350521119034559</v>
      </c>
      <c r="I79">
        <f>Year_2032!I82/Year_2025!I82</f>
        <v>2.482769472856019</v>
      </c>
      <c r="J79">
        <f>Year_2032!J82/Year_2025!J82</f>
        <v>2.1844250773123419</v>
      </c>
      <c r="K79">
        <f>Year_2032!K82/Year_2025!K82</f>
        <v>1.3772925764192141</v>
      </c>
      <c r="L79">
        <f>Year_2032!L82/Year_2025!L82</f>
        <v>1.3771602055114431</v>
      </c>
      <c r="M79" t="e">
        <f>Year_2032!M82/Year_2025!M82</f>
        <v>#DIV/0!</v>
      </c>
      <c r="N79" t="str">
        <f>Year_2032!N82</f>
        <v>AM-Shoulder</v>
      </c>
      <c r="O79">
        <f>Year_2032!O82/Year_2025!O82</f>
        <v>1.0045454545454544</v>
      </c>
      <c r="P79">
        <f>Year_2032!P82/Year_2025!P82</f>
        <v>1</v>
      </c>
      <c r="Q79">
        <f>Year_2032!Q82/Year_2025!Q82</f>
        <v>1.004</v>
      </c>
      <c r="R79">
        <f>Year_2032!R82/Year_2025!R82</f>
        <v>1.008</v>
      </c>
      <c r="S79">
        <f>Year_2032!S82/Year_2025!S82</f>
        <v>1.0035587188612098</v>
      </c>
      <c r="T79">
        <f>Year_2032!T82/Year_2025!T82</f>
        <v>1.0035714285714286</v>
      </c>
      <c r="U79">
        <f>Year_2032!U82/Year_2025!U82</f>
        <v>1.0030303030303032</v>
      </c>
      <c r="V79">
        <f>Year_2032!V82/Year_2025!V82</f>
        <v>1</v>
      </c>
      <c r="W79">
        <f>Year_2032!W82/Year_2025!W82</f>
        <v>1</v>
      </c>
      <c r="X79">
        <f>Year_2032!X82/Year_2025!X82</f>
        <v>1</v>
      </c>
      <c r="Y79" t="e">
        <f>Year_2032!Y82/Year_2025!Y82</f>
        <v>#DIV/0!</v>
      </c>
      <c r="Z79" t="e">
        <f>Year_2032!Z82/Year_2025!Z82</f>
        <v>#DIV/0!</v>
      </c>
      <c r="AA79" t="e">
        <f>Year_2032!AA82/Year_2025!AA82</f>
        <v>#VALUE!</v>
      </c>
      <c r="AB79">
        <f>Year_2032!AB82/Year_2025!AB82</f>
        <v>1.087248322147651</v>
      </c>
      <c r="AC79">
        <f>Year_2032!AC82/Year_2025!AC82</f>
        <v>1.1818181818181819</v>
      </c>
      <c r="AD79">
        <f>Year_2032!AD82/Year_2025!AD82</f>
        <v>1.1684981684981686</v>
      </c>
      <c r="AE79">
        <f>Year_2032!AE82/Year_2025!AE82</f>
        <v>1.0303030303030305</v>
      </c>
      <c r="AF79">
        <f>Year_2032!AF82/Year_2025!AF82</f>
        <v>1.2540106951871659</v>
      </c>
      <c r="AG79">
        <f>Year_2032!AG82/Year_2025!AG82</f>
        <v>1.204747774480712</v>
      </c>
      <c r="AH79">
        <f>Year_2032!AH82/Year_2025!AH82</f>
        <v>1.0789473684210527</v>
      </c>
      <c r="AI79">
        <f>Year_2032!AI82/Year_2025!AI82</f>
        <v>1.0150602409638556</v>
      </c>
      <c r="AJ79">
        <f>Year_2032!AJ82/Year_2025!AJ82</f>
        <v>1</v>
      </c>
      <c r="AK79">
        <f>Year_2032!AK82/Year_2025!AK82</f>
        <v>1</v>
      </c>
      <c r="AL79" t="e">
        <f>Year_2032!AL82/Year_2025!AL82</f>
        <v>#DIV/0!</v>
      </c>
      <c r="AM79" t="e">
        <f>Year_2032!AM82/Year_2025!AM82</f>
        <v>#DIV/0!</v>
      </c>
      <c r="AN79" t="e">
        <f>Year_2032!AN82/Year_2025!AN82</f>
        <v>#VALUE!</v>
      </c>
      <c r="AO79">
        <f>Year_2032!AO82/Year_2025!AO82</f>
        <v>1.2307692307692308</v>
      </c>
      <c r="AP79">
        <f>Year_2032!AP82/Year_2025!AP82</f>
        <v>2.5555555555555558</v>
      </c>
      <c r="AQ79">
        <f>Year_2032!AQ82/Year_2025!AQ82</f>
        <v>2.625</v>
      </c>
      <c r="AR79">
        <f>Year_2032!AR82/Year_2025!AR82</f>
        <v>1.0645161290322582</v>
      </c>
      <c r="AS79">
        <f>Year_2032!AS82/Year_2025!AS82</f>
        <v>1.6</v>
      </c>
      <c r="AT79">
        <f>Year_2032!AT82/Year_2025!AT82</f>
        <v>1.8235294117647058</v>
      </c>
      <c r="AU79">
        <f>Year_2032!AU82/Year_2025!AU82</f>
        <v>3.3333333333333335</v>
      </c>
      <c r="AV79">
        <f>Year_2032!AV82/Year_2025!AV82</f>
        <v>2</v>
      </c>
      <c r="AW79">
        <f>Year_2032!AW82/Year_2025!AW82</f>
        <v>1</v>
      </c>
      <c r="AX79">
        <f>Year_2032!AX82/Year_2025!AX82</f>
        <v>1</v>
      </c>
    </row>
    <row r="80" spans="2:50" x14ac:dyDescent="0.3">
      <c r="B80" t="str">
        <f>Year_2032!B83</f>
        <v>MD</v>
      </c>
      <c r="C80">
        <f>Year_2032!C83/Year_2025!C83</f>
        <v>1.7031835546661813</v>
      </c>
      <c r="D80">
        <f>Year_2032!D83/Year_2025!D83</f>
        <v>1.8412983786610877</v>
      </c>
      <c r="E80">
        <f>Year_2032!E83/Year_2025!E83</f>
        <v>2.6625424618188851</v>
      </c>
      <c r="F80">
        <f>Year_2032!F83/Year_2025!F83</f>
        <v>2.3160068169900367</v>
      </c>
      <c r="G80">
        <f>Year_2032!G83/Year_2025!G83</f>
        <v>2.4942726231386025</v>
      </c>
      <c r="H80">
        <f>Year_2032!H83/Year_2025!H83</f>
        <v>2.5699042177785247</v>
      </c>
      <c r="I80">
        <f>Year_2032!I83/Year_2025!I83</f>
        <v>2.1868689405736674</v>
      </c>
      <c r="J80">
        <f>Year_2032!J83/Year_2025!J83</f>
        <v>2.1803711029481021</v>
      </c>
      <c r="K80">
        <f>Year_2032!K83/Year_2025!K83</f>
        <v>1.3424456471883313</v>
      </c>
      <c r="L80">
        <f>Year_2032!L83/Year_2025!L83</f>
        <v>1.5386558412268834</v>
      </c>
      <c r="M80" t="e">
        <f>Year_2032!M83/Year_2025!M83</f>
        <v>#DIV/0!</v>
      </c>
      <c r="N80" t="str">
        <f>Year_2032!N83</f>
        <v>MD</v>
      </c>
      <c r="O80">
        <f>Year_2032!O83/Year_2025!O83</f>
        <v>1</v>
      </c>
      <c r="P80">
        <f>Year_2032!P83/Year_2025!P83</f>
        <v>1</v>
      </c>
      <c r="Q80">
        <f>Year_2032!Q83/Year_2025!Q83</f>
        <v>1</v>
      </c>
      <c r="R80">
        <f>Year_2032!R83/Year_2025!R83</f>
        <v>1.004</v>
      </c>
      <c r="S80">
        <f>Year_2032!S83/Year_2025!S83</f>
        <v>1</v>
      </c>
      <c r="T80">
        <f>Year_2032!T83/Year_2025!T83</f>
        <v>1.0035714285714286</v>
      </c>
      <c r="U80">
        <f>Year_2032!U83/Year_2025!U83</f>
        <v>1</v>
      </c>
      <c r="V80">
        <f>Year_2032!V83/Year_2025!V83</f>
        <v>1</v>
      </c>
      <c r="W80">
        <f>Year_2032!W83/Year_2025!W83</f>
        <v>1</v>
      </c>
      <c r="X80">
        <f>Year_2032!X83/Year_2025!X83</f>
        <v>1</v>
      </c>
      <c r="Y80" t="e">
        <f>Year_2032!Y83/Year_2025!Y83</f>
        <v>#DIV/0!</v>
      </c>
      <c r="Z80" t="e">
        <f>Year_2032!Z83/Year_2025!Z83</f>
        <v>#DIV/0!</v>
      </c>
      <c r="AA80" t="e">
        <f>Year_2032!AA83/Year_2025!AA83</f>
        <v>#VALUE!</v>
      </c>
      <c r="AB80">
        <f>Year_2032!AB83/Year_2025!AB83</f>
        <v>1.0570469798657718</v>
      </c>
      <c r="AC80">
        <f>Year_2032!AC83/Year_2025!AC83</f>
        <v>1.0972222222222223</v>
      </c>
      <c r="AD80">
        <f>Year_2032!AD83/Year_2025!AD83</f>
        <v>1.2344827586206897</v>
      </c>
      <c r="AE80">
        <f>Year_2032!AE83/Year_2025!AE83</f>
        <v>1.1948051948051948</v>
      </c>
      <c r="AF80">
        <f>Year_2032!AF83/Year_2025!AF83</f>
        <v>1.1411042944785277</v>
      </c>
      <c r="AG80">
        <f>Year_2032!AG83/Year_2025!AG83</f>
        <v>1.1498470948012232</v>
      </c>
      <c r="AH80">
        <f>Year_2032!AH83/Year_2025!AH83</f>
        <v>1.0269461077844313</v>
      </c>
      <c r="AI80">
        <f>Year_2032!AI83/Year_2025!AI83</f>
        <v>1.0090361445783134</v>
      </c>
      <c r="AJ80">
        <f>Year_2032!AJ83/Year_2025!AJ83</f>
        <v>0.9826086956521739</v>
      </c>
      <c r="AK80">
        <f>Year_2032!AK83/Year_2025!AK83</f>
        <v>1.0258620689655173</v>
      </c>
      <c r="AL80" t="e">
        <f>Year_2032!AL83/Year_2025!AL83</f>
        <v>#DIV/0!</v>
      </c>
      <c r="AM80" t="e">
        <f>Year_2032!AM83/Year_2025!AM83</f>
        <v>#DIV/0!</v>
      </c>
      <c r="AN80" t="e">
        <f>Year_2032!AN83/Year_2025!AN83</f>
        <v>#VALUE!</v>
      </c>
      <c r="AO80">
        <f>Year_2032!AO83/Year_2025!AO83</f>
        <v>1.1538461538461537</v>
      </c>
      <c r="AP80">
        <f>Year_2032!AP83/Year_2025!AP83</f>
        <v>1.25</v>
      </c>
      <c r="AQ80">
        <f>Year_2032!AQ83/Year_2025!AQ83</f>
        <v>2.1428571428571428</v>
      </c>
      <c r="AR80">
        <f>Year_2032!AR83/Year_2025!AR83</f>
        <v>1.6842105263157894</v>
      </c>
      <c r="AS80">
        <f>Year_2032!AS83/Year_2025!AS83</f>
        <v>1.7857142857142856</v>
      </c>
      <c r="AT80">
        <f>Year_2032!AT83/Year_2025!AT83</f>
        <v>1.7857142857142856</v>
      </c>
      <c r="AU80">
        <f>Year_2032!AU83/Year_2025!AU83</f>
        <v>4</v>
      </c>
      <c r="AV80" t="e">
        <f>Year_2032!AV83/Year_2025!AV83</f>
        <v>#DIV/0!</v>
      </c>
      <c r="AW80">
        <f>Year_2032!AW83/Year_2025!AW83</f>
        <v>0.96666666666666667</v>
      </c>
      <c r="AX80">
        <f>Year_2032!AX83/Year_2025!AX83</f>
        <v>1.0645161290322582</v>
      </c>
    </row>
    <row r="81" spans="2:50" x14ac:dyDescent="0.3">
      <c r="B81" t="str">
        <f>Year_2032!B84</f>
        <v>PM-Shoulder</v>
      </c>
      <c r="C81">
        <f>Year_2032!C84/Year_2025!C84</f>
        <v>1.5669911251073576</v>
      </c>
      <c r="D81">
        <f>Year_2032!D84/Year_2025!D84</f>
        <v>1.5670833333333334</v>
      </c>
      <c r="E81">
        <f>Year_2032!E84/Year_2025!E84</f>
        <v>2.9946131243878549</v>
      </c>
      <c r="F81">
        <f>Year_2032!F84/Year_2025!F84</f>
        <v>3.381309345327336</v>
      </c>
      <c r="G81">
        <f>Year_2032!G84/Year_2025!G84</f>
        <v>2.9607787409407416</v>
      </c>
      <c r="H81">
        <f>Year_2032!H84/Year_2025!H84</f>
        <v>1.6915325612874117</v>
      </c>
      <c r="I81">
        <f>Year_2032!I84/Year_2025!I84</f>
        <v>2.5915228807201802</v>
      </c>
      <c r="J81">
        <f>Year_2032!J84/Year_2025!J84</f>
        <v>4.3668082524271847</v>
      </c>
      <c r="K81">
        <f>Year_2032!K84/Year_2025!K84</f>
        <v>1.5698893418753637</v>
      </c>
      <c r="L81">
        <f>Year_2032!L84/Year_2025!L84</f>
        <v>1.6080714008537058</v>
      </c>
      <c r="M81" t="e">
        <f>Year_2032!M84/Year_2025!M84</f>
        <v>#DIV/0!</v>
      </c>
      <c r="N81" t="str">
        <f>Year_2032!N84</f>
        <v>PM-Shoulder</v>
      </c>
      <c r="O81">
        <f>Year_2032!O84/Year_2025!O84</f>
        <v>1.0045454545454544</v>
      </c>
      <c r="P81">
        <f>Year_2032!P84/Year_2025!P84</f>
        <v>1</v>
      </c>
      <c r="Q81">
        <f>Year_2032!Q84/Year_2025!Q84</f>
        <v>1.0079681274900398</v>
      </c>
      <c r="R81">
        <f>Year_2032!R84/Year_2025!R84</f>
        <v>1.015748031496063</v>
      </c>
      <c r="S81">
        <f>Year_2032!S84/Year_2025!S84</f>
        <v>1.0106007067137808</v>
      </c>
      <c r="T81">
        <f>Year_2032!T84/Year_2025!T84</f>
        <v>0.99655172413793114</v>
      </c>
      <c r="U81">
        <f>Year_2032!U84/Year_2025!U84</f>
        <v>1.0030211480362536</v>
      </c>
      <c r="V81">
        <f>Year_2032!V84/Year_2025!V84</f>
        <v>1.0176991150442478</v>
      </c>
      <c r="W81">
        <f>Year_2032!W84/Year_2025!W84</f>
        <v>1.0125</v>
      </c>
      <c r="X81">
        <f>Year_2032!X84/Year_2025!X84</f>
        <v>1</v>
      </c>
      <c r="Y81" t="e">
        <f>Year_2032!Y84/Year_2025!Y84</f>
        <v>#DIV/0!</v>
      </c>
      <c r="Z81" t="e">
        <f>Year_2032!Z84/Year_2025!Z84</f>
        <v>#DIV/0!</v>
      </c>
      <c r="AA81" t="e">
        <f>Year_2032!AA84/Year_2025!AA84</f>
        <v>#VALUE!</v>
      </c>
      <c r="AB81">
        <f>Year_2032!AB84/Year_2025!AB84</f>
        <v>1.0463576158940397</v>
      </c>
      <c r="AC81">
        <f>Year_2032!AC84/Year_2025!AC84</f>
        <v>1.0437710437710437</v>
      </c>
      <c r="AD81">
        <f>Year_2032!AD84/Year_2025!AD84</f>
        <v>1.2817869415807559</v>
      </c>
      <c r="AE81">
        <f>Year_2032!AE84/Year_2025!AE84</f>
        <v>1.2832167832167833</v>
      </c>
      <c r="AF81">
        <f>Year_2032!AF84/Year_2025!AF84</f>
        <v>1.2542857142857142</v>
      </c>
      <c r="AG81">
        <f>Year_2032!AG84/Year_2025!AG84</f>
        <v>1.0656934306569341</v>
      </c>
      <c r="AH81">
        <f>Year_2032!AH84/Year_2025!AH84</f>
        <v>1.0676470588235294</v>
      </c>
      <c r="AI81">
        <f>Year_2032!AI84/Year_2025!AI84</f>
        <v>1.1807909604519773</v>
      </c>
      <c r="AJ81">
        <f>Year_2032!AJ84/Year_2025!AJ84</f>
        <v>1.0344827586206897</v>
      </c>
      <c r="AK81">
        <f>Year_2032!AK84/Year_2025!AK84</f>
        <v>1.0267857142857142</v>
      </c>
      <c r="AL81" t="e">
        <f>Year_2032!AL84/Year_2025!AL84</f>
        <v>#DIV/0!</v>
      </c>
      <c r="AM81" t="e">
        <f>Year_2032!AM84/Year_2025!AM84</f>
        <v>#DIV/0!</v>
      </c>
      <c r="AN81" t="e">
        <f>Year_2032!AN84/Year_2025!AN84</f>
        <v>#VALUE!</v>
      </c>
      <c r="AO81">
        <f>Year_2032!AO84/Year_2025!AO84</f>
        <v>1.1111111111111109</v>
      </c>
      <c r="AP81">
        <f>Year_2032!AP84/Year_2025!AP84</f>
        <v>1.1153846153846152</v>
      </c>
      <c r="AQ81">
        <f>Year_2032!AQ84/Year_2025!AQ84</f>
        <v>2.2857142857142856</v>
      </c>
      <c r="AR81">
        <f>Year_2032!AR84/Year_2025!AR84</f>
        <v>2.7272727272727271</v>
      </c>
      <c r="AS81">
        <f>Year_2032!AS84/Year_2025!AS84</f>
        <v>1.8421052631578947</v>
      </c>
      <c r="AT81">
        <f>Year_2032!AT84/Year_2025!AT84</f>
        <v>1.1724137931034484</v>
      </c>
      <c r="AU81">
        <f>Year_2032!AU84/Year_2025!AU84</f>
        <v>3</v>
      </c>
      <c r="AV81">
        <f>Year_2032!AV84/Year_2025!AV84</f>
        <v>4.25</v>
      </c>
      <c r="AW81">
        <f>Year_2032!AW84/Year_2025!AW84</f>
        <v>1.0645161290322582</v>
      </c>
      <c r="AX81">
        <f>Year_2032!AX84/Year_2025!AX84</f>
        <v>1.0689655172413794</v>
      </c>
    </row>
    <row r="82" spans="2:50" x14ac:dyDescent="0.3">
      <c r="B82" t="str">
        <f>Year_2032!B85</f>
        <v>PM-Peak</v>
      </c>
      <c r="C82">
        <f>Year_2032!C85/Year_2025!C85</f>
        <v>1.9100281162136832</v>
      </c>
      <c r="D82">
        <f>Year_2032!D85/Year_2025!D85</f>
        <v>1.9762968299711814</v>
      </c>
      <c r="E82">
        <f>Year_2032!E85/Year_2025!E85</f>
        <v>2.3341389728096678</v>
      </c>
      <c r="F82">
        <f>Year_2032!F85/Year_2025!F85</f>
        <v>2.6623278012799654</v>
      </c>
      <c r="G82">
        <f>Year_2032!G85/Year_2025!G85</f>
        <v>2.7387742403816242</v>
      </c>
      <c r="H82">
        <f>Year_2032!H85/Year_2025!H85</f>
        <v>2.7214158922418292</v>
      </c>
      <c r="I82">
        <f>Year_2032!I85/Year_2025!I85</f>
        <v>2.41424165213893</v>
      </c>
      <c r="J82">
        <f>Year_2032!J85/Year_2025!J85</f>
        <v>2.564413050790447</v>
      </c>
      <c r="K82">
        <f>Year_2032!K85/Year_2025!K85</f>
        <v>1.3168086754453912</v>
      </c>
      <c r="L82">
        <f>Year_2032!L85/Year_2025!L85</f>
        <v>1.399706457925636</v>
      </c>
      <c r="M82" t="e">
        <f>Year_2032!M85/Year_2025!M85</f>
        <v>#DIV/0!</v>
      </c>
      <c r="N82" t="str">
        <f>Year_2032!N85</f>
        <v>PM-Peak</v>
      </c>
      <c r="O82">
        <f>Year_2032!O85/Year_2025!O85</f>
        <v>1.0678733031674208</v>
      </c>
      <c r="P82">
        <f>Year_2032!P85/Year_2025!P85</f>
        <v>1.0542986425339367</v>
      </c>
      <c r="Q82">
        <f>Year_2032!Q85/Year_2025!Q85</f>
        <v>1.008</v>
      </c>
      <c r="R82">
        <f>Year_2032!R85/Year_2025!R85</f>
        <v>1.0079681274900398</v>
      </c>
      <c r="S82">
        <f>Year_2032!S85/Year_2025!S85</f>
        <v>1.0071174377224199</v>
      </c>
      <c r="T82">
        <f>Year_2032!T85/Year_2025!T85</f>
        <v>1.0247349823321554</v>
      </c>
      <c r="U82">
        <f>Year_2032!U85/Year_2025!U85</f>
        <v>1</v>
      </c>
      <c r="V82">
        <f>Year_2032!V85/Year_2025!V85</f>
        <v>1.0060422960725075</v>
      </c>
      <c r="W82">
        <f>Year_2032!W85/Year_2025!W85</f>
        <v>1</v>
      </c>
      <c r="X82">
        <f>Year_2032!X85/Year_2025!X85</f>
        <v>1</v>
      </c>
      <c r="Y82" t="e">
        <f>Year_2032!Y85/Year_2025!Y85</f>
        <v>#DIV/0!</v>
      </c>
      <c r="Z82" t="e">
        <f>Year_2032!Z85/Year_2025!Z85</f>
        <v>#DIV/0!</v>
      </c>
      <c r="AA82" t="e">
        <f>Year_2032!AA85/Year_2025!AA85</f>
        <v>#VALUE!</v>
      </c>
      <c r="AB82">
        <f>Year_2032!AB85/Year_2025!AB85</f>
        <v>1.2035087719298245</v>
      </c>
      <c r="AC82">
        <f>Year_2032!AC85/Year_2025!AC85</f>
        <v>1.2057761732851986</v>
      </c>
      <c r="AD82">
        <f>Year_2032!AD85/Year_2025!AD85</f>
        <v>1.1923076923076925</v>
      </c>
      <c r="AE82">
        <f>Year_2032!AE85/Year_2025!AE85</f>
        <v>1.1794871794871795</v>
      </c>
      <c r="AF82">
        <f>Year_2032!AF85/Year_2025!AF85</f>
        <v>1.1873111782477341</v>
      </c>
      <c r="AG82">
        <f>Year_2032!AG85/Year_2025!AG85</f>
        <v>1.2303206997084546</v>
      </c>
      <c r="AH82">
        <f>Year_2032!AH85/Year_2025!AH85</f>
        <v>1.0589970501474926</v>
      </c>
      <c r="AI82">
        <f>Year_2032!AI85/Year_2025!AI85</f>
        <v>1.0240240240240241</v>
      </c>
      <c r="AJ82">
        <f>Year_2032!AJ85/Year_2025!AJ85</f>
        <v>0.9509803921568627</v>
      </c>
      <c r="AK82">
        <f>Year_2032!AK85/Year_2025!AK85</f>
        <v>1</v>
      </c>
      <c r="AL82" t="e">
        <f>Year_2032!AL85/Year_2025!AL85</f>
        <v>#DIV/0!</v>
      </c>
      <c r="AM82" t="e">
        <f>Year_2032!AM85/Year_2025!AM85</f>
        <v>#DIV/0!</v>
      </c>
      <c r="AN82" t="e">
        <f>Year_2032!AN85/Year_2025!AN85</f>
        <v>#VALUE!</v>
      </c>
      <c r="AO82">
        <f>Year_2032!AO85/Year_2025!AO85</f>
        <v>1.3478260869565217</v>
      </c>
      <c r="AP82">
        <f>Year_2032!AP85/Year_2025!AP85</f>
        <v>1.4999999999999998</v>
      </c>
      <c r="AQ82">
        <f>Year_2032!AQ85/Year_2025!AQ85</f>
        <v>2.166666666666667</v>
      </c>
      <c r="AR82">
        <f>Year_2032!AR85/Year_2025!AR85</f>
        <v>2.625</v>
      </c>
      <c r="AS82">
        <f>Year_2032!AS85/Year_2025!AS85</f>
        <v>1.8666666666666669</v>
      </c>
      <c r="AT82">
        <f>Year_2032!AT85/Year_2025!AT85</f>
        <v>1.7222222222222223</v>
      </c>
      <c r="AU82">
        <f>Year_2032!AU85/Year_2025!AU85</f>
        <v>4</v>
      </c>
      <c r="AV82">
        <f>Year_2032!AV85/Year_2025!AV85</f>
        <v>2</v>
      </c>
      <c r="AW82">
        <f>Year_2032!AW85/Year_2025!AW85</f>
        <v>0.8571428571428571</v>
      </c>
      <c r="AX82">
        <f>Year_2032!AX85/Year_2025!AX85</f>
        <v>1</v>
      </c>
    </row>
    <row r="83" spans="2:50" x14ac:dyDescent="0.3">
      <c r="B83" t="str">
        <f>Year_2032!B86</f>
        <v>PM-Late</v>
      </c>
      <c r="C83">
        <f>Year_2032!C86/Year_2025!C86</f>
        <v>2.2045908183632736</v>
      </c>
      <c r="D83">
        <f>Year_2032!D86/Year_2025!D86</f>
        <v>2.2400249376558605</v>
      </c>
      <c r="E83">
        <f>Year_2032!E86/Year_2025!E86</f>
        <v>2.2564290962527553</v>
      </c>
      <c r="F83">
        <f>Year_2032!F86/Year_2025!F86</f>
        <v>1.7949400798934754</v>
      </c>
      <c r="G83">
        <f>Year_2032!G86/Year_2025!G86</f>
        <v>2.2364152473641523</v>
      </c>
      <c r="H83">
        <f>Year_2032!H86/Year_2025!H86</f>
        <v>2.1966780912206696</v>
      </c>
      <c r="I83">
        <f>Year_2032!I86/Year_2025!I86</f>
        <v>2.1391585760517802</v>
      </c>
      <c r="J83">
        <f>Year_2032!J86/Year_2025!J86</f>
        <v>1.7938931297709924</v>
      </c>
      <c r="K83">
        <f>Year_2032!K86/Year_2025!K86</f>
        <v>1.3990963855421685</v>
      </c>
      <c r="L83">
        <f>Year_2032!L86/Year_2025!L86</f>
        <v>1.5677915926583776</v>
      </c>
      <c r="M83" t="e">
        <f>Year_2032!M86/Year_2025!M86</f>
        <v>#DIV/0!</v>
      </c>
      <c r="N83" t="str">
        <f>Year_2032!N86</f>
        <v>PM-Late</v>
      </c>
      <c r="O83">
        <f>Year_2032!O86/Year_2025!O86</f>
        <v>1</v>
      </c>
      <c r="P83">
        <f>Year_2032!P86/Year_2025!P86</f>
        <v>1</v>
      </c>
      <c r="Q83">
        <f>Year_2032!Q86/Year_2025!Q86</f>
        <v>1</v>
      </c>
      <c r="R83">
        <f>Year_2032!R86/Year_2025!R86</f>
        <v>1</v>
      </c>
      <c r="S83">
        <f>Year_2032!S86/Year_2025!S86</f>
        <v>1</v>
      </c>
      <c r="T83">
        <f>Year_2032!T86/Year_2025!T86</f>
        <v>1</v>
      </c>
      <c r="U83">
        <f>Year_2032!U86/Year_2025!U86</f>
        <v>1</v>
      </c>
      <c r="V83">
        <f>Year_2032!V86/Year_2025!V86</f>
        <v>1</v>
      </c>
      <c r="W83">
        <f>Year_2032!W86/Year_2025!W86</f>
        <v>1</v>
      </c>
      <c r="X83">
        <f>Year_2032!X86/Year_2025!X86</f>
        <v>1</v>
      </c>
      <c r="Y83" t="e">
        <f>Year_2032!Y86/Year_2025!Y86</f>
        <v>#DIV/0!</v>
      </c>
      <c r="Z83" t="e">
        <f>Year_2032!Z86/Year_2025!Z86</f>
        <v>#DIV/0!</v>
      </c>
      <c r="AA83" t="e">
        <f>Year_2032!AA86/Year_2025!AA86</f>
        <v>#VALUE!</v>
      </c>
      <c r="AB83">
        <f>Year_2032!AB86/Year_2025!AB86</f>
        <v>1.04</v>
      </c>
      <c r="AC83">
        <f>Year_2032!AC86/Year_2025!AC86</f>
        <v>1.04</v>
      </c>
      <c r="AD83">
        <f>Year_2032!AD86/Year_2025!AD86</f>
        <v>1.0658914728682169</v>
      </c>
      <c r="AE83">
        <f>Year_2032!AE86/Year_2025!AE86</f>
        <v>1.004</v>
      </c>
      <c r="AF83">
        <f>Year_2032!AF86/Year_2025!AF86</f>
        <v>1.0605095541401273</v>
      </c>
      <c r="AG83">
        <f>Year_2032!AG86/Year_2025!AG86</f>
        <v>1.0480769230769231</v>
      </c>
      <c r="AH83">
        <f>Year_2032!AH86/Year_2025!AH86</f>
        <v>1.0239520958083832</v>
      </c>
      <c r="AI83">
        <f>Year_2032!AI86/Year_2025!AI86</f>
        <v>1</v>
      </c>
      <c r="AJ83">
        <f>Year_2032!AJ86/Year_2025!AJ86</f>
        <v>1</v>
      </c>
      <c r="AK83">
        <f>Year_2032!AK86/Year_2025!AK86</f>
        <v>1.04</v>
      </c>
      <c r="AL83" t="e">
        <f>Year_2032!AL86/Year_2025!AL86</f>
        <v>#DIV/0!</v>
      </c>
      <c r="AM83" t="e">
        <f>Year_2032!AM86/Year_2025!AM86</f>
        <v>#DIV/0!</v>
      </c>
      <c r="AN83" t="e">
        <f>Year_2032!AN86/Year_2025!AN86</f>
        <v>#VALUE!</v>
      </c>
      <c r="AO83">
        <f>Year_2032!AO86/Year_2025!AO86</f>
        <v>3</v>
      </c>
      <c r="AP83">
        <f>Year_2032!AP86/Year_2025!AP86</f>
        <v>3</v>
      </c>
      <c r="AQ83">
        <f>Year_2032!AQ86/Year_2025!AQ86</f>
        <v>3</v>
      </c>
      <c r="AR83" t="e">
        <f>Year_2032!AR86/Year_2025!AR86</f>
        <v>#DIV/0!</v>
      </c>
      <c r="AS83">
        <f>Year_2032!AS86/Year_2025!AS86</f>
        <v>1.4545454545454546</v>
      </c>
      <c r="AT83">
        <f>Year_2032!AT86/Year_2025!AT86</f>
        <v>1.4000000000000001</v>
      </c>
      <c r="AU83">
        <f>Year_2032!AU86/Year_2025!AU86</f>
        <v>3</v>
      </c>
      <c r="AV83" t="e">
        <f>Year_2032!AV86/Year_2025!AV86</f>
        <v>#DIV/0!</v>
      </c>
      <c r="AW83">
        <f>Year_2032!AW86/Year_2025!AW86</f>
        <v>1</v>
      </c>
      <c r="AX83">
        <f>Year_2032!AX86/Year_2025!AX86</f>
        <v>1.1499999999999999</v>
      </c>
    </row>
    <row r="84" spans="2:50" x14ac:dyDescent="0.3">
      <c r="B84">
        <f>Year_2032!B87</f>
        <v>0</v>
      </c>
      <c r="C84" t="e">
        <f>Year_2032!C87/Year_2025!C87</f>
        <v>#DIV/0!</v>
      </c>
      <c r="D84" t="e">
        <f>Year_2032!D87/Year_2025!D87</f>
        <v>#DIV/0!</v>
      </c>
      <c r="E84" t="e">
        <f>Year_2032!E87/Year_2025!E87</f>
        <v>#DIV/0!</v>
      </c>
      <c r="F84" t="e">
        <f>Year_2032!F87/Year_2025!F87</f>
        <v>#DIV/0!</v>
      </c>
      <c r="G84" t="e">
        <f>Year_2032!G87/Year_2025!G87</f>
        <v>#DIV/0!</v>
      </c>
      <c r="H84" t="e">
        <f>Year_2032!H87/Year_2025!H87</f>
        <v>#DIV/0!</v>
      </c>
      <c r="I84" t="e">
        <f>Year_2032!I87/Year_2025!I87</f>
        <v>#DIV/0!</v>
      </c>
      <c r="J84" t="e">
        <f>Year_2032!J87/Year_2025!J87</f>
        <v>#DIV/0!</v>
      </c>
      <c r="K84" t="e">
        <f>Year_2032!K87/Year_2025!K87</f>
        <v>#DIV/0!</v>
      </c>
      <c r="L84" t="e">
        <f>Year_2032!L87/Year_2025!L87</f>
        <v>#DIV/0!</v>
      </c>
      <c r="M84" t="e">
        <f>Year_2032!M87/Year_2025!M87</f>
        <v>#DIV/0!</v>
      </c>
      <c r="N84">
        <f>Year_2032!N87</f>
        <v>0</v>
      </c>
      <c r="O84" t="e">
        <f>Year_2032!O87/Year_2025!O87</f>
        <v>#DIV/0!</v>
      </c>
      <c r="P84" t="e">
        <f>Year_2032!P87/Year_2025!P87</f>
        <v>#DIV/0!</v>
      </c>
      <c r="Q84" t="e">
        <f>Year_2032!Q87/Year_2025!Q87</f>
        <v>#DIV/0!</v>
      </c>
      <c r="R84" t="e">
        <f>Year_2032!R87/Year_2025!R87</f>
        <v>#DIV/0!</v>
      </c>
      <c r="S84" t="e">
        <f>Year_2032!S87/Year_2025!S87</f>
        <v>#DIV/0!</v>
      </c>
      <c r="T84" t="e">
        <f>Year_2032!T87/Year_2025!T87</f>
        <v>#DIV/0!</v>
      </c>
      <c r="U84" t="e">
        <f>Year_2032!U87/Year_2025!U87</f>
        <v>#DIV/0!</v>
      </c>
      <c r="V84" t="e">
        <f>Year_2032!V87/Year_2025!V87</f>
        <v>#DIV/0!</v>
      </c>
      <c r="W84" t="e">
        <f>Year_2032!W87/Year_2025!W87</f>
        <v>#DIV/0!</v>
      </c>
      <c r="X84" t="e">
        <f>Year_2032!X87/Year_2025!X87</f>
        <v>#DIV/0!</v>
      </c>
      <c r="Y84" t="e">
        <f>Year_2032!Y87/Year_2025!Y87</f>
        <v>#DIV/0!</v>
      </c>
      <c r="Z84" t="e">
        <f>Year_2032!Z87/Year_2025!Z87</f>
        <v>#DIV/0!</v>
      </c>
      <c r="AA84" t="e">
        <f>Year_2032!AA87/Year_2025!AA87</f>
        <v>#DIV/0!</v>
      </c>
      <c r="AB84" t="e">
        <f>Year_2032!AB87/Year_2025!AB87</f>
        <v>#DIV/0!</v>
      </c>
      <c r="AC84" t="e">
        <f>Year_2032!AC87/Year_2025!AC87</f>
        <v>#DIV/0!</v>
      </c>
      <c r="AD84" t="e">
        <f>Year_2032!AD87/Year_2025!AD87</f>
        <v>#DIV/0!</v>
      </c>
      <c r="AE84" t="e">
        <f>Year_2032!AE87/Year_2025!AE87</f>
        <v>#DIV/0!</v>
      </c>
      <c r="AF84" t="e">
        <f>Year_2032!AF87/Year_2025!AF87</f>
        <v>#DIV/0!</v>
      </c>
      <c r="AG84" t="e">
        <f>Year_2032!AG87/Year_2025!AG87</f>
        <v>#DIV/0!</v>
      </c>
      <c r="AH84" t="e">
        <f>Year_2032!AH87/Year_2025!AH87</f>
        <v>#DIV/0!</v>
      </c>
      <c r="AI84" t="e">
        <f>Year_2032!AI87/Year_2025!AI87</f>
        <v>#DIV/0!</v>
      </c>
      <c r="AJ84" t="e">
        <f>Year_2032!AJ87/Year_2025!AJ87</f>
        <v>#DIV/0!</v>
      </c>
      <c r="AK84" t="e">
        <f>Year_2032!AK87/Year_2025!AK87</f>
        <v>#DIV/0!</v>
      </c>
      <c r="AL84" t="e">
        <f>Year_2032!AL87/Year_2025!AL87</f>
        <v>#DIV/0!</v>
      </c>
      <c r="AM84" t="e">
        <f>Year_2032!AM87/Year_2025!AM87</f>
        <v>#DIV/0!</v>
      </c>
      <c r="AN84" t="e">
        <f>Year_2032!AN87/Year_2025!AN87</f>
        <v>#DIV/0!</v>
      </c>
      <c r="AO84" t="e">
        <f>Year_2032!AO87/Year_2025!AO87</f>
        <v>#DIV/0!</v>
      </c>
      <c r="AP84" t="e">
        <f>Year_2032!AP87/Year_2025!AP87</f>
        <v>#DIV/0!</v>
      </c>
      <c r="AQ84" t="e">
        <f>Year_2032!AQ87/Year_2025!AQ87</f>
        <v>#DIV/0!</v>
      </c>
      <c r="AR84" t="e">
        <f>Year_2032!AR87/Year_2025!AR87</f>
        <v>#DIV/0!</v>
      </c>
      <c r="AS84" t="e">
        <f>Year_2032!AS87/Year_2025!AS87</f>
        <v>#DIV/0!</v>
      </c>
      <c r="AT84" t="e">
        <f>Year_2032!AT87/Year_2025!AT87</f>
        <v>#DIV/0!</v>
      </c>
      <c r="AU84" t="e">
        <f>Year_2032!AU87/Year_2025!AU87</f>
        <v>#DIV/0!</v>
      </c>
      <c r="AV84" t="e">
        <f>Year_2032!AV87/Year_2025!AV87</f>
        <v>#DIV/0!</v>
      </c>
      <c r="AW84" t="e">
        <f>Year_2032!AW87/Year_2025!AW87</f>
        <v>#DIV/0!</v>
      </c>
      <c r="AX84" t="e">
        <f>Year_2032!AX87/Year_2025!AX87</f>
        <v>#DIV/0!</v>
      </c>
    </row>
    <row r="85" spans="2:50" x14ac:dyDescent="0.3">
      <c r="B85">
        <f>Year_2032!B88</f>
        <v>0</v>
      </c>
      <c r="C85" t="e">
        <f>Year_2032!C88/Year_2025!C88</f>
        <v>#DIV/0!</v>
      </c>
      <c r="D85" t="e">
        <f>Year_2032!D88/Year_2025!D88</f>
        <v>#DIV/0!</v>
      </c>
      <c r="E85" t="e">
        <f>Year_2032!E88/Year_2025!E88</f>
        <v>#DIV/0!</v>
      </c>
      <c r="F85" t="e">
        <f>Year_2032!F88/Year_2025!F88</f>
        <v>#DIV/0!</v>
      </c>
      <c r="G85" t="e">
        <f>Year_2032!G88/Year_2025!G88</f>
        <v>#DIV/0!</v>
      </c>
      <c r="H85" t="e">
        <f>Year_2032!H88/Year_2025!H88</f>
        <v>#DIV/0!</v>
      </c>
      <c r="I85" t="e">
        <f>Year_2032!I88/Year_2025!I88</f>
        <v>#DIV/0!</v>
      </c>
      <c r="J85" t="e">
        <f>Year_2032!J88/Year_2025!J88</f>
        <v>#DIV/0!</v>
      </c>
      <c r="K85" t="e">
        <f>Year_2032!K88/Year_2025!K88</f>
        <v>#DIV/0!</v>
      </c>
      <c r="L85" t="e">
        <f>Year_2032!L88/Year_2025!L88</f>
        <v>#DIV/0!</v>
      </c>
      <c r="M85" t="e">
        <f>Year_2032!M88/Year_2025!M88</f>
        <v>#DIV/0!</v>
      </c>
      <c r="N85">
        <f>Year_2032!N88</f>
        <v>0</v>
      </c>
      <c r="O85" t="e">
        <f>Year_2032!O88/Year_2025!O88</f>
        <v>#DIV/0!</v>
      </c>
      <c r="P85" t="e">
        <f>Year_2032!P88/Year_2025!P88</f>
        <v>#DIV/0!</v>
      </c>
      <c r="Q85" t="e">
        <f>Year_2032!Q88/Year_2025!Q88</f>
        <v>#DIV/0!</v>
      </c>
      <c r="R85" t="e">
        <f>Year_2032!R88/Year_2025!R88</f>
        <v>#DIV/0!</v>
      </c>
      <c r="S85" t="e">
        <f>Year_2032!S88/Year_2025!S88</f>
        <v>#DIV/0!</v>
      </c>
      <c r="T85" t="e">
        <f>Year_2032!T88/Year_2025!T88</f>
        <v>#DIV/0!</v>
      </c>
      <c r="U85" t="e">
        <f>Year_2032!U88/Year_2025!U88</f>
        <v>#DIV/0!</v>
      </c>
      <c r="V85" t="e">
        <f>Year_2032!V88/Year_2025!V88</f>
        <v>#DIV/0!</v>
      </c>
      <c r="W85" t="e">
        <f>Year_2032!W88/Year_2025!W88</f>
        <v>#DIV/0!</v>
      </c>
      <c r="X85" t="e">
        <f>Year_2032!X88/Year_2025!X88</f>
        <v>#DIV/0!</v>
      </c>
      <c r="Y85" t="e">
        <f>Year_2032!Y88/Year_2025!Y88</f>
        <v>#DIV/0!</v>
      </c>
      <c r="Z85" t="e">
        <f>Year_2032!Z88/Year_2025!Z88</f>
        <v>#DIV/0!</v>
      </c>
      <c r="AA85" t="e">
        <f>Year_2032!AA88/Year_2025!AA88</f>
        <v>#DIV/0!</v>
      </c>
      <c r="AB85" t="e">
        <f>Year_2032!AB88/Year_2025!AB88</f>
        <v>#DIV/0!</v>
      </c>
      <c r="AC85" t="e">
        <f>Year_2032!AC88/Year_2025!AC88</f>
        <v>#DIV/0!</v>
      </c>
      <c r="AD85" t="e">
        <f>Year_2032!AD88/Year_2025!AD88</f>
        <v>#DIV/0!</v>
      </c>
      <c r="AE85" t="e">
        <f>Year_2032!AE88/Year_2025!AE88</f>
        <v>#DIV/0!</v>
      </c>
      <c r="AF85" t="e">
        <f>Year_2032!AF88/Year_2025!AF88</f>
        <v>#DIV/0!</v>
      </c>
      <c r="AG85" t="e">
        <f>Year_2032!AG88/Year_2025!AG88</f>
        <v>#DIV/0!</v>
      </c>
      <c r="AH85" t="e">
        <f>Year_2032!AH88/Year_2025!AH88</f>
        <v>#DIV/0!</v>
      </c>
      <c r="AI85" t="e">
        <f>Year_2032!AI88/Year_2025!AI88</f>
        <v>#DIV/0!</v>
      </c>
      <c r="AJ85" t="e">
        <f>Year_2032!AJ88/Year_2025!AJ88</f>
        <v>#DIV/0!</v>
      </c>
      <c r="AK85" t="e">
        <f>Year_2032!AK88/Year_2025!AK88</f>
        <v>#DIV/0!</v>
      </c>
      <c r="AL85" t="e">
        <f>Year_2032!AL88/Year_2025!AL88</f>
        <v>#DIV/0!</v>
      </c>
      <c r="AM85" t="e">
        <f>Year_2032!AM88/Year_2025!AM88</f>
        <v>#DIV/0!</v>
      </c>
      <c r="AN85" t="e">
        <f>Year_2032!AN88/Year_2025!AN88</f>
        <v>#DIV/0!</v>
      </c>
      <c r="AO85" t="e">
        <f>Year_2032!AO88/Year_2025!AO88</f>
        <v>#DIV/0!</v>
      </c>
      <c r="AP85" t="e">
        <f>Year_2032!AP88/Year_2025!AP88</f>
        <v>#DIV/0!</v>
      </c>
      <c r="AQ85" t="e">
        <f>Year_2032!AQ88/Year_2025!AQ88</f>
        <v>#DIV/0!</v>
      </c>
      <c r="AR85" t="e">
        <f>Year_2032!AR88/Year_2025!AR88</f>
        <v>#DIV/0!</v>
      </c>
      <c r="AS85" t="e">
        <f>Year_2032!AS88/Year_2025!AS88</f>
        <v>#DIV/0!</v>
      </c>
      <c r="AT85" t="e">
        <f>Year_2032!AT88/Year_2025!AT88</f>
        <v>#DIV/0!</v>
      </c>
      <c r="AU85" t="e">
        <f>Year_2032!AU88/Year_2025!AU88</f>
        <v>#DIV/0!</v>
      </c>
      <c r="AV85" t="e">
        <f>Year_2032!AV88/Year_2025!AV88</f>
        <v>#DIV/0!</v>
      </c>
      <c r="AW85" t="e">
        <f>Year_2032!AW88/Year_2025!AW88</f>
        <v>#DIV/0!</v>
      </c>
      <c r="AX85" t="e">
        <f>Year_2032!AX88/Year_2025!AX88</f>
        <v>#DIV/0!</v>
      </c>
    </row>
    <row r="86" spans="2:50" x14ac:dyDescent="0.3">
      <c r="B86" t="str">
        <f>Year_2032!B89</f>
        <v>Revenue Per Period Heavy A</v>
      </c>
      <c r="C86" t="e">
        <f>Year_2032!C89/Year_2025!C89</f>
        <v>#DIV/0!</v>
      </c>
      <c r="D86" t="e">
        <f>Year_2032!D89/Year_2025!D89</f>
        <v>#DIV/0!</v>
      </c>
      <c r="E86" t="e">
        <f>Year_2032!E89/Year_2025!E89</f>
        <v>#DIV/0!</v>
      </c>
      <c r="F86" t="e">
        <f>Year_2032!F89/Year_2025!F89</f>
        <v>#DIV/0!</v>
      </c>
      <c r="G86" t="e">
        <f>Year_2032!G89/Year_2025!G89</f>
        <v>#DIV/0!</v>
      </c>
      <c r="H86" t="e">
        <f>Year_2032!H89/Year_2025!H89</f>
        <v>#DIV/0!</v>
      </c>
      <c r="I86" t="e">
        <f>Year_2032!I89/Year_2025!I89</f>
        <v>#DIV/0!</v>
      </c>
      <c r="J86" t="e">
        <f>Year_2032!J89/Year_2025!J89</f>
        <v>#DIV/0!</v>
      </c>
      <c r="K86" t="e">
        <f>Year_2032!K89/Year_2025!K89</f>
        <v>#DIV/0!</v>
      </c>
      <c r="L86" t="e">
        <f>Year_2032!L89/Year_2025!L89</f>
        <v>#DIV/0!</v>
      </c>
      <c r="M86" t="e">
        <f>Year_2032!M89/Year_2025!M89</f>
        <v>#DIV/0!</v>
      </c>
      <c r="N86" t="str">
        <f>Year_2032!N89</f>
        <v>ML light veh.Miles</v>
      </c>
      <c r="O86" t="e">
        <f>Year_2032!O89/Year_2025!O89</f>
        <v>#DIV/0!</v>
      </c>
      <c r="P86" t="e">
        <f>Year_2032!P89/Year_2025!P89</f>
        <v>#DIV/0!</v>
      </c>
      <c r="Q86" t="e">
        <f>Year_2032!Q89/Year_2025!Q89</f>
        <v>#DIV/0!</v>
      </c>
      <c r="R86" t="e">
        <f>Year_2032!R89/Year_2025!R89</f>
        <v>#DIV/0!</v>
      </c>
      <c r="S86" t="e">
        <f>Year_2032!S89/Year_2025!S89</f>
        <v>#DIV/0!</v>
      </c>
      <c r="T86" t="e">
        <f>Year_2032!T89/Year_2025!T89</f>
        <v>#DIV/0!</v>
      </c>
      <c r="U86" t="e">
        <f>Year_2032!U89/Year_2025!U89</f>
        <v>#DIV/0!</v>
      </c>
      <c r="V86" t="e">
        <f>Year_2032!V89/Year_2025!V89</f>
        <v>#DIV/0!</v>
      </c>
      <c r="W86" t="e">
        <f>Year_2032!W89/Year_2025!W89</f>
        <v>#DIV/0!</v>
      </c>
      <c r="X86" t="e">
        <f>Year_2032!X89/Year_2025!X89</f>
        <v>#DIV/0!</v>
      </c>
      <c r="Y86" t="e">
        <f>Year_2032!Y89/Year_2025!Y89</f>
        <v>#DIV/0!</v>
      </c>
      <c r="Z86" t="e">
        <f>Year_2032!Z89/Year_2025!Z89</f>
        <v>#DIV/0!</v>
      </c>
      <c r="AA86" t="e">
        <f>Year_2032!AA89/Year_2025!AA89</f>
        <v>#VALUE!</v>
      </c>
      <c r="AB86" t="e">
        <f>Year_2032!AB89/Year_2025!AB89</f>
        <v>#DIV/0!</v>
      </c>
      <c r="AC86" t="e">
        <f>Year_2032!AC89/Year_2025!AC89</f>
        <v>#DIV/0!</v>
      </c>
      <c r="AD86" t="e">
        <f>Year_2032!AD89/Year_2025!AD89</f>
        <v>#DIV/0!</v>
      </c>
      <c r="AE86" t="e">
        <f>Year_2032!AE89/Year_2025!AE89</f>
        <v>#DIV/0!</v>
      </c>
      <c r="AF86" t="e">
        <f>Year_2032!AF89/Year_2025!AF89</f>
        <v>#DIV/0!</v>
      </c>
      <c r="AG86" t="e">
        <f>Year_2032!AG89/Year_2025!AG89</f>
        <v>#DIV/0!</v>
      </c>
      <c r="AH86" t="e">
        <f>Year_2032!AH89/Year_2025!AH89</f>
        <v>#DIV/0!</v>
      </c>
      <c r="AI86" t="e">
        <f>Year_2032!AI89/Year_2025!AI89</f>
        <v>#DIV/0!</v>
      </c>
      <c r="AJ86" t="e">
        <f>Year_2032!AJ89/Year_2025!AJ89</f>
        <v>#DIV/0!</v>
      </c>
      <c r="AK86" t="e">
        <f>Year_2032!AK89/Year_2025!AK89</f>
        <v>#DIV/0!</v>
      </c>
      <c r="AL86" t="e">
        <f>Year_2032!AL89/Year_2025!AL89</f>
        <v>#DIV/0!</v>
      </c>
      <c r="AM86" t="e">
        <f>Year_2032!AM89/Year_2025!AM89</f>
        <v>#DIV/0!</v>
      </c>
      <c r="AN86" t="e">
        <f>Year_2032!AN89/Year_2025!AN89</f>
        <v>#VALUE!</v>
      </c>
      <c r="AO86" t="e">
        <f>Year_2032!AO89/Year_2025!AO89</f>
        <v>#DIV/0!</v>
      </c>
      <c r="AP86" t="e">
        <f>Year_2032!AP89/Year_2025!AP89</f>
        <v>#DIV/0!</v>
      </c>
      <c r="AQ86" t="e">
        <f>Year_2032!AQ89/Year_2025!AQ89</f>
        <v>#DIV/0!</v>
      </c>
      <c r="AR86" t="e">
        <f>Year_2032!AR89/Year_2025!AR89</f>
        <v>#DIV/0!</v>
      </c>
      <c r="AS86" t="e">
        <f>Year_2032!AS89/Year_2025!AS89</f>
        <v>#DIV/0!</v>
      </c>
      <c r="AT86" t="e">
        <f>Year_2032!AT89/Year_2025!AT89</f>
        <v>#DIV/0!</v>
      </c>
      <c r="AU86" t="e">
        <f>Year_2032!AU89/Year_2025!AU89</f>
        <v>#DIV/0!</v>
      </c>
      <c r="AV86" t="e">
        <f>Year_2032!AV89/Year_2025!AV89</f>
        <v>#DIV/0!</v>
      </c>
      <c r="AW86" t="e">
        <f>Year_2032!AW89/Year_2025!AW89</f>
        <v>#DIV/0!</v>
      </c>
      <c r="AX86" t="e">
        <f>Year_2032!AX89/Year_2025!AX89</f>
        <v>#DIV/0!</v>
      </c>
    </row>
    <row r="87" spans="2:50" x14ac:dyDescent="0.3">
      <c r="B87" t="str">
        <f>Year_2032!B90</f>
        <v>Direction</v>
      </c>
      <c r="C87" t="e">
        <f>Year_2032!C90/Year_2025!C90</f>
        <v>#VALUE!</v>
      </c>
      <c r="D87" t="e">
        <f>Year_2032!D90/Year_2025!D90</f>
        <v>#VALUE!</v>
      </c>
      <c r="E87" t="e">
        <f>Year_2032!E90/Year_2025!E90</f>
        <v>#VALUE!</v>
      </c>
      <c r="F87" t="e">
        <f>Year_2032!F90/Year_2025!F90</f>
        <v>#VALUE!</v>
      </c>
      <c r="G87" t="e">
        <f>Year_2032!G90/Year_2025!G90</f>
        <v>#VALUE!</v>
      </c>
      <c r="H87" t="e">
        <f>Year_2032!H90/Year_2025!H90</f>
        <v>#VALUE!</v>
      </c>
      <c r="I87" t="e">
        <f>Year_2032!I90/Year_2025!I90</f>
        <v>#VALUE!</v>
      </c>
      <c r="J87" t="e">
        <f>Year_2032!J90/Year_2025!J90</f>
        <v>#VALUE!</v>
      </c>
      <c r="K87" t="e">
        <f>Year_2032!K90/Year_2025!K90</f>
        <v>#VALUE!</v>
      </c>
      <c r="L87" t="e">
        <f>Year_2032!L90/Year_2025!L90</f>
        <v>#VALUE!</v>
      </c>
      <c r="M87" t="e">
        <f>Year_2032!M90/Year_2025!M90</f>
        <v>#DIV/0!</v>
      </c>
      <c r="N87" t="str">
        <f>Year_2032!N90</f>
        <v>Direction</v>
      </c>
      <c r="O87" t="e">
        <f>Year_2032!O90/Year_2025!O90</f>
        <v>#VALUE!</v>
      </c>
      <c r="P87" t="e">
        <f>Year_2032!P90/Year_2025!P90</f>
        <v>#DIV/0!</v>
      </c>
      <c r="Q87" t="e">
        <f>Year_2032!Q90/Year_2025!Q90</f>
        <v>#DIV/0!</v>
      </c>
      <c r="R87" t="e">
        <f>Year_2032!R90/Year_2025!R90</f>
        <v>#DIV/0!</v>
      </c>
      <c r="S87" t="e">
        <f>Year_2032!S90/Year_2025!S90</f>
        <v>#DIV/0!</v>
      </c>
      <c r="T87" t="e">
        <f>Year_2032!T90/Year_2025!T90</f>
        <v>#VALUE!</v>
      </c>
      <c r="U87" t="e">
        <f>Year_2032!U90/Year_2025!U90</f>
        <v>#DIV/0!</v>
      </c>
      <c r="V87" t="e">
        <f>Year_2032!V90/Year_2025!V90</f>
        <v>#DIV/0!</v>
      </c>
      <c r="W87" t="e">
        <f>Year_2032!W90/Year_2025!W90</f>
        <v>#DIV/0!</v>
      </c>
      <c r="X87" t="e">
        <f>Year_2032!X90/Year_2025!X90</f>
        <v>#DIV/0!</v>
      </c>
      <c r="Y87" t="e">
        <f>Year_2032!Y90/Year_2025!Y90</f>
        <v>#DIV/0!</v>
      </c>
      <c r="Z87" t="e">
        <f>Year_2032!Z90/Year_2025!Z90</f>
        <v>#DIV/0!</v>
      </c>
      <c r="AA87" t="e">
        <f>Year_2032!AA90/Year_2025!AA90</f>
        <v>#VALUE!</v>
      </c>
      <c r="AB87" t="e">
        <f>Year_2032!AB90/Year_2025!AB90</f>
        <v>#VALUE!</v>
      </c>
      <c r="AC87" t="e">
        <f>Year_2032!AC90/Year_2025!AC90</f>
        <v>#DIV/0!</v>
      </c>
      <c r="AD87" t="e">
        <f>Year_2032!AD90/Year_2025!AD90</f>
        <v>#DIV/0!</v>
      </c>
      <c r="AE87" t="e">
        <f>Year_2032!AE90/Year_2025!AE90</f>
        <v>#DIV/0!</v>
      </c>
      <c r="AF87" t="e">
        <f>Year_2032!AF90/Year_2025!AF90</f>
        <v>#DIV/0!</v>
      </c>
      <c r="AG87" t="e">
        <f>Year_2032!AG90/Year_2025!AG90</f>
        <v>#VALUE!</v>
      </c>
      <c r="AH87" t="e">
        <f>Year_2032!AH90/Year_2025!AH90</f>
        <v>#DIV/0!</v>
      </c>
      <c r="AI87" t="e">
        <f>Year_2032!AI90/Year_2025!AI90</f>
        <v>#DIV/0!</v>
      </c>
      <c r="AJ87" t="e">
        <f>Year_2032!AJ90/Year_2025!AJ90</f>
        <v>#DIV/0!</v>
      </c>
      <c r="AK87" t="e">
        <f>Year_2032!AK90/Year_2025!AK90</f>
        <v>#DIV/0!</v>
      </c>
      <c r="AL87" t="e">
        <f>Year_2032!AL90/Year_2025!AL90</f>
        <v>#DIV/0!</v>
      </c>
      <c r="AM87" t="e">
        <f>Year_2032!AM90/Year_2025!AM90</f>
        <v>#DIV/0!</v>
      </c>
      <c r="AN87" t="e">
        <f>Year_2032!AN90/Year_2025!AN90</f>
        <v>#VALUE!</v>
      </c>
      <c r="AO87" t="e">
        <f>Year_2032!AO90/Year_2025!AO90</f>
        <v>#VALUE!</v>
      </c>
      <c r="AP87" t="e">
        <f>Year_2032!AP90/Year_2025!AP90</f>
        <v>#VALUE!</v>
      </c>
      <c r="AQ87" t="e">
        <f>Year_2032!AQ90/Year_2025!AQ90</f>
        <v>#VALUE!</v>
      </c>
      <c r="AR87" t="e">
        <f>Year_2032!AR90/Year_2025!AR90</f>
        <v>#VALUE!</v>
      </c>
      <c r="AS87" t="e">
        <f>Year_2032!AS90/Year_2025!AS90</f>
        <v>#VALUE!</v>
      </c>
      <c r="AT87" t="e">
        <f>Year_2032!AT90/Year_2025!AT90</f>
        <v>#VALUE!</v>
      </c>
      <c r="AU87" t="e">
        <f>Year_2032!AU90/Year_2025!AU90</f>
        <v>#VALUE!</v>
      </c>
      <c r="AV87" t="e">
        <f>Year_2032!AV90/Year_2025!AV90</f>
        <v>#VALUE!</v>
      </c>
      <c r="AW87" t="e">
        <f>Year_2032!AW90/Year_2025!AW90</f>
        <v>#VALUE!</v>
      </c>
      <c r="AX87" t="e">
        <f>Year_2032!AX90/Year_2025!AX90</f>
        <v>#VALUE!</v>
      </c>
    </row>
    <row r="88" spans="2:50" x14ac:dyDescent="0.3">
      <c r="B88" t="str">
        <f>Year_2032!B91</f>
        <v>Segment</v>
      </c>
      <c r="C88">
        <f>Year_2032!C91/Year_2025!C91</f>
        <v>1</v>
      </c>
      <c r="D88">
        <f>Year_2032!D91/Year_2025!D91</f>
        <v>1</v>
      </c>
      <c r="E88">
        <f>Year_2032!E91/Year_2025!E91</f>
        <v>1</v>
      </c>
      <c r="F88">
        <f>Year_2032!F91/Year_2025!F91</f>
        <v>1</v>
      </c>
      <c r="G88">
        <f>Year_2032!G91/Year_2025!G91</f>
        <v>1</v>
      </c>
      <c r="H88">
        <f>Year_2032!H91/Year_2025!H91</f>
        <v>1</v>
      </c>
      <c r="I88">
        <f>Year_2032!I91/Year_2025!I91</f>
        <v>1</v>
      </c>
      <c r="J88">
        <f>Year_2032!J91/Year_2025!J91</f>
        <v>1</v>
      </c>
      <c r="K88">
        <f>Year_2032!K91/Year_2025!K91</f>
        <v>1</v>
      </c>
      <c r="L88">
        <f>Year_2032!L91/Year_2025!L91</f>
        <v>1</v>
      </c>
      <c r="M88" t="e">
        <f>Year_2032!M91/Year_2025!M91</f>
        <v>#DIV/0!</v>
      </c>
      <c r="N88" t="str">
        <f>Year_2032!N91</f>
        <v>Segment</v>
      </c>
      <c r="O88">
        <f>Year_2032!O91/Year_2025!O91</f>
        <v>1</v>
      </c>
      <c r="P88">
        <f>Year_2032!P91/Year_2025!P91</f>
        <v>1</v>
      </c>
      <c r="Q88">
        <f>Year_2032!Q91/Year_2025!Q91</f>
        <v>1</v>
      </c>
      <c r="R88">
        <f>Year_2032!R91/Year_2025!R91</f>
        <v>1</v>
      </c>
      <c r="S88">
        <f>Year_2032!S91/Year_2025!S91</f>
        <v>1</v>
      </c>
      <c r="T88">
        <f>Year_2032!T91/Year_2025!T91</f>
        <v>1</v>
      </c>
      <c r="U88">
        <f>Year_2032!U91/Year_2025!U91</f>
        <v>1</v>
      </c>
      <c r="V88">
        <f>Year_2032!V91/Year_2025!V91</f>
        <v>1</v>
      </c>
      <c r="W88">
        <f>Year_2032!W91/Year_2025!W91</f>
        <v>1</v>
      </c>
      <c r="X88">
        <f>Year_2032!X91/Year_2025!X91</f>
        <v>1</v>
      </c>
      <c r="Y88" t="e">
        <f>Year_2032!Y91/Year_2025!Y91</f>
        <v>#DIV/0!</v>
      </c>
      <c r="Z88" t="e">
        <f>Year_2032!Z91/Year_2025!Z91</f>
        <v>#DIV/0!</v>
      </c>
      <c r="AA88" t="e">
        <f>Year_2032!AA91/Year_2025!AA91</f>
        <v>#VALUE!</v>
      </c>
      <c r="AB88">
        <f>Year_2032!AB91/Year_2025!AB91</f>
        <v>1</v>
      </c>
      <c r="AC88">
        <f>Year_2032!AC91/Year_2025!AC91</f>
        <v>1</v>
      </c>
      <c r="AD88">
        <f>Year_2032!AD91/Year_2025!AD91</f>
        <v>1</v>
      </c>
      <c r="AE88">
        <f>Year_2032!AE91/Year_2025!AE91</f>
        <v>1</v>
      </c>
      <c r="AF88">
        <f>Year_2032!AF91/Year_2025!AF91</f>
        <v>1</v>
      </c>
      <c r="AG88">
        <f>Year_2032!AG91/Year_2025!AG91</f>
        <v>1</v>
      </c>
      <c r="AH88">
        <f>Year_2032!AH91/Year_2025!AH91</f>
        <v>1</v>
      </c>
      <c r="AI88">
        <f>Year_2032!AI91/Year_2025!AI91</f>
        <v>1</v>
      </c>
      <c r="AJ88">
        <f>Year_2032!AJ91/Year_2025!AJ91</f>
        <v>1</v>
      </c>
      <c r="AK88">
        <f>Year_2032!AK91/Year_2025!AK91</f>
        <v>1</v>
      </c>
      <c r="AL88" t="e">
        <f>Year_2032!AL91/Year_2025!AL91</f>
        <v>#DIV/0!</v>
      </c>
      <c r="AM88" t="e">
        <f>Year_2032!AM91/Year_2025!AM91</f>
        <v>#DIV/0!</v>
      </c>
      <c r="AN88" t="e">
        <f>Year_2032!AN91/Year_2025!AN91</f>
        <v>#VALUE!</v>
      </c>
      <c r="AO88">
        <f>Year_2032!AO91/Year_2025!AO91</f>
        <v>1</v>
      </c>
      <c r="AP88">
        <f>Year_2032!AP91/Year_2025!AP91</f>
        <v>1</v>
      </c>
      <c r="AQ88">
        <f>Year_2032!AQ91/Year_2025!AQ91</f>
        <v>1</v>
      </c>
      <c r="AR88">
        <f>Year_2032!AR91/Year_2025!AR91</f>
        <v>1</v>
      </c>
      <c r="AS88">
        <f>Year_2032!AS91/Year_2025!AS91</f>
        <v>1</v>
      </c>
      <c r="AT88">
        <f>Year_2032!AT91/Year_2025!AT91</f>
        <v>1</v>
      </c>
      <c r="AU88">
        <f>Year_2032!AU91/Year_2025!AU91</f>
        <v>1</v>
      </c>
      <c r="AV88">
        <f>Year_2032!AV91/Year_2025!AV91</f>
        <v>1</v>
      </c>
      <c r="AW88">
        <f>Year_2032!AW91/Year_2025!AW91</f>
        <v>1</v>
      </c>
      <c r="AX88">
        <f>Year_2032!AX91/Year_2025!AX91</f>
        <v>1</v>
      </c>
    </row>
    <row r="89" spans="2:50" x14ac:dyDescent="0.3">
      <c r="B89" t="str">
        <f>Year_2032!B92</f>
        <v>Period</v>
      </c>
      <c r="C89" t="e">
        <f>Year_2032!C92/Year_2025!C92</f>
        <v>#DIV/0!</v>
      </c>
      <c r="D89" t="e">
        <f>Year_2032!D92/Year_2025!D92</f>
        <v>#DIV/0!</v>
      </c>
      <c r="E89" t="e">
        <f>Year_2032!E92/Year_2025!E92</f>
        <v>#DIV/0!</v>
      </c>
      <c r="F89" t="e">
        <f>Year_2032!F92/Year_2025!F92</f>
        <v>#DIV/0!</v>
      </c>
      <c r="G89" t="e">
        <f>Year_2032!G92/Year_2025!G92</f>
        <v>#DIV/0!</v>
      </c>
      <c r="H89" t="e">
        <f>Year_2032!H92/Year_2025!H92</f>
        <v>#DIV/0!</v>
      </c>
      <c r="I89" t="e">
        <f>Year_2032!I92/Year_2025!I92</f>
        <v>#DIV/0!</v>
      </c>
      <c r="J89" t="e">
        <f>Year_2032!J92/Year_2025!J92</f>
        <v>#DIV/0!</v>
      </c>
      <c r="K89" t="e">
        <f>Year_2032!K92/Year_2025!K92</f>
        <v>#DIV/0!</v>
      </c>
      <c r="L89" t="e">
        <f>Year_2032!L92/Year_2025!L92</f>
        <v>#DIV/0!</v>
      </c>
      <c r="M89" t="e">
        <f>Year_2032!M92/Year_2025!M92</f>
        <v>#DIV/0!</v>
      </c>
      <c r="N89" t="str">
        <f>Year_2032!N92</f>
        <v>Period</v>
      </c>
      <c r="O89" t="e">
        <f>Year_2032!O92/Year_2025!O92</f>
        <v>#DIV/0!</v>
      </c>
      <c r="P89" t="e">
        <f>Year_2032!P92/Year_2025!P92</f>
        <v>#DIV/0!</v>
      </c>
      <c r="Q89" t="e">
        <f>Year_2032!Q92/Year_2025!Q92</f>
        <v>#DIV/0!</v>
      </c>
      <c r="R89" t="e">
        <f>Year_2032!R92/Year_2025!R92</f>
        <v>#DIV/0!</v>
      </c>
      <c r="S89" t="e">
        <f>Year_2032!S92/Year_2025!S92</f>
        <v>#DIV/0!</v>
      </c>
      <c r="T89" t="e">
        <f>Year_2032!T92/Year_2025!T92</f>
        <v>#DIV/0!</v>
      </c>
      <c r="U89" t="e">
        <f>Year_2032!U92/Year_2025!U92</f>
        <v>#DIV/0!</v>
      </c>
      <c r="V89" t="e">
        <f>Year_2032!V92/Year_2025!V92</f>
        <v>#DIV/0!</v>
      </c>
      <c r="W89" t="e">
        <f>Year_2032!W92/Year_2025!W92</f>
        <v>#DIV/0!</v>
      </c>
      <c r="X89" t="e">
        <f>Year_2032!X92/Year_2025!X92</f>
        <v>#DIV/0!</v>
      </c>
      <c r="Y89" t="e">
        <f>Year_2032!Y92/Year_2025!Y92</f>
        <v>#DIV/0!</v>
      </c>
      <c r="Z89" t="e">
        <f>Year_2032!Z92/Year_2025!Z92</f>
        <v>#DIV/0!</v>
      </c>
      <c r="AA89" t="e">
        <f>Year_2032!AA92/Year_2025!AA92</f>
        <v>#VALUE!</v>
      </c>
      <c r="AB89" t="e">
        <f>Year_2032!AB92/Year_2025!AB92</f>
        <v>#DIV/0!</v>
      </c>
      <c r="AC89" t="e">
        <f>Year_2032!AC92/Year_2025!AC92</f>
        <v>#DIV/0!</v>
      </c>
      <c r="AD89" t="e">
        <f>Year_2032!AD92/Year_2025!AD92</f>
        <v>#DIV/0!</v>
      </c>
      <c r="AE89" t="e">
        <f>Year_2032!AE92/Year_2025!AE92</f>
        <v>#DIV/0!</v>
      </c>
      <c r="AF89" t="e">
        <f>Year_2032!AF92/Year_2025!AF92</f>
        <v>#DIV/0!</v>
      </c>
      <c r="AG89" t="e">
        <f>Year_2032!AG92/Year_2025!AG92</f>
        <v>#DIV/0!</v>
      </c>
      <c r="AH89" t="e">
        <f>Year_2032!AH92/Year_2025!AH92</f>
        <v>#DIV/0!</v>
      </c>
      <c r="AI89" t="e">
        <f>Year_2032!AI92/Year_2025!AI92</f>
        <v>#DIV/0!</v>
      </c>
      <c r="AJ89" t="e">
        <f>Year_2032!AJ92/Year_2025!AJ92</f>
        <v>#DIV/0!</v>
      </c>
      <c r="AK89" t="e">
        <f>Year_2032!AK92/Year_2025!AK92</f>
        <v>#DIV/0!</v>
      </c>
      <c r="AL89" t="e">
        <f>Year_2032!AL92/Year_2025!AL92</f>
        <v>#DIV/0!</v>
      </c>
      <c r="AM89" t="e">
        <f>Year_2032!AM92/Year_2025!AM92</f>
        <v>#DIV/0!</v>
      </c>
      <c r="AN89" t="e">
        <f>Year_2032!AN92/Year_2025!AN92</f>
        <v>#VALUE!</v>
      </c>
      <c r="AO89" t="e">
        <f>Year_2032!AO92/Year_2025!AO92</f>
        <v>#DIV/0!</v>
      </c>
      <c r="AP89" t="e">
        <f>Year_2032!AP92/Year_2025!AP92</f>
        <v>#DIV/0!</v>
      </c>
      <c r="AQ89" t="e">
        <f>Year_2032!AQ92/Year_2025!AQ92</f>
        <v>#DIV/0!</v>
      </c>
      <c r="AR89" t="e">
        <f>Year_2032!AR92/Year_2025!AR92</f>
        <v>#DIV/0!</v>
      </c>
      <c r="AS89" t="e">
        <f>Year_2032!AS92/Year_2025!AS92</f>
        <v>#DIV/0!</v>
      </c>
      <c r="AT89" t="e">
        <f>Year_2032!AT92/Year_2025!AT92</f>
        <v>#DIV/0!</v>
      </c>
      <c r="AU89" t="e">
        <f>Year_2032!AU92/Year_2025!AU92</f>
        <v>#DIV/0!</v>
      </c>
      <c r="AV89" t="e">
        <f>Year_2032!AV92/Year_2025!AV92</f>
        <v>#DIV/0!</v>
      </c>
      <c r="AW89" t="e">
        <f>Year_2032!AW92/Year_2025!AW92</f>
        <v>#DIV/0!</v>
      </c>
      <c r="AX89" t="e">
        <f>Year_2032!AX92/Year_2025!AX92</f>
        <v>#DIV/0!</v>
      </c>
    </row>
    <row r="90" spans="2:50" x14ac:dyDescent="0.3">
      <c r="B90" t="str">
        <f>Year_2032!B93</f>
        <v>Night</v>
      </c>
      <c r="C90">
        <f>Year_2032!C93/Year_2025!C93</f>
        <v>1.9761853525572055</v>
      </c>
      <c r="D90">
        <f>Year_2032!D93/Year_2025!D93</f>
        <v>1.976305678098762</v>
      </c>
      <c r="E90">
        <f>Year_2032!E93/Year_2025!E93</f>
        <v>1.9764966185188277</v>
      </c>
      <c r="F90">
        <f>Year_2032!F93/Year_2025!F93</f>
        <v>1.2023116126683657</v>
      </c>
      <c r="G90">
        <f>Year_2032!G93/Year_2025!G93</f>
        <v>1.178013111447302</v>
      </c>
      <c r="H90">
        <f>Year_2032!H93/Year_2025!H93</f>
        <v>1.1584886522125015</v>
      </c>
      <c r="I90">
        <f>Year_2032!I93/Year_2025!I93</f>
        <v>1.2115489874110563</v>
      </c>
      <c r="J90">
        <f>Year_2032!J93/Year_2025!J93</f>
        <v>1.2118502505649995</v>
      </c>
      <c r="K90">
        <f>Year_2032!K93/Year_2025!K93</f>
        <v>0.98919245485668261</v>
      </c>
      <c r="L90">
        <f>Year_2032!L93/Year_2025!L93</f>
        <v>0.99443215076022551</v>
      </c>
      <c r="M90" t="e">
        <f>Year_2032!M93/Year_2025!M93</f>
        <v>#DIV/0!</v>
      </c>
      <c r="N90" t="str">
        <f>Year_2032!N93</f>
        <v>Night</v>
      </c>
      <c r="O90">
        <f>Year_2032!O93/Year_2025!O93</f>
        <v>1.9730140659978761</v>
      </c>
      <c r="P90">
        <f>Year_2032!P93/Year_2025!P93</f>
        <v>1.9763148685131486</v>
      </c>
      <c r="Q90">
        <f>Year_2032!Q93/Year_2025!Q93</f>
        <v>1.3250746152951665</v>
      </c>
      <c r="R90">
        <f>Year_2032!R93/Year_2025!R93</f>
        <v>1.2114875684222517</v>
      </c>
      <c r="S90">
        <f>Year_2032!S93/Year_2025!S93</f>
        <v>0.99159698779537775</v>
      </c>
      <c r="T90">
        <f>Year_2032!T93/Year_2025!T93</f>
        <v>1.976082613688201</v>
      </c>
      <c r="U90">
        <f>Year_2032!U93/Year_2025!U93</f>
        <v>1.2023230686115614</v>
      </c>
      <c r="V90">
        <f>Year_2032!V93/Year_2025!V93</f>
        <v>1.3434929398817406</v>
      </c>
      <c r="W90">
        <f>Year_2032!W93/Year_2025!W93</f>
        <v>1.2115637759086142</v>
      </c>
      <c r="X90">
        <f>Year_2032!X93/Year_2025!X93</f>
        <v>0.99601420742193147</v>
      </c>
      <c r="Y90" t="e">
        <f>Year_2032!Y93/Year_2025!Y93</f>
        <v>#DIV/0!</v>
      </c>
      <c r="Z90" t="e">
        <f>Year_2032!Z93/Year_2025!Z93</f>
        <v>#DIV/0!</v>
      </c>
      <c r="AA90" t="e">
        <f>Year_2032!AA93/Year_2025!AA93</f>
        <v>#VALUE!</v>
      </c>
      <c r="AB90">
        <f>Year_2032!AB93/Year_2025!AB93</f>
        <v>1.1523649874263608</v>
      </c>
      <c r="AC90">
        <f>Year_2032!AC93/Year_2025!AC93</f>
        <v>1.1521912498977829</v>
      </c>
      <c r="AD90">
        <f>Year_2032!AD93/Year_2025!AD93</f>
        <v>1.2051310505758066</v>
      </c>
      <c r="AE90">
        <f>Year_2032!AE93/Year_2025!AE93</f>
        <v>1.2114877712879937</v>
      </c>
      <c r="AF90">
        <f>Year_2032!AF93/Year_2025!AF93</f>
        <v>1.0009307783907544</v>
      </c>
      <c r="AG90">
        <f>Year_2032!AG93/Year_2025!AG93</f>
        <v>1.1521552158986341</v>
      </c>
      <c r="AH90">
        <f>Year_2032!AH93/Year_2025!AH93</f>
        <v>1.2023230049779641</v>
      </c>
      <c r="AI90">
        <f>Year_2032!AI93/Year_2025!AI93</f>
        <v>1.204071137640671</v>
      </c>
      <c r="AJ90">
        <f>Year_2032!AJ93/Year_2025!AJ93</f>
        <v>1.2115637295686306</v>
      </c>
      <c r="AK90">
        <f>Year_2032!AK93/Year_2025!AK93</f>
        <v>1.0004385197130525</v>
      </c>
      <c r="AL90" t="e">
        <f>Year_2032!AL93/Year_2025!AL93</f>
        <v>#DIV/0!</v>
      </c>
      <c r="AM90" t="e">
        <f>Year_2032!AM93/Year_2025!AM93</f>
        <v>#DIV/0!</v>
      </c>
      <c r="AN90" t="e">
        <f>Year_2032!AN93/Year_2025!AN93</f>
        <v>#VALUE!</v>
      </c>
      <c r="AO90">
        <f>Year_2032!AO93/Year_2025!AO93</f>
        <v>1</v>
      </c>
      <c r="AP90">
        <f>Year_2032!AP93/Year_2025!AP93</f>
        <v>1</v>
      </c>
      <c r="AQ90">
        <f>Year_2032!AQ93/Year_2025!AQ93</f>
        <v>1</v>
      </c>
      <c r="AR90">
        <f>Year_2032!AR93/Year_2025!AR93</f>
        <v>1</v>
      </c>
      <c r="AS90">
        <f>Year_2032!AS93/Year_2025!AS93</f>
        <v>1</v>
      </c>
      <c r="AT90">
        <f>Year_2032!AT93/Year_2025!AT93</f>
        <v>1</v>
      </c>
      <c r="AU90">
        <f>Year_2032!AU93/Year_2025!AU93</f>
        <v>1</v>
      </c>
      <c r="AV90">
        <f>Year_2032!AV93/Year_2025!AV93</f>
        <v>1</v>
      </c>
      <c r="AW90">
        <f>Year_2032!AW93/Year_2025!AW93</f>
        <v>1</v>
      </c>
      <c r="AX90">
        <f>Year_2032!AX93/Year_2025!AX93</f>
        <v>1</v>
      </c>
    </row>
    <row r="91" spans="2:50" x14ac:dyDescent="0.3">
      <c r="B91" t="str">
        <f>Year_2032!B94</f>
        <v>AM-Early</v>
      </c>
      <c r="C91">
        <f>Year_2032!C94/Year_2025!C94</f>
        <v>2.1390374331550803</v>
      </c>
      <c r="D91">
        <f>Year_2032!D94/Year_2025!D94</f>
        <v>2.1624497517143535</v>
      </c>
      <c r="E91">
        <f>Year_2032!E94/Year_2025!E94</f>
        <v>2.4412478336221839</v>
      </c>
      <c r="F91">
        <f>Year_2032!F94/Year_2025!F94</f>
        <v>1.5795628361375635</v>
      </c>
      <c r="G91">
        <f>Year_2032!G94/Year_2025!G94</f>
        <v>2.8774051676745467</v>
      </c>
      <c r="H91">
        <f>Year_2032!H94/Year_2025!H94</f>
        <v>2.323838383838384</v>
      </c>
      <c r="I91">
        <f>Year_2032!I94/Year_2025!I94</f>
        <v>2.7897755202359495</v>
      </c>
      <c r="J91">
        <f>Year_2032!J94/Year_2025!J94</f>
        <v>1.211650034810861</v>
      </c>
      <c r="K91">
        <f>Year_2032!K94/Year_2025!K94</f>
        <v>1.538525823165636</v>
      </c>
      <c r="L91">
        <f>Year_2032!L94/Year_2025!L94</f>
        <v>1.3784197111299916</v>
      </c>
      <c r="M91" t="e">
        <f>Year_2032!M94/Year_2025!M94</f>
        <v>#DIV/0!</v>
      </c>
      <c r="N91" t="str">
        <f>Year_2032!N94</f>
        <v>AM-Early</v>
      </c>
      <c r="O91">
        <f>Year_2032!O94/Year_2025!O94</f>
        <v>1.2140045576962917</v>
      </c>
      <c r="P91">
        <f>Year_2032!P94/Year_2025!P94</f>
        <v>1.181380815395298</v>
      </c>
      <c r="Q91">
        <f>Year_2032!Q94/Year_2025!Q94</f>
        <v>1.1656716939529594</v>
      </c>
      <c r="R91">
        <f>Year_2032!R94/Year_2025!R94</f>
        <v>1.2128702849147042</v>
      </c>
      <c r="S91">
        <f>Year_2032!S94/Year_2025!S94</f>
        <v>1.0673774564057159</v>
      </c>
      <c r="T91">
        <f>Year_2032!T94/Year_2025!T94</f>
        <v>1.1988363469416583</v>
      </c>
      <c r="U91">
        <f>Year_2032!U94/Year_2025!U94</f>
        <v>1.260922863616381</v>
      </c>
      <c r="V91">
        <f>Year_2032!V94/Year_2025!V94</f>
        <v>1.2048916764053024</v>
      </c>
      <c r="W91">
        <f>Year_2032!W94/Year_2025!W94</f>
        <v>1.2115306076144665</v>
      </c>
      <c r="X91">
        <f>Year_2032!X94/Year_2025!X94</f>
        <v>0.99902982836781862</v>
      </c>
      <c r="Y91" t="e">
        <f>Year_2032!Y94/Year_2025!Y94</f>
        <v>#DIV/0!</v>
      </c>
      <c r="Z91" t="e">
        <f>Year_2032!Z94/Year_2025!Z94</f>
        <v>#DIV/0!</v>
      </c>
      <c r="AA91" t="e">
        <f>Year_2032!AA94/Year_2025!AA94</f>
        <v>#VALUE!</v>
      </c>
      <c r="AB91">
        <f>Year_2032!AB94/Year_2025!AB94</f>
        <v>1.1055075151067881</v>
      </c>
      <c r="AC91">
        <f>Year_2032!AC94/Year_2025!AC94</f>
        <v>1.2063344178957578</v>
      </c>
      <c r="AD91">
        <f>Year_2032!AD94/Year_2025!AD94</f>
        <v>1.2206296434615085</v>
      </c>
      <c r="AE91">
        <f>Year_2032!AE94/Year_2025!AE94</f>
        <v>1.2036258765385499</v>
      </c>
      <c r="AF91">
        <f>Year_2032!AF94/Year_2025!AF94</f>
        <v>1.0220835308643261</v>
      </c>
      <c r="AG91">
        <f>Year_2032!AG94/Year_2025!AG94</f>
        <v>1.2030093459289768</v>
      </c>
      <c r="AH91">
        <f>Year_2032!AH94/Year_2025!AH94</f>
        <v>0.98292883657826058</v>
      </c>
      <c r="AI91">
        <f>Year_2032!AI94/Year_2025!AI94</f>
        <v>1.2129080235618785</v>
      </c>
      <c r="AJ91">
        <f>Year_2032!AJ94/Year_2025!AJ94</f>
        <v>1.2115211164533777</v>
      </c>
      <c r="AK91">
        <f>Year_2032!AK94/Year_2025!AK94</f>
        <v>1.0002066822242013</v>
      </c>
      <c r="AL91" t="e">
        <f>Year_2032!AL94/Year_2025!AL94</f>
        <v>#DIV/0!</v>
      </c>
      <c r="AM91" t="e">
        <f>Year_2032!AM94/Year_2025!AM94</f>
        <v>#DIV/0!</v>
      </c>
      <c r="AN91" t="e">
        <f>Year_2032!AN94/Year_2025!AN94</f>
        <v>#VALUE!</v>
      </c>
      <c r="AO91">
        <f>Year_2032!AO94/Year_2025!AO94</f>
        <v>1.7292576419213974</v>
      </c>
      <c r="AP91">
        <f>Year_2032!AP94/Year_2025!AP94</f>
        <v>1.7981651376146788</v>
      </c>
      <c r="AQ91">
        <f>Year_2032!AQ94/Year_2025!AQ94</f>
        <v>2.0297029702970297</v>
      </c>
      <c r="AR91">
        <f>Year_2032!AR94/Year_2025!AR94</f>
        <v>1.1568123393316194</v>
      </c>
      <c r="AS91">
        <f>Year_2032!AS94/Year_2025!AS94</f>
        <v>2.3775510204081636</v>
      </c>
      <c r="AT91">
        <f>Year_2032!AT94/Year_2025!AT94</f>
        <v>1.9142857142857139</v>
      </c>
      <c r="AU91">
        <f>Year_2032!AU94/Year_2025!AU94</f>
        <v>2.3112840466926072</v>
      </c>
      <c r="AV91">
        <f>Year_2032!AV94/Year_2025!AV94</f>
        <v>1</v>
      </c>
      <c r="AW91">
        <f>Year_2032!AW94/Year_2025!AW94</f>
        <v>1.44</v>
      </c>
      <c r="AX91">
        <f>Year_2032!AX94/Year_2025!AX94</f>
        <v>1.368421052631579</v>
      </c>
    </row>
    <row r="92" spans="2:50" x14ac:dyDescent="0.3">
      <c r="B92" t="str">
        <f>Year_2032!B95</f>
        <v>AM-Peak</v>
      </c>
      <c r="C92">
        <f>Year_2032!C95/Year_2025!C95</f>
        <v>2.9464836738398241</v>
      </c>
      <c r="D92">
        <f>Year_2032!D95/Year_2025!D95</f>
        <v>2.2433137814131192</v>
      </c>
      <c r="E92">
        <f>Year_2032!E95/Year_2025!E95</f>
        <v>2.6491332832866989</v>
      </c>
      <c r="F92">
        <f>Year_2032!F95/Year_2025!F95</f>
        <v>2.7565748506884846</v>
      </c>
      <c r="G92">
        <f>Year_2032!G95/Year_2025!G95</f>
        <v>3.1568875700626444</v>
      </c>
      <c r="H92">
        <f>Year_2032!H95/Year_2025!H95</f>
        <v>2.4384832359184627</v>
      </c>
      <c r="I92">
        <f>Year_2032!I95/Year_2025!I95</f>
        <v>3.2434816404467806</v>
      </c>
      <c r="J92">
        <f>Year_2032!J95/Year_2025!J95</f>
        <v>2.2339473312290949</v>
      </c>
      <c r="K92">
        <f>Year_2032!K95/Year_2025!K95</f>
        <v>1.3783518639633747</v>
      </c>
      <c r="L92">
        <f>Year_2032!L95/Year_2025!L95</f>
        <v>1.339696799550814</v>
      </c>
      <c r="M92" t="e">
        <f>Year_2032!M95/Year_2025!M95</f>
        <v>#DIV/0!</v>
      </c>
      <c r="N92" t="str">
        <f>Year_2032!N95</f>
        <v>AM-Peak</v>
      </c>
      <c r="O92">
        <f>Year_2032!O95/Year_2025!O95</f>
        <v>1.1892668444202017</v>
      </c>
      <c r="P92">
        <f>Year_2032!P95/Year_2025!P95</f>
        <v>1.1779935198932687</v>
      </c>
      <c r="Q92">
        <f>Year_2032!Q95/Year_2025!Q95</f>
        <v>1.3042354020247824</v>
      </c>
      <c r="R92">
        <f>Year_2032!R95/Year_2025!R95</f>
        <v>1.1164781436791489</v>
      </c>
      <c r="S92">
        <f>Year_2032!S95/Year_2025!S95</f>
        <v>0.99910617179003169</v>
      </c>
      <c r="T92">
        <f>Year_2032!T95/Year_2025!T95</f>
        <v>1.4762283937406366</v>
      </c>
      <c r="U92">
        <f>Year_2032!U95/Year_2025!U95</f>
        <v>1.2808829025774833</v>
      </c>
      <c r="V92">
        <f>Year_2032!V95/Year_2025!V95</f>
        <v>1.1771048080063828</v>
      </c>
      <c r="W92">
        <f>Year_2032!W95/Year_2025!W95</f>
        <v>1.1825643666054213</v>
      </c>
      <c r="X92">
        <f>Year_2032!X95/Year_2025!X95</f>
        <v>1.1297927248893986</v>
      </c>
      <c r="Y92" t="e">
        <f>Year_2032!Y95/Year_2025!Y95</f>
        <v>#DIV/0!</v>
      </c>
      <c r="Z92" t="e">
        <f>Year_2032!Z95/Year_2025!Z95</f>
        <v>#DIV/0!</v>
      </c>
      <c r="AA92" t="e">
        <f>Year_2032!AA95/Year_2025!AA95</f>
        <v>#VALUE!</v>
      </c>
      <c r="AB92">
        <f>Year_2032!AB95/Year_2025!AB95</f>
        <v>1.1931168161845733</v>
      </c>
      <c r="AC92">
        <f>Year_2032!AC95/Year_2025!AC95</f>
        <v>1.2068870082524199</v>
      </c>
      <c r="AD92">
        <f>Year_2032!AD95/Year_2025!AD95</f>
        <v>1.1925802247627777</v>
      </c>
      <c r="AE92">
        <f>Year_2032!AE95/Year_2025!AE95</f>
        <v>1.2297449218974288</v>
      </c>
      <c r="AF92">
        <f>Year_2032!AF95/Year_2025!AF95</f>
        <v>1.0001904599541298</v>
      </c>
      <c r="AG92">
        <f>Year_2032!AG95/Year_2025!AG95</f>
        <v>1.1464355480347705</v>
      </c>
      <c r="AH92">
        <f>Year_2032!AH95/Year_2025!AH95</f>
        <v>1.0560663439138878</v>
      </c>
      <c r="AI92">
        <f>Year_2032!AI95/Year_2025!AI95</f>
        <v>1.2184898943534448</v>
      </c>
      <c r="AJ92">
        <f>Year_2032!AJ95/Year_2025!AJ95</f>
        <v>1.2173763105138968</v>
      </c>
      <c r="AK92">
        <f>Year_2032!AK95/Year_2025!AK95</f>
        <v>0.9666009613357508</v>
      </c>
      <c r="AL92" t="e">
        <f>Year_2032!AL95/Year_2025!AL95</f>
        <v>#DIV/0!</v>
      </c>
      <c r="AM92" t="e">
        <f>Year_2032!AM95/Year_2025!AM95</f>
        <v>#DIV/0!</v>
      </c>
      <c r="AN92" t="e">
        <f>Year_2032!AN95/Year_2025!AN95</f>
        <v>#VALUE!</v>
      </c>
      <c r="AO92">
        <f>Year_2032!AO95/Year_2025!AO95</f>
        <v>2.46875</v>
      </c>
      <c r="AP92">
        <f>Year_2032!AP95/Year_2025!AP95</f>
        <v>1.3992932862190812</v>
      </c>
      <c r="AQ92">
        <f>Year_2032!AQ95/Year_2025!AQ95</f>
        <v>2.2058823529411766</v>
      </c>
      <c r="AR92">
        <f>Year_2032!AR95/Year_2025!AR95</f>
        <v>1.125</v>
      </c>
      <c r="AS92">
        <f>Year_2032!AS95/Year_2025!AS95</f>
        <v>2.323660714285714</v>
      </c>
      <c r="AT92">
        <f>Year_2032!AT95/Year_2025!AT95</f>
        <v>2.0124481327800829</v>
      </c>
      <c r="AU92">
        <f>Year_2032!AU95/Year_2025!AU95</f>
        <v>2.6757425742574257</v>
      </c>
      <c r="AV92">
        <f>Year_2032!AV95/Year_2025!AV95</f>
        <v>1.8492063492063493</v>
      </c>
      <c r="AW92">
        <f>Year_2032!AW95/Year_2025!AW95</f>
        <v>1.3870967741935483</v>
      </c>
      <c r="AX92">
        <f>Year_2032!AX95/Year_2025!AX95</f>
        <v>1.125</v>
      </c>
    </row>
    <row r="93" spans="2:50" x14ac:dyDescent="0.3">
      <c r="B93" t="str">
        <f>Year_2032!B96</f>
        <v>AM-Shoulder</v>
      </c>
      <c r="C93">
        <f>Year_2032!C96/Year_2025!C96</f>
        <v>1.8558433936955063</v>
      </c>
      <c r="D93">
        <f>Year_2032!D96/Year_2025!D96</f>
        <v>2.5170771166636707</v>
      </c>
      <c r="E93">
        <f>Year_2032!E96/Year_2025!E96</f>
        <v>2.7170914970515505</v>
      </c>
      <c r="F93">
        <f>Year_2032!F96/Year_2025!F96</f>
        <v>1.5729128176147107</v>
      </c>
      <c r="G93">
        <f>Year_2032!G96/Year_2025!G96</f>
        <v>2.579020604763179</v>
      </c>
      <c r="H93">
        <f>Year_2032!H96/Year_2025!H96</f>
        <v>2.7901226680296443</v>
      </c>
      <c r="I93">
        <f>Year_2032!I96/Year_2025!I96</f>
        <v>2.5312794295708327</v>
      </c>
      <c r="J93">
        <f>Year_2032!J96/Year_2025!J96</f>
        <v>2.2104948124501198</v>
      </c>
      <c r="K93">
        <f>Year_2032!K96/Year_2025!K96</f>
        <v>1.3771793054571226</v>
      </c>
      <c r="L93">
        <f>Year_2032!L96/Year_2025!L96</f>
        <v>1.3774543457366468</v>
      </c>
      <c r="M93" t="e">
        <f>Year_2032!M96/Year_2025!M96</f>
        <v>#DIV/0!</v>
      </c>
      <c r="N93" t="str">
        <f>Year_2032!N96</f>
        <v>AM-Shoulder</v>
      </c>
      <c r="O93">
        <f>Year_2032!O96/Year_2025!O96</f>
        <v>1.2680085962235674</v>
      </c>
      <c r="P93">
        <f>Year_2032!P96/Year_2025!P96</f>
        <v>1.1821363023489675</v>
      </c>
      <c r="Q93">
        <f>Year_2032!Q96/Year_2025!Q96</f>
        <v>1.1060245745646424</v>
      </c>
      <c r="R93">
        <f>Year_2032!R96/Year_2025!R96</f>
        <v>1.1835842642059251</v>
      </c>
      <c r="S93">
        <f>Year_2032!S96/Year_2025!S96</f>
        <v>0.99970133480368506</v>
      </c>
      <c r="T93">
        <f>Year_2032!T96/Year_2025!T96</f>
        <v>1.198218032308749</v>
      </c>
      <c r="U93">
        <f>Year_2032!U96/Year_2025!U96</f>
        <v>1.2000751107430985</v>
      </c>
      <c r="V93">
        <f>Year_2032!V96/Year_2025!V96</f>
        <v>1.1805983001387317</v>
      </c>
      <c r="W93">
        <f>Year_2032!W96/Year_2025!W96</f>
        <v>1.1947526694969768</v>
      </c>
      <c r="X93">
        <f>Year_2032!X96/Year_2025!X96</f>
        <v>0.99963444446983019</v>
      </c>
      <c r="Y93" t="e">
        <f>Year_2032!Y96/Year_2025!Y96</f>
        <v>#DIV/0!</v>
      </c>
      <c r="Z93" t="e">
        <f>Year_2032!Z96/Year_2025!Z96</f>
        <v>#DIV/0!</v>
      </c>
      <c r="AA93" t="e">
        <f>Year_2032!AA96/Year_2025!AA96</f>
        <v>#VALUE!</v>
      </c>
      <c r="AB93">
        <f>Year_2032!AB96/Year_2025!AB96</f>
        <v>1.0430131436697447</v>
      </c>
      <c r="AC93">
        <f>Year_2032!AC96/Year_2025!AC96</f>
        <v>1.2062137078763215</v>
      </c>
      <c r="AD93">
        <f>Year_2032!AD96/Year_2025!AD96</f>
        <v>1.15738622765441</v>
      </c>
      <c r="AE93">
        <f>Year_2032!AE96/Year_2025!AE96</f>
        <v>1.217105439215129</v>
      </c>
      <c r="AF93">
        <f>Year_2032!AF96/Year_2025!AF96</f>
        <v>1.0000637777003725</v>
      </c>
      <c r="AG93">
        <f>Year_2032!AG96/Year_2025!AG96</f>
        <v>1.2031345480539746</v>
      </c>
      <c r="AH93">
        <f>Year_2032!AH96/Year_2025!AH96</f>
        <v>1.0084737848514549</v>
      </c>
      <c r="AI93">
        <f>Year_2032!AI96/Year_2025!AI96</f>
        <v>1.2178540166412306</v>
      </c>
      <c r="AJ93">
        <f>Year_2032!AJ96/Year_2025!AJ96</f>
        <v>1.2149664428426474</v>
      </c>
      <c r="AK93">
        <f>Year_2032!AK96/Year_2025!AK96</f>
        <v>1.000082901756542</v>
      </c>
      <c r="AL93" t="e">
        <f>Year_2032!AL96/Year_2025!AL96</f>
        <v>#DIV/0!</v>
      </c>
      <c r="AM93" t="e">
        <f>Year_2032!AM96/Year_2025!AM96</f>
        <v>#DIV/0!</v>
      </c>
      <c r="AN93" t="e">
        <f>Year_2032!AN96/Year_2025!AN96</f>
        <v>#VALUE!</v>
      </c>
      <c r="AO93">
        <f>Year_2032!AO96/Year_2025!AO96</f>
        <v>1.3894736842105262</v>
      </c>
      <c r="AP93">
        <f>Year_2032!AP96/Year_2025!AP96</f>
        <v>2.1010638297872344</v>
      </c>
      <c r="AQ93">
        <f>Year_2032!AQ96/Year_2025!AQ96</f>
        <v>2.2516556291390728</v>
      </c>
      <c r="AR93">
        <f>Year_2032!AR96/Year_2025!AR96</f>
        <v>1.267605633802817</v>
      </c>
      <c r="AS93">
        <f>Year_2032!AS96/Year_2025!AS96</f>
        <v>2.2412587412587412</v>
      </c>
      <c r="AT93">
        <f>Year_2032!AT96/Year_2025!AT96</f>
        <v>2.3047619047619046</v>
      </c>
      <c r="AU93">
        <f>Year_2032!AU96/Year_2025!AU96</f>
        <v>2.0921985815602842</v>
      </c>
      <c r="AV93">
        <f>Year_2032!AV96/Year_2025!AV96</f>
        <v>1.825</v>
      </c>
      <c r="AW93">
        <f>Year_2032!AW96/Year_2025!AW96</f>
        <v>1.3855421686746987</v>
      </c>
      <c r="AX93">
        <f>Year_2032!AX96/Year_2025!AX96</f>
        <v>1.3804347826086956</v>
      </c>
    </row>
    <row r="94" spans="2:50" x14ac:dyDescent="0.3">
      <c r="B94" t="str">
        <f>Year_2032!B97</f>
        <v>MD</v>
      </c>
      <c r="C94">
        <f>Year_2032!C97/Year_2025!C97</f>
        <v>1.8493747399848275</v>
      </c>
      <c r="D94">
        <f>Year_2032!D97/Year_2025!D97</f>
        <v>1.9565925506302222</v>
      </c>
      <c r="E94">
        <f>Year_2032!E97/Year_2025!E97</f>
        <v>2.7452776294964369</v>
      </c>
      <c r="F94">
        <f>Year_2032!F97/Year_2025!F97</f>
        <v>2.4385839558298152</v>
      </c>
      <c r="G94">
        <f>Year_2032!G97/Year_2025!G97</f>
        <v>2.5197805189637479</v>
      </c>
      <c r="H94">
        <f>Year_2032!H97/Year_2025!H97</f>
        <v>2.6135501089591342</v>
      </c>
      <c r="I94">
        <f>Year_2032!I97/Year_2025!I97</f>
        <v>2.2017588521175653</v>
      </c>
      <c r="J94">
        <f>Year_2032!J97/Year_2025!J97</f>
        <v>2.2089778805840679</v>
      </c>
      <c r="K94">
        <f>Year_2032!K97/Year_2025!K97</f>
        <v>1.3671185079972827</v>
      </c>
      <c r="L94">
        <f>Year_2032!L97/Year_2025!L97</f>
        <v>1.6515265831698607</v>
      </c>
      <c r="M94" t="e">
        <f>Year_2032!M97/Year_2025!M97</f>
        <v>#DIV/0!</v>
      </c>
      <c r="N94" t="str">
        <f>Year_2032!N97</f>
        <v>MD</v>
      </c>
      <c r="O94">
        <f>Year_2032!O97/Year_2025!O97</f>
        <v>1.3240028053597135</v>
      </c>
      <c r="P94">
        <f>Year_2032!P97/Year_2025!P97</f>
        <v>1.3274178238135135</v>
      </c>
      <c r="Q94">
        <f>Year_2032!Q97/Year_2025!Q97</f>
        <v>1.1948140693760119</v>
      </c>
      <c r="R94">
        <f>Year_2032!R97/Year_2025!R97</f>
        <v>1.2012568482114083</v>
      </c>
      <c r="S94">
        <f>Year_2032!S97/Year_2025!S97</f>
        <v>1.0608666537969644</v>
      </c>
      <c r="T94">
        <f>Year_2032!T97/Year_2025!T97</f>
        <v>1.2907435597865466</v>
      </c>
      <c r="U94">
        <f>Year_2032!U97/Year_2025!U97</f>
        <v>1.3506353240152478</v>
      </c>
      <c r="V94">
        <f>Year_2032!V97/Year_2025!V97</f>
        <v>1.1847947669511687</v>
      </c>
      <c r="W94">
        <f>Year_2032!W97/Year_2025!W97</f>
        <v>1.193420290488217</v>
      </c>
      <c r="X94">
        <f>Year_2032!X97/Year_2025!X97</f>
        <v>1.2583886267685369</v>
      </c>
      <c r="Y94" t="e">
        <f>Year_2032!Y97/Year_2025!Y97</f>
        <v>#DIV/0!</v>
      </c>
      <c r="Z94" t="e">
        <f>Year_2032!Z97/Year_2025!Z97</f>
        <v>#DIV/0!</v>
      </c>
      <c r="AA94" t="e">
        <f>Year_2032!AA97/Year_2025!AA97</f>
        <v>#VALUE!</v>
      </c>
      <c r="AB94">
        <f>Year_2032!AB97/Year_2025!AB97</f>
        <v>1.0247480776939615</v>
      </c>
      <c r="AC94">
        <f>Year_2032!AC97/Year_2025!AC97</f>
        <v>1.1776329950693885</v>
      </c>
      <c r="AD94">
        <f>Year_2032!AD97/Year_2025!AD97</f>
        <v>1.2149453135103152</v>
      </c>
      <c r="AE94">
        <f>Year_2032!AE97/Year_2025!AE97</f>
        <v>1.2136448446375283</v>
      </c>
      <c r="AF94">
        <f>Year_2032!AF97/Year_2025!AF97</f>
        <v>0.98689396183083156</v>
      </c>
      <c r="AG94">
        <f>Year_2032!AG97/Year_2025!AG97</f>
        <v>1.0531388855020249</v>
      </c>
      <c r="AH94">
        <f>Year_2032!AH97/Year_2025!AH97</f>
        <v>1.1192789317638534</v>
      </c>
      <c r="AI94">
        <f>Year_2032!AI97/Year_2025!AI97</f>
        <v>1.2170702780790552</v>
      </c>
      <c r="AJ94">
        <f>Year_2032!AJ97/Year_2025!AJ97</f>
        <v>1.2152669453444029</v>
      </c>
      <c r="AK94">
        <f>Year_2032!AK97/Year_2025!AK97</f>
        <v>1.0039300697432061</v>
      </c>
      <c r="AL94" t="e">
        <f>Year_2032!AL97/Year_2025!AL97</f>
        <v>#DIV/0!</v>
      </c>
      <c r="AM94" t="e">
        <f>Year_2032!AM97/Year_2025!AM97</f>
        <v>#DIV/0!</v>
      </c>
      <c r="AN94" t="e">
        <f>Year_2032!AN97/Year_2025!AN97</f>
        <v>#VALUE!</v>
      </c>
      <c r="AO94">
        <f>Year_2032!AO97/Year_2025!AO97</f>
        <v>1.2857142857142856</v>
      </c>
      <c r="AP94">
        <f>Year_2032!AP97/Year_2025!AP97</f>
        <v>1.4244604316546763</v>
      </c>
      <c r="AQ94">
        <f>Year_2032!AQ97/Year_2025!AQ97</f>
        <v>2</v>
      </c>
      <c r="AR94">
        <f>Year_2032!AR97/Year_2025!AR97</f>
        <v>1.7110266159695817</v>
      </c>
      <c r="AS94">
        <f>Year_2032!AS97/Year_2025!AS97</f>
        <v>2.0845771144278613</v>
      </c>
      <c r="AT94">
        <f>Year_2032!AT97/Year_2025!AT97</f>
        <v>2.1604278074866308</v>
      </c>
      <c r="AU94">
        <f>Year_2032!AU97/Year_2025!AU97</f>
        <v>1.8174603174603174</v>
      </c>
      <c r="AV94">
        <f>Year_2032!AV97/Year_2025!AV97</f>
        <v>1.8333333333333333</v>
      </c>
      <c r="AW94">
        <f>Year_2032!AW97/Year_2025!AW97</f>
        <v>1.2631578947368423</v>
      </c>
      <c r="AX94">
        <f>Year_2032!AX97/Year_2025!AX97</f>
        <v>1.2203389830508475</v>
      </c>
    </row>
    <row r="95" spans="2:50" x14ac:dyDescent="0.3">
      <c r="B95" t="str">
        <f>Year_2032!B98</f>
        <v>PM-Shoulder</v>
      </c>
      <c r="C95">
        <f>Year_2032!C98/Year_2025!C98</f>
        <v>1.545187859641205</v>
      </c>
      <c r="D95">
        <f>Year_2032!D98/Year_2025!D98</f>
        <v>1.5530606604946799</v>
      </c>
      <c r="E95">
        <f>Year_2032!E98/Year_2025!E98</f>
        <v>3.014971778436812</v>
      </c>
      <c r="F95">
        <f>Year_2032!F98/Year_2025!F98</f>
        <v>3.5646977174583587</v>
      </c>
      <c r="G95">
        <f>Year_2032!G98/Year_2025!G98</f>
        <v>3.1209645277002793</v>
      </c>
      <c r="H95">
        <f>Year_2032!H98/Year_2025!H98</f>
        <v>1.7597437266417513</v>
      </c>
      <c r="I95">
        <f>Year_2032!I98/Year_2025!I98</f>
        <v>2.6567618156293866</v>
      </c>
      <c r="J95">
        <f>Year_2032!J98/Year_2025!J98</f>
        <v>4.8445645263827082</v>
      </c>
      <c r="K95">
        <f>Year_2032!K98/Year_2025!K98</f>
        <v>1.6263764187701168</v>
      </c>
      <c r="L95">
        <f>Year_2032!L98/Year_2025!L98</f>
        <v>1.7380599777860051</v>
      </c>
      <c r="M95" t="e">
        <f>Year_2032!M98/Year_2025!M98</f>
        <v>#DIV/0!</v>
      </c>
      <c r="N95" t="str">
        <f>Year_2032!N98</f>
        <v>PM-Shoulder</v>
      </c>
      <c r="O95">
        <f>Year_2032!O98/Year_2025!O98</f>
        <v>1.0502805055113102</v>
      </c>
      <c r="P95">
        <f>Year_2032!P98/Year_2025!P98</f>
        <v>1.1867693020025467</v>
      </c>
      <c r="Q95">
        <f>Year_2032!Q98/Year_2025!Q98</f>
        <v>1.1138656703003225</v>
      </c>
      <c r="R95">
        <f>Year_2032!R98/Year_2025!R98</f>
        <v>1.1764264305551737</v>
      </c>
      <c r="S95">
        <f>Year_2032!S98/Year_2025!S98</f>
        <v>1.1348466003316748</v>
      </c>
      <c r="T95">
        <f>Year_2032!T98/Year_2025!T98</f>
        <v>1.0402391375131146</v>
      </c>
      <c r="U95">
        <f>Year_2032!U98/Year_2025!U98</f>
        <v>1.1284248098713245</v>
      </c>
      <c r="V95">
        <f>Year_2032!V98/Year_2025!V98</f>
        <v>0.98258750169117104</v>
      </c>
      <c r="W95">
        <f>Year_2032!W98/Year_2025!W98</f>
        <v>1.0754790996446704</v>
      </c>
      <c r="X95">
        <f>Year_2032!X98/Year_2025!X98</f>
        <v>1.233255041710537</v>
      </c>
      <c r="Y95" t="e">
        <f>Year_2032!Y98/Year_2025!Y98</f>
        <v>#DIV/0!</v>
      </c>
      <c r="Z95" t="e">
        <f>Year_2032!Z98/Year_2025!Z98</f>
        <v>#DIV/0!</v>
      </c>
      <c r="AA95" t="e">
        <f>Year_2032!AA98/Year_2025!AA98</f>
        <v>#VALUE!</v>
      </c>
      <c r="AB95">
        <f>Year_2032!AB98/Year_2025!AB98</f>
        <v>1.0242157197050423</v>
      </c>
      <c r="AC95">
        <f>Year_2032!AC98/Year_2025!AC98</f>
        <v>1.2026813405805232</v>
      </c>
      <c r="AD95">
        <f>Year_2032!AD98/Year_2025!AD98</f>
        <v>1.2023265088986121</v>
      </c>
      <c r="AE95">
        <f>Year_2032!AE98/Year_2025!AE98</f>
        <v>1.2205396487418301</v>
      </c>
      <c r="AF95">
        <f>Year_2032!AF98/Year_2025!AF98</f>
        <v>1.0146611875846872</v>
      </c>
      <c r="AG95">
        <f>Year_2032!AG98/Year_2025!AG98</f>
        <v>1.026602769928304</v>
      </c>
      <c r="AH95">
        <f>Year_2032!AH98/Year_2025!AH98</f>
        <v>1.2199314258641709</v>
      </c>
      <c r="AI95">
        <f>Year_2032!AI98/Year_2025!AI98</f>
        <v>1.0407470288624789</v>
      </c>
      <c r="AJ95">
        <f>Year_2032!AJ98/Year_2025!AJ98</f>
        <v>1.2447345799098646</v>
      </c>
      <c r="AK95">
        <f>Year_2032!AK98/Year_2025!AK98</f>
        <v>1.008522549431681</v>
      </c>
      <c r="AL95" t="e">
        <f>Year_2032!AL98/Year_2025!AL98</f>
        <v>#DIV/0!</v>
      </c>
      <c r="AM95" t="e">
        <f>Year_2032!AM98/Year_2025!AM98</f>
        <v>#DIV/0!</v>
      </c>
      <c r="AN95" t="e">
        <f>Year_2032!AN98/Year_2025!AN98</f>
        <v>#VALUE!</v>
      </c>
      <c r="AO95">
        <f>Year_2032!AO98/Year_2025!AO98</f>
        <v>1.4943396226415095</v>
      </c>
      <c r="AP95">
        <f>Year_2032!AP98/Year_2025!AP98</f>
        <v>1.5114503816793892</v>
      </c>
      <c r="AQ95">
        <f>Year_2032!AQ98/Year_2025!AQ98</f>
        <v>2.5139664804469275</v>
      </c>
      <c r="AR95">
        <f>Year_2032!AR98/Year_2025!AR98</f>
        <v>2.977443609022556</v>
      </c>
      <c r="AS95">
        <f>Year_2032!AS98/Year_2025!AS98</f>
        <v>2.6349206349206353</v>
      </c>
      <c r="AT95">
        <f>Year_2032!AT98/Year_2025!AT98</f>
        <v>1.7096774193548385</v>
      </c>
      <c r="AU95">
        <f>Year_2032!AU98/Year_2025!AU98</f>
        <v>2.1886792452830188</v>
      </c>
      <c r="AV95">
        <f>Year_2032!AV98/Year_2025!AV98</f>
        <v>4.0250000000000004</v>
      </c>
      <c r="AW95">
        <f>Year_2032!AW98/Year_2025!AW98</f>
        <v>1.3846153846153846</v>
      </c>
      <c r="AX95">
        <f>Year_2032!AX98/Year_2025!AX98</f>
        <v>1.3090909090909089</v>
      </c>
    </row>
    <row r="96" spans="2:50" x14ac:dyDescent="0.3">
      <c r="B96" t="str">
        <f>Year_2032!B99</f>
        <v>PM-Peak</v>
      </c>
      <c r="C96">
        <f>Year_2032!C99/Year_2025!C99</f>
        <v>2.1663280530776801</v>
      </c>
      <c r="D96">
        <f>Year_2032!D99/Year_2025!D99</f>
        <v>2.1859801980198021</v>
      </c>
      <c r="E96">
        <f>Year_2032!E99/Year_2025!E99</f>
        <v>2.4663501208760987</v>
      </c>
      <c r="F96">
        <f>Year_2032!F99/Year_2025!F99</f>
        <v>2.7431485234029833</v>
      </c>
      <c r="G96">
        <f>Year_2032!G99/Year_2025!G99</f>
        <v>2.8781295576081671</v>
      </c>
      <c r="H96">
        <f>Year_2032!H99/Year_2025!H99</f>
        <v>2.6667232886020042</v>
      </c>
      <c r="I96">
        <f>Year_2032!I99/Year_2025!I99</f>
        <v>2.4854196799328139</v>
      </c>
      <c r="J96">
        <f>Year_2032!J99/Year_2025!J99</f>
        <v>2.6407017543859648</v>
      </c>
      <c r="K96">
        <f>Year_2032!K99/Year_2025!K99</f>
        <v>1.4288940872791804</v>
      </c>
      <c r="L96">
        <f>Year_2032!L99/Year_2025!L99</f>
        <v>1.4007388683647677</v>
      </c>
      <c r="M96" t="e">
        <f>Year_2032!M99/Year_2025!M99</f>
        <v>#DIV/0!</v>
      </c>
      <c r="N96" t="str">
        <f>Year_2032!N99</f>
        <v>PM-Peak</v>
      </c>
      <c r="O96">
        <f>Year_2032!O99/Year_2025!O99</f>
        <v>1.6368076541506771</v>
      </c>
      <c r="P96">
        <f>Year_2032!P99/Year_2025!P99</f>
        <v>1.3839039679145135</v>
      </c>
      <c r="Q96">
        <f>Year_2032!Q99/Year_2025!Q99</f>
        <v>1.14415050929134</v>
      </c>
      <c r="R96">
        <f>Year_2032!R99/Year_2025!R99</f>
        <v>1.1699379503947136</v>
      </c>
      <c r="S96">
        <f>Year_2032!S99/Year_2025!S99</f>
        <v>1.1687503125468821</v>
      </c>
      <c r="T96">
        <f>Year_2032!T99/Year_2025!T99</f>
        <v>1.5715137506438281</v>
      </c>
      <c r="U96">
        <f>Year_2032!U99/Year_2025!U99</f>
        <v>1.1580190560602703</v>
      </c>
      <c r="V96">
        <f>Year_2032!V99/Year_2025!V99</f>
        <v>1.2292682414086973</v>
      </c>
      <c r="W96">
        <f>Year_2032!W99/Year_2025!W99</f>
        <v>1.1709687467720278</v>
      </c>
      <c r="X96">
        <f>Year_2032!X99/Year_2025!X99</f>
        <v>0.99867609903991916</v>
      </c>
      <c r="Y96" t="e">
        <f>Year_2032!Y99/Year_2025!Y99</f>
        <v>#DIV/0!</v>
      </c>
      <c r="Z96" t="e">
        <f>Year_2032!Z99/Year_2025!Z99</f>
        <v>#DIV/0!</v>
      </c>
      <c r="AA96" t="e">
        <f>Year_2032!AA99/Year_2025!AA99</f>
        <v>#VALUE!</v>
      </c>
      <c r="AB96">
        <f>Year_2032!AB99/Year_2025!AB99</f>
        <v>1.0963031025180554</v>
      </c>
      <c r="AC96">
        <f>Year_2032!AC99/Year_2025!AC99</f>
        <v>1.1570972017940477</v>
      </c>
      <c r="AD96">
        <f>Year_2032!AD99/Year_2025!AD99</f>
        <v>1.228451482973353</v>
      </c>
      <c r="AE96">
        <f>Year_2032!AE99/Year_2025!AE99</f>
        <v>1.2220907468298623</v>
      </c>
      <c r="AF96">
        <f>Year_2032!AF99/Year_2025!AF99</f>
        <v>0.95329799601417198</v>
      </c>
      <c r="AG96">
        <f>Year_2032!AG99/Year_2025!AG99</f>
        <v>1.1083448546187062</v>
      </c>
      <c r="AH96">
        <f>Year_2032!AH99/Year_2025!AH99</f>
        <v>1.2136251644201803</v>
      </c>
      <c r="AI96">
        <f>Year_2032!AI99/Year_2025!AI99</f>
        <v>1.2070779735240957</v>
      </c>
      <c r="AJ96">
        <f>Year_2032!AJ99/Year_2025!AJ99</f>
        <v>1.2215763590908402</v>
      </c>
      <c r="AK96">
        <f>Year_2032!AK99/Year_2025!AK99</f>
        <v>1.0003656725583681</v>
      </c>
      <c r="AL96" t="e">
        <f>Year_2032!AL99/Year_2025!AL99</f>
        <v>#DIV/0!</v>
      </c>
      <c r="AM96" t="e">
        <f>Year_2032!AM99/Year_2025!AM99</f>
        <v>#DIV/0!</v>
      </c>
      <c r="AN96" t="e">
        <f>Year_2032!AN99/Year_2025!AN99</f>
        <v>#VALUE!</v>
      </c>
      <c r="AO96">
        <f>Year_2032!AO99/Year_2025!AO99</f>
        <v>1.168141592920354</v>
      </c>
      <c r="AP96">
        <f>Year_2032!AP99/Year_2025!AP99</f>
        <v>1.2571428571428571</v>
      </c>
      <c r="AQ96">
        <f>Year_2032!AQ99/Year_2025!AQ99</f>
        <v>1.6853932584269664</v>
      </c>
      <c r="AR96">
        <f>Year_2032!AR99/Year_2025!AR99</f>
        <v>2.2849162011173183</v>
      </c>
      <c r="AS96">
        <f>Year_2032!AS99/Year_2025!AS99</f>
        <v>2.3791469194312795</v>
      </c>
      <c r="AT96">
        <f>Year_2032!AT99/Year_2025!AT99</f>
        <v>2.2008733624454146</v>
      </c>
      <c r="AU96">
        <f>Year_2032!AU99/Year_2025!AU99</f>
        <v>2.0499999999999998</v>
      </c>
      <c r="AV96">
        <f>Year_2032!AV99/Year_2025!AV99</f>
        <v>2.1818181818181817</v>
      </c>
      <c r="AW96">
        <f>Year_2032!AW99/Year_2025!AW99</f>
        <v>1.125</v>
      </c>
      <c r="AX96">
        <f>Year_2032!AX99/Year_2025!AX99</f>
        <v>1.4035087719298247</v>
      </c>
    </row>
    <row r="97" spans="2:50" x14ac:dyDescent="0.3">
      <c r="B97" t="str">
        <f>Year_2032!B100</f>
        <v>PM-Late</v>
      </c>
      <c r="C97">
        <f>Year_2032!C100/Year_2025!C100</f>
        <v>2.2114332380563497</v>
      </c>
      <c r="D97">
        <f>Year_2032!D100/Year_2025!D100</f>
        <v>2.25434020354058</v>
      </c>
      <c r="E97">
        <f>Year_2032!E100/Year_2025!E100</f>
        <v>2.2564446831364124</v>
      </c>
      <c r="F97">
        <f>Year_2032!F100/Year_2025!F100</f>
        <v>1.6018193094893531</v>
      </c>
      <c r="G97">
        <f>Year_2032!G100/Year_2025!G100</f>
        <v>2.2243825205826471</v>
      </c>
      <c r="H97">
        <f>Year_2032!H100/Year_2025!H100</f>
        <v>2.2071896444167187</v>
      </c>
      <c r="I97">
        <f>Year_2032!I100/Year_2025!I100</f>
        <v>2.15946901129213</v>
      </c>
      <c r="J97">
        <f>Year_2032!J100/Year_2025!J100</f>
        <v>1.8168380462724936</v>
      </c>
      <c r="K97">
        <f>Year_2032!K100/Year_2025!K100</f>
        <v>1.3988411058363586</v>
      </c>
      <c r="L97">
        <f>Year_2032!L100/Year_2025!L100</f>
        <v>1.5685760093280863</v>
      </c>
      <c r="M97" t="e">
        <f>Year_2032!M100/Year_2025!M100</f>
        <v>#DIV/0!</v>
      </c>
      <c r="N97" t="str">
        <f>Year_2032!N100</f>
        <v>PM-Late</v>
      </c>
      <c r="O97">
        <f>Year_2032!O100/Year_2025!O100</f>
        <v>1.1997148268040783</v>
      </c>
      <c r="P97">
        <f>Year_2032!P100/Year_2025!P100</f>
        <v>1.1989948334800076</v>
      </c>
      <c r="Q97">
        <f>Year_2032!Q100/Year_2025!Q100</f>
        <v>1.2016481331742841</v>
      </c>
      <c r="R97">
        <f>Year_2032!R100/Year_2025!R100</f>
        <v>1.2108223627970593</v>
      </c>
      <c r="S97">
        <f>Year_2032!S100/Year_2025!S100</f>
        <v>0.99991134031282081</v>
      </c>
      <c r="T97">
        <f>Year_2032!T100/Year_2025!T100</f>
        <v>1.1958317253602371</v>
      </c>
      <c r="U97">
        <f>Year_2032!U100/Year_2025!U100</f>
        <v>1.3630649222788118</v>
      </c>
      <c r="V97">
        <f>Year_2032!V100/Year_2025!V100</f>
        <v>1.2074888917648074</v>
      </c>
      <c r="W97">
        <f>Year_2032!W100/Year_2025!W100</f>
        <v>1.2115242136458544</v>
      </c>
      <c r="X97">
        <f>Year_2032!X100/Year_2025!X100</f>
        <v>1.03068138318234</v>
      </c>
      <c r="Y97" t="e">
        <f>Year_2032!Y100/Year_2025!Y100</f>
        <v>#DIV/0!</v>
      </c>
      <c r="Z97" t="e">
        <f>Year_2032!Z100/Year_2025!Z100</f>
        <v>#DIV/0!</v>
      </c>
      <c r="AA97" t="e">
        <f>Year_2032!AA100/Year_2025!AA100</f>
        <v>#VALUE!</v>
      </c>
      <c r="AB97">
        <f>Year_2032!AB100/Year_2025!AB100</f>
        <v>1.2029665889795702</v>
      </c>
      <c r="AC97">
        <f>Year_2032!AC100/Year_2025!AC100</f>
        <v>1.2031672954366222</v>
      </c>
      <c r="AD97">
        <f>Year_2032!AD100/Year_2025!AD100</f>
        <v>1.2141634260018035</v>
      </c>
      <c r="AE97">
        <f>Year_2032!AE100/Year_2025!AE100</f>
        <v>1.2117244021726881</v>
      </c>
      <c r="AF97">
        <f>Year_2032!AF100/Year_2025!AF100</f>
        <v>1.0000245815503175</v>
      </c>
      <c r="AG97">
        <f>Year_2032!AG100/Year_2025!AG100</f>
        <v>1.2040075210245111</v>
      </c>
      <c r="AH97">
        <f>Year_2032!AH100/Year_2025!AH100</f>
        <v>1.1662037039849211</v>
      </c>
      <c r="AI97">
        <f>Year_2032!AI100/Year_2025!AI100</f>
        <v>1.2125928759374529</v>
      </c>
      <c r="AJ97">
        <f>Year_2032!AJ100/Year_2025!AJ100</f>
        <v>1.2115227287664789</v>
      </c>
      <c r="AK97">
        <f>Year_2032!AK100/Year_2025!AK100</f>
        <v>1.0318277821472441</v>
      </c>
      <c r="AL97" t="e">
        <f>Year_2032!AL100/Year_2025!AL100</f>
        <v>#DIV/0!</v>
      </c>
      <c r="AM97" t="e">
        <f>Year_2032!AM100/Year_2025!AM100</f>
        <v>#DIV/0!</v>
      </c>
      <c r="AN97" t="e">
        <f>Year_2032!AN100/Year_2025!AN100</f>
        <v>#VALUE!</v>
      </c>
      <c r="AO97">
        <f>Year_2032!AO100/Year_2025!AO100</f>
        <v>1.8454545454545452</v>
      </c>
      <c r="AP97">
        <f>Year_2032!AP100/Year_2025!AP100</f>
        <v>1.8736842105263158</v>
      </c>
      <c r="AQ97">
        <f>Year_2032!AQ100/Year_2025!AQ100</f>
        <v>1.8859060402684564</v>
      </c>
      <c r="AR97">
        <f>Year_2032!AR100/Year_2025!AR100</f>
        <v>1.34</v>
      </c>
      <c r="AS97">
        <f>Year_2032!AS100/Year_2025!AS100</f>
        <v>1.8602150537634408</v>
      </c>
      <c r="AT97">
        <f>Year_2032!AT100/Year_2025!AT100</f>
        <v>1.8192771084337351</v>
      </c>
      <c r="AU97">
        <f>Year_2032!AU100/Year_2025!AU100</f>
        <v>1.7757575757575759</v>
      </c>
      <c r="AV97">
        <f>Year_2032!AV100/Year_2025!AV100</f>
        <v>1.4983164983164983</v>
      </c>
      <c r="AW97">
        <f>Year_2032!AW100/Year_2025!AW100</f>
        <v>1.3859649122807018</v>
      </c>
      <c r="AX97">
        <f>Year_2032!AX100/Year_2025!AX100</f>
        <v>1.5164835164835164</v>
      </c>
    </row>
    <row r="98" spans="2:50" x14ac:dyDescent="0.3">
      <c r="B98">
        <f>Year_2032!B101</f>
        <v>0</v>
      </c>
      <c r="C98" t="e">
        <f>Year_2032!C101/Year_2025!C101</f>
        <v>#DIV/0!</v>
      </c>
      <c r="D98" t="e">
        <f>Year_2032!D101/Year_2025!D101</f>
        <v>#DIV/0!</v>
      </c>
      <c r="E98" t="e">
        <f>Year_2032!E101/Year_2025!E101</f>
        <v>#DIV/0!</v>
      </c>
      <c r="F98" t="e">
        <f>Year_2032!F101/Year_2025!F101</f>
        <v>#DIV/0!</v>
      </c>
      <c r="G98" t="e">
        <f>Year_2032!G101/Year_2025!G101</f>
        <v>#DIV/0!</v>
      </c>
      <c r="H98" t="e">
        <f>Year_2032!H101/Year_2025!H101</f>
        <v>#DIV/0!</v>
      </c>
      <c r="I98" t="e">
        <f>Year_2032!I101/Year_2025!I101</f>
        <v>#DIV/0!</v>
      </c>
      <c r="J98" t="e">
        <f>Year_2032!J101/Year_2025!J101</f>
        <v>#DIV/0!</v>
      </c>
      <c r="K98" t="e">
        <f>Year_2032!K101/Year_2025!K101</f>
        <v>#DIV/0!</v>
      </c>
      <c r="L98" t="e">
        <f>Year_2032!L101/Year_2025!L101</f>
        <v>#DIV/0!</v>
      </c>
      <c r="M98" t="e">
        <f>Year_2032!M101/Year_2025!M101</f>
        <v>#DIV/0!</v>
      </c>
      <c r="N98">
        <f>Year_2032!N101</f>
        <v>0</v>
      </c>
      <c r="O98" t="e">
        <f>Year_2032!O101/Year_2025!O101</f>
        <v>#DIV/0!</v>
      </c>
      <c r="P98" t="e">
        <f>Year_2032!P101/Year_2025!P101</f>
        <v>#DIV/0!</v>
      </c>
      <c r="Q98" t="e">
        <f>Year_2032!Q101/Year_2025!Q101</f>
        <v>#DIV/0!</v>
      </c>
      <c r="R98" t="e">
        <f>Year_2032!R101/Year_2025!R101</f>
        <v>#DIV/0!</v>
      </c>
      <c r="S98" t="e">
        <f>Year_2032!S101/Year_2025!S101</f>
        <v>#DIV/0!</v>
      </c>
      <c r="T98" t="e">
        <f>Year_2032!T101/Year_2025!T101</f>
        <v>#DIV/0!</v>
      </c>
      <c r="U98" t="e">
        <f>Year_2032!U101/Year_2025!U101</f>
        <v>#DIV/0!</v>
      </c>
      <c r="V98" t="e">
        <f>Year_2032!V101/Year_2025!V101</f>
        <v>#DIV/0!</v>
      </c>
      <c r="W98" t="e">
        <f>Year_2032!W101/Year_2025!W101</f>
        <v>#DIV/0!</v>
      </c>
      <c r="X98" t="e">
        <f>Year_2032!X101/Year_2025!X101</f>
        <v>#DIV/0!</v>
      </c>
      <c r="Y98" t="e">
        <f>Year_2032!Y101/Year_2025!Y101</f>
        <v>#DIV/0!</v>
      </c>
      <c r="Z98" t="e">
        <f>Year_2032!Z101/Year_2025!Z101</f>
        <v>#DIV/0!</v>
      </c>
      <c r="AA98" t="e">
        <f>Year_2032!AA101/Year_2025!AA101</f>
        <v>#DIV/0!</v>
      </c>
      <c r="AB98" t="e">
        <f>Year_2032!AB101/Year_2025!AB101</f>
        <v>#DIV/0!</v>
      </c>
      <c r="AC98" t="e">
        <f>Year_2032!AC101/Year_2025!AC101</f>
        <v>#DIV/0!</v>
      </c>
      <c r="AD98" t="e">
        <f>Year_2032!AD101/Year_2025!AD101</f>
        <v>#DIV/0!</v>
      </c>
      <c r="AE98" t="e">
        <f>Year_2032!AE101/Year_2025!AE101</f>
        <v>#DIV/0!</v>
      </c>
      <c r="AF98" t="e">
        <f>Year_2032!AF101/Year_2025!AF101</f>
        <v>#DIV/0!</v>
      </c>
      <c r="AG98" t="e">
        <f>Year_2032!AG101/Year_2025!AG101</f>
        <v>#DIV/0!</v>
      </c>
      <c r="AH98" t="e">
        <f>Year_2032!AH101/Year_2025!AH101</f>
        <v>#DIV/0!</v>
      </c>
      <c r="AI98" t="e">
        <f>Year_2032!AI101/Year_2025!AI101</f>
        <v>#DIV/0!</v>
      </c>
      <c r="AJ98" t="e">
        <f>Year_2032!AJ101/Year_2025!AJ101</f>
        <v>#DIV/0!</v>
      </c>
      <c r="AK98" t="e">
        <f>Year_2032!AK101/Year_2025!AK101</f>
        <v>#DIV/0!</v>
      </c>
      <c r="AL98" t="e">
        <f>Year_2032!AL101/Year_2025!AL101</f>
        <v>#DIV/0!</v>
      </c>
      <c r="AM98" t="e">
        <f>Year_2032!AM101/Year_2025!AM101</f>
        <v>#DIV/0!</v>
      </c>
      <c r="AN98" t="e">
        <f>Year_2032!AN101/Year_2025!AN101</f>
        <v>#DIV/0!</v>
      </c>
      <c r="AO98" t="e">
        <f>Year_2032!AO101/Year_2025!AO101</f>
        <v>#DIV/0!</v>
      </c>
      <c r="AP98" t="e">
        <f>Year_2032!AP101/Year_2025!AP101</f>
        <v>#DIV/0!</v>
      </c>
      <c r="AQ98" t="e">
        <f>Year_2032!AQ101/Year_2025!AQ101</f>
        <v>#DIV/0!</v>
      </c>
      <c r="AR98" t="e">
        <f>Year_2032!AR101/Year_2025!AR101</f>
        <v>#DIV/0!</v>
      </c>
      <c r="AS98" t="e">
        <f>Year_2032!AS101/Year_2025!AS101</f>
        <v>#DIV/0!</v>
      </c>
      <c r="AT98" t="e">
        <f>Year_2032!AT101/Year_2025!AT101</f>
        <v>#DIV/0!</v>
      </c>
      <c r="AU98" t="e">
        <f>Year_2032!AU101/Year_2025!AU101</f>
        <v>#DIV/0!</v>
      </c>
      <c r="AV98" t="e">
        <f>Year_2032!AV101/Year_2025!AV101</f>
        <v>#DIV/0!</v>
      </c>
      <c r="AW98" t="e">
        <f>Year_2032!AW101/Year_2025!AW101</f>
        <v>#DIV/0!</v>
      </c>
      <c r="AX98" t="e">
        <f>Year_2032!AX101/Year_2025!AX101</f>
        <v>#DIV/0!</v>
      </c>
    </row>
    <row r="99" spans="2:50" x14ac:dyDescent="0.3">
      <c r="B99">
        <f>Year_2032!B102</f>
        <v>0</v>
      </c>
      <c r="N99">
        <f>Year_2032!N102</f>
        <v>0</v>
      </c>
    </row>
    <row r="100" spans="2:50" x14ac:dyDescent="0.3">
      <c r="B100" t="str">
        <f>Year_2032!B103</f>
        <v>% Workday Revenue</v>
      </c>
      <c r="C100" t="e">
        <f>Year_2032!C103/Year_2025!C103</f>
        <v>#DIV/0!</v>
      </c>
      <c r="D100" t="e">
        <f>Year_2032!D103/Year_2025!D103</f>
        <v>#DIV/0!</v>
      </c>
      <c r="E100" t="e">
        <f>Year_2032!E103/Year_2025!E103</f>
        <v>#DIV/0!</v>
      </c>
      <c r="F100" t="e">
        <f>Year_2032!F103/Year_2025!F103</f>
        <v>#DIV/0!</v>
      </c>
      <c r="G100" t="e">
        <f>Year_2032!G103/Year_2025!G103</f>
        <v>#DIV/0!</v>
      </c>
      <c r="H100" t="e">
        <f>Year_2032!H103/Year_2025!H103</f>
        <v>#DIV/0!</v>
      </c>
      <c r="I100" t="e">
        <f>Year_2032!I103/Year_2025!I103</f>
        <v>#DIV/0!</v>
      </c>
      <c r="J100" t="e">
        <f>Year_2032!J103/Year_2025!J103</f>
        <v>#DIV/0!</v>
      </c>
      <c r="K100" t="e">
        <f>Year_2032!K103/Year_2025!K103</f>
        <v>#DIV/0!</v>
      </c>
      <c r="L100" t="e">
        <f>Year_2032!L103/Year_2025!L103</f>
        <v>#DIV/0!</v>
      </c>
      <c r="M100" t="e">
        <f>Year_2032!M103/Year_2025!M103</f>
        <v>#DIV/0!</v>
      </c>
      <c r="N100" t="str">
        <f>Year_2032!N103</f>
        <v>ML light veh/period</v>
      </c>
      <c r="O100" t="e">
        <f>Year_2032!O103/Year_2025!O103</f>
        <v>#DIV/0!</v>
      </c>
      <c r="P100" t="e">
        <f>Year_2032!P103/Year_2025!P103</f>
        <v>#DIV/0!</v>
      </c>
      <c r="Q100" t="e">
        <f>Year_2032!Q103/Year_2025!Q103</f>
        <v>#DIV/0!</v>
      </c>
      <c r="R100" t="e">
        <f>Year_2032!R103/Year_2025!R103</f>
        <v>#DIV/0!</v>
      </c>
      <c r="S100" t="e">
        <f>Year_2032!S103/Year_2025!S103</f>
        <v>#DIV/0!</v>
      </c>
      <c r="T100" t="e">
        <f>Year_2032!T103/Year_2025!T103</f>
        <v>#DIV/0!</v>
      </c>
      <c r="U100" t="e">
        <f>Year_2032!U103/Year_2025!U103</f>
        <v>#DIV/0!</v>
      </c>
      <c r="V100" t="e">
        <f>Year_2032!V103/Year_2025!V103</f>
        <v>#DIV/0!</v>
      </c>
      <c r="W100" t="e">
        <f>Year_2032!W103/Year_2025!W103</f>
        <v>#DIV/0!</v>
      </c>
      <c r="X100" t="e">
        <f>Year_2032!X103/Year_2025!X103</f>
        <v>#DIV/0!</v>
      </c>
      <c r="Y100" t="e">
        <f>Year_2032!Y103/Year_2025!Y103</f>
        <v>#DIV/0!</v>
      </c>
      <c r="Z100" t="e">
        <f>Year_2032!Z103/Year_2025!Z103</f>
        <v>#DIV/0!</v>
      </c>
      <c r="AA100" t="e">
        <f>Year_2032!AA103/Year_2025!AA103</f>
        <v>#VALUE!</v>
      </c>
      <c r="AB100" t="e">
        <f>Year_2032!AB103/Year_2025!AB103</f>
        <v>#DIV/0!</v>
      </c>
      <c r="AC100" t="e">
        <f>Year_2032!AC103/Year_2025!AC103</f>
        <v>#DIV/0!</v>
      </c>
      <c r="AD100" t="e">
        <f>Year_2032!AD103/Year_2025!AD103</f>
        <v>#DIV/0!</v>
      </c>
      <c r="AE100" t="e">
        <f>Year_2032!AE103/Year_2025!AE103</f>
        <v>#DIV/0!</v>
      </c>
      <c r="AF100" t="e">
        <f>Year_2032!AF103/Year_2025!AF103</f>
        <v>#DIV/0!</v>
      </c>
      <c r="AG100" t="e">
        <f>Year_2032!AG103/Year_2025!AG103</f>
        <v>#DIV/0!</v>
      </c>
      <c r="AH100" t="e">
        <f>Year_2032!AH103/Year_2025!AH103</f>
        <v>#DIV/0!</v>
      </c>
      <c r="AI100" t="e">
        <f>Year_2032!AI103/Year_2025!AI103</f>
        <v>#DIV/0!</v>
      </c>
      <c r="AJ100" t="e">
        <f>Year_2032!AJ103/Year_2025!AJ103</f>
        <v>#DIV/0!</v>
      </c>
      <c r="AK100" t="e">
        <f>Year_2032!AK103/Year_2025!AK103</f>
        <v>#DIV/0!</v>
      </c>
      <c r="AL100" t="e">
        <f>Year_2032!AL103/Year_2025!AL103</f>
        <v>#DIV/0!</v>
      </c>
      <c r="AM100" t="e">
        <f>Year_2032!AM103/Year_2025!AM103</f>
        <v>#DIV/0!</v>
      </c>
      <c r="AN100" t="e">
        <f>Year_2032!AN103/Year_2025!AN103</f>
        <v>#VALUE!</v>
      </c>
      <c r="AO100" t="e">
        <f>Year_2032!AO103/Year_2025!AO103</f>
        <v>#DIV/0!</v>
      </c>
      <c r="AP100" t="e">
        <f>Year_2032!AP103/Year_2025!AP103</f>
        <v>#DIV/0!</v>
      </c>
      <c r="AQ100" t="e">
        <f>Year_2032!AQ103/Year_2025!AQ103</f>
        <v>#DIV/0!</v>
      </c>
      <c r="AR100" t="e">
        <f>Year_2032!AR103/Year_2025!AR103</f>
        <v>#DIV/0!</v>
      </c>
      <c r="AS100" t="e">
        <f>Year_2032!AS103/Year_2025!AS103</f>
        <v>#DIV/0!</v>
      </c>
      <c r="AT100" t="e">
        <f>Year_2032!AT103/Year_2025!AT103</f>
        <v>#DIV/0!</v>
      </c>
      <c r="AU100" t="e">
        <f>Year_2032!AU103/Year_2025!AU103</f>
        <v>#DIV/0!</v>
      </c>
      <c r="AV100" t="e">
        <f>Year_2032!AV103/Year_2025!AV103</f>
        <v>#DIV/0!</v>
      </c>
      <c r="AW100" t="e">
        <f>Year_2032!AW103/Year_2025!AW103</f>
        <v>#DIV/0!</v>
      </c>
      <c r="AX100" t="e">
        <f>Year_2032!AX103/Year_2025!AX103</f>
        <v>#DIV/0!</v>
      </c>
    </row>
    <row r="101" spans="2:50" x14ac:dyDescent="0.3">
      <c r="B101" t="str">
        <f>Year_2032!B104</f>
        <v>Direction</v>
      </c>
      <c r="C101" t="e">
        <f>Year_2032!C104/Year_2025!C104</f>
        <v>#VALUE!</v>
      </c>
      <c r="D101" t="e">
        <f>Year_2032!D104/Year_2025!D104</f>
        <v>#VALUE!</v>
      </c>
      <c r="E101" t="e">
        <f>Year_2032!E104/Year_2025!E104</f>
        <v>#VALUE!</v>
      </c>
      <c r="F101" t="e">
        <f>Year_2032!F104/Year_2025!F104</f>
        <v>#VALUE!</v>
      </c>
      <c r="G101" t="e">
        <f>Year_2032!G104/Year_2025!G104</f>
        <v>#VALUE!</v>
      </c>
      <c r="H101" t="e">
        <f>Year_2032!H104/Year_2025!H104</f>
        <v>#VALUE!</v>
      </c>
      <c r="I101" t="e">
        <f>Year_2032!I104/Year_2025!I104</f>
        <v>#VALUE!</v>
      </c>
      <c r="J101" t="e">
        <f>Year_2032!J104/Year_2025!J104</f>
        <v>#VALUE!</v>
      </c>
      <c r="K101" t="e">
        <f>Year_2032!K104/Year_2025!K104</f>
        <v>#VALUE!</v>
      </c>
      <c r="L101" t="e">
        <f>Year_2032!L104/Year_2025!L104</f>
        <v>#VALUE!</v>
      </c>
      <c r="M101" t="e">
        <f>Year_2032!M104/Year_2025!M104</f>
        <v>#DIV/0!</v>
      </c>
      <c r="N101" t="str">
        <f>Year_2032!N104</f>
        <v>Direction</v>
      </c>
      <c r="O101" t="e">
        <f>Year_2032!O104/Year_2025!O104</f>
        <v>#VALUE!</v>
      </c>
      <c r="P101" t="e">
        <f>Year_2032!P104/Year_2025!P104</f>
        <v>#VALUE!</v>
      </c>
      <c r="Q101" t="e">
        <f>Year_2032!Q104/Year_2025!Q104</f>
        <v>#VALUE!</v>
      </c>
      <c r="R101" t="e">
        <f>Year_2032!R104/Year_2025!R104</f>
        <v>#VALUE!</v>
      </c>
      <c r="S101" t="e">
        <f>Year_2032!S104/Year_2025!S104</f>
        <v>#VALUE!</v>
      </c>
      <c r="T101" t="e">
        <f>Year_2032!T104/Year_2025!T104</f>
        <v>#VALUE!</v>
      </c>
      <c r="U101" t="e">
        <f>Year_2032!U104/Year_2025!U104</f>
        <v>#VALUE!</v>
      </c>
      <c r="V101" t="e">
        <f>Year_2032!V104/Year_2025!V104</f>
        <v>#VALUE!</v>
      </c>
      <c r="W101" t="e">
        <f>Year_2032!W104/Year_2025!W104</f>
        <v>#VALUE!</v>
      </c>
      <c r="X101" t="e">
        <f>Year_2032!X104/Year_2025!X104</f>
        <v>#VALUE!</v>
      </c>
      <c r="Y101" t="e">
        <f>Year_2032!Y104/Year_2025!Y104</f>
        <v>#DIV/0!</v>
      </c>
      <c r="Z101" t="e">
        <f>Year_2032!Z104/Year_2025!Z104</f>
        <v>#DIV/0!</v>
      </c>
      <c r="AA101" t="e">
        <f>Year_2032!AA104/Year_2025!AA104</f>
        <v>#VALUE!</v>
      </c>
      <c r="AB101" t="e">
        <f>Year_2032!AB104/Year_2025!AB104</f>
        <v>#VALUE!</v>
      </c>
      <c r="AC101" t="e">
        <f>Year_2032!AC104/Year_2025!AC104</f>
        <v>#VALUE!</v>
      </c>
      <c r="AD101" t="e">
        <f>Year_2032!AD104/Year_2025!AD104</f>
        <v>#VALUE!</v>
      </c>
      <c r="AE101" t="e">
        <f>Year_2032!AE104/Year_2025!AE104</f>
        <v>#VALUE!</v>
      </c>
      <c r="AF101" t="e">
        <f>Year_2032!AF104/Year_2025!AF104</f>
        <v>#VALUE!</v>
      </c>
      <c r="AG101" t="e">
        <f>Year_2032!AG104/Year_2025!AG104</f>
        <v>#VALUE!</v>
      </c>
      <c r="AH101" t="e">
        <f>Year_2032!AH104/Year_2025!AH104</f>
        <v>#VALUE!</v>
      </c>
      <c r="AI101" t="e">
        <f>Year_2032!AI104/Year_2025!AI104</f>
        <v>#VALUE!</v>
      </c>
      <c r="AJ101" t="e">
        <f>Year_2032!AJ104/Year_2025!AJ104</f>
        <v>#VALUE!</v>
      </c>
      <c r="AK101" t="e">
        <f>Year_2032!AK104/Year_2025!AK104</f>
        <v>#VALUE!</v>
      </c>
      <c r="AL101" t="e">
        <f>Year_2032!AL104/Year_2025!AL104</f>
        <v>#DIV/0!</v>
      </c>
      <c r="AM101" t="e">
        <f>Year_2032!AM104/Year_2025!AM104</f>
        <v>#DIV/0!</v>
      </c>
      <c r="AN101" t="e">
        <f>Year_2032!AN104/Year_2025!AN104</f>
        <v>#VALUE!</v>
      </c>
      <c r="AO101" t="e">
        <f>Year_2032!AO104/Year_2025!AO104</f>
        <v>#VALUE!</v>
      </c>
      <c r="AP101" t="e">
        <f>Year_2032!AP104/Year_2025!AP104</f>
        <v>#VALUE!</v>
      </c>
      <c r="AQ101" t="e">
        <f>Year_2032!AQ104/Year_2025!AQ104</f>
        <v>#VALUE!</v>
      </c>
      <c r="AR101" t="e">
        <f>Year_2032!AR104/Year_2025!AR104</f>
        <v>#VALUE!</v>
      </c>
      <c r="AS101" t="e">
        <f>Year_2032!AS104/Year_2025!AS104</f>
        <v>#VALUE!</v>
      </c>
      <c r="AT101" t="e">
        <f>Year_2032!AT104/Year_2025!AT104</f>
        <v>#VALUE!</v>
      </c>
      <c r="AU101" t="e">
        <f>Year_2032!AU104/Year_2025!AU104</f>
        <v>#VALUE!</v>
      </c>
      <c r="AV101" t="e">
        <f>Year_2032!AV104/Year_2025!AV104</f>
        <v>#VALUE!</v>
      </c>
      <c r="AW101" t="e">
        <f>Year_2032!AW104/Year_2025!AW104</f>
        <v>#VALUE!</v>
      </c>
      <c r="AX101" t="e">
        <f>Year_2032!AX104/Year_2025!AX104</f>
        <v>#VALUE!</v>
      </c>
    </row>
    <row r="102" spans="2:50" x14ac:dyDescent="0.3">
      <c r="B102" t="str">
        <f>Year_2032!B105</f>
        <v>Segment</v>
      </c>
      <c r="C102">
        <f>Year_2032!C105/Year_2025!C105</f>
        <v>1</v>
      </c>
      <c r="D102">
        <f>Year_2032!D105/Year_2025!D105</f>
        <v>1</v>
      </c>
      <c r="E102">
        <f>Year_2032!E105/Year_2025!E105</f>
        <v>1</v>
      </c>
      <c r="F102">
        <f>Year_2032!F105/Year_2025!F105</f>
        <v>1</v>
      </c>
      <c r="G102">
        <f>Year_2032!G105/Year_2025!G105</f>
        <v>1</v>
      </c>
      <c r="H102">
        <f>Year_2032!H105/Year_2025!H105</f>
        <v>1</v>
      </c>
      <c r="I102">
        <f>Year_2032!I105/Year_2025!I105</f>
        <v>1</v>
      </c>
      <c r="J102">
        <f>Year_2032!J105/Year_2025!J105</f>
        <v>1</v>
      </c>
      <c r="K102">
        <f>Year_2032!K105/Year_2025!K105</f>
        <v>1</v>
      </c>
      <c r="L102">
        <f>Year_2032!L105/Year_2025!L105</f>
        <v>1</v>
      </c>
      <c r="M102" t="e">
        <f>Year_2032!M105/Year_2025!M105</f>
        <v>#DIV/0!</v>
      </c>
      <c r="N102" t="str">
        <f>Year_2032!N105</f>
        <v>Segment</v>
      </c>
      <c r="O102">
        <f>Year_2032!O105/Year_2025!O105</f>
        <v>1</v>
      </c>
      <c r="P102">
        <f>Year_2032!P105/Year_2025!P105</f>
        <v>1</v>
      </c>
      <c r="Q102">
        <f>Year_2032!Q105/Year_2025!Q105</f>
        <v>1</v>
      </c>
      <c r="R102">
        <f>Year_2032!R105/Year_2025!R105</f>
        <v>1</v>
      </c>
      <c r="S102">
        <f>Year_2032!S105/Year_2025!S105</f>
        <v>1</v>
      </c>
      <c r="T102">
        <f>Year_2032!T105/Year_2025!T105</f>
        <v>1</v>
      </c>
      <c r="U102">
        <f>Year_2032!U105/Year_2025!U105</f>
        <v>1</v>
      </c>
      <c r="V102">
        <f>Year_2032!V105/Year_2025!V105</f>
        <v>1</v>
      </c>
      <c r="W102">
        <f>Year_2032!W105/Year_2025!W105</f>
        <v>1</v>
      </c>
      <c r="X102">
        <f>Year_2032!X105/Year_2025!X105</f>
        <v>1</v>
      </c>
      <c r="Y102" t="e">
        <f>Year_2032!Y105/Year_2025!Y105</f>
        <v>#DIV/0!</v>
      </c>
      <c r="Z102" t="e">
        <f>Year_2032!Z105/Year_2025!Z105</f>
        <v>#DIV/0!</v>
      </c>
      <c r="AA102" t="e">
        <f>Year_2032!AA105/Year_2025!AA105</f>
        <v>#VALUE!</v>
      </c>
      <c r="AB102">
        <f>Year_2032!AB105/Year_2025!AB105</f>
        <v>1</v>
      </c>
      <c r="AC102">
        <f>Year_2032!AC105/Year_2025!AC105</f>
        <v>1</v>
      </c>
      <c r="AD102">
        <f>Year_2032!AD105/Year_2025!AD105</f>
        <v>1</v>
      </c>
      <c r="AE102">
        <f>Year_2032!AE105/Year_2025!AE105</f>
        <v>1</v>
      </c>
      <c r="AF102">
        <f>Year_2032!AF105/Year_2025!AF105</f>
        <v>1</v>
      </c>
      <c r="AG102">
        <f>Year_2032!AG105/Year_2025!AG105</f>
        <v>1</v>
      </c>
      <c r="AH102">
        <f>Year_2032!AH105/Year_2025!AH105</f>
        <v>1</v>
      </c>
      <c r="AI102">
        <f>Year_2032!AI105/Year_2025!AI105</f>
        <v>1</v>
      </c>
      <c r="AJ102">
        <f>Year_2032!AJ105/Year_2025!AJ105</f>
        <v>1</v>
      </c>
      <c r="AK102">
        <f>Year_2032!AK105/Year_2025!AK105</f>
        <v>1</v>
      </c>
      <c r="AL102" t="e">
        <f>Year_2032!AL105/Year_2025!AL105</f>
        <v>#DIV/0!</v>
      </c>
      <c r="AM102" t="e">
        <f>Year_2032!AM105/Year_2025!AM105</f>
        <v>#DIV/0!</v>
      </c>
      <c r="AN102" t="e">
        <f>Year_2032!AN105/Year_2025!AN105</f>
        <v>#VALUE!</v>
      </c>
      <c r="AO102">
        <f>Year_2032!AO105/Year_2025!AO105</f>
        <v>1</v>
      </c>
      <c r="AP102">
        <f>Year_2032!AP105/Year_2025!AP105</f>
        <v>1</v>
      </c>
      <c r="AQ102">
        <f>Year_2032!AQ105/Year_2025!AQ105</f>
        <v>1</v>
      </c>
      <c r="AR102">
        <f>Year_2032!AR105/Year_2025!AR105</f>
        <v>1</v>
      </c>
      <c r="AS102">
        <f>Year_2032!AS105/Year_2025!AS105</f>
        <v>1</v>
      </c>
      <c r="AT102">
        <f>Year_2032!AT105/Year_2025!AT105</f>
        <v>1</v>
      </c>
      <c r="AU102">
        <f>Year_2032!AU105/Year_2025!AU105</f>
        <v>1</v>
      </c>
      <c r="AV102">
        <f>Year_2032!AV105/Year_2025!AV105</f>
        <v>1</v>
      </c>
      <c r="AW102">
        <f>Year_2032!AW105/Year_2025!AW105</f>
        <v>1</v>
      </c>
      <c r="AX102">
        <f>Year_2032!AX105/Year_2025!AX105</f>
        <v>1</v>
      </c>
    </row>
    <row r="103" spans="2:50" x14ac:dyDescent="0.3">
      <c r="B103" t="str">
        <f>Year_2032!B106</f>
        <v>Period</v>
      </c>
      <c r="C103" t="e">
        <f>Year_2032!C106/Year_2025!C106</f>
        <v>#DIV/0!</v>
      </c>
      <c r="D103" t="e">
        <f>Year_2032!D106/Year_2025!D106</f>
        <v>#DIV/0!</v>
      </c>
      <c r="E103" t="e">
        <f>Year_2032!E106/Year_2025!E106</f>
        <v>#DIV/0!</v>
      </c>
      <c r="F103" t="e">
        <f>Year_2032!F106/Year_2025!F106</f>
        <v>#DIV/0!</v>
      </c>
      <c r="G103" t="e">
        <f>Year_2032!G106/Year_2025!G106</f>
        <v>#DIV/0!</v>
      </c>
      <c r="H103" t="e">
        <f>Year_2032!H106/Year_2025!H106</f>
        <v>#DIV/0!</v>
      </c>
      <c r="I103" t="e">
        <f>Year_2032!I106/Year_2025!I106</f>
        <v>#DIV/0!</v>
      </c>
      <c r="J103" t="e">
        <f>Year_2032!J106/Year_2025!J106</f>
        <v>#DIV/0!</v>
      </c>
      <c r="K103" t="e">
        <f>Year_2032!K106/Year_2025!K106</f>
        <v>#DIV/0!</v>
      </c>
      <c r="L103" t="e">
        <f>Year_2032!L106/Year_2025!L106</f>
        <v>#DIV/0!</v>
      </c>
      <c r="M103" t="e">
        <f>Year_2032!M106/Year_2025!M106</f>
        <v>#DIV/0!</v>
      </c>
      <c r="N103" t="str">
        <f>Year_2032!N106</f>
        <v>Period</v>
      </c>
      <c r="O103" t="e">
        <f>Year_2032!O106/Year_2025!O106</f>
        <v>#DIV/0!</v>
      </c>
      <c r="P103" t="e">
        <f>Year_2032!P106/Year_2025!P106</f>
        <v>#DIV/0!</v>
      </c>
      <c r="Q103" t="e">
        <f>Year_2032!Q106/Year_2025!Q106</f>
        <v>#DIV/0!</v>
      </c>
      <c r="R103" t="e">
        <f>Year_2032!R106/Year_2025!R106</f>
        <v>#DIV/0!</v>
      </c>
      <c r="S103" t="e">
        <f>Year_2032!S106/Year_2025!S106</f>
        <v>#DIV/0!</v>
      </c>
      <c r="T103" t="e">
        <f>Year_2032!T106/Year_2025!T106</f>
        <v>#DIV/0!</v>
      </c>
      <c r="U103" t="e">
        <f>Year_2032!U106/Year_2025!U106</f>
        <v>#DIV/0!</v>
      </c>
      <c r="V103" t="e">
        <f>Year_2032!V106/Year_2025!V106</f>
        <v>#DIV/0!</v>
      </c>
      <c r="W103" t="e">
        <f>Year_2032!W106/Year_2025!W106</f>
        <v>#DIV/0!</v>
      </c>
      <c r="X103" t="e">
        <f>Year_2032!X106/Year_2025!X106</f>
        <v>#DIV/0!</v>
      </c>
      <c r="Y103" t="e">
        <f>Year_2032!Y106/Year_2025!Y106</f>
        <v>#DIV/0!</v>
      </c>
      <c r="Z103" t="e">
        <f>Year_2032!Z106/Year_2025!Z106</f>
        <v>#DIV/0!</v>
      </c>
      <c r="AA103" t="e">
        <f>Year_2032!AA106/Year_2025!AA106</f>
        <v>#VALUE!</v>
      </c>
      <c r="AB103" t="e">
        <f>Year_2032!AB106/Year_2025!AB106</f>
        <v>#DIV/0!</v>
      </c>
      <c r="AC103" t="e">
        <f>Year_2032!AC106/Year_2025!AC106</f>
        <v>#DIV/0!</v>
      </c>
      <c r="AD103" t="e">
        <f>Year_2032!AD106/Year_2025!AD106</f>
        <v>#DIV/0!</v>
      </c>
      <c r="AE103" t="e">
        <f>Year_2032!AE106/Year_2025!AE106</f>
        <v>#DIV/0!</v>
      </c>
      <c r="AF103" t="e">
        <f>Year_2032!AF106/Year_2025!AF106</f>
        <v>#DIV/0!</v>
      </c>
      <c r="AG103" t="e">
        <f>Year_2032!AG106/Year_2025!AG106</f>
        <v>#DIV/0!</v>
      </c>
      <c r="AH103" t="e">
        <f>Year_2032!AH106/Year_2025!AH106</f>
        <v>#DIV/0!</v>
      </c>
      <c r="AI103" t="e">
        <f>Year_2032!AI106/Year_2025!AI106</f>
        <v>#DIV/0!</v>
      </c>
      <c r="AJ103" t="e">
        <f>Year_2032!AJ106/Year_2025!AJ106</f>
        <v>#DIV/0!</v>
      </c>
      <c r="AK103" t="e">
        <f>Year_2032!AK106/Year_2025!AK106</f>
        <v>#DIV/0!</v>
      </c>
      <c r="AL103" t="e">
        <f>Year_2032!AL106/Year_2025!AL106</f>
        <v>#DIV/0!</v>
      </c>
      <c r="AM103" t="e">
        <f>Year_2032!AM106/Year_2025!AM106</f>
        <v>#DIV/0!</v>
      </c>
      <c r="AN103" t="e">
        <f>Year_2032!AN106/Year_2025!AN106</f>
        <v>#VALUE!</v>
      </c>
      <c r="AO103" t="e">
        <f>Year_2032!AO106/Year_2025!AO106</f>
        <v>#DIV/0!</v>
      </c>
      <c r="AP103" t="e">
        <f>Year_2032!AP106/Year_2025!AP106</f>
        <v>#DIV/0!</v>
      </c>
      <c r="AQ103" t="e">
        <f>Year_2032!AQ106/Year_2025!AQ106</f>
        <v>#DIV/0!</v>
      </c>
      <c r="AR103" t="e">
        <f>Year_2032!AR106/Year_2025!AR106</f>
        <v>#DIV/0!</v>
      </c>
      <c r="AS103" t="e">
        <f>Year_2032!AS106/Year_2025!AS106</f>
        <v>#DIV/0!</v>
      </c>
      <c r="AT103" t="e">
        <f>Year_2032!AT106/Year_2025!AT106</f>
        <v>#DIV/0!</v>
      </c>
      <c r="AU103" t="e">
        <f>Year_2032!AU106/Year_2025!AU106</f>
        <v>#DIV/0!</v>
      </c>
      <c r="AV103" t="e">
        <f>Year_2032!AV106/Year_2025!AV106</f>
        <v>#DIV/0!</v>
      </c>
      <c r="AW103" t="e">
        <f>Year_2032!AW106/Year_2025!AW106</f>
        <v>#DIV/0!</v>
      </c>
      <c r="AX103" t="e">
        <f>Year_2032!AX106/Year_2025!AX106</f>
        <v>#DIV/0!</v>
      </c>
    </row>
    <row r="104" spans="2:50" x14ac:dyDescent="0.3">
      <c r="B104" t="str">
        <f>Year_2032!B107</f>
        <v>Night</v>
      </c>
      <c r="C104">
        <f>Year_2032!C107/Year_2025!C107</f>
        <v>0.90506068740617007</v>
      </c>
      <c r="D104">
        <f>Year_2032!D107/Year_2025!D107</f>
        <v>0.99773778196219343</v>
      </c>
      <c r="E104">
        <f>Year_2032!E107/Year_2025!E107</f>
        <v>0.76627079931893272</v>
      </c>
      <c r="F104">
        <f>Year_2032!F107/Year_2025!F107</f>
        <v>0.58941995606894915</v>
      </c>
      <c r="G104">
        <f>Year_2032!G107/Year_2025!G107</f>
        <v>0.46656685895971473</v>
      </c>
      <c r="H104">
        <f>Year_2032!H107/Year_2025!H107</f>
        <v>0.53760404026347375</v>
      </c>
      <c r="I104">
        <f>Year_2032!I107/Year_2025!I107</f>
        <v>0.45431544854267841</v>
      </c>
      <c r="J104">
        <f>Year_2032!J107/Year_2025!J107</f>
        <v>0.50639927900763859</v>
      </c>
      <c r="K104">
        <f>Year_2032!K107/Year_2025!K107</f>
        <v>0.71888397027276052</v>
      </c>
      <c r="L104">
        <f>Year_2032!L107/Year_2025!L107</f>
        <v>0.68918091205124232</v>
      </c>
      <c r="M104" t="e">
        <f>Year_2032!M107/Year_2025!M107</f>
        <v>#DIV/0!</v>
      </c>
      <c r="N104" t="str">
        <f>Year_2032!N107</f>
        <v>Night</v>
      </c>
      <c r="O104">
        <f>Year_2032!O107/Year_2025!O107</f>
        <v>1.9730215827338131</v>
      </c>
      <c r="P104">
        <f>Year_2032!P107/Year_2025!P107</f>
        <v>1.9760701802955321</v>
      </c>
      <c r="Q104">
        <f>Year_2032!Q107/Year_2025!Q107</f>
        <v>1.9763303440302473</v>
      </c>
      <c r="R104">
        <f>Year_2032!R107/Year_2025!R107</f>
        <v>1.2023064335991274</v>
      </c>
      <c r="S104">
        <f>Year_2032!S107/Year_2025!S107</f>
        <v>1.3250705448230955</v>
      </c>
      <c r="T104">
        <f>Year_2032!T107/Year_2025!T107</f>
        <v>1.3434741734997651</v>
      </c>
      <c r="U104">
        <f>Year_2032!U107/Year_2025!U107</f>
        <v>1.2114746849436215</v>
      </c>
      <c r="V104">
        <f>Year_2032!V107/Year_2025!V107</f>
        <v>1.211566779561184</v>
      </c>
      <c r="W104">
        <f>Year_2032!W107/Year_2025!W107</f>
        <v>0.99159908262979446</v>
      </c>
      <c r="X104">
        <f>Year_2032!X107/Year_2025!X107</f>
        <v>0.9960141946101625</v>
      </c>
      <c r="Y104" t="e">
        <f>Year_2032!Y107/Year_2025!Y107</f>
        <v>#DIV/0!</v>
      </c>
      <c r="Z104" t="e">
        <f>Year_2032!Z107/Year_2025!Z107</f>
        <v>#DIV/0!</v>
      </c>
      <c r="AA104" t="e">
        <f>Year_2032!AA107/Year_2025!AA107</f>
        <v>#VALUE!</v>
      </c>
      <c r="AB104">
        <f>Year_2032!AB107/Year_2025!AB107</f>
        <v>1.1523647442095453</v>
      </c>
      <c r="AC104">
        <f>Year_2032!AC107/Year_2025!AC107</f>
        <v>1.1521556855351271</v>
      </c>
      <c r="AD104">
        <f>Year_2032!AD107/Year_2025!AD107</f>
        <v>1.1521909858778616</v>
      </c>
      <c r="AE104">
        <f>Year_2032!AE107/Year_2025!AE107</f>
        <v>1.2023240826587289</v>
      </c>
      <c r="AF104">
        <f>Year_2032!AF107/Year_2025!AF107</f>
        <v>1.2051312282770226</v>
      </c>
      <c r="AG104">
        <f>Year_2032!AG107/Year_2025!AG107</f>
        <v>1.2040721077257857</v>
      </c>
      <c r="AH104">
        <f>Year_2032!AH107/Year_2025!AH107</f>
        <v>1.2114886059269232</v>
      </c>
      <c r="AI104">
        <f>Year_2032!AI107/Year_2025!AI107</f>
        <v>1.2115635681731867</v>
      </c>
      <c r="AJ104">
        <f>Year_2032!AJ107/Year_2025!AJ107</f>
        <v>1.0009305484989728</v>
      </c>
      <c r="AK104">
        <f>Year_2032!AK107/Year_2025!AK107</f>
        <v>1.0004385195579724</v>
      </c>
      <c r="AL104" t="e">
        <f>Year_2032!AL107/Year_2025!AL107</f>
        <v>#DIV/0!</v>
      </c>
      <c r="AM104" t="e">
        <f>Year_2032!AM107/Year_2025!AM107</f>
        <v>#DIV/0!</v>
      </c>
      <c r="AN104" t="e">
        <f>Year_2032!AN107/Year_2025!AN107</f>
        <v>#VALUE!</v>
      </c>
      <c r="AO104">
        <f>Year_2032!AO107/Year_2025!AO107</f>
        <v>1</v>
      </c>
      <c r="AP104">
        <f>Year_2032!AP107/Year_2025!AP107</f>
        <v>1</v>
      </c>
      <c r="AQ104">
        <f>Year_2032!AQ107/Year_2025!AQ107</f>
        <v>1</v>
      </c>
      <c r="AR104">
        <f>Year_2032!AR107/Year_2025!AR107</f>
        <v>1</v>
      </c>
      <c r="AS104">
        <f>Year_2032!AS107/Year_2025!AS107</f>
        <v>1</v>
      </c>
      <c r="AT104">
        <f>Year_2032!AT107/Year_2025!AT107</f>
        <v>1</v>
      </c>
      <c r="AU104">
        <f>Year_2032!AU107/Year_2025!AU107</f>
        <v>1</v>
      </c>
      <c r="AV104">
        <f>Year_2032!AV107/Year_2025!AV107</f>
        <v>1</v>
      </c>
      <c r="AW104">
        <f>Year_2032!AW107/Year_2025!AW107</f>
        <v>1</v>
      </c>
      <c r="AX104">
        <f>Year_2032!AX107/Year_2025!AX107</f>
        <v>1</v>
      </c>
    </row>
    <row r="105" spans="2:50" x14ac:dyDescent="0.3">
      <c r="B105" t="str">
        <f>Year_2032!B108</f>
        <v>AM-Early</v>
      </c>
      <c r="C105">
        <f>Year_2032!C108/Year_2025!C108</f>
        <v>0.96265696628469744</v>
      </c>
      <c r="D105">
        <f>Year_2032!D108/Year_2025!D108</f>
        <v>1.1022488373445585</v>
      </c>
      <c r="E105">
        <f>Year_2032!E108/Year_2025!E108</f>
        <v>0.94308785475331691</v>
      </c>
      <c r="F105">
        <f>Year_2032!F108/Year_2025!F108</f>
        <v>0.71974064663892467</v>
      </c>
      <c r="G105">
        <f>Year_2032!G108/Year_2025!G108</f>
        <v>1.0008602142389031</v>
      </c>
      <c r="H105">
        <f>Year_2032!H108/Year_2025!H108</f>
        <v>0.95778090461103438</v>
      </c>
      <c r="I105">
        <f>Year_2032!I108/Year_2025!I108</f>
        <v>1.0530725459476367</v>
      </c>
      <c r="J105">
        <f>Year_2032!J108/Year_2025!J108</f>
        <v>0.50636241565383255</v>
      </c>
      <c r="K105">
        <f>Year_2032!K108/Year_2025!K108</f>
        <v>1.1119356593120779</v>
      </c>
      <c r="L105">
        <f>Year_2032!L108/Year_2025!L108</f>
        <v>0.9533150124433265</v>
      </c>
      <c r="M105" t="e">
        <f>Year_2032!M108/Year_2025!M108</f>
        <v>#DIV/0!</v>
      </c>
      <c r="N105" t="str">
        <f>Year_2032!N108</f>
        <v>AM-Early</v>
      </c>
      <c r="O105">
        <f>Year_2032!O108/Year_2025!O108</f>
        <v>1.2140002337267732</v>
      </c>
      <c r="P105">
        <f>Year_2032!P108/Year_2025!P108</f>
        <v>1.1988190505788205</v>
      </c>
      <c r="Q105">
        <f>Year_2032!Q108/Year_2025!Q108</f>
        <v>1.1813738659612723</v>
      </c>
      <c r="R105">
        <f>Year_2032!R108/Year_2025!R108</f>
        <v>1.2609430811827618</v>
      </c>
      <c r="S105">
        <f>Year_2032!S108/Year_2025!S108</f>
        <v>1.1656792100346944</v>
      </c>
      <c r="T105">
        <f>Year_2032!T108/Year_2025!T108</f>
        <v>1.2048869268897149</v>
      </c>
      <c r="U105">
        <f>Year_2032!U108/Year_2025!U108</f>
        <v>1.2128702657562509</v>
      </c>
      <c r="V105">
        <f>Year_2032!V108/Year_2025!V108</f>
        <v>1.2115154237795747</v>
      </c>
      <c r="W105">
        <f>Year_2032!W108/Year_2025!W108</f>
        <v>1.0673802473265319</v>
      </c>
      <c r="X105">
        <f>Year_2032!X108/Year_2025!X108</f>
        <v>0.99902630390607372</v>
      </c>
      <c r="Y105" t="e">
        <f>Year_2032!Y108/Year_2025!Y108</f>
        <v>#DIV/0!</v>
      </c>
      <c r="Z105" t="e">
        <f>Year_2032!Z108/Year_2025!Z108</f>
        <v>#DIV/0!</v>
      </c>
      <c r="AA105" t="e">
        <f>Year_2032!AA108/Year_2025!AA108</f>
        <v>#VALUE!</v>
      </c>
      <c r="AB105">
        <f>Year_2032!AB108/Year_2025!AB108</f>
        <v>1.1055084458313547</v>
      </c>
      <c r="AC105">
        <f>Year_2032!AC108/Year_2025!AC108</f>
        <v>1.2030128783918643</v>
      </c>
      <c r="AD105">
        <f>Year_2032!AD108/Year_2025!AD108</f>
        <v>1.2063357766532223</v>
      </c>
      <c r="AE105">
        <f>Year_2032!AE108/Year_2025!AE108</f>
        <v>0.98293309687888741</v>
      </c>
      <c r="AF105">
        <f>Year_2032!AF108/Year_2025!AF108</f>
        <v>1.220628118993458</v>
      </c>
      <c r="AG105">
        <f>Year_2032!AG108/Year_2025!AG108</f>
        <v>1.2129090237992071</v>
      </c>
      <c r="AH105">
        <f>Year_2032!AH108/Year_2025!AH108</f>
        <v>1.2036258186312194</v>
      </c>
      <c r="AI105">
        <f>Year_2032!AI108/Year_2025!AI108</f>
        <v>1.2115218962944732</v>
      </c>
      <c r="AJ105">
        <f>Year_2032!AJ108/Year_2025!AJ108</f>
        <v>1.022082465934405</v>
      </c>
      <c r="AK105">
        <f>Year_2032!AK108/Year_2025!AK108</f>
        <v>1.0002074339518272</v>
      </c>
      <c r="AL105" t="e">
        <f>Year_2032!AL108/Year_2025!AL108</f>
        <v>#DIV/0!</v>
      </c>
      <c r="AM105" t="e">
        <f>Year_2032!AM108/Year_2025!AM108</f>
        <v>#DIV/0!</v>
      </c>
      <c r="AN105" t="e">
        <f>Year_2032!AN108/Year_2025!AN108</f>
        <v>#VALUE!</v>
      </c>
      <c r="AO105">
        <f>Year_2032!AO108/Year_2025!AO108</f>
        <v>1.7267441860465118</v>
      </c>
      <c r="AP105">
        <f>Year_2032!AP108/Year_2025!AP108</f>
        <v>1.8012232415902139</v>
      </c>
      <c r="AQ105">
        <f>Year_2032!AQ108/Year_2025!AQ108</f>
        <v>2.0297029702970297</v>
      </c>
      <c r="AR105">
        <f>Year_2032!AR108/Year_2025!AR108</f>
        <v>1.1568123393316196</v>
      </c>
      <c r="AS105">
        <f>Year_2032!AS108/Year_2025!AS108</f>
        <v>2.3775510204081636</v>
      </c>
      <c r="AT105">
        <f>Year_2032!AT108/Year_2025!AT108</f>
        <v>1.9189189189189189</v>
      </c>
      <c r="AU105">
        <f>Year_2032!AU108/Year_2025!AU108</f>
        <v>2.3142857142857141</v>
      </c>
      <c r="AV105">
        <f>Year_2032!AV108/Year_2025!AV108</f>
        <v>1</v>
      </c>
      <c r="AW105">
        <f>Year_2032!AW108/Year_2025!AW108</f>
        <v>1.4352159468438541</v>
      </c>
      <c r="AX105">
        <f>Year_2032!AX108/Year_2025!AX108</f>
        <v>1.3788546255506606</v>
      </c>
    </row>
    <row r="106" spans="2:50" x14ac:dyDescent="0.3">
      <c r="B106" t="str">
        <f>Year_2032!B109</f>
        <v>AM-Peak</v>
      </c>
      <c r="C106">
        <f>Year_2032!C109/Year_2025!C109</f>
        <v>1.3483682495164075</v>
      </c>
      <c r="D106">
        <f>Year_2032!D109/Year_2025!D109</f>
        <v>1.061349097850339</v>
      </c>
      <c r="E106">
        <f>Year_2032!E109/Year_2025!E109</f>
        <v>1.0213849332292386</v>
      </c>
      <c r="F106">
        <f>Year_2032!F109/Year_2025!F109</f>
        <v>0.78190295197725745</v>
      </c>
      <c r="G106">
        <f>Year_2032!G109/Year_2025!G109</f>
        <v>1.0963593196734416</v>
      </c>
      <c r="H106">
        <f>Year_2032!H109/Year_2025!H109</f>
        <v>0.98365886539734682</v>
      </c>
      <c r="I106">
        <f>Year_2032!I109/Year_2025!I109</f>
        <v>1.1268120213619042</v>
      </c>
      <c r="J106">
        <f>Year_2032!J109/Year_2025!J109</f>
        <v>0.91311097923932316</v>
      </c>
      <c r="K106">
        <f>Year_2032!K109/Year_2025!K109</f>
        <v>1.0004066520681056</v>
      </c>
      <c r="L106">
        <f>Year_2032!L109/Year_2025!L109</f>
        <v>0.88421981629740209</v>
      </c>
      <c r="M106" t="e">
        <f>Year_2032!M109/Year_2025!M109</f>
        <v>#DIV/0!</v>
      </c>
      <c r="N106" t="str">
        <f>Year_2032!N109</f>
        <v>AM-Peak</v>
      </c>
      <c r="O106">
        <f>Year_2032!O109/Year_2025!O109</f>
        <v>1.1892682798457874</v>
      </c>
      <c r="P106">
        <f>Year_2032!P109/Year_2025!P109</f>
        <v>1.4762227884562122</v>
      </c>
      <c r="Q106">
        <f>Year_2032!Q109/Year_2025!Q109</f>
        <v>1.1779943175467802</v>
      </c>
      <c r="R106">
        <f>Year_2032!R109/Year_2025!R109</f>
        <v>1.2808821973837312</v>
      </c>
      <c r="S106">
        <f>Year_2032!S109/Year_2025!S109</f>
        <v>1.3042362735893578</v>
      </c>
      <c r="T106">
        <f>Year_2032!T109/Year_2025!T109</f>
        <v>1.1771038318958571</v>
      </c>
      <c r="U106">
        <f>Year_2032!U109/Year_2025!U109</f>
        <v>1.116479872748166</v>
      </c>
      <c r="V106">
        <f>Year_2032!V109/Year_2025!V109</f>
        <v>1.1825630587311924</v>
      </c>
      <c r="W106">
        <f>Year_2032!W109/Year_2025!W109</f>
        <v>0.99909992349349697</v>
      </c>
      <c r="X106">
        <f>Year_2032!X109/Year_2025!X109</f>
        <v>1.1297927248893989</v>
      </c>
      <c r="Y106" t="e">
        <f>Year_2032!Y109/Year_2025!Y109</f>
        <v>#DIV/0!</v>
      </c>
      <c r="Z106" t="e">
        <f>Year_2032!Z109/Year_2025!Z109</f>
        <v>#DIV/0!</v>
      </c>
      <c r="AA106" t="e">
        <f>Year_2032!AA109/Year_2025!AA109</f>
        <v>#VALUE!</v>
      </c>
      <c r="AB106">
        <f>Year_2032!AB109/Year_2025!AB109</f>
        <v>1.1931170770226645</v>
      </c>
      <c r="AC106">
        <f>Year_2032!AC109/Year_2025!AC109</f>
        <v>1.1464358800176819</v>
      </c>
      <c r="AD106">
        <f>Year_2032!AD109/Year_2025!AD109</f>
        <v>1.2068868519916485</v>
      </c>
      <c r="AE106">
        <f>Year_2032!AE109/Year_2025!AE109</f>
        <v>1.0560658458146845</v>
      </c>
      <c r="AF106">
        <f>Year_2032!AF109/Year_2025!AF109</f>
        <v>1.1925802470577307</v>
      </c>
      <c r="AG106">
        <f>Year_2032!AG109/Year_2025!AG109</f>
        <v>1.2184897978377576</v>
      </c>
      <c r="AH106">
        <f>Year_2032!AH109/Year_2025!AH109</f>
        <v>1.2297453502569144</v>
      </c>
      <c r="AI106">
        <f>Year_2032!AI109/Year_2025!AI109</f>
        <v>1.2173763392137469</v>
      </c>
      <c r="AJ106">
        <f>Year_2032!AJ109/Year_2025!AJ109</f>
        <v>1.000191791944099</v>
      </c>
      <c r="AK106">
        <f>Year_2032!AK109/Year_2025!AK109</f>
        <v>0.96660096133575091</v>
      </c>
      <c r="AL106" t="e">
        <f>Year_2032!AL109/Year_2025!AL109</f>
        <v>#DIV/0!</v>
      </c>
      <c r="AM106" t="e">
        <f>Year_2032!AM109/Year_2025!AM109</f>
        <v>#DIV/0!</v>
      </c>
      <c r="AN106" t="e">
        <f>Year_2032!AN109/Year_2025!AN109</f>
        <v>#VALUE!</v>
      </c>
      <c r="AO106">
        <f>Year_2032!AO109/Year_2025!AO109</f>
        <v>2.4696969696969693</v>
      </c>
      <c r="AP106">
        <f>Year_2032!AP109/Year_2025!AP109</f>
        <v>1.3976470588235295</v>
      </c>
      <c r="AQ106">
        <f>Year_2032!AQ109/Year_2025!AQ109</f>
        <v>2.2022838499184338</v>
      </c>
      <c r="AR106">
        <f>Year_2032!AR109/Year_2025!AR109</f>
        <v>1.125</v>
      </c>
      <c r="AS106">
        <f>Year_2032!AS109/Year_2025!AS109</f>
        <v>2.3229166666666665</v>
      </c>
      <c r="AT106">
        <f>Year_2032!AT109/Year_2025!AT109</f>
        <v>2.0138504155124655</v>
      </c>
      <c r="AU106">
        <f>Year_2032!AU109/Year_2025!AU109</f>
        <v>2.6771263418662263</v>
      </c>
      <c r="AV106">
        <f>Year_2032!AV109/Year_2025!AV109</f>
        <v>1.841688654353562</v>
      </c>
      <c r="AW106">
        <f>Year_2032!AW109/Year_2025!AW109</f>
        <v>1.3785714285714286</v>
      </c>
      <c r="AX106">
        <f>Year_2032!AX109/Year_2025!AX109</f>
        <v>1.1250000000000002</v>
      </c>
    </row>
    <row r="107" spans="2:50" x14ac:dyDescent="0.3">
      <c r="B107" t="str">
        <f>Year_2032!B110</f>
        <v>AM-Shoulder</v>
      </c>
      <c r="C107">
        <f>Year_2032!C110/Year_2025!C110</f>
        <v>0.81106515549124814</v>
      </c>
      <c r="D107">
        <f>Year_2032!D110/Year_2025!D110</f>
        <v>1.2826553944333876</v>
      </c>
      <c r="E107">
        <f>Year_2032!E110/Year_2025!E110</f>
        <v>1.051674043834379</v>
      </c>
      <c r="F107">
        <f>Year_2032!F110/Year_2025!F110</f>
        <v>0.74810851721691707</v>
      </c>
      <c r="G107">
        <f>Year_2032!G110/Year_2025!G110</f>
        <v>0.89883113315773167</v>
      </c>
      <c r="H107">
        <f>Year_2032!H110/Year_2025!H110</f>
        <v>1.1293213568099365</v>
      </c>
      <c r="I107">
        <f>Year_2032!I110/Year_2025!I110</f>
        <v>0.92893351253124812</v>
      </c>
      <c r="J107">
        <f>Year_2032!J110/Year_2025!J110</f>
        <v>0.91223743197538931</v>
      </c>
      <c r="K107">
        <f>Year_2032!K110/Year_2025!K110</f>
        <v>1.0002687270964428</v>
      </c>
      <c r="L107">
        <f>Year_2032!L110/Year_2025!L110</f>
        <v>0.95309577334657847</v>
      </c>
      <c r="M107" t="e">
        <f>Year_2032!M110/Year_2025!M110</f>
        <v>#DIV/0!</v>
      </c>
      <c r="N107" t="str">
        <f>Year_2032!N110</f>
        <v>AM-Shoulder</v>
      </c>
      <c r="O107">
        <f>Year_2032!O110/Year_2025!O110</f>
        <v>1.2680124634577674</v>
      </c>
      <c r="P107">
        <f>Year_2032!P110/Year_2025!P110</f>
        <v>1.1982323232323231</v>
      </c>
      <c r="Q107">
        <f>Year_2032!Q110/Year_2025!Q110</f>
        <v>1.182135891683483</v>
      </c>
      <c r="R107">
        <f>Year_2032!R110/Year_2025!R110</f>
        <v>1.2000723957331767</v>
      </c>
      <c r="S107">
        <f>Year_2032!S110/Year_2025!S110</f>
        <v>1.1060182359746045</v>
      </c>
      <c r="T107">
        <f>Year_2032!T110/Year_2025!T110</f>
        <v>1.1805953988859992</v>
      </c>
      <c r="U107">
        <f>Year_2032!U110/Year_2025!U110</f>
        <v>1.1835862460926398</v>
      </c>
      <c r="V107">
        <f>Year_2032!V110/Year_2025!V110</f>
        <v>1.1947462686567163</v>
      </c>
      <c r="W107">
        <f>Year_2032!W110/Year_2025!W110</f>
        <v>0.99970593100406169</v>
      </c>
      <c r="X107">
        <f>Year_2032!X110/Year_2025!X110</f>
        <v>0.99961617195496411</v>
      </c>
      <c r="Y107" t="e">
        <f>Year_2032!Y110/Year_2025!Y110</f>
        <v>#DIV/0!</v>
      </c>
      <c r="Z107" t="e">
        <f>Year_2032!Z110/Year_2025!Z110</f>
        <v>#DIV/0!</v>
      </c>
      <c r="AA107" t="e">
        <f>Year_2032!AA110/Year_2025!AA110</f>
        <v>#VALUE!</v>
      </c>
      <c r="AB107">
        <f>Year_2032!AB110/Year_2025!AB110</f>
        <v>1.0430118548163538</v>
      </c>
      <c r="AC107">
        <f>Year_2032!AC110/Year_2025!AC110</f>
        <v>1.2031343138456856</v>
      </c>
      <c r="AD107">
        <f>Year_2032!AD110/Year_2025!AD110</f>
        <v>1.2062137976521397</v>
      </c>
      <c r="AE107">
        <f>Year_2032!AE110/Year_2025!AE110</f>
        <v>1.0084751525482123</v>
      </c>
      <c r="AF107">
        <f>Year_2032!AF110/Year_2025!AF110</f>
        <v>1.1573864973581476</v>
      </c>
      <c r="AG107">
        <f>Year_2032!AG110/Year_2025!AG110</f>
        <v>1.2178545965609218</v>
      </c>
      <c r="AH107">
        <f>Year_2032!AH110/Year_2025!AH110</f>
        <v>1.217105009906595</v>
      </c>
      <c r="AI107">
        <f>Year_2032!AI110/Year_2025!AI110</f>
        <v>1.2149677769486467</v>
      </c>
      <c r="AJ107">
        <f>Year_2032!AJ110/Year_2025!AJ110</f>
        <v>1.0000627965665978</v>
      </c>
      <c r="AK107">
        <f>Year_2032!AK110/Year_2025!AK110</f>
        <v>1.0000819262819511</v>
      </c>
      <c r="AL107" t="e">
        <f>Year_2032!AL110/Year_2025!AL110</f>
        <v>#DIV/0!</v>
      </c>
      <c r="AM107" t="e">
        <f>Year_2032!AM110/Year_2025!AM110</f>
        <v>#DIV/0!</v>
      </c>
      <c r="AN107" t="e">
        <f>Year_2032!AN110/Year_2025!AN110</f>
        <v>#VALUE!</v>
      </c>
      <c r="AO107">
        <f>Year_2032!AO110/Year_2025!AO110</f>
        <v>1.3878504672897196</v>
      </c>
      <c r="AP107">
        <f>Year_2032!AP110/Year_2025!AP110</f>
        <v>2.095575221238938</v>
      </c>
      <c r="AQ107">
        <f>Year_2032!AQ110/Year_2025!AQ110</f>
        <v>2.2588495575221241</v>
      </c>
      <c r="AR107">
        <f>Year_2032!AR110/Year_2025!AR110</f>
        <v>1.2676056338028168</v>
      </c>
      <c r="AS107">
        <f>Year_2032!AS110/Year_2025!AS110</f>
        <v>2.2438739789964992</v>
      </c>
      <c r="AT107">
        <f>Year_2032!AT110/Year_2025!AT110</f>
        <v>2.3011093502377178</v>
      </c>
      <c r="AU107">
        <f>Year_2032!AU110/Year_2025!AU110</f>
        <v>2.0896226415094339</v>
      </c>
      <c r="AV107">
        <f>Year_2032!AV110/Year_2025!AV110</f>
        <v>1.825</v>
      </c>
      <c r="AW107">
        <f>Year_2032!AW110/Year_2025!AW110</f>
        <v>1.3800000000000001</v>
      </c>
      <c r="AX107">
        <f>Year_2032!AX110/Year_2025!AX110</f>
        <v>1.3754512635379061</v>
      </c>
    </row>
    <row r="108" spans="2:50" x14ac:dyDescent="0.3">
      <c r="B108" t="str">
        <f>Year_2032!B111</f>
        <v>MD</v>
      </c>
      <c r="C108">
        <f>Year_2032!C111/Year_2025!C111</f>
        <v>0.78557671403936746</v>
      </c>
      <c r="D108">
        <f>Year_2032!D111/Year_2025!D111</f>
        <v>0.94483673446252736</v>
      </c>
      <c r="E108">
        <f>Year_2032!E111/Year_2025!E111</f>
        <v>1.04688162539353</v>
      </c>
      <c r="F108">
        <f>Year_2032!F111/Year_2025!F111</f>
        <v>1.1396320046699704</v>
      </c>
      <c r="G108">
        <f>Year_2032!G111/Year_2025!G111</f>
        <v>0.89791915074475293</v>
      </c>
      <c r="H108">
        <f>Year_2032!H111/Year_2025!H111</f>
        <v>1.060608531225318</v>
      </c>
      <c r="I108">
        <f>Year_2032!I111/Year_2025!I111</f>
        <v>0.8191591910520184</v>
      </c>
      <c r="J108">
        <f>Year_2032!J111/Year_2025!J111</f>
        <v>0.91023897188964997</v>
      </c>
      <c r="K108">
        <f>Year_2032!K111/Year_2025!K111</f>
        <v>0.97709551053598942</v>
      </c>
      <c r="L108">
        <f>Year_2032!L111/Year_2025!L111</f>
        <v>1.0726481443713984</v>
      </c>
      <c r="M108" t="e">
        <f>Year_2032!M111/Year_2025!M111</f>
        <v>#DIV/0!</v>
      </c>
      <c r="N108" t="str">
        <f>Year_2032!N111</f>
        <v>MD</v>
      </c>
      <c r="O108">
        <f>Year_2032!O111/Year_2025!O111</f>
        <v>1.324003092395047</v>
      </c>
      <c r="P108">
        <f>Year_2032!P111/Year_2025!P111</f>
        <v>1.2907412423257494</v>
      </c>
      <c r="Q108">
        <f>Year_2032!Q111/Year_2025!Q111</f>
        <v>1.3274199444151111</v>
      </c>
      <c r="R108">
        <f>Year_2032!R111/Year_2025!R111</f>
        <v>1.3506342471948829</v>
      </c>
      <c r="S108">
        <f>Year_2032!S111/Year_2025!S111</f>
        <v>1.1948151071821587</v>
      </c>
      <c r="T108">
        <f>Year_2032!T111/Year_2025!T111</f>
        <v>1.1847948822672481</v>
      </c>
      <c r="U108">
        <f>Year_2032!U111/Year_2025!U111</f>
        <v>1.2012557811688473</v>
      </c>
      <c r="V108">
        <f>Year_2032!V111/Year_2025!V111</f>
        <v>1.1934200158583783</v>
      </c>
      <c r="W108">
        <f>Year_2032!W111/Year_2025!W111</f>
        <v>1.0608672570642599</v>
      </c>
      <c r="X108">
        <f>Year_2032!X111/Year_2025!X111</f>
        <v>1.2583909688978889</v>
      </c>
      <c r="Y108" t="e">
        <f>Year_2032!Y111/Year_2025!Y111</f>
        <v>#DIV/0!</v>
      </c>
      <c r="Z108" t="e">
        <f>Year_2032!Z111/Year_2025!Z111</f>
        <v>#DIV/0!</v>
      </c>
      <c r="AA108" t="e">
        <f>Year_2032!AA111/Year_2025!AA111</f>
        <v>#VALUE!</v>
      </c>
      <c r="AB108">
        <f>Year_2032!AB111/Year_2025!AB111</f>
        <v>1.0247481316719131</v>
      </c>
      <c r="AC108">
        <f>Year_2032!AC111/Year_2025!AC111</f>
        <v>1.0531392737713694</v>
      </c>
      <c r="AD108">
        <f>Year_2032!AD111/Year_2025!AD111</f>
        <v>1.1776326109083914</v>
      </c>
      <c r="AE108">
        <f>Year_2032!AE111/Year_2025!AE111</f>
        <v>1.1192790422283787</v>
      </c>
      <c r="AF108">
        <f>Year_2032!AF111/Year_2025!AF111</f>
        <v>1.2149450953228083</v>
      </c>
      <c r="AG108">
        <f>Year_2032!AG111/Year_2025!AG111</f>
        <v>1.2170702500428319</v>
      </c>
      <c r="AH108">
        <f>Year_2032!AH111/Year_2025!AH111</f>
        <v>1.2136450608390583</v>
      </c>
      <c r="AI108">
        <f>Year_2032!AI111/Year_2025!AI111</f>
        <v>1.2152669997619769</v>
      </c>
      <c r="AJ108">
        <f>Year_2032!AJ111/Year_2025!AJ111</f>
        <v>0.98689383193303504</v>
      </c>
      <c r="AK108">
        <f>Year_2032!AK111/Year_2025!AK111</f>
        <v>1.0039302033508806</v>
      </c>
      <c r="AL108" t="e">
        <f>Year_2032!AL111/Year_2025!AL111</f>
        <v>#DIV/0!</v>
      </c>
      <c r="AM108" t="e">
        <f>Year_2032!AM111/Year_2025!AM111</f>
        <v>#DIV/0!</v>
      </c>
      <c r="AN108" t="e">
        <f>Year_2032!AN111/Year_2025!AN111</f>
        <v>#VALUE!</v>
      </c>
      <c r="AO108">
        <f>Year_2032!AO111/Year_2025!AO111</f>
        <v>1.2857142857142858</v>
      </c>
      <c r="AP108">
        <f>Year_2032!AP111/Year_2025!AP111</f>
        <v>1.4261704681872749</v>
      </c>
      <c r="AQ108">
        <f>Year_2032!AQ111/Year_2025!AQ111</f>
        <v>2</v>
      </c>
      <c r="AR108">
        <f>Year_2032!AR111/Year_2025!AR111</f>
        <v>1.7110266159695817</v>
      </c>
      <c r="AS108">
        <f>Year_2032!AS111/Year_2025!AS111</f>
        <v>2.0794701986754967</v>
      </c>
      <c r="AT108">
        <f>Year_2032!AT111/Year_2025!AT111</f>
        <v>2.1586452762923347</v>
      </c>
      <c r="AU108">
        <f>Year_2032!AU111/Year_2025!AU111</f>
        <v>1.8174603174603177</v>
      </c>
      <c r="AV108">
        <f>Year_2032!AV111/Year_2025!AV111</f>
        <v>1.8291457286432162</v>
      </c>
      <c r="AW108">
        <f>Year_2032!AW111/Year_2025!AW111</f>
        <v>1.2668621700879765</v>
      </c>
      <c r="AX108">
        <f>Year_2032!AX111/Year_2025!AX111</f>
        <v>1.2237960339943343</v>
      </c>
    </row>
    <row r="109" spans="2:50" x14ac:dyDescent="0.3">
      <c r="B109" t="str">
        <f>Year_2032!B112</f>
        <v>PM-Shoulder</v>
      </c>
      <c r="C109">
        <f>Year_2032!C112/Year_2025!C112</f>
        <v>0.71812674538462762</v>
      </c>
      <c r="D109">
        <f>Year_2032!D112/Year_2025!D112</f>
        <v>0.80167491359883802</v>
      </c>
      <c r="E109">
        <f>Year_2032!E112/Year_2025!E112</f>
        <v>1.1728116531046489</v>
      </c>
      <c r="F109">
        <f>Year_2032!F112/Year_2025!F112</f>
        <v>1.6484527049634028</v>
      </c>
      <c r="G109">
        <f>Year_2032!G112/Year_2025!G112</f>
        <v>1.062362845891093</v>
      </c>
      <c r="H109">
        <f>Year_2032!H112/Year_2025!H112</f>
        <v>0.69716462398292212</v>
      </c>
      <c r="I109">
        <f>Year_2032!I112/Year_2025!I112</f>
        <v>0.96868695953103023</v>
      </c>
      <c r="J109">
        <f>Year_2032!J112/Year_2025!J112</f>
        <v>1.8037016531100309</v>
      </c>
      <c r="K109">
        <f>Year_2032!K112/Year_2025!K112</f>
        <v>1.1441742687919227</v>
      </c>
      <c r="L109">
        <f>Year_2032!L112/Year_2025!L112</f>
        <v>1.1179936382436502</v>
      </c>
      <c r="M109" t="e">
        <f>Year_2032!M112/Year_2025!M112</f>
        <v>#DIV/0!</v>
      </c>
      <c r="N109" t="str">
        <f>Year_2032!N112</f>
        <v>PM-Shoulder</v>
      </c>
      <c r="O109">
        <f>Year_2032!O112/Year_2025!O112</f>
        <v>1.050285876293531</v>
      </c>
      <c r="P109">
        <f>Year_2032!P112/Year_2025!P112</f>
        <v>1.0402336016236704</v>
      </c>
      <c r="Q109">
        <f>Year_2032!Q112/Year_2025!Q112</f>
        <v>1.1867714484667071</v>
      </c>
      <c r="R109">
        <f>Year_2032!R112/Year_2025!R112</f>
        <v>1.1284263309362215</v>
      </c>
      <c r="S109">
        <f>Year_2032!S112/Year_2025!S112</f>
        <v>1.1138649812693688</v>
      </c>
      <c r="T109">
        <f>Year_2032!T112/Year_2025!T112</f>
        <v>0.98258548941559609</v>
      </c>
      <c r="U109">
        <f>Year_2032!U112/Year_2025!U112</f>
        <v>1.1764289538397321</v>
      </c>
      <c r="V109">
        <f>Year_2032!V112/Year_2025!V112</f>
        <v>1.0754814027138861</v>
      </c>
      <c r="W109">
        <f>Year_2032!W112/Year_2025!W112</f>
        <v>1.1348442970333517</v>
      </c>
      <c r="X109">
        <f>Year_2032!X112/Year_2025!X112</f>
        <v>1.2332702674683809</v>
      </c>
      <c r="Y109" t="e">
        <f>Year_2032!Y112/Year_2025!Y112</f>
        <v>#DIV/0!</v>
      </c>
      <c r="Z109" t="e">
        <f>Year_2032!Z112/Year_2025!Z112</f>
        <v>#DIV/0!</v>
      </c>
      <c r="AA109" t="e">
        <f>Year_2032!AA112/Year_2025!AA112</f>
        <v>#VALUE!</v>
      </c>
      <c r="AB109">
        <f>Year_2032!AB112/Year_2025!AB112</f>
        <v>1.0242144203448955</v>
      </c>
      <c r="AC109">
        <f>Year_2032!AC112/Year_2025!AC112</f>
        <v>1.0266027511893754</v>
      </c>
      <c r="AD109">
        <f>Year_2032!AD112/Year_2025!AD112</f>
        <v>1.2026804429104261</v>
      </c>
      <c r="AE109">
        <f>Year_2032!AE112/Year_2025!AE112</f>
        <v>1.2199303299542057</v>
      </c>
      <c r="AF109">
        <f>Year_2032!AF112/Year_2025!AF112</f>
        <v>1.2023260949043826</v>
      </c>
      <c r="AG109">
        <f>Year_2032!AG112/Year_2025!AG112</f>
        <v>1.0407478178622294</v>
      </c>
      <c r="AH109">
        <f>Year_2032!AH112/Year_2025!AH112</f>
        <v>1.2205389986435455</v>
      </c>
      <c r="AI109">
        <f>Year_2032!AI112/Year_2025!AI112</f>
        <v>1.2447344403081397</v>
      </c>
      <c r="AJ109">
        <f>Year_2032!AJ112/Year_2025!AJ112</f>
        <v>1.0146592509294998</v>
      </c>
      <c r="AK109">
        <f>Year_2032!AK112/Year_2025!AK112</f>
        <v>1.0085243532509158</v>
      </c>
      <c r="AL109" t="e">
        <f>Year_2032!AL112/Year_2025!AL112</f>
        <v>#DIV/0!</v>
      </c>
      <c r="AM109" t="e">
        <f>Year_2032!AM112/Year_2025!AM112</f>
        <v>#DIV/0!</v>
      </c>
      <c r="AN109" t="e">
        <f>Year_2032!AN112/Year_2025!AN112</f>
        <v>#VALUE!</v>
      </c>
      <c r="AO109">
        <f>Year_2032!AO112/Year_2025!AO112</f>
        <v>1.4924623115577891</v>
      </c>
      <c r="AP109">
        <f>Year_2032!AP112/Year_2025!AP112</f>
        <v>1.5095298602287168</v>
      </c>
      <c r="AQ109">
        <f>Year_2032!AQ112/Year_2025!AQ112</f>
        <v>2.5139664804469275</v>
      </c>
      <c r="AR109">
        <f>Year_2032!AR112/Year_2025!AR112</f>
        <v>2.97</v>
      </c>
      <c r="AS109">
        <f>Year_2032!AS112/Year_2025!AS112</f>
        <v>2.6331569664902998</v>
      </c>
      <c r="AT109">
        <f>Year_2032!AT112/Year_2025!AT112</f>
        <v>1.7088305489260143</v>
      </c>
      <c r="AU109">
        <f>Year_2032!AU112/Year_2025!AU112</f>
        <v>2.191823899371069</v>
      </c>
      <c r="AV109">
        <f>Year_2032!AV112/Year_2025!AV112</f>
        <v>4.004149377593361</v>
      </c>
      <c r="AW109">
        <f>Year_2032!AW112/Year_2025!AW112</f>
        <v>1.3846153846153846</v>
      </c>
      <c r="AX109">
        <f>Year_2032!AX112/Year_2025!AX112</f>
        <v>1.3051359516616314</v>
      </c>
    </row>
    <row r="110" spans="2:50" x14ac:dyDescent="0.3">
      <c r="B110" t="str">
        <f>Year_2032!B113</f>
        <v>PM-Peak</v>
      </c>
      <c r="C110">
        <f>Year_2032!C113/Year_2025!C113</f>
        <v>0.8813164037141934</v>
      </c>
      <c r="D110">
        <f>Year_2032!D113/Year_2025!D113</f>
        <v>1.0149956394008448</v>
      </c>
      <c r="E110">
        <f>Year_2032!E113/Year_2025!E113</f>
        <v>0.92152635759955515</v>
      </c>
      <c r="F110">
        <f>Year_2032!F113/Year_2025!F113</f>
        <v>1.2997596214623939</v>
      </c>
      <c r="G110">
        <f>Year_2032!G113/Year_2025!G113</f>
        <v>0.98350678369961098</v>
      </c>
      <c r="H110">
        <f>Year_2032!H113/Year_2025!H113</f>
        <v>1.1209232071298258</v>
      </c>
      <c r="I110">
        <f>Year_2032!I113/Year_2025!I113</f>
        <v>0.90141826675018544</v>
      </c>
      <c r="J110">
        <f>Year_2032!J113/Year_2025!J113</f>
        <v>1.0680791265124112</v>
      </c>
      <c r="K110">
        <f>Year_2032!K113/Year_2025!K113</f>
        <v>0.96355914103403739</v>
      </c>
      <c r="L110">
        <f>Year_2032!L113/Year_2025!L113</f>
        <v>0.96843681708934015</v>
      </c>
      <c r="M110" t="e">
        <f>Year_2032!M113/Year_2025!M113</f>
        <v>#DIV/0!</v>
      </c>
      <c r="N110" t="str">
        <f>Year_2032!N113</f>
        <v>PM-Peak</v>
      </c>
      <c r="O110">
        <f>Year_2032!O113/Year_2025!O113</f>
        <v>1.636808231772922</v>
      </c>
      <c r="P110">
        <f>Year_2032!P113/Year_2025!P113</f>
        <v>1.5715146931177209</v>
      </c>
      <c r="Q110">
        <f>Year_2032!Q113/Year_2025!Q113</f>
        <v>1.3839039679145135</v>
      </c>
      <c r="R110">
        <f>Year_2032!R113/Year_2025!R113</f>
        <v>1.1580185021050298</v>
      </c>
      <c r="S110">
        <f>Year_2032!S113/Year_2025!S113</f>
        <v>1.144151364512529</v>
      </c>
      <c r="T110">
        <f>Year_2032!T113/Year_2025!T113</f>
        <v>1.2292684031197292</v>
      </c>
      <c r="U110">
        <f>Year_2032!U113/Year_2025!U113</f>
        <v>1.169937505123823</v>
      </c>
      <c r="V110">
        <f>Year_2032!V113/Year_2025!V113</f>
        <v>1.1709697607222274</v>
      </c>
      <c r="W110">
        <f>Year_2032!W113/Year_2025!W113</f>
        <v>1.1687503125468821</v>
      </c>
      <c r="X110">
        <f>Year_2032!X113/Year_2025!X113</f>
        <v>0.99867812026275893</v>
      </c>
      <c r="Y110" t="e">
        <f>Year_2032!Y113/Year_2025!Y113</f>
        <v>#DIV/0!</v>
      </c>
      <c r="Z110" t="e">
        <f>Year_2032!Z113/Year_2025!Z113</f>
        <v>#DIV/0!</v>
      </c>
      <c r="AA110" t="e">
        <f>Year_2032!AA113/Year_2025!AA113</f>
        <v>#VALUE!</v>
      </c>
      <c r="AB110">
        <f>Year_2032!AB113/Year_2025!AB113</f>
        <v>1.0963026948310268</v>
      </c>
      <c r="AC110">
        <f>Year_2032!AC113/Year_2025!AC113</f>
        <v>1.1083447044792487</v>
      </c>
      <c r="AD110">
        <f>Year_2032!AD113/Year_2025!AD113</f>
        <v>1.1570969997651634</v>
      </c>
      <c r="AE110">
        <f>Year_2032!AE113/Year_2025!AE113</f>
        <v>1.2136253058568942</v>
      </c>
      <c r="AF110">
        <f>Year_2032!AF113/Year_2025!AF113</f>
        <v>1.228451944100545</v>
      </c>
      <c r="AG110">
        <f>Year_2032!AG113/Year_2025!AG113</f>
        <v>1.2070777130551156</v>
      </c>
      <c r="AH110">
        <f>Year_2032!AH113/Year_2025!AH113</f>
        <v>1.2220908331270364</v>
      </c>
      <c r="AI110">
        <f>Year_2032!AI113/Year_2025!AI113</f>
        <v>1.2215767054636311</v>
      </c>
      <c r="AJ110">
        <f>Year_2032!AJ113/Year_2025!AJ113</f>
        <v>0.95329799601417176</v>
      </c>
      <c r="AK110">
        <f>Year_2032!AK113/Year_2025!AK113</f>
        <v>1.000365114279653</v>
      </c>
      <c r="AL110" t="e">
        <f>Year_2032!AL113/Year_2025!AL113</f>
        <v>#DIV/0!</v>
      </c>
      <c r="AM110" t="e">
        <f>Year_2032!AM113/Year_2025!AM113</f>
        <v>#DIV/0!</v>
      </c>
      <c r="AN110" t="e">
        <f>Year_2032!AN113/Year_2025!AN113</f>
        <v>#VALUE!</v>
      </c>
      <c r="AO110">
        <f>Year_2032!AO113/Year_2025!AO113</f>
        <v>1.1669941060903735</v>
      </c>
      <c r="AP110">
        <f>Year_2032!AP113/Year_2025!AP113</f>
        <v>1.2571428571428573</v>
      </c>
      <c r="AQ110">
        <f>Year_2032!AQ113/Year_2025!AQ113</f>
        <v>1.6875</v>
      </c>
      <c r="AR110">
        <f>Year_2032!AR113/Year_2025!AR113</f>
        <v>2.2830540037243945</v>
      </c>
      <c r="AS110">
        <f>Year_2032!AS113/Year_2025!AS113</f>
        <v>2.3753943217665618</v>
      </c>
      <c r="AT110">
        <f>Year_2032!AT113/Year_2025!AT113</f>
        <v>2.2008733624454146</v>
      </c>
      <c r="AU110">
        <f>Year_2032!AU113/Year_2025!AU113</f>
        <v>2.0520833333333335</v>
      </c>
      <c r="AV110">
        <f>Year_2032!AV113/Year_2025!AV113</f>
        <v>2.1818181818181821</v>
      </c>
      <c r="AW110">
        <f>Year_2032!AW113/Year_2025!AW113</f>
        <v>1.1279373368146215</v>
      </c>
      <c r="AX110">
        <f>Year_2032!AX113/Year_2025!AX113</f>
        <v>1.4005847953216375</v>
      </c>
    </row>
    <row r="111" spans="2:50" x14ac:dyDescent="0.3">
      <c r="B111" t="str">
        <f>Year_2032!B114</f>
        <v>PM-Late</v>
      </c>
      <c r="C111">
        <f>Year_2032!C114/Year_2025!C114</f>
        <v>1.0123489994171311</v>
      </c>
      <c r="D111">
        <f>Year_2032!D114/Year_2025!D114</f>
        <v>1.1461392087898863</v>
      </c>
      <c r="E111">
        <f>Year_2032!E114/Year_2025!E114</f>
        <v>0.88700429412126636</v>
      </c>
      <c r="F111">
        <f>Year_2032!F114/Year_2025!F114</f>
        <v>0.8783377847812216</v>
      </c>
      <c r="G111">
        <f>Year_2032!G114/Year_2025!G114</f>
        <v>0.80455955055866524</v>
      </c>
      <c r="H111">
        <f>Year_2032!H114/Year_2025!H114</f>
        <v>0.91168372339775461</v>
      </c>
      <c r="I111">
        <f>Year_2032!I114/Year_2025!I114</f>
        <v>0.80925873130402504</v>
      </c>
      <c r="J111">
        <f>Year_2032!J114/Year_2025!J114</f>
        <v>0.75949948226014807</v>
      </c>
      <c r="K111">
        <f>Year_2032!K114/Year_2025!K114</f>
        <v>1.01602859373582</v>
      </c>
      <c r="L111">
        <f>Year_2032!L114/Year_2025!L114</f>
        <v>1.0850057307853684</v>
      </c>
      <c r="M111" t="e">
        <f>Year_2032!M114/Year_2025!M114</f>
        <v>#DIV/0!</v>
      </c>
      <c r="N111" t="str">
        <f>Year_2032!N114</f>
        <v>PM-Late</v>
      </c>
      <c r="O111">
        <f>Year_2032!O114/Year_2025!O114</f>
        <v>1.1997141663285513</v>
      </c>
      <c r="P111">
        <f>Year_2032!P114/Year_2025!P114</f>
        <v>1.1958340071514564</v>
      </c>
      <c r="Q111">
        <f>Year_2032!Q114/Year_2025!Q114</f>
        <v>1.1989987203376513</v>
      </c>
      <c r="R111">
        <f>Year_2032!R114/Year_2025!R114</f>
        <v>1.3630585307800496</v>
      </c>
      <c r="S111">
        <f>Year_2032!S114/Year_2025!S114</f>
        <v>1.2016498419648662</v>
      </c>
      <c r="T111">
        <f>Year_2032!T114/Year_2025!T114</f>
        <v>1.2074840408505909</v>
      </c>
      <c r="U111">
        <f>Year_2032!U114/Year_2025!U114</f>
        <v>1.2108232639052141</v>
      </c>
      <c r="V111">
        <f>Year_2032!V114/Year_2025!V114</f>
        <v>1.2115133498180202</v>
      </c>
      <c r="W111">
        <f>Year_2032!W114/Year_2025!W114</f>
        <v>0.99991134018181183</v>
      </c>
      <c r="X111">
        <f>Year_2032!X114/Year_2025!X114</f>
        <v>1.0306801071838714</v>
      </c>
      <c r="Y111" t="e">
        <f>Year_2032!Y114/Year_2025!Y114</f>
        <v>#DIV/0!</v>
      </c>
      <c r="Z111" t="e">
        <f>Year_2032!Z114/Year_2025!Z114</f>
        <v>#DIV/0!</v>
      </c>
      <c r="AA111" t="e">
        <f>Year_2032!AA114/Year_2025!AA114</f>
        <v>#VALUE!</v>
      </c>
      <c r="AB111">
        <f>Year_2032!AB114/Year_2025!AB114</f>
        <v>1.2029667564616391</v>
      </c>
      <c r="AC111">
        <f>Year_2032!AC114/Year_2025!AC114</f>
        <v>1.2040069175337242</v>
      </c>
      <c r="AD111">
        <f>Year_2032!AD114/Year_2025!AD114</f>
        <v>1.2031663022317121</v>
      </c>
      <c r="AE111">
        <f>Year_2032!AE114/Year_2025!AE114</f>
        <v>1.1662050198022209</v>
      </c>
      <c r="AF111">
        <f>Year_2032!AF114/Year_2025!AF114</f>
        <v>1.2141629699087551</v>
      </c>
      <c r="AG111">
        <f>Year_2032!AG114/Year_2025!AG114</f>
        <v>1.2125941829311238</v>
      </c>
      <c r="AH111">
        <f>Year_2032!AH114/Year_2025!AH114</f>
        <v>1.2117241635779896</v>
      </c>
      <c r="AI111">
        <f>Year_2032!AI114/Year_2025!AI114</f>
        <v>1.2115232867251613</v>
      </c>
      <c r="AJ111">
        <f>Year_2032!AJ114/Year_2025!AJ114</f>
        <v>1.0000245815402464</v>
      </c>
      <c r="AK111">
        <f>Year_2032!AK114/Year_2025!AK114</f>
        <v>1.0318263569574291</v>
      </c>
      <c r="AL111" t="e">
        <f>Year_2032!AL114/Year_2025!AL114</f>
        <v>#DIV/0!</v>
      </c>
      <c r="AM111" t="e">
        <f>Year_2032!AM114/Year_2025!AM114</f>
        <v>#DIV/0!</v>
      </c>
      <c r="AN111" t="e">
        <f>Year_2032!AN114/Year_2025!AN114</f>
        <v>#VALUE!</v>
      </c>
      <c r="AO111">
        <f>Year_2032!AO114/Year_2025!AO114</f>
        <v>1.8398791540785497</v>
      </c>
      <c r="AP111">
        <f>Year_2032!AP114/Year_2025!AP114</f>
        <v>1.8736842105263156</v>
      </c>
      <c r="AQ111">
        <f>Year_2032!AQ114/Year_2025!AQ114</f>
        <v>1.8859060402684564</v>
      </c>
      <c r="AR111">
        <f>Year_2032!AR114/Year_2025!AR114</f>
        <v>1.3333333333333333</v>
      </c>
      <c r="AS111">
        <f>Year_2032!AS114/Year_2025!AS114</f>
        <v>1.8550983899821107</v>
      </c>
      <c r="AT111">
        <f>Year_2032!AT114/Year_2025!AT114</f>
        <v>1.8229376257545273</v>
      </c>
      <c r="AU111">
        <f>Year_2032!AU114/Year_2025!AU114</f>
        <v>1.7813765182186234</v>
      </c>
      <c r="AV111">
        <f>Year_2032!AV114/Year_2025!AV114</f>
        <v>1.4994388327721659</v>
      </c>
      <c r="AW111">
        <f>Year_2032!AW114/Year_2025!AW114</f>
        <v>1.4</v>
      </c>
      <c r="AX111">
        <f>Year_2032!AX114/Year_2025!AX114</f>
        <v>1.5220588235294115</v>
      </c>
    </row>
    <row r="112" spans="2:50" x14ac:dyDescent="0.3">
      <c r="B112">
        <f>Year_2032!B115</f>
        <v>0</v>
      </c>
      <c r="C112" t="e">
        <f>Year_2032!C115/Year_2025!C115</f>
        <v>#DIV/0!</v>
      </c>
      <c r="D112" t="e">
        <f>Year_2032!D115/Year_2025!D115</f>
        <v>#DIV/0!</v>
      </c>
      <c r="E112" t="e">
        <f>Year_2032!E115/Year_2025!E115</f>
        <v>#DIV/0!</v>
      </c>
      <c r="F112" t="e">
        <f>Year_2032!F115/Year_2025!F115</f>
        <v>#DIV/0!</v>
      </c>
      <c r="G112" t="e">
        <f>Year_2032!G115/Year_2025!G115</f>
        <v>#DIV/0!</v>
      </c>
      <c r="H112" t="e">
        <f>Year_2032!H115/Year_2025!H115</f>
        <v>#DIV/0!</v>
      </c>
      <c r="I112" t="e">
        <f>Year_2032!I115/Year_2025!I115</f>
        <v>#DIV/0!</v>
      </c>
      <c r="J112" t="e">
        <f>Year_2032!J115/Year_2025!J115</f>
        <v>#DIV/0!</v>
      </c>
      <c r="K112" t="e">
        <f>Year_2032!K115/Year_2025!K115</f>
        <v>#DIV/0!</v>
      </c>
      <c r="L112" t="e">
        <f>Year_2032!L115/Year_2025!L115</f>
        <v>#DIV/0!</v>
      </c>
      <c r="M112" t="e">
        <f>Year_2032!M115/Year_2025!M115</f>
        <v>#DIV/0!</v>
      </c>
      <c r="N112">
        <f>Year_2032!N115</f>
        <v>0</v>
      </c>
      <c r="O112" t="e">
        <f>Year_2032!O115/Year_2025!O115</f>
        <v>#DIV/0!</v>
      </c>
      <c r="P112" t="e">
        <f>Year_2032!P115/Year_2025!P115</f>
        <v>#DIV/0!</v>
      </c>
      <c r="Q112" t="e">
        <f>Year_2032!Q115/Year_2025!Q115</f>
        <v>#DIV/0!</v>
      </c>
      <c r="R112" t="e">
        <f>Year_2032!R115/Year_2025!R115</f>
        <v>#DIV/0!</v>
      </c>
      <c r="S112" t="e">
        <f>Year_2032!S115/Year_2025!S115</f>
        <v>#DIV/0!</v>
      </c>
      <c r="T112" t="e">
        <f>Year_2032!T115/Year_2025!T115</f>
        <v>#DIV/0!</v>
      </c>
      <c r="U112" t="e">
        <f>Year_2032!U115/Year_2025!U115</f>
        <v>#DIV/0!</v>
      </c>
      <c r="V112" t="e">
        <f>Year_2032!V115/Year_2025!V115</f>
        <v>#DIV/0!</v>
      </c>
      <c r="W112" t="e">
        <f>Year_2032!W115/Year_2025!W115</f>
        <v>#DIV/0!</v>
      </c>
      <c r="X112" t="e">
        <f>Year_2032!X115/Year_2025!X115</f>
        <v>#DIV/0!</v>
      </c>
      <c r="Y112" t="e">
        <f>Year_2032!Y115/Year_2025!Y115</f>
        <v>#DIV/0!</v>
      </c>
      <c r="Z112" t="e">
        <f>Year_2032!Z115/Year_2025!Z115</f>
        <v>#DIV/0!</v>
      </c>
      <c r="AA112" t="e">
        <f>Year_2032!AA115/Year_2025!AA115</f>
        <v>#DIV/0!</v>
      </c>
      <c r="AB112" t="e">
        <f>Year_2032!AB115/Year_2025!AB115</f>
        <v>#DIV/0!</v>
      </c>
      <c r="AC112" t="e">
        <f>Year_2032!AC115/Year_2025!AC115</f>
        <v>#DIV/0!</v>
      </c>
      <c r="AD112" t="e">
        <f>Year_2032!AD115/Year_2025!AD115</f>
        <v>#DIV/0!</v>
      </c>
      <c r="AE112" t="e">
        <f>Year_2032!AE115/Year_2025!AE115</f>
        <v>#DIV/0!</v>
      </c>
      <c r="AF112" t="e">
        <f>Year_2032!AF115/Year_2025!AF115</f>
        <v>#DIV/0!</v>
      </c>
      <c r="AG112" t="e">
        <f>Year_2032!AG115/Year_2025!AG115</f>
        <v>#DIV/0!</v>
      </c>
      <c r="AH112" t="e">
        <f>Year_2032!AH115/Year_2025!AH115</f>
        <v>#DIV/0!</v>
      </c>
      <c r="AI112" t="e">
        <f>Year_2032!AI115/Year_2025!AI115</f>
        <v>#DIV/0!</v>
      </c>
      <c r="AJ112" t="e">
        <f>Year_2032!AJ115/Year_2025!AJ115</f>
        <v>#DIV/0!</v>
      </c>
      <c r="AK112" t="e">
        <f>Year_2032!AK115/Year_2025!AK115</f>
        <v>#DIV/0!</v>
      </c>
      <c r="AL112" t="e">
        <f>Year_2032!AL115/Year_2025!AL115</f>
        <v>#DIV/0!</v>
      </c>
      <c r="AM112" t="e">
        <f>Year_2032!AM115/Year_2025!AM115</f>
        <v>#DIV/0!</v>
      </c>
      <c r="AN112" t="e">
        <f>Year_2032!AN115/Year_2025!AN115</f>
        <v>#DIV/0!</v>
      </c>
      <c r="AO112" t="e">
        <f>Year_2032!AO115/Year_2025!AO115</f>
        <v>#DIV/0!</v>
      </c>
      <c r="AP112" t="e">
        <f>Year_2032!AP115/Year_2025!AP115</f>
        <v>#DIV/0!</v>
      </c>
      <c r="AQ112" t="e">
        <f>Year_2032!AQ115/Year_2025!AQ115</f>
        <v>#DIV/0!</v>
      </c>
      <c r="AR112" t="e">
        <f>Year_2032!AR115/Year_2025!AR115</f>
        <v>#DIV/0!</v>
      </c>
      <c r="AS112" t="e">
        <f>Year_2032!AS115/Year_2025!AS115</f>
        <v>#DIV/0!</v>
      </c>
      <c r="AT112" t="e">
        <f>Year_2032!AT115/Year_2025!AT115</f>
        <v>#DIV/0!</v>
      </c>
      <c r="AU112" t="e">
        <f>Year_2032!AU115/Year_2025!AU115</f>
        <v>#DIV/0!</v>
      </c>
      <c r="AV112" t="e">
        <f>Year_2032!AV115/Year_2025!AV115</f>
        <v>#DIV/0!</v>
      </c>
      <c r="AW112" t="e">
        <f>Year_2032!AW115/Year_2025!AW115</f>
        <v>#DIV/0!</v>
      </c>
      <c r="AX112" t="e">
        <f>Year_2032!AX115/Year_2025!AX115</f>
        <v>#DIV/0!</v>
      </c>
    </row>
    <row r="113" spans="2:50" x14ac:dyDescent="0.3">
      <c r="B113">
        <f>Year_2032!B116</f>
        <v>0</v>
      </c>
      <c r="C113" t="e">
        <f>Year_2032!C116/Year_2025!C116</f>
        <v>#DIV/0!</v>
      </c>
      <c r="D113" t="e">
        <f>Year_2032!D116/Year_2025!D116</f>
        <v>#DIV/0!</v>
      </c>
      <c r="E113" t="e">
        <f>Year_2032!E116/Year_2025!E116</f>
        <v>#DIV/0!</v>
      </c>
      <c r="F113" t="e">
        <f>Year_2032!F116/Year_2025!F116</f>
        <v>#DIV/0!</v>
      </c>
      <c r="G113" t="e">
        <f>Year_2032!G116/Year_2025!G116</f>
        <v>#DIV/0!</v>
      </c>
      <c r="H113" t="e">
        <f>Year_2032!H116/Year_2025!H116</f>
        <v>#DIV/0!</v>
      </c>
      <c r="I113" t="e">
        <f>Year_2032!I116/Year_2025!I116</f>
        <v>#DIV/0!</v>
      </c>
      <c r="J113" t="e">
        <f>Year_2032!J116/Year_2025!J116</f>
        <v>#DIV/0!</v>
      </c>
      <c r="K113" t="e">
        <f>Year_2032!K116/Year_2025!K116</f>
        <v>#DIV/0!</v>
      </c>
      <c r="L113" t="e">
        <f>Year_2032!L116/Year_2025!L116</f>
        <v>#DIV/0!</v>
      </c>
      <c r="M113" t="e">
        <f>Year_2032!M116/Year_2025!M116</f>
        <v>#DIV/0!</v>
      </c>
      <c r="N113">
        <f>Year_2032!N116</f>
        <v>0</v>
      </c>
      <c r="O113" t="e">
        <f>Year_2032!O116/Year_2025!O116</f>
        <v>#DIV/0!</v>
      </c>
      <c r="P113" t="e">
        <f>Year_2032!P116/Year_2025!P116</f>
        <v>#DIV/0!</v>
      </c>
      <c r="Q113" t="e">
        <f>Year_2032!Q116/Year_2025!Q116</f>
        <v>#DIV/0!</v>
      </c>
      <c r="R113" t="e">
        <f>Year_2032!R116/Year_2025!R116</f>
        <v>#DIV/0!</v>
      </c>
      <c r="S113" t="e">
        <f>Year_2032!S116/Year_2025!S116</f>
        <v>#DIV/0!</v>
      </c>
      <c r="T113" t="e">
        <f>Year_2032!T116/Year_2025!T116</f>
        <v>#DIV/0!</v>
      </c>
      <c r="U113" t="e">
        <f>Year_2032!U116/Year_2025!U116</f>
        <v>#DIV/0!</v>
      </c>
      <c r="V113" t="e">
        <f>Year_2032!V116/Year_2025!V116</f>
        <v>#DIV/0!</v>
      </c>
      <c r="W113" t="e">
        <f>Year_2032!W116/Year_2025!W116</f>
        <v>#DIV/0!</v>
      </c>
      <c r="X113" t="e">
        <f>Year_2032!X116/Year_2025!X116</f>
        <v>#DIV/0!</v>
      </c>
      <c r="Y113" t="e">
        <f>Year_2032!Y116/Year_2025!Y116</f>
        <v>#DIV/0!</v>
      </c>
      <c r="Z113" t="e">
        <f>Year_2032!Z116/Year_2025!Z116</f>
        <v>#DIV/0!</v>
      </c>
      <c r="AA113" t="e">
        <f>Year_2032!AA116/Year_2025!AA116</f>
        <v>#DIV/0!</v>
      </c>
      <c r="AB113" t="e">
        <f>Year_2032!AB116/Year_2025!AB116</f>
        <v>#DIV/0!</v>
      </c>
      <c r="AC113" t="e">
        <f>Year_2032!AC116/Year_2025!AC116</f>
        <v>#DIV/0!</v>
      </c>
      <c r="AD113" t="e">
        <f>Year_2032!AD116/Year_2025!AD116</f>
        <v>#DIV/0!</v>
      </c>
      <c r="AE113" t="e">
        <f>Year_2032!AE116/Year_2025!AE116</f>
        <v>#DIV/0!</v>
      </c>
      <c r="AF113" t="e">
        <f>Year_2032!AF116/Year_2025!AF116</f>
        <v>#DIV/0!</v>
      </c>
      <c r="AG113" t="e">
        <f>Year_2032!AG116/Year_2025!AG116</f>
        <v>#DIV/0!</v>
      </c>
      <c r="AH113" t="e">
        <f>Year_2032!AH116/Year_2025!AH116</f>
        <v>#DIV/0!</v>
      </c>
      <c r="AI113" t="e">
        <f>Year_2032!AI116/Year_2025!AI116</f>
        <v>#DIV/0!</v>
      </c>
      <c r="AJ113" t="e">
        <f>Year_2032!AJ116/Year_2025!AJ116</f>
        <v>#DIV/0!</v>
      </c>
      <c r="AK113" t="e">
        <f>Year_2032!AK116/Year_2025!AK116</f>
        <v>#DIV/0!</v>
      </c>
      <c r="AL113" t="e">
        <f>Year_2032!AL116/Year_2025!AL116</f>
        <v>#DIV/0!</v>
      </c>
      <c r="AM113" t="e">
        <f>Year_2032!AM116/Year_2025!AM116</f>
        <v>#DIV/0!</v>
      </c>
      <c r="AN113" t="e">
        <f>Year_2032!AN116/Year_2025!AN116</f>
        <v>#DIV/0!</v>
      </c>
      <c r="AO113" t="e">
        <f>Year_2032!AO116/Year_2025!AO116</f>
        <v>#DIV/0!</v>
      </c>
      <c r="AP113" t="e">
        <f>Year_2032!AP116/Year_2025!AP116</f>
        <v>#DIV/0!</v>
      </c>
      <c r="AQ113" t="e">
        <f>Year_2032!AQ116/Year_2025!AQ116</f>
        <v>#DIV/0!</v>
      </c>
      <c r="AR113" t="e">
        <f>Year_2032!AR116/Year_2025!AR116</f>
        <v>#DIV/0!</v>
      </c>
      <c r="AS113" t="e">
        <f>Year_2032!AS116/Year_2025!AS116</f>
        <v>#DIV/0!</v>
      </c>
      <c r="AT113" t="e">
        <f>Year_2032!AT116/Year_2025!AT116</f>
        <v>#DIV/0!</v>
      </c>
      <c r="AU113" t="e">
        <f>Year_2032!AU116/Year_2025!AU116</f>
        <v>#DIV/0!</v>
      </c>
      <c r="AV113" t="e">
        <f>Year_2032!AV116/Year_2025!AV116</f>
        <v>#DIV/0!</v>
      </c>
      <c r="AW113" t="e">
        <f>Year_2032!AW116/Year_2025!AW116</f>
        <v>#DIV/0!</v>
      </c>
      <c r="AX113" t="e">
        <f>Year_2032!AX116/Year_2025!AX116</f>
        <v>#DIV/0!</v>
      </c>
    </row>
    <row r="114" spans="2:50" x14ac:dyDescent="0.3">
      <c r="B114">
        <f>Year_2032!B117</f>
        <v>0</v>
      </c>
      <c r="C114" t="e">
        <f>Year_2032!C117/Year_2025!C117</f>
        <v>#DIV/0!</v>
      </c>
      <c r="D114" t="e">
        <f>Year_2032!D117/Year_2025!D117</f>
        <v>#DIV/0!</v>
      </c>
      <c r="E114" t="e">
        <f>Year_2032!E117/Year_2025!E117</f>
        <v>#DIV/0!</v>
      </c>
      <c r="F114" t="e">
        <f>Year_2032!F117/Year_2025!F117</f>
        <v>#DIV/0!</v>
      </c>
      <c r="G114" t="e">
        <f>Year_2032!G117/Year_2025!G117</f>
        <v>#DIV/0!</v>
      </c>
      <c r="H114" t="e">
        <f>Year_2032!H117/Year_2025!H117</f>
        <v>#DIV/0!</v>
      </c>
      <c r="I114" t="e">
        <f>Year_2032!I117/Year_2025!I117</f>
        <v>#DIV/0!</v>
      </c>
      <c r="J114" t="e">
        <f>Year_2032!J117/Year_2025!J117</f>
        <v>#DIV/0!</v>
      </c>
      <c r="K114" t="e">
        <f>Year_2032!K117/Year_2025!K117</f>
        <v>#DIV/0!</v>
      </c>
      <c r="L114" t="e">
        <f>Year_2032!L117/Year_2025!L117</f>
        <v>#DIV/0!</v>
      </c>
      <c r="M114" t="e">
        <f>Year_2032!M117/Year_2025!M117</f>
        <v>#DIV/0!</v>
      </c>
      <c r="N114" t="str">
        <f>Year_2032!N117</f>
        <v>ML medium A veh.Miles</v>
      </c>
      <c r="O114" t="e">
        <f>Year_2032!O117/Year_2025!O117</f>
        <v>#DIV/0!</v>
      </c>
      <c r="P114" t="e">
        <f>Year_2032!P117/Year_2025!P117</f>
        <v>#DIV/0!</v>
      </c>
      <c r="Q114" t="e">
        <f>Year_2032!Q117/Year_2025!Q117</f>
        <v>#DIV/0!</v>
      </c>
      <c r="R114" t="e">
        <f>Year_2032!R117/Year_2025!R117</f>
        <v>#DIV/0!</v>
      </c>
      <c r="S114" t="e">
        <f>Year_2032!S117/Year_2025!S117</f>
        <v>#DIV/0!</v>
      </c>
      <c r="T114" t="e">
        <f>Year_2032!T117/Year_2025!T117</f>
        <v>#DIV/0!</v>
      </c>
      <c r="U114" t="e">
        <f>Year_2032!U117/Year_2025!U117</f>
        <v>#DIV/0!</v>
      </c>
      <c r="V114" t="e">
        <f>Year_2032!V117/Year_2025!V117</f>
        <v>#DIV/0!</v>
      </c>
      <c r="W114" t="e">
        <f>Year_2032!W117/Year_2025!W117</f>
        <v>#DIV/0!</v>
      </c>
      <c r="X114" t="e">
        <f>Year_2032!X117/Year_2025!X117</f>
        <v>#DIV/0!</v>
      </c>
      <c r="Y114" t="e">
        <f>Year_2032!Y117/Year_2025!Y117</f>
        <v>#DIV/0!</v>
      </c>
      <c r="Z114" t="e">
        <f>Year_2032!Z117/Year_2025!Z117</f>
        <v>#DIV/0!</v>
      </c>
      <c r="AA114" t="e">
        <f>Year_2032!AA117/Year_2025!AA117</f>
        <v>#VALUE!</v>
      </c>
      <c r="AB114" t="e">
        <f>Year_2032!AB117/Year_2025!AB117</f>
        <v>#DIV/0!</v>
      </c>
      <c r="AC114" t="e">
        <f>Year_2032!AC117/Year_2025!AC117</f>
        <v>#DIV/0!</v>
      </c>
      <c r="AD114" t="e">
        <f>Year_2032!AD117/Year_2025!AD117</f>
        <v>#DIV/0!</v>
      </c>
      <c r="AE114" t="e">
        <f>Year_2032!AE117/Year_2025!AE117</f>
        <v>#DIV/0!</v>
      </c>
      <c r="AF114" t="e">
        <f>Year_2032!AF117/Year_2025!AF117</f>
        <v>#DIV/0!</v>
      </c>
      <c r="AG114" t="e">
        <f>Year_2032!AG117/Year_2025!AG117</f>
        <v>#DIV/0!</v>
      </c>
      <c r="AH114" t="e">
        <f>Year_2032!AH117/Year_2025!AH117</f>
        <v>#DIV/0!</v>
      </c>
      <c r="AI114" t="e">
        <f>Year_2032!AI117/Year_2025!AI117</f>
        <v>#DIV/0!</v>
      </c>
      <c r="AJ114" t="e">
        <f>Year_2032!AJ117/Year_2025!AJ117</f>
        <v>#DIV/0!</v>
      </c>
      <c r="AK114" t="e">
        <f>Year_2032!AK117/Year_2025!AK117</f>
        <v>#DIV/0!</v>
      </c>
      <c r="AL114" t="e">
        <f>Year_2032!AL117/Year_2025!AL117</f>
        <v>#DIV/0!</v>
      </c>
      <c r="AM114" t="e">
        <f>Year_2032!AM117/Year_2025!AM117</f>
        <v>#DIV/0!</v>
      </c>
      <c r="AN114" t="e">
        <f>Year_2032!AN117/Year_2025!AN117</f>
        <v>#VALUE!</v>
      </c>
      <c r="AO114" t="e">
        <f>Year_2032!AO117/Year_2025!AO117</f>
        <v>#DIV/0!</v>
      </c>
      <c r="AP114" t="e">
        <f>Year_2032!AP117/Year_2025!AP117</f>
        <v>#DIV/0!</v>
      </c>
      <c r="AQ114" t="e">
        <f>Year_2032!AQ117/Year_2025!AQ117</f>
        <v>#DIV/0!</v>
      </c>
      <c r="AR114" t="e">
        <f>Year_2032!AR117/Year_2025!AR117</f>
        <v>#DIV/0!</v>
      </c>
      <c r="AS114" t="e">
        <f>Year_2032!AS117/Year_2025!AS117</f>
        <v>#DIV/0!</v>
      </c>
      <c r="AT114" t="e">
        <f>Year_2032!AT117/Year_2025!AT117</f>
        <v>#DIV/0!</v>
      </c>
      <c r="AU114" t="e">
        <f>Year_2032!AU117/Year_2025!AU117</f>
        <v>#DIV/0!</v>
      </c>
      <c r="AV114" t="e">
        <f>Year_2032!AV117/Year_2025!AV117</f>
        <v>#DIV/0!</v>
      </c>
      <c r="AW114" t="e">
        <f>Year_2032!AW117/Year_2025!AW117</f>
        <v>#DIV/0!</v>
      </c>
      <c r="AX114" t="e">
        <f>Year_2032!AX117/Year_2025!AX117</f>
        <v>#DIV/0!</v>
      </c>
    </row>
    <row r="115" spans="2:50" x14ac:dyDescent="0.3">
      <c r="B115">
        <f>Year_2032!B118</f>
        <v>0</v>
      </c>
      <c r="C115" t="e">
        <f>Year_2032!C118/Year_2025!C118</f>
        <v>#DIV/0!</v>
      </c>
      <c r="D115" t="e">
        <f>Year_2032!D118/Year_2025!D118</f>
        <v>#DIV/0!</v>
      </c>
      <c r="E115" t="e">
        <f>Year_2032!E118/Year_2025!E118</f>
        <v>#DIV/0!</v>
      </c>
      <c r="F115" t="e">
        <f>Year_2032!F118/Year_2025!F118</f>
        <v>#DIV/0!</v>
      </c>
      <c r="G115" t="e">
        <f>Year_2032!G118/Year_2025!G118</f>
        <v>#DIV/0!</v>
      </c>
      <c r="H115" t="e">
        <f>Year_2032!H118/Year_2025!H118</f>
        <v>#DIV/0!</v>
      </c>
      <c r="I115" t="e">
        <f>Year_2032!I118/Year_2025!I118</f>
        <v>#DIV/0!</v>
      </c>
      <c r="J115" t="e">
        <f>Year_2032!J118/Year_2025!J118</f>
        <v>#DIV/0!</v>
      </c>
      <c r="K115" t="e">
        <f>Year_2032!K118/Year_2025!K118</f>
        <v>#DIV/0!</v>
      </c>
      <c r="L115" t="e">
        <f>Year_2032!L118/Year_2025!L118</f>
        <v>#DIV/0!</v>
      </c>
      <c r="M115" t="e">
        <f>Year_2032!M118/Year_2025!M118</f>
        <v>#DIV/0!</v>
      </c>
      <c r="N115" t="str">
        <f>Year_2032!N118</f>
        <v>Direction</v>
      </c>
      <c r="O115" t="e">
        <f>Year_2032!O118/Year_2025!O118</f>
        <v>#VALUE!</v>
      </c>
      <c r="P115" t="e">
        <f>Year_2032!P118/Year_2025!P118</f>
        <v>#DIV/0!</v>
      </c>
      <c r="Q115" t="e">
        <f>Year_2032!Q118/Year_2025!Q118</f>
        <v>#DIV/0!</v>
      </c>
      <c r="R115" t="e">
        <f>Year_2032!R118/Year_2025!R118</f>
        <v>#DIV/0!</v>
      </c>
      <c r="S115" t="e">
        <f>Year_2032!S118/Year_2025!S118</f>
        <v>#DIV/0!</v>
      </c>
      <c r="T115" t="e">
        <f>Year_2032!T118/Year_2025!T118</f>
        <v>#VALUE!</v>
      </c>
      <c r="U115" t="e">
        <f>Year_2032!U118/Year_2025!U118</f>
        <v>#DIV/0!</v>
      </c>
      <c r="V115" t="e">
        <f>Year_2032!V118/Year_2025!V118</f>
        <v>#DIV/0!</v>
      </c>
      <c r="W115" t="e">
        <f>Year_2032!W118/Year_2025!W118</f>
        <v>#DIV/0!</v>
      </c>
      <c r="X115" t="e">
        <f>Year_2032!X118/Year_2025!X118</f>
        <v>#DIV/0!</v>
      </c>
      <c r="Y115" t="e">
        <f>Year_2032!Y118/Year_2025!Y118</f>
        <v>#DIV/0!</v>
      </c>
      <c r="Z115" t="e">
        <f>Year_2032!Z118/Year_2025!Z118</f>
        <v>#DIV/0!</v>
      </c>
      <c r="AA115" t="e">
        <f>Year_2032!AA118/Year_2025!AA118</f>
        <v>#VALUE!</v>
      </c>
      <c r="AB115" t="e">
        <f>Year_2032!AB118/Year_2025!AB118</f>
        <v>#VALUE!</v>
      </c>
      <c r="AC115" t="e">
        <f>Year_2032!AC118/Year_2025!AC118</f>
        <v>#DIV/0!</v>
      </c>
      <c r="AD115" t="e">
        <f>Year_2032!AD118/Year_2025!AD118</f>
        <v>#DIV/0!</v>
      </c>
      <c r="AE115" t="e">
        <f>Year_2032!AE118/Year_2025!AE118</f>
        <v>#DIV/0!</v>
      </c>
      <c r="AF115" t="e">
        <f>Year_2032!AF118/Year_2025!AF118</f>
        <v>#DIV/0!</v>
      </c>
      <c r="AG115" t="e">
        <f>Year_2032!AG118/Year_2025!AG118</f>
        <v>#VALUE!</v>
      </c>
      <c r="AH115" t="e">
        <f>Year_2032!AH118/Year_2025!AH118</f>
        <v>#DIV/0!</v>
      </c>
      <c r="AI115" t="e">
        <f>Year_2032!AI118/Year_2025!AI118</f>
        <v>#DIV/0!</v>
      </c>
      <c r="AJ115" t="e">
        <f>Year_2032!AJ118/Year_2025!AJ118</f>
        <v>#DIV/0!</v>
      </c>
      <c r="AK115" t="e">
        <f>Year_2032!AK118/Year_2025!AK118</f>
        <v>#DIV/0!</v>
      </c>
      <c r="AL115" t="e">
        <f>Year_2032!AL118/Year_2025!AL118</f>
        <v>#DIV/0!</v>
      </c>
      <c r="AM115" t="e">
        <f>Year_2032!AM118/Year_2025!AM118</f>
        <v>#DIV/0!</v>
      </c>
      <c r="AN115" t="e">
        <f>Year_2032!AN118/Year_2025!AN118</f>
        <v>#VALUE!</v>
      </c>
      <c r="AO115" t="e">
        <f>Year_2032!AO118/Year_2025!AO118</f>
        <v>#VALUE!</v>
      </c>
      <c r="AP115" t="e">
        <f>Year_2032!AP118/Year_2025!AP118</f>
        <v>#VALUE!</v>
      </c>
      <c r="AQ115" t="e">
        <f>Year_2032!AQ118/Year_2025!AQ118</f>
        <v>#VALUE!</v>
      </c>
      <c r="AR115" t="e">
        <f>Year_2032!AR118/Year_2025!AR118</f>
        <v>#VALUE!</v>
      </c>
      <c r="AS115" t="e">
        <f>Year_2032!AS118/Year_2025!AS118</f>
        <v>#VALUE!</v>
      </c>
      <c r="AT115" t="e">
        <f>Year_2032!AT118/Year_2025!AT118</f>
        <v>#VALUE!</v>
      </c>
      <c r="AU115" t="e">
        <f>Year_2032!AU118/Year_2025!AU118</f>
        <v>#VALUE!</v>
      </c>
      <c r="AV115" t="e">
        <f>Year_2032!AV118/Year_2025!AV118</f>
        <v>#VALUE!</v>
      </c>
      <c r="AW115" t="e">
        <f>Year_2032!AW118/Year_2025!AW118</f>
        <v>#VALUE!</v>
      </c>
      <c r="AX115" t="e">
        <f>Year_2032!AX118/Year_2025!AX118</f>
        <v>#VALUE!</v>
      </c>
    </row>
    <row r="116" spans="2:50" x14ac:dyDescent="0.3">
      <c r="B116">
        <f>Year_2032!B119</f>
        <v>0</v>
      </c>
      <c r="C116" t="e">
        <f>Year_2032!C119/Year_2025!C119</f>
        <v>#DIV/0!</v>
      </c>
      <c r="D116" t="e">
        <f>Year_2032!D119/Year_2025!D119</f>
        <v>#DIV/0!</v>
      </c>
      <c r="E116" t="e">
        <f>Year_2032!E119/Year_2025!E119</f>
        <v>#DIV/0!</v>
      </c>
      <c r="F116" t="e">
        <f>Year_2032!F119/Year_2025!F119</f>
        <v>#DIV/0!</v>
      </c>
      <c r="G116" t="e">
        <f>Year_2032!G119/Year_2025!G119</f>
        <v>#DIV/0!</v>
      </c>
      <c r="H116" t="e">
        <f>Year_2032!H119/Year_2025!H119</f>
        <v>#DIV/0!</v>
      </c>
      <c r="I116" t="e">
        <f>Year_2032!I119/Year_2025!I119</f>
        <v>#DIV/0!</v>
      </c>
      <c r="J116" t="e">
        <f>Year_2032!J119/Year_2025!J119</f>
        <v>#DIV/0!</v>
      </c>
      <c r="K116" t="e">
        <f>Year_2032!K119/Year_2025!K119</f>
        <v>#DIV/0!</v>
      </c>
      <c r="L116" t="e">
        <f>Year_2032!L119/Year_2025!L119</f>
        <v>#DIV/0!</v>
      </c>
      <c r="M116" t="e">
        <f>Year_2032!M119/Year_2025!M119</f>
        <v>#DIV/0!</v>
      </c>
      <c r="N116" t="str">
        <f>Year_2032!N119</f>
        <v>Segment</v>
      </c>
      <c r="O116">
        <f>Year_2032!O119/Year_2025!O119</f>
        <v>1</v>
      </c>
      <c r="P116">
        <f>Year_2032!P119/Year_2025!P119</f>
        <v>1</v>
      </c>
      <c r="Q116">
        <f>Year_2032!Q119/Year_2025!Q119</f>
        <v>1</v>
      </c>
      <c r="R116">
        <f>Year_2032!R119/Year_2025!R119</f>
        <v>1</v>
      </c>
      <c r="S116">
        <f>Year_2032!S119/Year_2025!S119</f>
        <v>1</v>
      </c>
      <c r="T116">
        <f>Year_2032!T119/Year_2025!T119</f>
        <v>1</v>
      </c>
      <c r="U116">
        <f>Year_2032!U119/Year_2025!U119</f>
        <v>1</v>
      </c>
      <c r="V116">
        <f>Year_2032!V119/Year_2025!V119</f>
        <v>1</v>
      </c>
      <c r="W116">
        <f>Year_2032!W119/Year_2025!W119</f>
        <v>1</v>
      </c>
      <c r="X116">
        <f>Year_2032!X119/Year_2025!X119</f>
        <v>1</v>
      </c>
      <c r="Y116" t="e">
        <f>Year_2032!Y119/Year_2025!Y119</f>
        <v>#DIV/0!</v>
      </c>
      <c r="Z116" t="e">
        <f>Year_2032!Z119/Year_2025!Z119</f>
        <v>#DIV/0!</v>
      </c>
      <c r="AA116" t="e">
        <f>Year_2032!AA119/Year_2025!AA119</f>
        <v>#VALUE!</v>
      </c>
      <c r="AB116">
        <f>Year_2032!AB119/Year_2025!AB119</f>
        <v>1</v>
      </c>
      <c r="AC116">
        <f>Year_2032!AC119/Year_2025!AC119</f>
        <v>1</v>
      </c>
      <c r="AD116">
        <f>Year_2032!AD119/Year_2025!AD119</f>
        <v>1</v>
      </c>
      <c r="AE116">
        <f>Year_2032!AE119/Year_2025!AE119</f>
        <v>1</v>
      </c>
      <c r="AF116">
        <f>Year_2032!AF119/Year_2025!AF119</f>
        <v>1</v>
      </c>
      <c r="AG116">
        <f>Year_2032!AG119/Year_2025!AG119</f>
        <v>1</v>
      </c>
      <c r="AH116">
        <f>Year_2032!AH119/Year_2025!AH119</f>
        <v>1</v>
      </c>
      <c r="AI116">
        <f>Year_2032!AI119/Year_2025!AI119</f>
        <v>1</v>
      </c>
      <c r="AJ116">
        <f>Year_2032!AJ119/Year_2025!AJ119</f>
        <v>1</v>
      </c>
      <c r="AK116">
        <f>Year_2032!AK119/Year_2025!AK119</f>
        <v>1</v>
      </c>
      <c r="AL116" t="e">
        <f>Year_2032!AL119/Year_2025!AL119</f>
        <v>#DIV/0!</v>
      </c>
      <c r="AM116" t="e">
        <f>Year_2032!AM119/Year_2025!AM119</f>
        <v>#DIV/0!</v>
      </c>
      <c r="AN116" t="e">
        <f>Year_2032!AN119/Year_2025!AN119</f>
        <v>#VALUE!</v>
      </c>
      <c r="AO116">
        <f>Year_2032!AO119/Year_2025!AO119</f>
        <v>1</v>
      </c>
      <c r="AP116">
        <f>Year_2032!AP119/Year_2025!AP119</f>
        <v>1</v>
      </c>
      <c r="AQ116">
        <f>Year_2032!AQ119/Year_2025!AQ119</f>
        <v>1</v>
      </c>
      <c r="AR116">
        <f>Year_2032!AR119/Year_2025!AR119</f>
        <v>1</v>
      </c>
      <c r="AS116">
        <f>Year_2032!AS119/Year_2025!AS119</f>
        <v>1</v>
      </c>
      <c r="AT116">
        <f>Year_2032!AT119/Year_2025!AT119</f>
        <v>1</v>
      </c>
      <c r="AU116">
        <f>Year_2032!AU119/Year_2025!AU119</f>
        <v>1</v>
      </c>
      <c r="AV116">
        <f>Year_2032!AV119/Year_2025!AV119</f>
        <v>1</v>
      </c>
      <c r="AW116">
        <f>Year_2032!AW119/Year_2025!AW119</f>
        <v>1</v>
      </c>
      <c r="AX116">
        <f>Year_2032!AX119/Year_2025!AX119</f>
        <v>1</v>
      </c>
    </row>
    <row r="117" spans="2:50" x14ac:dyDescent="0.3">
      <c r="B117">
        <f>Year_2032!B120</f>
        <v>0</v>
      </c>
      <c r="C117" t="e">
        <f>Year_2032!C120/Year_2025!C120</f>
        <v>#DIV/0!</v>
      </c>
      <c r="D117" t="e">
        <f>Year_2032!D120/Year_2025!D120</f>
        <v>#DIV/0!</v>
      </c>
      <c r="E117" t="e">
        <f>Year_2032!E120/Year_2025!E120</f>
        <v>#DIV/0!</v>
      </c>
      <c r="F117" t="e">
        <f>Year_2032!F120/Year_2025!F120</f>
        <v>#DIV/0!</v>
      </c>
      <c r="G117" t="e">
        <f>Year_2032!G120/Year_2025!G120</f>
        <v>#DIV/0!</v>
      </c>
      <c r="H117" t="e">
        <f>Year_2032!H120/Year_2025!H120</f>
        <v>#DIV/0!</v>
      </c>
      <c r="I117" t="e">
        <f>Year_2032!I120/Year_2025!I120</f>
        <v>#DIV/0!</v>
      </c>
      <c r="J117" t="e">
        <f>Year_2032!J120/Year_2025!J120</f>
        <v>#DIV/0!</v>
      </c>
      <c r="K117" t="e">
        <f>Year_2032!K120/Year_2025!K120</f>
        <v>#DIV/0!</v>
      </c>
      <c r="L117" t="e">
        <f>Year_2032!L120/Year_2025!L120</f>
        <v>#DIV/0!</v>
      </c>
      <c r="M117" t="e">
        <f>Year_2032!M120/Year_2025!M120</f>
        <v>#DIV/0!</v>
      </c>
      <c r="N117" t="str">
        <f>Year_2032!N120</f>
        <v>Period</v>
      </c>
      <c r="O117" t="e">
        <f>Year_2032!O120/Year_2025!O120</f>
        <v>#DIV/0!</v>
      </c>
      <c r="P117" t="e">
        <f>Year_2032!P120/Year_2025!P120</f>
        <v>#DIV/0!</v>
      </c>
      <c r="Q117" t="e">
        <f>Year_2032!Q120/Year_2025!Q120</f>
        <v>#DIV/0!</v>
      </c>
      <c r="R117" t="e">
        <f>Year_2032!R120/Year_2025!R120</f>
        <v>#DIV/0!</v>
      </c>
      <c r="S117" t="e">
        <f>Year_2032!S120/Year_2025!S120</f>
        <v>#DIV/0!</v>
      </c>
      <c r="T117" t="e">
        <f>Year_2032!T120/Year_2025!T120</f>
        <v>#DIV/0!</v>
      </c>
      <c r="U117" t="e">
        <f>Year_2032!U120/Year_2025!U120</f>
        <v>#DIV/0!</v>
      </c>
      <c r="V117" t="e">
        <f>Year_2032!V120/Year_2025!V120</f>
        <v>#DIV/0!</v>
      </c>
      <c r="W117" t="e">
        <f>Year_2032!W120/Year_2025!W120</f>
        <v>#DIV/0!</v>
      </c>
      <c r="X117" t="e">
        <f>Year_2032!X120/Year_2025!X120</f>
        <v>#DIV/0!</v>
      </c>
      <c r="Y117" t="e">
        <f>Year_2032!Y120/Year_2025!Y120</f>
        <v>#DIV/0!</v>
      </c>
      <c r="Z117" t="e">
        <f>Year_2032!Z120/Year_2025!Z120</f>
        <v>#DIV/0!</v>
      </c>
      <c r="AA117" t="e">
        <f>Year_2032!AA120/Year_2025!AA120</f>
        <v>#VALUE!</v>
      </c>
      <c r="AB117" t="e">
        <f>Year_2032!AB120/Year_2025!AB120</f>
        <v>#DIV/0!</v>
      </c>
      <c r="AC117" t="e">
        <f>Year_2032!AC120/Year_2025!AC120</f>
        <v>#DIV/0!</v>
      </c>
      <c r="AD117" t="e">
        <f>Year_2032!AD120/Year_2025!AD120</f>
        <v>#DIV/0!</v>
      </c>
      <c r="AE117" t="e">
        <f>Year_2032!AE120/Year_2025!AE120</f>
        <v>#DIV/0!</v>
      </c>
      <c r="AF117" t="e">
        <f>Year_2032!AF120/Year_2025!AF120</f>
        <v>#DIV/0!</v>
      </c>
      <c r="AG117" t="e">
        <f>Year_2032!AG120/Year_2025!AG120</f>
        <v>#DIV/0!</v>
      </c>
      <c r="AH117" t="e">
        <f>Year_2032!AH120/Year_2025!AH120</f>
        <v>#DIV/0!</v>
      </c>
      <c r="AI117" t="e">
        <f>Year_2032!AI120/Year_2025!AI120</f>
        <v>#DIV/0!</v>
      </c>
      <c r="AJ117" t="e">
        <f>Year_2032!AJ120/Year_2025!AJ120</f>
        <v>#DIV/0!</v>
      </c>
      <c r="AK117" t="e">
        <f>Year_2032!AK120/Year_2025!AK120</f>
        <v>#DIV/0!</v>
      </c>
      <c r="AL117" t="e">
        <f>Year_2032!AL120/Year_2025!AL120</f>
        <v>#DIV/0!</v>
      </c>
      <c r="AM117" t="e">
        <f>Year_2032!AM120/Year_2025!AM120</f>
        <v>#DIV/0!</v>
      </c>
      <c r="AN117" t="e">
        <f>Year_2032!AN120/Year_2025!AN120</f>
        <v>#VALUE!</v>
      </c>
      <c r="AO117" t="e">
        <f>Year_2032!AO120/Year_2025!AO120</f>
        <v>#DIV/0!</v>
      </c>
      <c r="AP117" t="e">
        <f>Year_2032!AP120/Year_2025!AP120</f>
        <v>#DIV/0!</v>
      </c>
      <c r="AQ117" t="e">
        <f>Year_2032!AQ120/Year_2025!AQ120</f>
        <v>#DIV/0!</v>
      </c>
      <c r="AR117" t="e">
        <f>Year_2032!AR120/Year_2025!AR120</f>
        <v>#DIV/0!</v>
      </c>
      <c r="AS117" t="e">
        <f>Year_2032!AS120/Year_2025!AS120</f>
        <v>#DIV/0!</v>
      </c>
      <c r="AT117" t="e">
        <f>Year_2032!AT120/Year_2025!AT120</f>
        <v>#DIV/0!</v>
      </c>
      <c r="AU117" t="e">
        <f>Year_2032!AU120/Year_2025!AU120</f>
        <v>#DIV/0!</v>
      </c>
      <c r="AV117" t="e">
        <f>Year_2032!AV120/Year_2025!AV120</f>
        <v>#DIV/0!</v>
      </c>
      <c r="AW117" t="e">
        <f>Year_2032!AW120/Year_2025!AW120</f>
        <v>#DIV/0!</v>
      </c>
      <c r="AX117" t="e">
        <f>Year_2032!AX120/Year_2025!AX120</f>
        <v>#DIV/0!</v>
      </c>
    </row>
    <row r="118" spans="2:50" x14ac:dyDescent="0.3">
      <c r="B118">
        <f>Year_2032!B121</f>
        <v>0</v>
      </c>
      <c r="C118" t="e">
        <f>Year_2032!C121/Year_2025!C121</f>
        <v>#DIV/0!</v>
      </c>
      <c r="D118" t="e">
        <f>Year_2032!D121/Year_2025!D121</f>
        <v>#DIV/0!</v>
      </c>
      <c r="E118" t="e">
        <f>Year_2032!E121/Year_2025!E121</f>
        <v>#DIV/0!</v>
      </c>
      <c r="F118" t="e">
        <f>Year_2032!F121/Year_2025!F121</f>
        <v>#DIV/0!</v>
      </c>
      <c r="G118" t="e">
        <f>Year_2032!G121/Year_2025!G121</f>
        <v>#DIV/0!</v>
      </c>
      <c r="H118" t="e">
        <f>Year_2032!H121/Year_2025!H121</f>
        <v>#DIV/0!</v>
      </c>
      <c r="I118" t="e">
        <f>Year_2032!I121/Year_2025!I121</f>
        <v>#DIV/0!</v>
      </c>
      <c r="J118" t="e">
        <f>Year_2032!J121/Year_2025!J121</f>
        <v>#DIV/0!</v>
      </c>
      <c r="K118" t="e">
        <f>Year_2032!K121/Year_2025!K121</f>
        <v>#DIV/0!</v>
      </c>
      <c r="L118" t="e">
        <f>Year_2032!L121/Year_2025!L121</f>
        <v>#DIV/0!</v>
      </c>
      <c r="M118" t="e">
        <f>Year_2032!M121/Year_2025!M121</f>
        <v>#DIV/0!</v>
      </c>
      <c r="N118" t="str">
        <f>Year_2032!N121</f>
        <v>Night</v>
      </c>
      <c r="O118">
        <f>Year_2032!O121/Year_2025!O121</f>
        <v>1.9552798615118292</v>
      </c>
      <c r="P118">
        <f>Year_2032!P121/Year_2025!P121</f>
        <v>1.5229732489279151</v>
      </c>
      <c r="Q118">
        <f>Year_2032!Q121/Year_2025!Q121</f>
        <v>1.3229596697364243</v>
      </c>
      <c r="R118">
        <f>Year_2032!R121/Year_2025!R121</f>
        <v>1.212570412096057</v>
      </c>
      <c r="S118">
        <f>Year_2032!S121/Year_2025!S121</f>
        <v>0.97304582210242585</v>
      </c>
      <c r="T118">
        <f>Year_2032!T121/Year_2025!T121</f>
        <v>1.685823754789272</v>
      </c>
      <c r="U118">
        <f>Year_2032!U121/Year_2025!U121</f>
        <v>1.2019143940762145</v>
      </c>
      <c r="V118">
        <f>Year_2032!V121/Year_2025!V121</f>
        <v>1.3416188655194392</v>
      </c>
      <c r="W118">
        <f>Year_2032!W121/Year_2025!W121</f>
        <v>1.2125232157070842</v>
      </c>
      <c r="X118">
        <f>Year_2032!X121/Year_2025!X121</f>
        <v>1.0016863406408094</v>
      </c>
      <c r="Y118" t="e">
        <f>Year_2032!Y121/Year_2025!Y121</f>
        <v>#DIV/0!</v>
      </c>
      <c r="Z118" t="e">
        <f>Year_2032!Z121/Year_2025!Z121</f>
        <v>#DIV/0!</v>
      </c>
      <c r="AA118" t="e">
        <f>Year_2032!AA121/Year_2025!AA121</f>
        <v>#VALUE!</v>
      </c>
      <c r="AB118">
        <f>Year_2032!AB121/Year_2025!AB121</f>
        <v>1.1539597114773703</v>
      </c>
      <c r="AC118">
        <f>Year_2032!AC121/Year_2025!AC121</f>
        <v>1.181394918191077</v>
      </c>
      <c r="AD118">
        <f>Year_2032!AD121/Year_2025!AD121</f>
        <v>1.2036082011104923</v>
      </c>
      <c r="AE118">
        <f>Year_2032!AE121/Year_2025!AE121</f>
        <v>1.2124954385695355</v>
      </c>
      <c r="AF118">
        <f>Year_2032!AF121/Year_2025!AF121</f>
        <v>1.0029949086552861</v>
      </c>
      <c r="AG118">
        <f>Year_2032!AG121/Year_2025!AG121</f>
        <v>1.171258376768429</v>
      </c>
      <c r="AH118">
        <f>Year_2032!AH121/Year_2025!AH121</f>
        <v>1.2019236394697121</v>
      </c>
      <c r="AI118">
        <f>Year_2032!AI121/Year_2025!AI121</f>
        <v>1.2025798569939994</v>
      </c>
      <c r="AJ118">
        <f>Year_2032!AJ121/Year_2025!AJ121</f>
        <v>1.2124987526906246</v>
      </c>
      <c r="AK118">
        <f>Year_2032!AK121/Year_2025!AK121</f>
        <v>0.99981730710675354</v>
      </c>
      <c r="AL118" t="e">
        <f>Year_2032!AL121/Year_2025!AL121</f>
        <v>#DIV/0!</v>
      </c>
      <c r="AM118" t="e">
        <f>Year_2032!AM121/Year_2025!AM121</f>
        <v>#DIV/0!</v>
      </c>
      <c r="AN118" t="e">
        <f>Year_2032!AN121/Year_2025!AN121</f>
        <v>#VALUE!</v>
      </c>
      <c r="AO118">
        <f>Year_2032!AO121/Year_2025!AO121</f>
        <v>0.42248803054276651</v>
      </c>
      <c r="AP118">
        <f>Year_2032!AP121/Year_2025!AP121</f>
        <v>0.41998289577353126</v>
      </c>
      <c r="AQ118">
        <f>Year_2032!AQ121/Year_2025!AQ121</f>
        <v>0.42337562459122896</v>
      </c>
      <c r="AR118">
        <f>Year_2032!AR121/Year_2025!AR121</f>
        <v>0.33118613175389044</v>
      </c>
      <c r="AS118">
        <f>Year_2032!AS121/Year_2025!AS121</f>
        <v>0.99946953622309775</v>
      </c>
      <c r="AT118">
        <f>Year_2032!AT121/Year_2025!AT121</f>
        <v>0.99977269283224734</v>
      </c>
      <c r="AU118">
        <f>Year_2032!AU121/Year_2025!AU121</f>
        <v>0.31621634663618814</v>
      </c>
      <c r="AV118">
        <f>Year_2032!AV121/Year_2025!AV121</f>
        <v>0.31599291066787843</v>
      </c>
      <c r="AW118">
        <f>Year_2032!AW121/Year_2025!AW121</f>
        <v>0.99320738455955726</v>
      </c>
      <c r="AX118">
        <f>Year_2032!AX121/Year_2025!AX121</f>
        <v>0.99721492957465285</v>
      </c>
    </row>
    <row r="119" spans="2:50" x14ac:dyDescent="0.3">
      <c r="B119">
        <f>Year_2032!B122</f>
        <v>0</v>
      </c>
      <c r="C119" t="e">
        <f>Year_2032!C122/Year_2025!C122</f>
        <v>#DIV/0!</v>
      </c>
      <c r="D119" t="e">
        <f>Year_2032!D122/Year_2025!D122</f>
        <v>#DIV/0!</v>
      </c>
      <c r="E119" t="e">
        <f>Year_2032!E122/Year_2025!E122</f>
        <v>#DIV/0!</v>
      </c>
      <c r="F119" t="e">
        <f>Year_2032!F122/Year_2025!F122</f>
        <v>#DIV/0!</v>
      </c>
      <c r="G119" t="e">
        <f>Year_2032!G122/Year_2025!G122</f>
        <v>#DIV/0!</v>
      </c>
      <c r="H119" t="e">
        <f>Year_2032!H122/Year_2025!H122</f>
        <v>#DIV/0!</v>
      </c>
      <c r="I119" t="e">
        <f>Year_2032!I122/Year_2025!I122</f>
        <v>#DIV/0!</v>
      </c>
      <c r="J119" t="e">
        <f>Year_2032!J122/Year_2025!J122</f>
        <v>#DIV/0!</v>
      </c>
      <c r="K119" t="e">
        <f>Year_2032!K122/Year_2025!K122</f>
        <v>#DIV/0!</v>
      </c>
      <c r="L119" t="e">
        <f>Year_2032!L122/Year_2025!L122</f>
        <v>#DIV/0!</v>
      </c>
      <c r="M119" t="e">
        <f>Year_2032!M122/Year_2025!M122</f>
        <v>#DIV/0!</v>
      </c>
      <c r="N119" t="str">
        <f>Year_2032!N122</f>
        <v>AM-Early</v>
      </c>
      <c r="O119">
        <f>Year_2032!O122/Year_2025!O122</f>
        <v>1.2150000000000001</v>
      </c>
      <c r="P119">
        <f>Year_2032!P122/Year_2025!P122</f>
        <v>1.1850689231609117</v>
      </c>
      <c r="Q119">
        <f>Year_2032!Q122/Year_2025!Q122</f>
        <v>1.174733531364669</v>
      </c>
      <c r="R119">
        <f>Year_2032!R122/Year_2025!R122</f>
        <v>1.2176997128863367</v>
      </c>
      <c r="S119">
        <f>Year_2032!S122/Year_2025!S122</f>
        <v>1.0674522551808208</v>
      </c>
      <c r="T119">
        <f>Year_2032!T122/Year_2025!T122</f>
        <v>1.1999098489970703</v>
      </c>
      <c r="U119">
        <f>Year_2032!U122/Year_2025!U122</f>
        <v>1.261077595173705</v>
      </c>
      <c r="V119">
        <f>Year_2032!V122/Year_2025!V122</f>
        <v>1.2065050038491147</v>
      </c>
      <c r="W119">
        <f>Year_2032!W122/Year_2025!W122</f>
        <v>1.2120481927710842</v>
      </c>
      <c r="X119">
        <f>Year_2032!X122/Year_2025!X122</f>
        <v>0.99912739965095976</v>
      </c>
      <c r="Y119" t="e">
        <f>Year_2032!Y122/Year_2025!Y122</f>
        <v>#DIV/0!</v>
      </c>
      <c r="Z119" t="e">
        <f>Year_2032!Z122/Year_2025!Z122</f>
        <v>#DIV/0!</v>
      </c>
      <c r="AA119" t="e">
        <f>Year_2032!AA122/Year_2025!AA122</f>
        <v>#VALUE!</v>
      </c>
      <c r="AB119">
        <f>Year_2032!AB122/Year_2025!AB122</f>
        <v>1.1048885693745507</v>
      </c>
      <c r="AC119">
        <f>Year_2032!AC122/Year_2025!AC122</f>
        <v>1.2055217150541888</v>
      </c>
      <c r="AD119">
        <f>Year_2032!AD122/Year_2025!AD122</f>
        <v>1.2186857958700421</v>
      </c>
      <c r="AE119">
        <f>Year_2032!AE122/Year_2025!AE122</f>
        <v>1.2021265856859249</v>
      </c>
      <c r="AF119">
        <f>Year_2032!AF122/Year_2025!AF122</f>
        <v>1.0220765781303898</v>
      </c>
      <c r="AG119">
        <f>Year_2032!AG122/Year_2025!AG122</f>
        <v>1.2030538564135582</v>
      </c>
      <c r="AH119">
        <f>Year_2032!AH122/Year_2025!AH122</f>
        <v>0.98301702543200442</v>
      </c>
      <c r="AI119">
        <f>Year_2032!AI122/Year_2025!AI122</f>
        <v>1.2120667624980035</v>
      </c>
      <c r="AJ119">
        <f>Year_2032!AJ122/Year_2025!AJ122</f>
        <v>1.2116300649551501</v>
      </c>
      <c r="AK119">
        <f>Year_2032!AK122/Year_2025!AK122</f>
        <v>1.0001860811313732</v>
      </c>
      <c r="AL119" t="e">
        <f>Year_2032!AL122/Year_2025!AL122</f>
        <v>#DIV/0!</v>
      </c>
      <c r="AM119" t="e">
        <f>Year_2032!AM122/Year_2025!AM122</f>
        <v>#DIV/0!</v>
      </c>
      <c r="AN119" t="e">
        <f>Year_2032!AN122/Year_2025!AN122</f>
        <v>#VALUE!</v>
      </c>
      <c r="AO119">
        <f>Year_2032!AO122/Year_2025!AO122</f>
        <v>0.93998766372773113</v>
      </c>
      <c r="AP119">
        <f>Year_2032!AP122/Year_2025!AP122</f>
        <v>0.5940035012451611</v>
      </c>
      <c r="AQ119">
        <f>Year_2032!AQ122/Year_2025!AQ122</f>
        <v>0.66009071232612326</v>
      </c>
      <c r="AR119">
        <f>Year_2032!AR122/Year_2025!AR122</f>
        <v>1.2201173147946991</v>
      </c>
      <c r="AS119">
        <f>Year_2032!AS122/Year_2025!AS122</f>
        <v>1.063398297595237</v>
      </c>
      <c r="AT119">
        <f>Year_2032!AT122/Year_2025!AT122</f>
        <v>1.0768406454866366</v>
      </c>
      <c r="AU119">
        <f>Year_2032!AU122/Year_2025!AU122</f>
        <v>0.76197702791168243</v>
      </c>
      <c r="AV119">
        <f>Year_2032!AV122/Year_2025!AV122</f>
        <v>0.31624598604309062</v>
      </c>
      <c r="AW119">
        <f>Year_2032!AW122/Year_2025!AW122</f>
        <v>1.2518329153000192</v>
      </c>
      <c r="AX119">
        <f>Year_2032!AX122/Year_2025!AX122</f>
        <v>1.3773096238274216</v>
      </c>
    </row>
    <row r="120" spans="2:50" x14ac:dyDescent="0.3">
      <c r="B120">
        <f>Year_2032!B123</f>
        <v>0</v>
      </c>
      <c r="C120" t="e">
        <f>Year_2032!C123/Year_2025!C123</f>
        <v>#DIV/0!</v>
      </c>
      <c r="D120" t="e">
        <f>Year_2032!D123/Year_2025!D123</f>
        <v>#DIV/0!</v>
      </c>
      <c r="E120" t="e">
        <f>Year_2032!E123/Year_2025!E123</f>
        <v>#DIV/0!</v>
      </c>
      <c r="F120" t="e">
        <f>Year_2032!F123/Year_2025!F123</f>
        <v>#DIV/0!</v>
      </c>
      <c r="G120" t="e">
        <f>Year_2032!G123/Year_2025!G123</f>
        <v>#DIV/0!</v>
      </c>
      <c r="H120" t="e">
        <f>Year_2032!H123/Year_2025!H123</f>
        <v>#DIV/0!</v>
      </c>
      <c r="I120" t="e">
        <f>Year_2032!I123/Year_2025!I123</f>
        <v>#DIV/0!</v>
      </c>
      <c r="J120" t="e">
        <f>Year_2032!J123/Year_2025!J123</f>
        <v>#DIV/0!</v>
      </c>
      <c r="K120" t="e">
        <f>Year_2032!K123/Year_2025!K123</f>
        <v>#DIV/0!</v>
      </c>
      <c r="L120" t="e">
        <f>Year_2032!L123/Year_2025!L123</f>
        <v>#DIV/0!</v>
      </c>
      <c r="M120" t="e">
        <f>Year_2032!M123/Year_2025!M123</f>
        <v>#DIV/0!</v>
      </c>
      <c r="N120" t="str">
        <f>Year_2032!N123</f>
        <v>AM-Peak</v>
      </c>
      <c r="O120">
        <f>Year_2032!O123/Year_2025!O123</f>
        <v>1.1959766781647794</v>
      </c>
      <c r="P120">
        <f>Year_2032!P123/Year_2025!P123</f>
        <v>1.1851078636047321</v>
      </c>
      <c r="Q120">
        <f>Year_2032!Q123/Year_2025!Q123</f>
        <v>1.318521582414985</v>
      </c>
      <c r="R120">
        <f>Year_2032!R123/Year_2025!R123</f>
        <v>1.1373008314242321</v>
      </c>
      <c r="S120">
        <f>Year_2032!S123/Year_2025!S123</f>
        <v>0.99935504675910991</v>
      </c>
      <c r="T120">
        <f>Year_2032!T123/Year_2025!T123</f>
        <v>1.4774618585298198</v>
      </c>
      <c r="U120">
        <f>Year_2032!U123/Year_2025!U123</f>
        <v>1.2782739891369947</v>
      </c>
      <c r="V120">
        <f>Year_2032!V123/Year_2025!V123</f>
        <v>1.1834351780130246</v>
      </c>
      <c r="W120">
        <f>Year_2032!W123/Year_2025!W123</f>
        <v>1.1862849313774124</v>
      </c>
      <c r="X120">
        <f>Year_2032!X123/Year_2025!X123</f>
        <v>1.1298312791671654</v>
      </c>
      <c r="Y120" t="e">
        <f>Year_2032!Y123/Year_2025!Y123</f>
        <v>#DIV/0!</v>
      </c>
      <c r="Z120" t="e">
        <f>Year_2032!Z123/Year_2025!Z123</f>
        <v>#DIV/0!</v>
      </c>
      <c r="AA120" t="e">
        <f>Year_2032!AA123/Year_2025!AA123</f>
        <v>#VALUE!</v>
      </c>
      <c r="AB120">
        <f>Year_2032!AB123/Year_2025!AB123</f>
        <v>1.1913974724696808</v>
      </c>
      <c r="AC120">
        <f>Year_2032!AC123/Year_2025!AC123</f>
        <v>1.2053932764354689</v>
      </c>
      <c r="AD120">
        <f>Year_2032!AD123/Year_2025!AD123</f>
        <v>1.1896040658571472</v>
      </c>
      <c r="AE120">
        <f>Year_2032!AE123/Year_2025!AE123</f>
        <v>1.2260647852466868</v>
      </c>
      <c r="AF120">
        <f>Year_2032!AF123/Year_2025!AF123</f>
        <v>1.0001375610427128</v>
      </c>
      <c r="AG120">
        <f>Year_2032!AG123/Year_2025!AG123</f>
        <v>1.1465546551821839</v>
      </c>
      <c r="AH120">
        <f>Year_2032!AH123/Year_2025!AH123</f>
        <v>1.0564555515145218</v>
      </c>
      <c r="AI120">
        <f>Year_2032!AI123/Year_2025!AI123</f>
        <v>1.2172878528981239</v>
      </c>
      <c r="AJ120">
        <f>Year_2032!AJ123/Year_2025!AJ123</f>
        <v>1.216465955795706</v>
      </c>
      <c r="AK120">
        <f>Year_2032!AK123/Year_2025!AK123</f>
        <v>0.96655673026538846</v>
      </c>
      <c r="AL120" t="e">
        <f>Year_2032!AL123/Year_2025!AL123</f>
        <v>#DIV/0!</v>
      </c>
      <c r="AM120" t="e">
        <f>Year_2032!AM123/Year_2025!AM123</f>
        <v>#DIV/0!</v>
      </c>
      <c r="AN120" t="e">
        <f>Year_2032!AN123/Year_2025!AN123</f>
        <v>#VALUE!</v>
      </c>
      <c r="AO120">
        <f>Year_2032!AO123/Year_2025!AO123</f>
        <v>0.85834344523841632</v>
      </c>
      <c r="AP120">
        <f>Year_2032!AP123/Year_2025!AP123</f>
        <v>0.5890176840606085</v>
      </c>
      <c r="AQ120">
        <f>Year_2032!AQ123/Year_2025!AQ123</f>
        <v>0.71500520291363168</v>
      </c>
      <c r="AR120">
        <f>Year_2032!AR123/Year_2025!AR123</f>
        <v>0.94980387698254798</v>
      </c>
      <c r="AS120">
        <f>Year_2032!AS123/Year_2025!AS123</f>
        <v>0.92522479886417419</v>
      </c>
      <c r="AT120">
        <f>Year_2032!AT123/Year_2025!AT123</f>
        <v>1.0533896054068412</v>
      </c>
      <c r="AU120">
        <f>Year_2032!AU123/Year_2025!AU123</f>
        <v>0.78004475063298584</v>
      </c>
      <c r="AV120">
        <f>Year_2032!AV123/Year_2025!AV123</f>
        <v>0.56615981261759396</v>
      </c>
      <c r="AW120">
        <f>Year_2032!AW123/Year_2025!AW123</f>
        <v>1.3771159730016453</v>
      </c>
      <c r="AX120">
        <f>Year_2032!AX123/Year_2025!AX123</f>
        <v>1.3318590761321538</v>
      </c>
    </row>
    <row r="121" spans="2:50" x14ac:dyDescent="0.3">
      <c r="B121">
        <f>Year_2032!B124</f>
        <v>0</v>
      </c>
      <c r="C121" t="e">
        <f>Year_2032!C124/Year_2025!C124</f>
        <v>#DIV/0!</v>
      </c>
      <c r="D121" t="e">
        <f>Year_2032!D124/Year_2025!D124</f>
        <v>#DIV/0!</v>
      </c>
      <c r="E121" t="e">
        <f>Year_2032!E124/Year_2025!E124</f>
        <v>#DIV/0!</v>
      </c>
      <c r="F121" t="e">
        <f>Year_2032!F124/Year_2025!F124</f>
        <v>#DIV/0!</v>
      </c>
      <c r="G121" t="e">
        <f>Year_2032!G124/Year_2025!G124</f>
        <v>#DIV/0!</v>
      </c>
      <c r="H121" t="e">
        <f>Year_2032!H124/Year_2025!H124</f>
        <v>#DIV/0!</v>
      </c>
      <c r="I121" t="e">
        <f>Year_2032!I124/Year_2025!I124</f>
        <v>#DIV/0!</v>
      </c>
      <c r="J121" t="e">
        <f>Year_2032!J124/Year_2025!J124</f>
        <v>#DIV/0!</v>
      </c>
      <c r="K121" t="e">
        <f>Year_2032!K124/Year_2025!K124</f>
        <v>#DIV/0!</v>
      </c>
      <c r="L121" t="e">
        <f>Year_2032!L124/Year_2025!L124</f>
        <v>#DIV/0!</v>
      </c>
      <c r="M121" t="e">
        <f>Year_2032!M124/Year_2025!M124</f>
        <v>#DIV/0!</v>
      </c>
      <c r="N121" t="str">
        <f>Year_2032!N124</f>
        <v>AM-Shoulder</v>
      </c>
      <c r="O121">
        <f>Year_2032!O124/Year_2025!O124</f>
        <v>1.2681516121092788</v>
      </c>
      <c r="P121">
        <f>Year_2032!P124/Year_2025!P124</f>
        <v>1.1867622628311618</v>
      </c>
      <c r="Q121">
        <f>Year_2032!Q124/Year_2025!Q124</f>
        <v>1.1152943222328493</v>
      </c>
      <c r="R121">
        <f>Year_2032!R124/Year_2025!R124</f>
        <v>1.1879556259904913</v>
      </c>
      <c r="S121">
        <f>Year_2032!S124/Year_2025!S124</f>
        <v>1</v>
      </c>
      <c r="T121">
        <f>Year_2032!T124/Year_2025!T124</f>
        <v>1.1995343422584401</v>
      </c>
      <c r="U121">
        <f>Year_2032!U124/Year_2025!U124</f>
        <v>1.1997824813854263</v>
      </c>
      <c r="V121">
        <f>Year_2032!V124/Year_2025!V124</f>
        <v>1.186717205009888</v>
      </c>
      <c r="W121">
        <f>Year_2032!W124/Year_2025!W124</f>
        <v>1.1972203190760495</v>
      </c>
      <c r="X121">
        <f>Year_2032!X124/Year_2025!X124</f>
        <v>0.99957770270270274</v>
      </c>
      <c r="Y121" t="e">
        <f>Year_2032!Y124/Year_2025!Y124</f>
        <v>#DIV/0!</v>
      </c>
      <c r="Z121" t="e">
        <f>Year_2032!Z124/Year_2025!Z124</f>
        <v>#DIV/0!</v>
      </c>
      <c r="AA121" t="e">
        <f>Year_2032!AA124/Year_2025!AA124</f>
        <v>#VALUE!</v>
      </c>
      <c r="AB121">
        <f>Year_2032!AB124/Year_2025!AB124</f>
        <v>1.0427607978189124</v>
      </c>
      <c r="AC121">
        <f>Year_2032!AC124/Year_2025!AC124</f>
        <v>1.2055263024228366</v>
      </c>
      <c r="AD121">
        <f>Year_2032!AD124/Year_2025!AD124</f>
        <v>1.1558017915393777</v>
      </c>
      <c r="AE121">
        <f>Year_2032!AE124/Year_2025!AE124</f>
        <v>1.2162032051688096</v>
      </c>
      <c r="AF121">
        <f>Year_2032!AF124/Year_2025!AF124</f>
        <v>1</v>
      </c>
      <c r="AG121">
        <f>Year_2032!AG124/Year_2025!AG124</f>
        <v>1.2024756010473696</v>
      </c>
      <c r="AH121">
        <f>Year_2032!AH124/Year_2025!AH124</f>
        <v>1.008492425901899</v>
      </c>
      <c r="AI121">
        <f>Year_2032!AI124/Year_2025!AI124</f>
        <v>1.2164214362850971</v>
      </c>
      <c r="AJ121">
        <f>Year_2032!AJ124/Year_2025!AJ124</f>
        <v>1.2144734466223943</v>
      </c>
      <c r="AK121">
        <f>Year_2032!AK124/Year_2025!AK124</f>
        <v>1.0000902119981958</v>
      </c>
      <c r="AL121" t="e">
        <f>Year_2032!AL124/Year_2025!AL124</f>
        <v>#DIV/0!</v>
      </c>
      <c r="AM121" t="e">
        <f>Year_2032!AM124/Year_2025!AM124</f>
        <v>#DIV/0!</v>
      </c>
      <c r="AN121" t="e">
        <f>Year_2032!AN124/Year_2025!AN124</f>
        <v>#VALUE!</v>
      </c>
      <c r="AO121">
        <f>Year_2032!AO124/Year_2025!AO124</f>
        <v>1.045398549071497</v>
      </c>
      <c r="AP121">
        <f>Year_2032!AP124/Year_2025!AP124</f>
        <v>0.69142535517428771</v>
      </c>
      <c r="AQ121">
        <f>Year_2032!AQ124/Year_2025!AQ124</f>
        <v>0.73842330593966832</v>
      </c>
      <c r="AR121">
        <f>Year_2032!AR124/Year_2025!AR124</f>
        <v>1.1646270703660722</v>
      </c>
      <c r="AS121">
        <f>Year_2032!AS124/Year_2025!AS124</f>
        <v>1.116817340159024</v>
      </c>
      <c r="AT121">
        <f>Year_2032!AT124/Year_2025!AT124</f>
        <v>1.0343567577202442</v>
      </c>
      <c r="AU121">
        <f>Year_2032!AU124/Year_2025!AU124</f>
        <v>0.64452185104359017</v>
      </c>
      <c r="AV121">
        <f>Year_2032!AV124/Year_2025!AV124</f>
        <v>0.56845089419522432</v>
      </c>
      <c r="AW121">
        <f>Year_2032!AW124/Year_2025!AW124</f>
        <v>1.3769981316171891</v>
      </c>
      <c r="AX121">
        <f>Year_2032!AX124/Year_2025!AX124</f>
        <v>1.3770116513479345</v>
      </c>
    </row>
    <row r="122" spans="2:50" x14ac:dyDescent="0.3">
      <c r="B122">
        <f>Year_2032!B125</f>
        <v>0</v>
      </c>
      <c r="C122" t="e">
        <f>Year_2032!C125/Year_2025!C125</f>
        <v>#DIV/0!</v>
      </c>
      <c r="D122" t="e">
        <f>Year_2032!D125/Year_2025!D125</f>
        <v>#DIV/0!</v>
      </c>
      <c r="E122" t="e">
        <f>Year_2032!E125/Year_2025!E125</f>
        <v>#DIV/0!</v>
      </c>
      <c r="F122" t="e">
        <f>Year_2032!F125/Year_2025!F125</f>
        <v>#DIV/0!</v>
      </c>
      <c r="G122" t="e">
        <f>Year_2032!G125/Year_2025!G125</f>
        <v>#DIV/0!</v>
      </c>
      <c r="H122" t="e">
        <f>Year_2032!H125/Year_2025!H125</f>
        <v>#DIV/0!</v>
      </c>
      <c r="I122" t="e">
        <f>Year_2032!I125/Year_2025!I125</f>
        <v>#DIV/0!</v>
      </c>
      <c r="J122" t="e">
        <f>Year_2032!J125/Year_2025!J125</f>
        <v>#DIV/0!</v>
      </c>
      <c r="K122" t="e">
        <f>Year_2032!K125/Year_2025!K125</f>
        <v>#DIV/0!</v>
      </c>
      <c r="L122" t="e">
        <f>Year_2032!L125/Year_2025!L125</f>
        <v>#DIV/0!</v>
      </c>
      <c r="M122" t="e">
        <f>Year_2032!M125/Year_2025!M125</f>
        <v>#DIV/0!</v>
      </c>
      <c r="N122" t="str">
        <f>Year_2032!N125</f>
        <v>MD</v>
      </c>
      <c r="O122">
        <f>Year_2032!O125/Year_2025!O125</f>
        <v>1.3241767403084619</v>
      </c>
      <c r="P122">
        <f>Year_2032!P125/Year_2025!P125</f>
        <v>1.3297315631359627</v>
      </c>
      <c r="Q122">
        <f>Year_2032!Q125/Year_2025!Q125</f>
        <v>1.1986330149303901</v>
      </c>
      <c r="R122">
        <f>Year_2032!R125/Year_2025!R125</f>
        <v>1.2028779490248889</v>
      </c>
      <c r="S122">
        <f>Year_2032!S125/Year_2025!S125</f>
        <v>1.0608176739461654</v>
      </c>
      <c r="T122">
        <f>Year_2032!T125/Year_2025!T125</f>
        <v>1.2911265432098766</v>
      </c>
      <c r="U122">
        <f>Year_2032!U125/Year_2025!U125</f>
        <v>1.3518424056936043</v>
      </c>
      <c r="V122">
        <f>Year_2032!V125/Year_2025!V125</f>
        <v>1.1902612370341914</v>
      </c>
      <c r="W122">
        <f>Year_2032!W125/Year_2025!W125</f>
        <v>1.1960979623654751</v>
      </c>
      <c r="X122">
        <f>Year_2032!X125/Year_2025!X125</f>
        <v>1.2582591007925932</v>
      </c>
      <c r="Y122" t="e">
        <f>Year_2032!Y125/Year_2025!Y125</f>
        <v>#DIV/0!</v>
      </c>
      <c r="Z122" t="e">
        <f>Year_2032!Z125/Year_2025!Z125</f>
        <v>#DIV/0!</v>
      </c>
      <c r="AA122" t="e">
        <f>Year_2032!AA125/Year_2025!AA125</f>
        <v>#VALUE!</v>
      </c>
      <c r="AB122">
        <f>Year_2032!AB125/Year_2025!AB125</f>
        <v>1.0245689299562744</v>
      </c>
      <c r="AC122">
        <f>Year_2032!AC125/Year_2025!AC125</f>
        <v>1.1773394530576264</v>
      </c>
      <c r="AD122">
        <f>Year_2032!AD125/Year_2025!AD125</f>
        <v>1.2139345155793713</v>
      </c>
      <c r="AE122">
        <f>Year_2032!AE125/Year_2025!AE125</f>
        <v>1.2128903457712965</v>
      </c>
      <c r="AF122">
        <f>Year_2032!AF125/Year_2025!AF125</f>
        <v>0.98688533566969661</v>
      </c>
      <c r="AG122">
        <f>Year_2032!AG125/Year_2025!AG125</f>
        <v>1.0528042580235144</v>
      </c>
      <c r="AH122">
        <f>Year_2032!AH125/Year_2025!AH125</f>
        <v>1.1186369520344259</v>
      </c>
      <c r="AI122">
        <f>Year_2032!AI125/Year_2025!AI125</f>
        <v>1.2159838844788384</v>
      </c>
      <c r="AJ122">
        <f>Year_2032!AJ125/Year_2025!AJ125</f>
        <v>1.2148817833720131</v>
      </c>
      <c r="AK122">
        <f>Year_2032!AK125/Year_2025!AK125</f>
        <v>1.0038876955193174</v>
      </c>
      <c r="AL122" t="e">
        <f>Year_2032!AL125/Year_2025!AL125</f>
        <v>#DIV/0!</v>
      </c>
      <c r="AM122" t="e">
        <f>Year_2032!AM125/Year_2025!AM125</f>
        <v>#DIV/0!</v>
      </c>
      <c r="AN122" t="e">
        <f>Year_2032!AN125/Year_2025!AN125</f>
        <v>#VALUE!</v>
      </c>
      <c r="AO122">
        <f>Year_2032!AO125/Year_2025!AO125</f>
        <v>1.0624629707998308</v>
      </c>
      <c r="AP122">
        <f>Year_2032!AP125/Year_2025!AP125</f>
        <v>1.0095715216682959</v>
      </c>
      <c r="AQ122">
        <f>Year_2032!AQ125/Year_2025!AQ125</f>
        <v>0.73172159456769881</v>
      </c>
      <c r="AR122">
        <f>Year_2032!AR125/Year_2025!AR125</f>
        <v>0.83770282588878764</v>
      </c>
      <c r="AS122">
        <f>Year_2032!AS125/Year_2025!AS125</f>
        <v>1.0450860420650097</v>
      </c>
      <c r="AT122">
        <f>Year_2032!AT125/Year_2025!AT125</f>
        <v>1.0660061867736812</v>
      </c>
      <c r="AU122">
        <f>Year_2032!AU125/Year_2025!AU125</f>
        <v>0.57007687444548927</v>
      </c>
      <c r="AV122">
        <f>Year_2032!AV125/Year_2025!AV125</f>
        <v>0.56539668713013658</v>
      </c>
      <c r="AW122">
        <f>Year_2032!AW125/Year_2025!AW125</f>
        <v>1.3472624675918863</v>
      </c>
      <c r="AX122">
        <f>Year_2032!AX125/Year_2025!AX125</f>
        <v>1.1367900479249515</v>
      </c>
    </row>
    <row r="123" spans="2:50" x14ac:dyDescent="0.3">
      <c r="B123">
        <f>Year_2032!B126</f>
        <v>0</v>
      </c>
      <c r="C123" t="e">
        <f>Year_2032!C126/Year_2025!C126</f>
        <v>#DIV/0!</v>
      </c>
      <c r="D123" t="e">
        <f>Year_2032!D126/Year_2025!D126</f>
        <v>#DIV/0!</v>
      </c>
      <c r="E123" t="e">
        <f>Year_2032!E126/Year_2025!E126</f>
        <v>#DIV/0!</v>
      </c>
      <c r="F123" t="e">
        <f>Year_2032!F126/Year_2025!F126</f>
        <v>#DIV/0!</v>
      </c>
      <c r="G123" t="e">
        <f>Year_2032!G126/Year_2025!G126</f>
        <v>#DIV/0!</v>
      </c>
      <c r="H123" t="e">
        <f>Year_2032!H126/Year_2025!H126</f>
        <v>#DIV/0!</v>
      </c>
      <c r="I123" t="e">
        <f>Year_2032!I126/Year_2025!I126</f>
        <v>#DIV/0!</v>
      </c>
      <c r="J123" t="e">
        <f>Year_2032!J126/Year_2025!J126</f>
        <v>#DIV/0!</v>
      </c>
      <c r="K123" t="e">
        <f>Year_2032!K126/Year_2025!K126</f>
        <v>#DIV/0!</v>
      </c>
      <c r="L123" t="e">
        <f>Year_2032!L126/Year_2025!L126</f>
        <v>#DIV/0!</v>
      </c>
      <c r="M123" t="e">
        <f>Year_2032!M126/Year_2025!M126</f>
        <v>#DIV/0!</v>
      </c>
      <c r="N123" t="str">
        <f>Year_2032!N126</f>
        <v>PM-Shoulder</v>
      </c>
      <c r="O123">
        <f>Year_2032!O126/Year_2025!O126</f>
        <v>1.050531451472382</v>
      </c>
      <c r="P123">
        <f>Year_2032!P126/Year_2025!P126</f>
        <v>1.191816171049398</v>
      </c>
      <c r="Q123">
        <f>Year_2032!Q126/Year_2025!Q126</f>
        <v>1.1237373737373737</v>
      </c>
      <c r="R123">
        <f>Year_2032!R126/Year_2025!R126</f>
        <v>1.1808149405772497</v>
      </c>
      <c r="S123">
        <f>Year_2032!S126/Year_2025!S126</f>
        <v>1.1349765258215965</v>
      </c>
      <c r="T123">
        <f>Year_2032!T126/Year_2025!T126</f>
        <v>1.0409109230149134</v>
      </c>
      <c r="U123">
        <f>Year_2032!U126/Year_2025!U126</f>
        <v>1.139103325415677</v>
      </c>
      <c r="V123">
        <f>Year_2032!V126/Year_2025!V126</f>
        <v>0.98933922397233964</v>
      </c>
      <c r="W123">
        <f>Year_2032!W126/Year_2025!W126</f>
        <v>1.0913278590026037</v>
      </c>
      <c r="X123">
        <f>Year_2032!X126/Year_2025!X126</f>
        <v>1.2336615935541628</v>
      </c>
      <c r="Y123" t="e">
        <f>Year_2032!Y126/Year_2025!Y126</f>
        <v>#DIV/0!</v>
      </c>
      <c r="Z123" t="e">
        <f>Year_2032!Z126/Year_2025!Z126</f>
        <v>#DIV/0!</v>
      </c>
      <c r="AA123" t="e">
        <f>Year_2032!AA126/Year_2025!AA126</f>
        <v>#VALUE!</v>
      </c>
      <c r="AB123">
        <f>Year_2032!AB126/Year_2025!AB126</f>
        <v>1.0243923611111112</v>
      </c>
      <c r="AC123">
        <f>Year_2032!AC126/Year_2025!AC126</f>
        <v>1.201707414093816</v>
      </c>
      <c r="AD123">
        <f>Year_2032!AD126/Year_2025!AD126</f>
        <v>1.1997177134791814</v>
      </c>
      <c r="AE123">
        <f>Year_2032!AE126/Year_2025!AE126</f>
        <v>1.2193506115317416</v>
      </c>
      <c r="AF123">
        <f>Year_2032!AF126/Year_2025!AF126</f>
        <v>1.0146504362813746</v>
      </c>
      <c r="AG123">
        <f>Year_2032!AG126/Year_2025!AG126</f>
        <v>1.0268396449393351</v>
      </c>
      <c r="AH123">
        <f>Year_2032!AH126/Year_2025!AH126</f>
        <v>1.2172814362223732</v>
      </c>
      <c r="AI123">
        <f>Year_2032!AI126/Year_2025!AI126</f>
        <v>1.0390882546858811</v>
      </c>
      <c r="AJ123">
        <f>Year_2032!AJ126/Year_2025!AJ126</f>
        <v>1.2408367911479945</v>
      </c>
      <c r="AK123">
        <f>Year_2032!AK126/Year_2025!AK126</f>
        <v>1.0084116773874319</v>
      </c>
      <c r="AL123" t="e">
        <f>Year_2032!AL126/Year_2025!AL126</f>
        <v>#DIV/0!</v>
      </c>
      <c r="AM123" t="e">
        <f>Year_2032!AM126/Year_2025!AM126</f>
        <v>#DIV/0!</v>
      </c>
      <c r="AN123" t="e">
        <f>Year_2032!AN126/Year_2025!AN126</f>
        <v>#VALUE!</v>
      </c>
      <c r="AO123">
        <f>Year_2032!AO126/Year_2025!AO126</f>
        <v>1.2847532480870951</v>
      </c>
      <c r="AP123">
        <f>Year_2032!AP126/Year_2025!AP126</f>
        <v>1.2847910592808554</v>
      </c>
      <c r="AQ123">
        <f>Year_2032!AQ126/Year_2025!AQ126</f>
        <v>0.83489154824233369</v>
      </c>
      <c r="AR123">
        <f>Year_2032!AR126/Year_2025!AR126</f>
        <v>0.88861679115138159</v>
      </c>
      <c r="AS123">
        <f>Year_2032!AS126/Year_2025!AS126</f>
        <v>1.1605474561142517</v>
      </c>
      <c r="AT123">
        <f>Year_2032!AT126/Year_2025!AT126</f>
        <v>1.3858750541047469</v>
      </c>
      <c r="AU123">
        <f>Year_2032!AU126/Year_2025!AU126</f>
        <v>0.66064117534031952</v>
      </c>
      <c r="AV123">
        <f>Year_2032!AV126/Year_2025!AV126</f>
        <v>0.80298525574904434</v>
      </c>
      <c r="AW123">
        <f>Year_2032!AW126/Year_2025!AW126</f>
        <v>1.2305467332123412</v>
      </c>
      <c r="AX123">
        <f>Year_2032!AX126/Year_2025!AX126</f>
        <v>1.1827494563904326</v>
      </c>
    </row>
    <row r="124" spans="2:50" x14ac:dyDescent="0.3">
      <c r="B124">
        <f>Year_2032!B127</f>
        <v>0</v>
      </c>
      <c r="C124" t="e">
        <f>Year_2032!C127/Year_2025!C127</f>
        <v>#DIV/0!</v>
      </c>
      <c r="D124" t="e">
        <f>Year_2032!D127/Year_2025!D127</f>
        <v>#DIV/0!</v>
      </c>
      <c r="E124" t="e">
        <f>Year_2032!E127/Year_2025!E127</f>
        <v>#DIV/0!</v>
      </c>
      <c r="F124" t="e">
        <f>Year_2032!F127/Year_2025!F127</f>
        <v>#DIV/0!</v>
      </c>
      <c r="G124" t="e">
        <f>Year_2032!G127/Year_2025!G127</f>
        <v>#DIV/0!</v>
      </c>
      <c r="H124" t="e">
        <f>Year_2032!H127/Year_2025!H127</f>
        <v>#DIV/0!</v>
      </c>
      <c r="I124" t="e">
        <f>Year_2032!I127/Year_2025!I127</f>
        <v>#DIV/0!</v>
      </c>
      <c r="J124" t="e">
        <f>Year_2032!J127/Year_2025!J127</f>
        <v>#DIV/0!</v>
      </c>
      <c r="K124" t="e">
        <f>Year_2032!K127/Year_2025!K127</f>
        <v>#DIV/0!</v>
      </c>
      <c r="L124" t="e">
        <f>Year_2032!L127/Year_2025!L127</f>
        <v>#DIV/0!</v>
      </c>
      <c r="M124" t="e">
        <f>Year_2032!M127/Year_2025!M127</f>
        <v>#DIV/0!</v>
      </c>
      <c r="N124" t="str">
        <f>Year_2032!N127</f>
        <v>PM-Peak</v>
      </c>
      <c r="O124">
        <f>Year_2032!O127/Year_2025!O127</f>
        <v>1.6338334125313965</v>
      </c>
      <c r="P124">
        <f>Year_2032!P127/Year_2025!P127</f>
        <v>1.3846784584748739</v>
      </c>
      <c r="Q124">
        <f>Year_2032!Q127/Year_2025!Q127</f>
        <v>1.154094945729635</v>
      </c>
      <c r="R124">
        <f>Year_2032!R127/Year_2025!R127</f>
        <v>1.1755153748704363</v>
      </c>
      <c r="S124">
        <f>Year_2032!S127/Year_2025!S127</f>
        <v>1.1688180207542396</v>
      </c>
      <c r="T124">
        <f>Year_2032!T127/Year_2025!T127</f>
        <v>1.569718766582159</v>
      </c>
      <c r="U124">
        <f>Year_2032!U127/Year_2025!U127</f>
        <v>1.1655233458729808</v>
      </c>
      <c r="V124">
        <f>Year_2032!V127/Year_2025!V127</f>
        <v>1.23399365218343</v>
      </c>
      <c r="W124">
        <f>Year_2032!W127/Year_2025!W127</f>
        <v>1.1760511268079381</v>
      </c>
      <c r="X124">
        <f>Year_2032!X127/Year_2025!X127</f>
        <v>0.99898631525595538</v>
      </c>
      <c r="Y124" t="e">
        <f>Year_2032!Y127/Year_2025!Y127</f>
        <v>#DIV/0!</v>
      </c>
      <c r="Z124" t="e">
        <f>Year_2032!Z127/Year_2025!Z127</f>
        <v>#DIV/0!</v>
      </c>
      <c r="AA124" t="e">
        <f>Year_2032!AA127/Year_2025!AA127</f>
        <v>#VALUE!</v>
      </c>
      <c r="AB124">
        <f>Year_2032!AB127/Year_2025!AB127</f>
        <v>1.0958081835462035</v>
      </c>
      <c r="AC124">
        <f>Year_2032!AC127/Year_2025!AC127</f>
        <v>1.1563661914102528</v>
      </c>
      <c r="AD124">
        <f>Year_2032!AD127/Year_2025!AD127</f>
        <v>1.2255240153498745</v>
      </c>
      <c r="AE124">
        <f>Year_2032!AE127/Year_2025!AE127</f>
        <v>1.2206542404108112</v>
      </c>
      <c r="AF124">
        <f>Year_2032!AF127/Year_2025!AF127</f>
        <v>0.95324220119172787</v>
      </c>
      <c r="AG124">
        <f>Year_2032!AG127/Year_2025!AG127</f>
        <v>1.1082644752941886</v>
      </c>
      <c r="AH124">
        <f>Year_2032!AH127/Year_2025!AH127</f>
        <v>1.2120441894808589</v>
      </c>
      <c r="AI124">
        <f>Year_2032!AI127/Year_2025!AI127</f>
        <v>1.2059680372898285</v>
      </c>
      <c r="AJ124">
        <f>Year_2032!AJ127/Year_2025!AJ127</f>
        <v>1.2203919722997274</v>
      </c>
      <c r="AK124">
        <f>Year_2032!AK127/Year_2025!AK127</f>
        <v>1.0002803083391731</v>
      </c>
      <c r="AL124" t="e">
        <f>Year_2032!AL127/Year_2025!AL127</f>
        <v>#DIV/0!</v>
      </c>
      <c r="AM124" t="e">
        <f>Year_2032!AM127/Year_2025!AM127</f>
        <v>#DIV/0!</v>
      </c>
      <c r="AN124" t="e">
        <f>Year_2032!AN127/Year_2025!AN127</f>
        <v>#VALUE!</v>
      </c>
      <c r="AO124">
        <f>Year_2032!AO127/Year_2025!AO127</f>
        <v>0.70330053951126625</v>
      </c>
      <c r="AP124">
        <f>Year_2032!AP127/Year_2025!AP127</f>
        <v>0.69955931395902815</v>
      </c>
      <c r="AQ124">
        <f>Year_2032!AQ127/Year_2025!AQ127</f>
        <v>0.67866547645614816</v>
      </c>
      <c r="AR124">
        <f>Year_2032!AR127/Year_2025!AR127</f>
        <v>0.72038145480369287</v>
      </c>
      <c r="AS124">
        <f>Year_2032!AS127/Year_2025!AS127</f>
        <v>1.0795982670342654</v>
      </c>
      <c r="AT124">
        <f>Year_2032!AT127/Year_2025!AT127</f>
        <v>1.0053142430497606</v>
      </c>
      <c r="AU124">
        <f>Year_2032!AU127/Year_2025!AU127</f>
        <v>0.614606096442742</v>
      </c>
      <c r="AV124">
        <f>Year_2032!AV127/Year_2025!AV127</f>
        <v>0.60680943635489093</v>
      </c>
      <c r="AW124">
        <f>Year_2032!AW127/Year_2025!AW127</f>
        <v>1.4061953886915837</v>
      </c>
      <c r="AX124">
        <f>Year_2032!AX127/Year_2025!AX127</f>
        <v>1.3987503869860123</v>
      </c>
    </row>
    <row r="125" spans="2:50" x14ac:dyDescent="0.3">
      <c r="B125">
        <f>Year_2032!B128</f>
        <v>0</v>
      </c>
      <c r="C125" t="e">
        <f>Year_2032!C128/Year_2025!C128</f>
        <v>#DIV/0!</v>
      </c>
      <c r="D125" t="e">
        <f>Year_2032!D128/Year_2025!D128</f>
        <v>#DIV/0!</v>
      </c>
      <c r="E125" t="e">
        <f>Year_2032!E128/Year_2025!E128</f>
        <v>#DIV/0!</v>
      </c>
      <c r="F125" t="e">
        <f>Year_2032!F128/Year_2025!F128</f>
        <v>#DIV/0!</v>
      </c>
      <c r="G125" t="e">
        <f>Year_2032!G128/Year_2025!G128</f>
        <v>#DIV/0!</v>
      </c>
      <c r="H125" t="e">
        <f>Year_2032!H128/Year_2025!H128</f>
        <v>#DIV/0!</v>
      </c>
      <c r="I125" t="e">
        <f>Year_2032!I128/Year_2025!I128</f>
        <v>#DIV/0!</v>
      </c>
      <c r="J125" t="e">
        <f>Year_2032!J128/Year_2025!J128</f>
        <v>#DIV/0!</v>
      </c>
      <c r="K125" t="e">
        <f>Year_2032!K128/Year_2025!K128</f>
        <v>#DIV/0!</v>
      </c>
      <c r="L125" t="e">
        <f>Year_2032!L128/Year_2025!L128</f>
        <v>#DIV/0!</v>
      </c>
      <c r="M125" t="e">
        <f>Year_2032!M128/Year_2025!M128</f>
        <v>#DIV/0!</v>
      </c>
      <c r="N125" t="str">
        <f>Year_2032!N128</f>
        <v>PM-Late</v>
      </c>
      <c r="O125">
        <f>Year_2032!O128/Year_2025!O128</f>
        <v>1.2000588408355397</v>
      </c>
      <c r="P125">
        <f>Year_2032!P128/Year_2025!P128</f>
        <v>1.1995343741440703</v>
      </c>
      <c r="Q125">
        <f>Year_2032!Q128/Year_2025!Q128</f>
        <v>1.2024927160893495</v>
      </c>
      <c r="R125">
        <f>Year_2032!R128/Year_2025!R128</f>
        <v>1.2105081230556516</v>
      </c>
      <c r="S125">
        <f>Year_2032!S128/Year_2025!S128</f>
        <v>1</v>
      </c>
      <c r="T125">
        <f>Year_2032!T128/Year_2025!T128</f>
        <v>1.1973929236499068</v>
      </c>
      <c r="U125">
        <f>Year_2032!U128/Year_2025!U128</f>
        <v>1.3512865242040994</v>
      </c>
      <c r="V125">
        <f>Year_2032!V128/Year_2025!V128</f>
        <v>1.2093617021276595</v>
      </c>
      <c r="W125">
        <f>Year_2032!W128/Year_2025!W128</f>
        <v>1.2086776859504131</v>
      </c>
      <c r="X125">
        <f>Year_2032!X128/Year_2025!X128</f>
        <v>1.0310237849017581</v>
      </c>
      <c r="Y125" t="e">
        <f>Year_2032!Y128/Year_2025!Y128</f>
        <v>#DIV/0!</v>
      </c>
      <c r="Z125" t="e">
        <f>Year_2032!Z128/Year_2025!Z128</f>
        <v>#DIV/0!</v>
      </c>
      <c r="AA125" t="e">
        <f>Year_2032!AA128/Year_2025!AA128</f>
        <v>#VALUE!</v>
      </c>
      <c r="AB125">
        <f>Year_2032!AB128/Year_2025!AB128</f>
        <v>1.2024421115330206</v>
      </c>
      <c r="AC125">
        <f>Year_2032!AC128/Year_2025!AC128</f>
        <v>1.2027318976932191</v>
      </c>
      <c r="AD125">
        <f>Year_2032!AD128/Year_2025!AD128</f>
        <v>1.2138058737404185</v>
      </c>
      <c r="AE125">
        <f>Year_2032!AE128/Year_2025!AE128</f>
        <v>1.2107686696452995</v>
      </c>
      <c r="AF125">
        <f>Year_2032!AF128/Year_2025!AF128</f>
        <v>1</v>
      </c>
      <c r="AG125">
        <f>Year_2032!AG128/Year_2025!AG128</f>
        <v>1.2039273441335299</v>
      </c>
      <c r="AH125">
        <f>Year_2032!AH128/Year_2025!AH128</f>
        <v>1.1693116445149774</v>
      </c>
      <c r="AI125">
        <f>Year_2032!AI128/Year_2025!AI128</f>
        <v>1.212863355458915</v>
      </c>
      <c r="AJ125">
        <f>Year_2032!AJ128/Year_2025!AJ128</f>
        <v>1.2100679694137639</v>
      </c>
      <c r="AK125">
        <f>Year_2032!AK128/Year_2025!AK128</f>
        <v>1.0318279569892472</v>
      </c>
      <c r="AL125" t="e">
        <f>Year_2032!AL128/Year_2025!AL128</f>
        <v>#DIV/0!</v>
      </c>
      <c r="AM125" t="e">
        <f>Year_2032!AM128/Year_2025!AM128</f>
        <v>#DIV/0!</v>
      </c>
      <c r="AN125" t="e">
        <f>Year_2032!AN128/Year_2025!AN128</f>
        <v>#VALUE!</v>
      </c>
      <c r="AO125">
        <f>Year_2032!AO128/Year_2025!AO128</f>
        <v>0.60754700866866895</v>
      </c>
      <c r="AP125">
        <f>Year_2032!AP128/Year_2025!AP128</f>
        <v>0.61654694079762207</v>
      </c>
      <c r="AQ125">
        <f>Year_2032!AQ128/Year_2025!AQ128</f>
        <v>0.62212924477231235</v>
      </c>
      <c r="AR125">
        <f>Year_2032!AR128/Year_2025!AR128</f>
        <v>0.51092309779856249</v>
      </c>
      <c r="AS125">
        <f>Year_2032!AS128/Year_2025!AS128</f>
        <v>1.1923276308968378</v>
      </c>
      <c r="AT125">
        <f>Year_2032!AT128/Year_2025!AT128</f>
        <v>1.2475803832413122</v>
      </c>
      <c r="AU125">
        <f>Year_2032!AU128/Year_2025!AU128</f>
        <v>0.56310891596018608</v>
      </c>
      <c r="AV125">
        <f>Year_2032!AV128/Year_2025!AV128</f>
        <v>0.47459163089222256</v>
      </c>
      <c r="AW125">
        <f>Year_2032!AW128/Year_2025!AW128</f>
        <v>1.3986991086485185</v>
      </c>
      <c r="AX125">
        <f>Year_2032!AX128/Year_2025!AX128</f>
        <v>1.2608274680668827</v>
      </c>
    </row>
    <row r="126" spans="2:50" x14ac:dyDescent="0.3">
      <c r="B126">
        <f>Year_2032!B129</f>
        <v>0</v>
      </c>
      <c r="C126" t="e">
        <f>Year_2032!C129/Year_2025!C129</f>
        <v>#DIV/0!</v>
      </c>
      <c r="D126" t="e">
        <f>Year_2032!D129/Year_2025!D129</f>
        <v>#DIV/0!</v>
      </c>
      <c r="E126" t="e">
        <f>Year_2032!E129/Year_2025!E129</f>
        <v>#DIV/0!</v>
      </c>
      <c r="F126" t="e">
        <f>Year_2032!F129/Year_2025!F129</f>
        <v>#DIV/0!</v>
      </c>
      <c r="G126" t="e">
        <f>Year_2032!G129/Year_2025!G129</f>
        <v>#DIV/0!</v>
      </c>
      <c r="H126" t="e">
        <f>Year_2032!H129/Year_2025!H129</f>
        <v>#DIV/0!</v>
      </c>
      <c r="I126" t="e">
        <f>Year_2032!I129/Year_2025!I129</f>
        <v>#DIV/0!</v>
      </c>
      <c r="J126" t="e">
        <f>Year_2032!J129/Year_2025!J129</f>
        <v>#DIV/0!</v>
      </c>
      <c r="K126" t="e">
        <f>Year_2032!K129/Year_2025!K129</f>
        <v>#DIV/0!</v>
      </c>
      <c r="L126" t="e">
        <f>Year_2032!L129/Year_2025!L129</f>
        <v>#DIV/0!</v>
      </c>
      <c r="M126" t="e">
        <f>Year_2032!M129/Year_2025!M129</f>
        <v>#DIV/0!</v>
      </c>
      <c r="N126">
        <f>Year_2032!N129</f>
        <v>0</v>
      </c>
      <c r="O126" t="e">
        <f>Year_2032!O129/Year_2025!O129</f>
        <v>#DIV/0!</v>
      </c>
      <c r="P126" t="e">
        <f>Year_2032!P129/Year_2025!P129</f>
        <v>#DIV/0!</v>
      </c>
      <c r="Q126" t="e">
        <f>Year_2032!Q129/Year_2025!Q129</f>
        <v>#DIV/0!</v>
      </c>
      <c r="R126" t="e">
        <f>Year_2032!R129/Year_2025!R129</f>
        <v>#DIV/0!</v>
      </c>
      <c r="S126" t="e">
        <f>Year_2032!S129/Year_2025!S129</f>
        <v>#DIV/0!</v>
      </c>
      <c r="T126" t="e">
        <f>Year_2032!T129/Year_2025!T129</f>
        <v>#DIV/0!</v>
      </c>
      <c r="U126" t="e">
        <f>Year_2032!U129/Year_2025!U129</f>
        <v>#DIV/0!</v>
      </c>
      <c r="V126" t="e">
        <f>Year_2032!V129/Year_2025!V129</f>
        <v>#DIV/0!</v>
      </c>
      <c r="W126" t="e">
        <f>Year_2032!W129/Year_2025!W129</f>
        <v>#DIV/0!</v>
      </c>
      <c r="X126" t="e">
        <f>Year_2032!X129/Year_2025!X129</f>
        <v>#DIV/0!</v>
      </c>
      <c r="Y126" t="e">
        <f>Year_2032!Y129/Year_2025!Y129</f>
        <v>#DIV/0!</v>
      </c>
      <c r="Z126" t="e">
        <f>Year_2032!Z129/Year_2025!Z129</f>
        <v>#DIV/0!</v>
      </c>
      <c r="AA126" t="e">
        <f>Year_2032!AA129/Year_2025!AA129</f>
        <v>#DIV/0!</v>
      </c>
      <c r="AB126" t="e">
        <f>Year_2032!AB129/Year_2025!AB129</f>
        <v>#DIV/0!</v>
      </c>
      <c r="AC126" t="e">
        <f>Year_2032!AC129/Year_2025!AC129</f>
        <v>#DIV/0!</v>
      </c>
      <c r="AD126" t="e">
        <f>Year_2032!AD129/Year_2025!AD129</f>
        <v>#DIV/0!</v>
      </c>
      <c r="AE126" t="e">
        <f>Year_2032!AE129/Year_2025!AE129</f>
        <v>#DIV/0!</v>
      </c>
      <c r="AF126" t="e">
        <f>Year_2032!AF129/Year_2025!AF129</f>
        <v>#DIV/0!</v>
      </c>
      <c r="AG126" t="e">
        <f>Year_2032!AG129/Year_2025!AG129</f>
        <v>#DIV/0!</v>
      </c>
      <c r="AH126" t="e">
        <f>Year_2032!AH129/Year_2025!AH129</f>
        <v>#DIV/0!</v>
      </c>
      <c r="AI126" t="e">
        <f>Year_2032!AI129/Year_2025!AI129</f>
        <v>#DIV/0!</v>
      </c>
      <c r="AJ126" t="e">
        <f>Year_2032!AJ129/Year_2025!AJ129</f>
        <v>#DIV/0!</v>
      </c>
      <c r="AK126" t="e">
        <f>Year_2032!AK129/Year_2025!AK129</f>
        <v>#DIV/0!</v>
      </c>
      <c r="AL126" t="e">
        <f>Year_2032!AL129/Year_2025!AL129</f>
        <v>#DIV/0!</v>
      </c>
      <c r="AM126" t="e">
        <f>Year_2032!AM129/Year_2025!AM129</f>
        <v>#DIV/0!</v>
      </c>
      <c r="AN126" t="e">
        <f>Year_2032!AN129/Year_2025!AN129</f>
        <v>#DIV/0!</v>
      </c>
      <c r="AO126" t="e">
        <f>Year_2032!AO129/Year_2025!AO129</f>
        <v>#DIV/0!</v>
      </c>
      <c r="AP126" t="e">
        <f>Year_2032!AP129/Year_2025!AP129</f>
        <v>#DIV/0!</v>
      </c>
      <c r="AQ126" t="e">
        <f>Year_2032!AQ129/Year_2025!AQ129</f>
        <v>#DIV/0!</v>
      </c>
      <c r="AR126" t="e">
        <f>Year_2032!AR129/Year_2025!AR129</f>
        <v>#DIV/0!</v>
      </c>
      <c r="AS126" t="e">
        <f>Year_2032!AS129/Year_2025!AS129</f>
        <v>#DIV/0!</v>
      </c>
      <c r="AT126" t="e">
        <f>Year_2032!AT129/Year_2025!AT129</f>
        <v>#DIV/0!</v>
      </c>
      <c r="AU126" t="e">
        <f>Year_2032!AU129/Year_2025!AU129</f>
        <v>#DIV/0!</v>
      </c>
      <c r="AV126" t="e">
        <f>Year_2032!AV129/Year_2025!AV129</f>
        <v>#DIV/0!</v>
      </c>
      <c r="AW126" t="e">
        <f>Year_2032!AW129/Year_2025!AW129</f>
        <v>#DIV/0!</v>
      </c>
      <c r="AX126" t="e">
        <f>Year_2032!AX129/Year_2025!AX129</f>
        <v>#DIV/0!</v>
      </c>
    </row>
    <row r="127" spans="2:50" x14ac:dyDescent="0.3">
      <c r="B127">
        <f>Year_2032!B130</f>
        <v>0</v>
      </c>
      <c r="C127" t="e">
        <f>Year_2032!C130/Year_2025!C130</f>
        <v>#DIV/0!</v>
      </c>
      <c r="D127" t="e">
        <f>Year_2032!D130/Year_2025!D130</f>
        <v>#DIV/0!</v>
      </c>
      <c r="E127" t="e">
        <f>Year_2032!E130/Year_2025!E130</f>
        <v>#DIV/0!</v>
      </c>
      <c r="F127" t="e">
        <f>Year_2032!F130/Year_2025!F130</f>
        <v>#DIV/0!</v>
      </c>
      <c r="G127" t="e">
        <f>Year_2032!G130/Year_2025!G130</f>
        <v>#DIV/0!</v>
      </c>
      <c r="H127" t="e">
        <f>Year_2032!H130/Year_2025!H130</f>
        <v>#DIV/0!</v>
      </c>
      <c r="I127" t="e">
        <f>Year_2032!I130/Year_2025!I130</f>
        <v>#DIV/0!</v>
      </c>
      <c r="J127" t="e">
        <f>Year_2032!J130/Year_2025!J130</f>
        <v>#DIV/0!</v>
      </c>
      <c r="K127" t="e">
        <f>Year_2032!K130/Year_2025!K130</f>
        <v>#DIV/0!</v>
      </c>
      <c r="L127" t="e">
        <f>Year_2032!L130/Year_2025!L130</f>
        <v>#DIV/0!</v>
      </c>
      <c r="M127" t="e">
        <f>Year_2032!M130/Year_2025!M130</f>
        <v>#DIV/0!</v>
      </c>
      <c r="N127">
        <f>Year_2032!N130</f>
        <v>0</v>
      </c>
      <c r="O127" t="e">
        <f>Year_2032!O130/Year_2025!O130</f>
        <v>#DIV/0!</v>
      </c>
      <c r="P127" t="e">
        <f>Year_2032!P130/Year_2025!P130</f>
        <v>#DIV/0!</v>
      </c>
      <c r="Q127" t="e">
        <f>Year_2032!Q130/Year_2025!Q130</f>
        <v>#DIV/0!</v>
      </c>
      <c r="R127" t="e">
        <f>Year_2032!R130/Year_2025!R130</f>
        <v>#DIV/0!</v>
      </c>
      <c r="S127" t="e">
        <f>Year_2032!S130/Year_2025!S130</f>
        <v>#DIV/0!</v>
      </c>
      <c r="T127" t="e">
        <f>Year_2032!T130/Year_2025!T130</f>
        <v>#DIV/0!</v>
      </c>
      <c r="U127" t="e">
        <f>Year_2032!U130/Year_2025!U130</f>
        <v>#DIV/0!</v>
      </c>
      <c r="V127" t="e">
        <f>Year_2032!V130/Year_2025!V130</f>
        <v>#DIV/0!</v>
      </c>
      <c r="W127" t="e">
        <f>Year_2032!W130/Year_2025!W130</f>
        <v>#DIV/0!</v>
      </c>
      <c r="X127" t="e">
        <f>Year_2032!X130/Year_2025!X130</f>
        <v>#DIV/0!</v>
      </c>
      <c r="Y127" t="e">
        <f>Year_2032!Y130/Year_2025!Y130</f>
        <v>#DIV/0!</v>
      </c>
      <c r="Z127" t="e">
        <f>Year_2032!Z130/Year_2025!Z130</f>
        <v>#DIV/0!</v>
      </c>
      <c r="AA127" t="e">
        <f>Year_2032!AA130/Year_2025!AA130</f>
        <v>#DIV/0!</v>
      </c>
      <c r="AB127" t="e">
        <f>Year_2032!AB130/Year_2025!AB130</f>
        <v>#DIV/0!</v>
      </c>
      <c r="AC127" t="e">
        <f>Year_2032!AC130/Year_2025!AC130</f>
        <v>#DIV/0!</v>
      </c>
      <c r="AD127" t="e">
        <f>Year_2032!AD130/Year_2025!AD130</f>
        <v>#DIV/0!</v>
      </c>
      <c r="AE127" t="e">
        <f>Year_2032!AE130/Year_2025!AE130</f>
        <v>#DIV/0!</v>
      </c>
      <c r="AF127" t="e">
        <f>Year_2032!AF130/Year_2025!AF130</f>
        <v>#DIV/0!</v>
      </c>
      <c r="AG127" t="e">
        <f>Year_2032!AG130/Year_2025!AG130</f>
        <v>#DIV/0!</v>
      </c>
      <c r="AH127" t="e">
        <f>Year_2032!AH130/Year_2025!AH130</f>
        <v>#DIV/0!</v>
      </c>
      <c r="AI127" t="e">
        <f>Year_2032!AI130/Year_2025!AI130</f>
        <v>#DIV/0!</v>
      </c>
      <c r="AJ127" t="e">
        <f>Year_2032!AJ130/Year_2025!AJ130</f>
        <v>#DIV/0!</v>
      </c>
      <c r="AK127" t="e">
        <f>Year_2032!AK130/Year_2025!AK130</f>
        <v>#DIV/0!</v>
      </c>
      <c r="AL127" t="e">
        <f>Year_2032!AL130/Year_2025!AL130</f>
        <v>#DIV/0!</v>
      </c>
      <c r="AM127" t="e">
        <f>Year_2032!AM130/Year_2025!AM130</f>
        <v>#DIV/0!</v>
      </c>
      <c r="AN127" t="e">
        <f>Year_2032!AN130/Year_2025!AN130</f>
        <v>#DIV/0!</v>
      </c>
      <c r="AO127" t="e">
        <f>Year_2032!AO130/Year_2025!AO130</f>
        <v>#DIV/0!</v>
      </c>
      <c r="AP127" t="e">
        <f>Year_2032!AP130/Year_2025!AP130</f>
        <v>#DIV/0!</v>
      </c>
      <c r="AQ127" t="e">
        <f>Year_2032!AQ130/Year_2025!AQ130</f>
        <v>#DIV/0!</v>
      </c>
      <c r="AR127" t="e">
        <f>Year_2032!AR130/Year_2025!AR130</f>
        <v>#DIV/0!</v>
      </c>
      <c r="AS127" t="e">
        <f>Year_2032!AS130/Year_2025!AS130</f>
        <v>#DIV/0!</v>
      </c>
      <c r="AT127" t="e">
        <f>Year_2032!AT130/Year_2025!AT130</f>
        <v>#DIV/0!</v>
      </c>
      <c r="AU127" t="e">
        <f>Year_2032!AU130/Year_2025!AU130</f>
        <v>#DIV/0!</v>
      </c>
      <c r="AV127" t="e">
        <f>Year_2032!AV130/Year_2025!AV130</f>
        <v>#DIV/0!</v>
      </c>
      <c r="AW127" t="e">
        <f>Year_2032!AW130/Year_2025!AW130</f>
        <v>#DIV/0!</v>
      </c>
      <c r="AX127" t="e">
        <f>Year_2032!AX130/Year_2025!AX130</f>
        <v>#DIV/0!</v>
      </c>
    </row>
    <row r="128" spans="2:50" x14ac:dyDescent="0.3">
      <c r="B128">
        <f>Year_2032!B131</f>
        <v>0</v>
      </c>
      <c r="C128" t="e">
        <f>Year_2032!C131/Year_2025!C131</f>
        <v>#DIV/0!</v>
      </c>
      <c r="D128" t="e">
        <f>Year_2032!D131/Year_2025!D131</f>
        <v>#DIV/0!</v>
      </c>
      <c r="E128" t="e">
        <f>Year_2032!E131/Year_2025!E131</f>
        <v>#DIV/0!</v>
      </c>
      <c r="F128" t="e">
        <f>Year_2032!F131/Year_2025!F131</f>
        <v>#DIV/0!</v>
      </c>
      <c r="G128" t="e">
        <f>Year_2032!G131/Year_2025!G131</f>
        <v>#DIV/0!</v>
      </c>
      <c r="H128" t="e">
        <f>Year_2032!H131/Year_2025!H131</f>
        <v>#DIV/0!</v>
      </c>
      <c r="I128" t="e">
        <f>Year_2032!I131/Year_2025!I131</f>
        <v>#DIV/0!</v>
      </c>
      <c r="J128" t="e">
        <f>Year_2032!J131/Year_2025!J131</f>
        <v>#DIV/0!</v>
      </c>
      <c r="K128" t="e">
        <f>Year_2032!K131/Year_2025!K131</f>
        <v>#DIV/0!</v>
      </c>
      <c r="L128" t="e">
        <f>Year_2032!L131/Year_2025!L131</f>
        <v>#DIV/0!</v>
      </c>
      <c r="M128" t="e">
        <f>Year_2032!M131/Year_2025!M131</f>
        <v>#DIV/0!</v>
      </c>
      <c r="N128" t="str">
        <f>Year_2032!N131</f>
        <v>ML medium A veh/period</v>
      </c>
      <c r="O128" t="e">
        <f>Year_2032!O131/Year_2025!O131</f>
        <v>#DIV/0!</v>
      </c>
      <c r="P128" t="e">
        <f>Year_2032!P131/Year_2025!P131</f>
        <v>#DIV/0!</v>
      </c>
      <c r="Q128" t="e">
        <f>Year_2032!Q131/Year_2025!Q131</f>
        <v>#DIV/0!</v>
      </c>
      <c r="R128" t="e">
        <f>Year_2032!R131/Year_2025!R131</f>
        <v>#DIV/0!</v>
      </c>
      <c r="S128" t="e">
        <f>Year_2032!S131/Year_2025!S131</f>
        <v>#DIV/0!</v>
      </c>
      <c r="T128" t="e">
        <f>Year_2032!T131/Year_2025!T131</f>
        <v>#DIV/0!</v>
      </c>
      <c r="U128" t="e">
        <f>Year_2032!U131/Year_2025!U131</f>
        <v>#DIV/0!</v>
      </c>
      <c r="V128" t="e">
        <f>Year_2032!V131/Year_2025!V131</f>
        <v>#DIV/0!</v>
      </c>
      <c r="W128" t="e">
        <f>Year_2032!W131/Year_2025!W131</f>
        <v>#DIV/0!</v>
      </c>
      <c r="X128" t="e">
        <f>Year_2032!X131/Year_2025!X131</f>
        <v>#DIV/0!</v>
      </c>
      <c r="Y128" t="e">
        <f>Year_2032!Y131/Year_2025!Y131</f>
        <v>#DIV/0!</v>
      </c>
      <c r="Z128" t="e">
        <f>Year_2032!Z131/Year_2025!Z131</f>
        <v>#DIV/0!</v>
      </c>
      <c r="AA128" t="e">
        <f>Year_2032!AA131/Year_2025!AA131</f>
        <v>#VALUE!</v>
      </c>
      <c r="AB128" t="e">
        <f>Year_2032!AB131/Year_2025!AB131</f>
        <v>#DIV/0!</v>
      </c>
      <c r="AC128" t="e">
        <f>Year_2032!AC131/Year_2025!AC131</f>
        <v>#DIV/0!</v>
      </c>
      <c r="AD128" t="e">
        <f>Year_2032!AD131/Year_2025!AD131</f>
        <v>#DIV/0!</v>
      </c>
      <c r="AE128" t="e">
        <f>Year_2032!AE131/Year_2025!AE131</f>
        <v>#DIV/0!</v>
      </c>
      <c r="AF128" t="e">
        <f>Year_2032!AF131/Year_2025!AF131</f>
        <v>#DIV/0!</v>
      </c>
      <c r="AG128" t="e">
        <f>Year_2032!AG131/Year_2025!AG131</f>
        <v>#DIV/0!</v>
      </c>
      <c r="AH128" t="e">
        <f>Year_2032!AH131/Year_2025!AH131</f>
        <v>#DIV/0!</v>
      </c>
      <c r="AI128" t="e">
        <f>Year_2032!AI131/Year_2025!AI131</f>
        <v>#DIV/0!</v>
      </c>
      <c r="AJ128" t="e">
        <f>Year_2032!AJ131/Year_2025!AJ131</f>
        <v>#DIV/0!</v>
      </c>
      <c r="AK128" t="e">
        <f>Year_2032!AK131/Year_2025!AK131</f>
        <v>#DIV/0!</v>
      </c>
      <c r="AL128" t="e">
        <f>Year_2032!AL131/Year_2025!AL131</f>
        <v>#DIV/0!</v>
      </c>
      <c r="AM128" t="e">
        <f>Year_2032!AM131/Year_2025!AM131</f>
        <v>#DIV/0!</v>
      </c>
      <c r="AN128" t="e">
        <f>Year_2032!AN131/Year_2025!AN131</f>
        <v>#DIV/0!</v>
      </c>
      <c r="AO128" t="e">
        <f>Year_2032!AO131/Year_2025!AO131</f>
        <v>#DIV/0!</v>
      </c>
      <c r="AP128" t="e">
        <f>Year_2032!AP131/Year_2025!AP131</f>
        <v>#DIV/0!</v>
      </c>
      <c r="AQ128" t="e">
        <f>Year_2032!AQ131/Year_2025!AQ131</f>
        <v>#DIV/0!</v>
      </c>
      <c r="AR128" t="e">
        <f>Year_2032!AR131/Year_2025!AR131</f>
        <v>#DIV/0!</v>
      </c>
      <c r="AS128" t="e">
        <f>Year_2032!AS131/Year_2025!AS131</f>
        <v>#DIV/0!</v>
      </c>
      <c r="AT128" t="e">
        <f>Year_2032!AT131/Year_2025!AT131</f>
        <v>#DIV/0!</v>
      </c>
      <c r="AU128" t="e">
        <f>Year_2032!AU131/Year_2025!AU131</f>
        <v>#DIV/0!</v>
      </c>
      <c r="AV128" t="e">
        <f>Year_2032!AV131/Year_2025!AV131</f>
        <v>#DIV/0!</v>
      </c>
      <c r="AW128" t="e">
        <f>Year_2032!AW131/Year_2025!AW131</f>
        <v>#DIV/0!</v>
      </c>
      <c r="AX128" t="e">
        <f>Year_2032!AX131/Year_2025!AX131</f>
        <v>#DIV/0!</v>
      </c>
    </row>
    <row r="129" spans="2:50" x14ac:dyDescent="0.3">
      <c r="B129">
        <f>Year_2032!B132</f>
        <v>0</v>
      </c>
      <c r="C129" t="e">
        <f>Year_2032!C132/Year_2025!C132</f>
        <v>#DIV/0!</v>
      </c>
      <c r="D129" t="e">
        <f>Year_2032!D132/Year_2025!D132</f>
        <v>#DIV/0!</v>
      </c>
      <c r="E129" t="e">
        <f>Year_2032!E132/Year_2025!E132</f>
        <v>#DIV/0!</v>
      </c>
      <c r="F129" t="e">
        <f>Year_2032!F132/Year_2025!F132</f>
        <v>#DIV/0!</v>
      </c>
      <c r="G129" t="e">
        <f>Year_2032!G132/Year_2025!G132</f>
        <v>#DIV/0!</v>
      </c>
      <c r="H129" t="e">
        <f>Year_2032!H132/Year_2025!H132</f>
        <v>#DIV/0!</v>
      </c>
      <c r="I129" t="e">
        <f>Year_2032!I132/Year_2025!I132</f>
        <v>#DIV/0!</v>
      </c>
      <c r="J129" t="e">
        <f>Year_2032!J132/Year_2025!J132</f>
        <v>#DIV/0!</v>
      </c>
      <c r="K129" t="e">
        <f>Year_2032!K132/Year_2025!K132</f>
        <v>#DIV/0!</v>
      </c>
      <c r="L129" t="e">
        <f>Year_2032!L132/Year_2025!L132</f>
        <v>#DIV/0!</v>
      </c>
      <c r="M129" t="e">
        <f>Year_2032!M132/Year_2025!M132</f>
        <v>#DIV/0!</v>
      </c>
      <c r="N129" t="str">
        <f>Year_2032!N132</f>
        <v>Direction</v>
      </c>
      <c r="O129" t="e">
        <f>Year_2032!O132/Year_2025!O132</f>
        <v>#VALUE!</v>
      </c>
      <c r="P129" t="e">
        <f>Year_2032!P132/Year_2025!P132</f>
        <v>#VALUE!</v>
      </c>
      <c r="Q129" t="e">
        <f>Year_2032!Q132/Year_2025!Q132</f>
        <v>#VALUE!</v>
      </c>
      <c r="R129" t="e">
        <f>Year_2032!R132/Year_2025!R132</f>
        <v>#VALUE!</v>
      </c>
      <c r="S129" t="e">
        <f>Year_2032!S132/Year_2025!S132</f>
        <v>#VALUE!</v>
      </c>
      <c r="T129" t="e">
        <f>Year_2032!T132/Year_2025!T132</f>
        <v>#VALUE!</v>
      </c>
      <c r="U129" t="e">
        <f>Year_2032!U132/Year_2025!U132</f>
        <v>#VALUE!</v>
      </c>
      <c r="V129" t="e">
        <f>Year_2032!V132/Year_2025!V132</f>
        <v>#VALUE!</v>
      </c>
      <c r="W129" t="e">
        <f>Year_2032!W132/Year_2025!W132</f>
        <v>#VALUE!</v>
      </c>
      <c r="X129" t="e">
        <f>Year_2032!X132/Year_2025!X132</f>
        <v>#VALUE!</v>
      </c>
      <c r="Y129" t="e">
        <f>Year_2032!Y132/Year_2025!Y132</f>
        <v>#DIV/0!</v>
      </c>
      <c r="Z129" t="e">
        <f>Year_2032!Z132/Year_2025!Z132</f>
        <v>#DIV/0!</v>
      </c>
      <c r="AA129" t="e">
        <f>Year_2032!AA132/Year_2025!AA132</f>
        <v>#VALUE!</v>
      </c>
      <c r="AB129" t="e">
        <f>Year_2032!AB132/Year_2025!AB132</f>
        <v>#VALUE!</v>
      </c>
      <c r="AC129" t="e">
        <f>Year_2032!AC132/Year_2025!AC132</f>
        <v>#VALUE!</v>
      </c>
      <c r="AD129" t="e">
        <f>Year_2032!AD132/Year_2025!AD132</f>
        <v>#VALUE!</v>
      </c>
      <c r="AE129" t="e">
        <f>Year_2032!AE132/Year_2025!AE132</f>
        <v>#VALUE!</v>
      </c>
      <c r="AF129" t="e">
        <f>Year_2032!AF132/Year_2025!AF132</f>
        <v>#VALUE!</v>
      </c>
      <c r="AG129" t="e">
        <f>Year_2032!AG132/Year_2025!AG132</f>
        <v>#VALUE!</v>
      </c>
      <c r="AH129" t="e">
        <f>Year_2032!AH132/Year_2025!AH132</f>
        <v>#VALUE!</v>
      </c>
      <c r="AI129" t="e">
        <f>Year_2032!AI132/Year_2025!AI132</f>
        <v>#VALUE!</v>
      </c>
      <c r="AJ129" t="e">
        <f>Year_2032!AJ132/Year_2025!AJ132</f>
        <v>#VALUE!</v>
      </c>
      <c r="AK129" t="e">
        <f>Year_2032!AK132/Year_2025!AK132</f>
        <v>#VALUE!</v>
      </c>
      <c r="AL129" t="e">
        <f>Year_2032!AL132/Year_2025!AL132</f>
        <v>#DIV/0!</v>
      </c>
      <c r="AM129" t="e">
        <f>Year_2032!AM132/Year_2025!AM132</f>
        <v>#DIV/0!</v>
      </c>
      <c r="AN129" t="e">
        <f>Year_2032!AN132/Year_2025!AN132</f>
        <v>#DIV/0!</v>
      </c>
      <c r="AO129" t="e">
        <f>Year_2032!AO132/Year_2025!AO132</f>
        <v>#DIV/0!</v>
      </c>
      <c r="AP129" t="e">
        <f>Year_2032!AP132/Year_2025!AP132</f>
        <v>#DIV/0!</v>
      </c>
      <c r="AQ129" t="e">
        <f>Year_2032!AQ132/Year_2025!AQ132</f>
        <v>#DIV/0!</v>
      </c>
      <c r="AR129" t="e">
        <f>Year_2032!AR132/Year_2025!AR132</f>
        <v>#DIV/0!</v>
      </c>
      <c r="AS129" t="e">
        <f>Year_2032!AS132/Year_2025!AS132</f>
        <v>#DIV/0!</v>
      </c>
      <c r="AT129" t="e">
        <f>Year_2032!AT132/Year_2025!AT132</f>
        <v>#DIV/0!</v>
      </c>
      <c r="AU129" t="e">
        <f>Year_2032!AU132/Year_2025!AU132</f>
        <v>#DIV/0!</v>
      </c>
      <c r="AV129" t="e">
        <f>Year_2032!AV132/Year_2025!AV132</f>
        <v>#DIV/0!</v>
      </c>
      <c r="AW129" t="e">
        <f>Year_2032!AW132/Year_2025!AW132</f>
        <v>#DIV/0!</v>
      </c>
      <c r="AX129" t="e">
        <f>Year_2032!AX132/Year_2025!AX132</f>
        <v>#DIV/0!</v>
      </c>
    </row>
    <row r="130" spans="2:50" x14ac:dyDescent="0.3">
      <c r="B130">
        <f>Year_2032!B133</f>
        <v>0</v>
      </c>
      <c r="C130" t="e">
        <f>Year_2032!C133/Year_2025!C133</f>
        <v>#DIV/0!</v>
      </c>
      <c r="D130" t="e">
        <f>Year_2032!D133/Year_2025!D133</f>
        <v>#DIV/0!</v>
      </c>
      <c r="E130" t="e">
        <f>Year_2032!E133/Year_2025!E133</f>
        <v>#DIV/0!</v>
      </c>
      <c r="F130" t="e">
        <f>Year_2032!F133/Year_2025!F133</f>
        <v>#DIV/0!</v>
      </c>
      <c r="G130" t="e">
        <f>Year_2032!G133/Year_2025!G133</f>
        <v>#DIV/0!</v>
      </c>
      <c r="H130" t="e">
        <f>Year_2032!H133/Year_2025!H133</f>
        <v>#DIV/0!</v>
      </c>
      <c r="I130" t="e">
        <f>Year_2032!I133/Year_2025!I133</f>
        <v>#DIV/0!</v>
      </c>
      <c r="J130" t="e">
        <f>Year_2032!J133/Year_2025!J133</f>
        <v>#DIV/0!</v>
      </c>
      <c r="K130" t="e">
        <f>Year_2032!K133/Year_2025!K133</f>
        <v>#DIV/0!</v>
      </c>
      <c r="L130" t="e">
        <f>Year_2032!L133/Year_2025!L133</f>
        <v>#DIV/0!</v>
      </c>
      <c r="M130" t="e">
        <f>Year_2032!M133/Year_2025!M133</f>
        <v>#DIV/0!</v>
      </c>
      <c r="N130" t="str">
        <f>Year_2032!N133</f>
        <v>Segment</v>
      </c>
      <c r="O130">
        <f>Year_2032!O133/Year_2025!O133</f>
        <v>1</v>
      </c>
      <c r="P130">
        <f>Year_2032!P133/Year_2025!P133</f>
        <v>1</v>
      </c>
      <c r="Q130">
        <f>Year_2032!Q133/Year_2025!Q133</f>
        <v>1</v>
      </c>
      <c r="R130">
        <f>Year_2032!R133/Year_2025!R133</f>
        <v>1</v>
      </c>
      <c r="S130">
        <f>Year_2032!S133/Year_2025!S133</f>
        <v>1</v>
      </c>
      <c r="T130">
        <f>Year_2032!T133/Year_2025!T133</f>
        <v>1</v>
      </c>
      <c r="U130">
        <f>Year_2032!U133/Year_2025!U133</f>
        <v>1</v>
      </c>
      <c r="V130">
        <f>Year_2032!V133/Year_2025!V133</f>
        <v>1</v>
      </c>
      <c r="W130">
        <f>Year_2032!W133/Year_2025!W133</f>
        <v>1</v>
      </c>
      <c r="X130">
        <f>Year_2032!X133/Year_2025!X133</f>
        <v>1</v>
      </c>
      <c r="Y130" t="e">
        <f>Year_2032!Y133/Year_2025!Y133</f>
        <v>#DIV/0!</v>
      </c>
      <c r="Z130" t="e">
        <f>Year_2032!Z133/Year_2025!Z133</f>
        <v>#DIV/0!</v>
      </c>
      <c r="AA130" t="e">
        <f>Year_2032!AA133/Year_2025!AA133</f>
        <v>#VALUE!</v>
      </c>
      <c r="AB130">
        <f>Year_2032!AB133/Year_2025!AB133</f>
        <v>1</v>
      </c>
      <c r="AC130">
        <f>Year_2032!AC133/Year_2025!AC133</f>
        <v>1</v>
      </c>
      <c r="AD130">
        <f>Year_2032!AD133/Year_2025!AD133</f>
        <v>1</v>
      </c>
      <c r="AE130">
        <f>Year_2032!AE133/Year_2025!AE133</f>
        <v>1</v>
      </c>
      <c r="AF130">
        <f>Year_2032!AF133/Year_2025!AF133</f>
        <v>1</v>
      </c>
      <c r="AG130">
        <f>Year_2032!AG133/Year_2025!AG133</f>
        <v>1</v>
      </c>
      <c r="AH130">
        <f>Year_2032!AH133/Year_2025!AH133</f>
        <v>1</v>
      </c>
      <c r="AI130">
        <f>Year_2032!AI133/Year_2025!AI133</f>
        <v>1</v>
      </c>
      <c r="AJ130">
        <f>Year_2032!AJ133/Year_2025!AJ133</f>
        <v>1</v>
      </c>
      <c r="AK130">
        <f>Year_2032!AK133/Year_2025!AK133</f>
        <v>1</v>
      </c>
      <c r="AL130" t="e">
        <f>Year_2032!AL133/Year_2025!AL133</f>
        <v>#DIV/0!</v>
      </c>
      <c r="AM130" t="e">
        <f>Year_2032!AM133/Year_2025!AM133</f>
        <v>#DIV/0!</v>
      </c>
      <c r="AN130" t="e">
        <f>Year_2032!AN133/Year_2025!AN133</f>
        <v>#DIV/0!</v>
      </c>
      <c r="AO130" t="e">
        <f>Year_2032!AO133/Year_2025!AO133</f>
        <v>#DIV/0!</v>
      </c>
      <c r="AP130" t="e">
        <f>Year_2032!AP133/Year_2025!AP133</f>
        <v>#DIV/0!</v>
      </c>
      <c r="AQ130" t="e">
        <f>Year_2032!AQ133/Year_2025!AQ133</f>
        <v>#DIV/0!</v>
      </c>
      <c r="AR130" t="e">
        <f>Year_2032!AR133/Year_2025!AR133</f>
        <v>#DIV/0!</v>
      </c>
      <c r="AS130" t="e">
        <f>Year_2032!AS133/Year_2025!AS133</f>
        <v>#DIV/0!</v>
      </c>
      <c r="AT130" t="e">
        <f>Year_2032!AT133/Year_2025!AT133</f>
        <v>#DIV/0!</v>
      </c>
      <c r="AU130" t="e">
        <f>Year_2032!AU133/Year_2025!AU133</f>
        <v>#DIV/0!</v>
      </c>
      <c r="AV130" t="e">
        <f>Year_2032!AV133/Year_2025!AV133</f>
        <v>#DIV/0!</v>
      </c>
      <c r="AW130" t="e">
        <f>Year_2032!AW133/Year_2025!AW133</f>
        <v>#DIV/0!</v>
      </c>
      <c r="AX130" t="e">
        <f>Year_2032!AX133/Year_2025!AX133</f>
        <v>#DIV/0!</v>
      </c>
    </row>
    <row r="131" spans="2:50" x14ac:dyDescent="0.3">
      <c r="B131">
        <f>Year_2032!B134</f>
        <v>0</v>
      </c>
      <c r="C131" t="e">
        <f>Year_2032!C134/Year_2025!C134</f>
        <v>#DIV/0!</v>
      </c>
      <c r="D131" t="e">
        <f>Year_2032!D134/Year_2025!D134</f>
        <v>#DIV/0!</v>
      </c>
      <c r="E131" t="e">
        <f>Year_2032!E134/Year_2025!E134</f>
        <v>#DIV/0!</v>
      </c>
      <c r="F131" t="e">
        <f>Year_2032!F134/Year_2025!F134</f>
        <v>#DIV/0!</v>
      </c>
      <c r="G131" t="e">
        <f>Year_2032!G134/Year_2025!G134</f>
        <v>#DIV/0!</v>
      </c>
      <c r="H131" t="e">
        <f>Year_2032!H134/Year_2025!H134</f>
        <v>#DIV/0!</v>
      </c>
      <c r="I131" t="e">
        <f>Year_2032!I134/Year_2025!I134</f>
        <v>#DIV/0!</v>
      </c>
      <c r="J131" t="e">
        <f>Year_2032!J134/Year_2025!J134</f>
        <v>#DIV/0!</v>
      </c>
      <c r="K131" t="e">
        <f>Year_2032!K134/Year_2025!K134</f>
        <v>#DIV/0!</v>
      </c>
      <c r="L131" t="e">
        <f>Year_2032!L134/Year_2025!L134</f>
        <v>#DIV/0!</v>
      </c>
      <c r="M131" t="e">
        <f>Year_2032!M134/Year_2025!M134</f>
        <v>#DIV/0!</v>
      </c>
      <c r="N131" t="str">
        <f>Year_2032!N134</f>
        <v>Period</v>
      </c>
      <c r="O131" t="e">
        <f>Year_2032!O134/Year_2025!O134</f>
        <v>#DIV/0!</v>
      </c>
      <c r="P131" t="e">
        <f>Year_2032!P134/Year_2025!P134</f>
        <v>#DIV/0!</v>
      </c>
      <c r="Q131" t="e">
        <f>Year_2032!Q134/Year_2025!Q134</f>
        <v>#DIV/0!</v>
      </c>
      <c r="R131" t="e">
        <f>Year_2032!R134/Year_2025!R134</f>
        <v>#DIV/0!</v>
      </c>
      <c r="S131" t="e">
        <f>Year_2032!S134/Year_2025!S134</f>
        <v>#DIV/0!</v>
      </c>
      <c r="T131" t="e">
        <f>Year_2032!T134/Year_2025!T134</f>
        <v>#DIV/0!</v>
      </c>
      <c r="U131" t="e">
        <f>Year_2032!U134/Year_2025!U134</f>
        <v>#DIV/0!</v>
      </c>
      <c r="V131" t="e">
        <f>Year_2032!V134/Year_2025!V134</f>
        <v>#DIV/0!</v>
      </c>
      <c r="W131" t="e">
        <f>Year_2032!W134/Year_2025!W134</f>
        <v>#DIV/0!</v>
      </c>
      <c r="X131" t="e">
        <f>Year_2032!X134/Year_2025!X134</f>
        <v>#DIV/0!</v>
      </c>
      <c r="Y131" t="e">
        <f>Year_2032!Y134/Year_2025!Y134</f>
        <v>#DIV/0!</v>
      </c>
      <c r="Z131" t="e">
        <f>Year_2032!Z134/Year_2025!Z134</f>
        <v>#DIV/0!</v>
      </c>
      <c r="AA131" t="e">
        <f>Year_2032!AA134/Year_2025!AA134</f>
        <v>#VALUE!</v>
      </c>
      <c r="AB131" t="e">
        <f>Year_2032!AB134/Year_2025!AB134</f>
        <v>#DIV/0!</v>
      </c>
      <c r="AC131" t="e">
        <f>Year_2032!AC134/Year_2025!AC134</f>
        <v>#DIV/0!</v>
      </c>
      <c r="AD131" t="e">
        <f>Year_2032!AD134/Year_2025!AD134</f>
        <v>#DIV/0!</v>
      </c>
      <c r="AE131" t="e">
        <f>Year_2032!AE134/Year_2025!AE134</f>
        <v>#DIV/0!</v>
      </c>
      <c r="AF131" t="e">
        <f>Year_2032!AF134/Year_2025!AF134</f>
        <v>#DIV/0!</v>
      </c>
      <c r="AG131" t="e">
        <f>Year_2032!AG134/Year_2025!AG134</f>
        <v>#DIV/0!</v>
      </c>
      <c r="AH131" t="e">
        <f>Year_2032!AH134/Year_2025!AH134</f>
        <v>#DIV/0!</v>
      </c>
      <c r="AI131" t="e">
        <f>Year_2032!AI134/Year_2025!AI134</f>
        <v>#DIV/0!</v>
      </c>
      <c r="AJ131" t="e">
        <f>Year_2032!AJ134/Year_2025!AJ134</f>
        <v>#DIV/0!</v>
      </c>
      <c r="AK131" t="e">
        <f>Year_2032!AK134/Year_2025!AK134</f>
        <v>#DIV/0!</v>
      </c>
      <c r="AL131" t="e">
        <f>Year_2032!AL134/Year_2025!AL134</f>
        <v>#DIV/0!</v>
      </c>
      <c r="AM131" t="e">
        <f>Year_2032!AM134/Year_2025!AM134</f>
        <v>#DIV/0!</v>
      </c>
      <c r="AN131" t="e">
        <f>Year_2032!AN134/Year_2025!AN134</f>
        <v>#DIV/0!</v>
      </c>
      <c r="AO131" t="e">
        <f>Year_2032!AO134/Year_2025!AO134</f>
        <v>#DIV/0!</v>
      </c>
      <c r="AP131" t="e">
        <f>Year_2032!AP134/Year_2025!AP134</f>
        <v>#DIV/0!</v>
      </c>
      <c r="AQ131" t="e">
        <f>Year_2032!AQ134/Year_2025!AQ134</f>
        <v>#DIV/0!</v>
      </c>
      <c r="AR131" t="e">
        <f>Year_2032!AR134/Year_2025!AR134</f>
        <v>#DIV/0!</v>
      </c>
      <c r="AS131" t="e">
        <f>Year_2032!AS134/Year_2025!AS134</f>
        <v>#DIV/0!</v>
      </c>
      <c r="AT131" t="e">
        <f>Year_2032!AT134/Year_2025!AT134</f>
        <v>#DIV/0!</v>
      </c>
      <c r="AU131" t="e">
        <f>Year_2032!AU134/Year_2025!AU134</f>
        <v>#DIV/0!</v>
      </c>
      <c r="AV131" t="e">
        <f>Year_2032!AV134/Year_2025!AV134</f>
        <v>#DIV/0!</v>
      </c>
      <c r="AW131" t="e">
        <f>Year_2032!AW134/Year_2025!AW134</f>
        <v>#DIV/0!</v>
      </c>
      <c r="AX131" t="e">
        <f>Year_2032!AX134/Year_2025!AX134</f>
        <v>#DIV/0!</v>
      </c>
    </row>
    <row r="132" spans="2:50" x14ac:dyDescent="0.3">
      <c r="B132">
        <f>Year_2032!B135</f>
        <v>0</v>
      </c>
      <c r="C132" t="e">
        <f>Year_2032!C135/Year_2025!C135</f>
        <v>#DIV/0!</v>
      </c>
      <c r="D132" t="e">
        <f>Year_2032!D135/Year_2025!D135</f>
        <v>#DIV/0!</v>
      </c>
      <c r="E132" t="e">
        <f>Year_2032!E135/Year_2025!E135</f>
        <v>#DIV/0!</v>
      </c>
      <c r="F132" t="e">
        <f>Year_2032!F135/Year_2025!F135</f>
        <v>#DIV/0!</v>
      </c>
      <c r="G132" t="e">
        <f>Year_2032!G135/Year_2025!G135</f>
        <v>#DIV/0!</v>
      </c>
      <c r="H132" t="e">
        <f>Year_2032!H135/Year_2025!H135</f>
        <v>#DIV/0!</v>
      </c>
      <c r="I132" t="e">
        <f>Year_2032!I135/Year_2025!I135</f>
        <v>#DIV/0!</v>
      </c>
      <c r="J132" t="e">
        <f>Year_2032!J135/Year_2025!J135</f>
        <v>#DIV/0!</v>
      </c>
      <c r="K132" t="e">
        <f>Year_2032!K135/Year_2025!K135</f>
        <v>#DIV/0!</v>
      </c>
      <c r="L132" t="e">
        <f>Year_2032!L135/Year_2025!L135</f>
        <v>#DIV/0!</v>
      </c>
      <c r="M132" t="e">
        <f>Year_2032!M135/Year_2025!M135</f>
        <v>#DIV/0!</v>
      </c>
      <c r="N132" t="str">
        <f>Year_2032!N135</f>
        <v>Night</v>
      </c>
      <c r="O132">
        <f>Year_2032!O135/Year_2025!O135</f>
        <v>1.9543147208121827</v>
      </c>
      <c r="P132">
        <f>Year_2032!P135/Year_2025!P135</f>
        <v>1.6857314870559905</v>
      </c>
      <c r="Q132">
        <f>Year_2032!Q135/Year_2025!Q135</f>
        <v>1.5227156712608474</v>
      </c>
      <c r="R132">
        <f>Year_2032!R135/Year_2025!R135</f>
        <v>1.2018058690744922</v>
      </c>
      <c r="S132">
        <f>Year_2032!S135/Year_2025!S135</f>
        <v>1.3226666666666667</v>
      </c>
      <c r="T132">
        <f>Year_2032!T135/Year_2025!T135</f>
        <v>1.3416592328278321</v>
      </c>
      <c r="U132">
        <f>Year_2032!U135/Year_2025!U135</f>
        <v>1.2123287671232876</v>
      </c>
      <c r="V132">
        <f>Year_2032!V135/Year_2025!V135</f>
        <v>1.2127845884413311</v>
      </c>
      <c r="W132">
        <f>Year_2032!W135/Year_2025!W135</f>
        <v>0.97330816931787534</v>
      </c>
      <c r="X132">
        <f>Year_2032!X135/Year_2025!X135</f>
        <v>1.0020238362941309</v>
      </c>
      <c r="Y132" t="e">
        <f>Year_2032!Y135/Year_2025!Y135</f>
        <v>#DIV/0!</v>
      </c>
      <c r="Z132" t="e">
        <f>Year_2032!Z135/Year_2025!Z135</f>
        <v>#DIV/0!</v>
      </c>
      <c r="AA132" t="e">
        <f>Year_2032!AA135/Year_2025!AA135</f>
        <v>#VALUE!</v>
      </c>
      <c r="AB132">
        <f>Year_2032!AB135/Year_2025!AB135</f>
        <v>1.1540042756125637</v>
      </c>
      <c r="AC132">
        <f>Year_2032!AC135/Year_2025!AC135</f>
        <v>1.1712625297398496</v>
      </c>
      <c r="AD132">
        <f>Year_2032!AD135/Year_2025!AD135</f>
        <v>1.1814093449290697</v>
      </c>
      <c r="AE132">
        <f>Year_2032!AE135/Year_2025!AE135</f>
        <v>1.2019306713470819</v>
      </c>
      <c r="AF132">
        <f>Year_2032!AF135/Year_2025!AF135</f>
        <v>1.203622641509434</v>
      </c>
      <c r="AG132">
        <f>Year_2032!AG135/Year_2025!AG135</f>
        <v>1.2025755822727502</v>
      </c>
      <c r="AH132">
        <f>Year_2032!AH135/Year_2025!AH135</f>
        <v>1.212511091393079</v>
      </c>
      <c r="AI132">
        <f>Year_2032!AI135/Year_2025!AI135</f>
        <v>1.2124847116379716</v>
      </c>
      <c r="AJ132">
        <f>Year_2032!AJ135/Year_2025!AJ135</f>
        <v>1.0029648707735617</v>
      </c>
      <c r="AK132">
        <f>Year_2032!AK135/Year_2025!AK135</f>
        <v>0.9997807711982073</v>
      </c>
      <c r="AL132" t="e">
        <f>Year_2032!AL135/Year_2025!AL135</f>
        <v>#DIV/0!</v>
      </c>
      <c r="AM132" t="e">
        <f>Year_2032!AM135/Year_2025!AM135</f>
        <v>#DIV/0!</v>
      </c>
      <c r="AN132" t="e">
        <f>Year_2032!AN135/Year_2025!AN135</f>
        <v>#DIV/0!</v>
      </c>
      <c r="AO132" t="e">
        <f>Year_2032!AO135/Year_2025!AO135</f>
        <v>#DIV/0!</v>
      </c>
      <c r="AP132" t="e">
        <f>Year_2032!AP135/Year_2025!AP135</f>
        <v>#DIV/0!</v>
      </c>
      <c r="AQ132" t="e">
        <f>Year_2032!AQ135/Year_2025!AQ135</f>
        <v>#DIV/0!</v>
      </c>
      <c r="AR132" t="e">
        <f>Year_2032!AR135/Year_2025!AR135</f>
        <v>#DIV/0!</v>
      </c>
      <c r="AS132" t="e">
        <f>Year_2032!AS135/Year_2025!AS135</f>
        <v>#DIV/0!</v>
      </c>
      <c r="AT132" t="e">
        <f>Year_2032!AT135/Year_2025!AT135</f>
        <v>#DIV/0!</v>
      </c>
      <c r="AU132" t="e">
        <f>Year_2032!AU135/Year_2025!AU135</f>
        <v>#DIV/0!</v>
      </c>
      <c r="AV132" t="e">
        <f>Year_2032!AV135/Year_2025!AV135</f>
        <v>#DIV/0!</v>
      </c>
      <c r="AW132" t="e">
        <f>Year_2032!AW135/Year_2025!AW135</f>
        <v>#DIV/0!</v>
      </c>
      <c r="AX132" t="e">
        <f>Year_2032!AX135/Year_2025!AX135</f>
        <v>#DIV/0!</v>
      </c>
    </row>
    <row r="133" spans="2:50" x14ac:dyDescent="0.3">
      <c r="B133">
        <f>Year_2032!B136</f>
        <v>0</v>
      </c>
      <c r="C133" t="e">
        <f>Year_2032!C136/Year_2025!C136</f>
        <v>#DIV/0!</v>
      </c>
      <c r="D133" t="e">
        <f>Year_2032!D136/Year_2025!D136</f>
        <v>#DIV/0!</v>
      </c>
      <c r="E133" t="e">
        <f>Year_2032!E136/Year_2025!E136</f>
        <v>#DIV/0!</v>
      </c>
      <c r="F133" t="e">
        <f>Year_2032!F136/Year_2025!F136</f>
        <v>#DIV/0!</v>
      </c>
      <c r="G133" t="e">
        <f>Year_2032!G136/Year_2025!G136</f>
        <v>#DIV/0!</v>
      </c>
      <c r="H133" t="e">
        <f>Year_2032!H136/Year_2025!H136</f>
        <v>#DIV/0!</v>
      </c>
      <c r="I133" t="e">
        <f>Year_2032!I136/Year_2025!I136</f>
        <v>#DIV/0!</v>
      </c>
      <c r="J133" t="e">
        <f>Year_2032!J136/Year_2025!J136</f>
        <v>#DIV/0!</v>
      </c>
      <c r="K133" t="e">
        <f>Year_2032!K136/Year_2025!K136</f>
        <v>#DIV/0!</v>
      </c>
      <c r="L133" t="e">
        <f>Year_2032!L136/Year_2025!L136</f>
        <v>#DIV/0!</v>
      </c>
      <c r="M133" t="e">
        <f>Year_2032!M136/Year_2025!M136</f>
        <v>#DIV/0!</v>
      </c>
      <c r="N133" t="str">
        <f>Year_2032!N136</f>
        <v>AM-Early</v>
      </c>
      <c r="O133">
        <f>Year_2032!O136/Year_2025!O136</f>
        <v>1.2146639511201629</v>
      </c>
      <c r="P133">
        <f>Year_2032!P136/Year_2025!P136</f>
        <v>1.1998016856717897</v>
      </c>
      <c r="Q133">
        <f>Year_2032!Q136/Year_2025!Q136</f>
        <v>1.1849198225861479</v>
      </c>
      <c r="R133">
        <f>Year_2032!R136/Year_2025!R136</f>
        <v>1.2610504420176807</v>
      </c>
      <c r="S133">
        <f>Year_2032!S136/Year_2025!S136</f>
        <v>1.1746575342465753</v>
      </c>
      <c r="T133">
        <f>Year_2032!T136/Year_2025!T136</f>
        <v>1.2063577586206897</v>
      </c>
      <c r="U133">
        <f>Year_2032!U136/Year_2025!U136</f>
        <v>1.2179487179487178</v>
      </c>
      <c r="V133">
        <f>Year_2032!V136/Year_2025!V136</f>
        <v>1.2127236580516898</v>
      </c>
      <c r="W133">
        <f>Year_2032!W136/Year_2025!W136</f>
        <v>1.0672951885565669</v>
      </c>
      <c r="X133">
        <f>Year_2032!X136/Year_2025!X136</f>
        <v>0.99930191972076787</v>
      </c>
      <c r="Y133" t="e">
        <f>Year_2032!Y136/Year_2025!Y136</f>
        <v>#DIV/0!</v>
      </c>
      <c r="Z133" t="e">
        <f>Year_2032!Z136/Year_2025!Z136</f>
        <v>#DIV/0!</v>
      </c>
      <c r="AA133" t="e">
        <f>Year_2032!AA136/Year_2025!AA136</f>
        <v>#VALUE!</v>
      </c>
      <c r="AB133">
        <f>Year_2032!AB136/Year_2025!AB136</f>
        <v>1.1049426650850138</v>
      </c>
      <c r="AC133">
        <f>Year_2032!AC136/Year_2025!AC136</f>
        <v>1.2030759890721441</v>
      </c>
      <c r="AD133">
        <f>Year_2032!AD136/Year_2025!AD136</f>
        <v>1.2055507943832817</v>
      </c>
      <c r="AE133">
        <f>Year_2032!AE136/Year_2025!AE136</f>
        <v>0.98301666489756934</v>
      </c>
      <c r="AF133">
        <f>Year_2032!AF136/Year_2025!AF136</f>
        <v>1.218701248049922</v>
      </c>
      <c r="AG133">
        <f>Year_2032!AG136/Year_2025!AG136</f>
        <v>1.2120974955277282</v>
      </c>
      <c r="AH133">
        <f>Year_2032!AH136/Year_2025!AH136</f>
        <v>1.2020874972240729</v>
      </c>
      <c r="AI133">
        <f>Year_2032!AI136/Year_2025!AI136</f>
        <v>1.211595386342758</v>
      </c>
      <c r="AJ133">
        <f>Year_2032!AJ136/Year_2025!AJ136</f>
        <v>1.02207657813039</v>
      </c>
      <c r="AK133">
        <f>Year_2032!AK136/Year_2025!AK136</f>
        <v>1.0001488649050987</v>
      </c>
      <c r="AL133" t="e">
        <f>Year_2032!AL136/Year_2025!AL136</f>
        <v>#DIV/0!</v>
      </c>
      <c r="AM133" t="e">
        <f>Year_2032!AM136/Year_2025!AM136</f>
        <v>#DIV/0!</v>
      </c>
      <c r="AN133" t="e">
        <f>Year_2032!AN136/Year_2025!AN136</f>
        <v>#DIV/0!</v>
      </c>
      <c r="AO133" t="e">
        <f>Year_2032!AO136/Year_2025!AO136</f>
        <v>#DIV/0!</v>
      </c>
      <c r="AP133" t="e">
        <f>Year_2032!AP136/Year_2025!AP136</f>
        <v>#DIV/0!</v>
      </c>
      <c r="AQ133" t="e">
        <f>Year_2032!AQ136/Year_2025!AQ136</f>
        <v>#DIV/0!</v>
      </c>
      <c r="AR133" t="e">
        <f>Year_2032!AR136/Year_2025!AR136</f>
        <v>#DIV/0!</v>
      </c>
      <c r="AS133" t="e">
        <f>Year_2032!AS136/Year_2025!AS136</f>
        <v>#DIV/0!</v>
      </c>
      <c r="AT133" t="e">
        <f>Year_2032!AT136/Year_2025!AT136</f>
        <v>#DIV/0!</v>
      </c>
      <c r="AU133" t="e">
        <f>Year_2032!AU136/Year_2025!AU136</f>
        <v>#DIV/0!</v>
      </c>
      <c r="AV133" t="e">
        <f>Year_2032!AV136/Year_2025!AV136</f>
        <v>#DIV/0!</v>
      </c>
      <c r="AW133" t="e">
        <f>Year_2032!AW136/Year_2025!AW136</f>
        <v>#DIV/0!</v>
      </c>
      <c r="AX133" t="e">
        <f>Year_2032!AX136/Year_2025!AX136</f>
        <v>#DIV/0!</v>
      </c>
    </row>
    <row r="134" spans="2:50" x14ac:dyDescent="0.3">
      <c r="B134">
        <f>Year_2032!B137</f>
        <v>0</v>
      </c>
      <c r="C134" t="e">
        <f>Year_2032!C137/Year_2025!C137</f>
        <v>#DIV/0!</v>
      </c>
      <c r="D134" t="e">
        <f>Year_2032!D137/Year_2025!D137</f>
        <v>#DIV/0!</v>
      </c>
      <c r="E134" t="e">
        <f>Year_2032!E137/Year_2025!E137</f>
        <v>#DIV/0!</v>
      </c>
      <c r="F134" t="e">
        <f>Year_2032!F137/Year_2025!F137</f>
        <v>#DIV/0!</v>
      </c>
      <c r="G134" t="e">
        <f>Year_2032!G137/Year_2025!G137</f>
        <v>#DIV/0!</v>
      </c>
      <c r="H134" t="e">
        <f>Year_2032!H137/Year_2025!H137</f>
        <v>#DIV/0!</v>
      </c>
      <c r="I134" t="e">
        <f>Year_2032!I137/Year_2025!I137</f>
        <v>#DIV/0!</v>
      </c>
      <c r="J134" t="e">
        <f>Year_2032!J137/Year_2025!J137</f>
        <v>#DIV/0!</v>
      </c>
      <c r="K134" t="e">
        <f>Year_2032!K137/Year_2025!K137</f>
        <v>#DIV/0!</v>
      </c>
      <c r="L134" t="e">
        <f>Year_2032!L137/Year_2025!L137</f>
        <v>#DIV/0!</v>
      </c>
      <c r="M134" t="e">
        <f>Year_2032!M137/Year_2025!M137</f>
        <v>#DIV/0!</v>
      </c>
      <c r="N134" t="str">
        <f>Year_2032!N137</f>
        <v>AM-Peak</v>
      </c>
      <c r="O134">
        <f>Year_2032!O137/Year_2025!O137</f>
        <v>1.1959572896380364</v>
      </c>
      <c r="P134">
        <f>Year_2032!P137/Year_2025!P137</f>
        <v>1.477570949038755</v>
      </c>
      <c r="Q134">
        <f>Year_2032!Q137/Year_2025!Q137</f>
        <v>1.18517397881997</v>
      </c>
      <c r="R134">
        <f>Year_2032!R137/Year_2025!R137</f>
        <v>1.2782890766445383</v>
      </c>
      <c r="S134">
        <f>Year_2032!S137/Year_2025!S137</f>
        <v>1.3185804103242884</v>
      </c>
      <c r="T134">
        <f>Year_2032!T137/Year_2025!T137</f>
        <v>1.1834685516908989</v>
      </c>
      <c r="U134">
        <f>Year_2032!U137/Year_2025!U137</f>
        <v>1.1373598369011213</v>
      </c>
      <c r="V134">
        <f>Year_2032!V137/Year_2025!V137</f>
        <v>1.1863111942625506</v>
      </c>
      <c r="W134">
        <f>Year_2032!W137/Year_2025!W137</f>
        <v>0.99935500515995879</v>
      </c>
      <c r="X134">
        <f>Year_2032!X137/Year_2025!X137</f>
        <v>1.1298104537622056</v>
      </c>
      <c r="Y134" t="e">
        <f>Year_2032!Y137/Year_2025!Y137</f>
        <v>#DIV/0!</v>
      </c>
      <c r="Z134" t="e">
        <f>Year_2032!Z137/Year_2025!Z137</f>
        <v>#DIV/0!</v>
      </c>
      <c r="AA134" t="e">
        <f>Year_2032!AA137/Year_2025!AA137</f>
        <v>#VALUE!</v>
      </c>
      <c r="AB134">
        <f>Year_2032!AB137/Year_2025!AB137</f>
        <v>1.1913927601016741</v>
      </c>
      <c r="AC134">
        <f>Year_2032!AC137/Year_2025!AC137</f>
        <v>1.14654366390326</v>
      </c>
      <c r="AD134">
        <f>Year_2032!AD137/Year_2025!AD137</f>
        <v>1.2053806525472239</v>
      </c>
      <c r="AE134">
        <f>Year_2032!AE137/Year_2025!AE137</f>
        <v>1.0564503558996208</v>
      </c>
      <c r="AF134">
        <f>Year_2032!AF137/Year_2025!AF137</f>
        <v>1.1895972868415223</v>
      </c>
      <c r="AG134">
        <f>Year_2032!AG137/Year_2025!AG137</f>
        <v>1.2172926192031353</v>
      </c>
      <c r="AH134">
        <f>Year_2032!AH137/Year_2025!AH137</f>
        <v>1.2260752157017716</v>
      </c>
      <c r="AI134">
        <f>Year_2032!AI137/Year_2025!AI137</f>
        <v>1.2164717040784065</v>
      </c>
      <c r="AJ134">
        <f>Year_2032!AJ137/Year_2025!AJ137</f>
        <v>1.0001375591504345</v>
      </c>
      <c r="AK134">
        <f>Year_2032!AK137/Year_2025!AK137</f>
        <v>0.96656310105045129</v>
      </c>
      <c r="AL134" t="e">
        <f>Year_2032!AL137/Year_2025!AL137</f>
        <v>#DIV/0!</v>
      </c>
      <c r="AM134" t="e">
        <f>Year_2032!AM137/Year_2025!AM137</f>
        <v>#DIV/0!</v>
      </c>
      <c r="AN134" t="e">
        <f>Year_2032!AN137/Year_2025!AN137</f>
        <v>#DIV/0!</v>
      </c>
      <c r="AO134" t="e">
        <f>Year_2032!AO137/Year_2025!AO137</f>
        <v>#DIV/0!</v>
      </c>
      <c r="AP134" t="e">
        <f>Year_2032!AP137/Year_2025!AP137</f>
        <v>#DIV/0!</v>
      </c>
      <c r="AQ134" t="e">
        <f>Year_2032!AQ137/Year_2025!AQ137</f>
        <v>#DIV/0!</v>
      </c>
      <c r="AR134" t="e">
        <f>Year_2032!AR137/Year_2025!AR137</f>
        <v>#DIV/0!</v>
      </c>
      <c r="AS134" t="e">
        <f>Year_2032!AS137/Year_2025!AS137</f>
        <v>#DIV/0!</v>
      </c>
      <c r="AT134" t="e">
        <f>Year_2032!AT137/Year_2025!AT137</f>
        <v>#DIV/0!</v>
      </c>
      <c r="AU134" t="e">
        <f>Year_2032!AU137/Year_2025!AU137</f>
        <v>#DIV/0!</v>
      </c>
      <c r="AV134" t="e">
        <f>Year_2032!AV137/Year_2025!AV137</f>
        <v>#DIV/0!</v>
      </c>
      <c r="AW134" t="e">
        <f>Year_2032!AW137/Year_2025!AW137</f>
        <v>#DIV/0!</v>
      </c>
      <c r="AX134" t="e">
        <f>Year_2032!AX137/Year_2025!AX137</f>
        <v>#DIV/0!</v>
      </c>
    </row>
    <row r="135" spans="2:50" x14ac:dyDescent="0.3">
      <c r="B135">
        <f>Year_2032!B138</f>
        <v>0</v>
      </c>
      <c r="C135" t="e">
        <f>Year_2032!C138/Year_2025!C138</f>
        <v>#DIV/0!</v>
      </c>
      <c r="D135" t="e">
        <f>Year_2032!D138/Year_2025!D138</f>
        <v>#DIV/0!</v>
      </c>
      <c r="E135" t="e">
        <f>Year_2032!E138/Year_2025!E138</f>
        <v>#DIV/0!</v>
      </c>
      <c r="F135" t="e">
        <f>Year_2032!F138/Year_2025!F138</f>
        <v>#DIV/0!</v>
      </c>
      <c r="G135" t="e">
        <f>Year_2032!G138/Year_2025!G138</f>
        <v>#DIV/0!</v>
      </c>
      <c r="H135" t="e">
        <f>Year_2032!H138/Year_2025!H138</f>
        <v>#DIV/0!</v>
      </c>
      <c r="I135" t="e">
        <f>Year_2032!I138/Year_2025!I138</f>
        <v>#DIV/0!</v>
      </c>
      <c r="J135" t="e">
        <f>Year_2032!J138/Year_2025!J138</f>
        <v>#DIV/0!</v>
      </c>
      <c r="K135" t="e">
        <f>Year_2032!K138/Year_2025!K138</f>
        <v>#DIV/0!</v>
      </c>
      <c r="L135" t="e">
        <f>Year_2032!L138/Year_2025!L138</f>
        <v>#DIV/0!</v>
      </c>
      <c r="M135" t="e">
        <f>Year_2032!M138/Year_2025!M138</f>
        <v>#DIV/0!</v>
      </c>
      <c r="N135" t="str">
        <f>Year_2032!N138</f>
        <v>AM-Shoulder</v>
      </c>
      <c r="O135">
        <f>Year_2032!O138/Year_2025!O138</f>
        <v>1.2680021656740663</v>
      </c>
      <c r="P135">
        <f>Year_2032!P138/Year_2025!P138</f>
        <v>1.1997950819672132</v>
      </c>
      <c r="Q135">
        <f>Year_2032!Q138/Year_2025!Q138</f>
        <v>1.1866666666666668</v>
      </c>
      <c r="R135">
        <f>Year_2032!R138/Year_2025!R138</f>
        <v>1.1997490064839991</v>
      </c>
      <c r="S135">
        <f>Year_2032!S138/Year_2025!S138</f>
        <v>1.1154127100073046</v>
      </c>
      <c r="T135">
        <f>Year_2032!T138/Year_2025!T138</f>
        <v>1.1868943239501615</v>
      </c>
      <c r="U135">
        <f>Year_2032!U138/Year_2025!U138</f>
        <v>1.1880753138075315</v>
      </c>
      <c r="V135">
        <f>Year_2032!V138/Year_2025!V138</f>
        <v>1.1973514211886305</v>
      </c>
      <c r="W135">
        <f>Year_2032!W138/Year_2025!W138</f>
        <v>1</v>
      </c>
      <c r="X135">
        <f>Year_2032!X138/Year_2025!X138</f>
        <v>1</v>
      </c>
      <c r="Y135" t="e">
        <f>Year_2032!Y138/Year_2025!Y138</f>
        <v>#DIV/0!</v>
      </c>
      <c r="Z135" t="e">
        <f>Year_2032!Z138/Year_2025!Z138</f>
        <v>#DIV/0!</v>
      </c>
      <c r="AA135" t="e">
        <f>Year_2032!AA138/Year_2025!AA138</f>
        <v>#VALUE!</v>
      </c>
      <c r="AB135">
        <f>Year_2032!AB138/Year_2025!AB138</f>
        <v>1.0427759654845838</v>
      </c>
      <c r="AC135">
        <f>Year_2032!AC138/Year_2025!AC138</f>
        <v>1.2024507750314202</v>
      </c>
      <c r="AD135">
        <f>Year_2032!AD138/Year_2025!AD138</f>
        <v>1.2055449735449735</v>
      </c>
      <c r="AE135">
        <f>Year_2032!AE138/Year_2025!AE138</f>
        <v>1.008509204263027</v>
      </c>
      <c r="AF135">
        <f>Year_2032!AF138/Year_2025!AF138</f>
        <v>1.1557531532402261</v>
      </c>
      <c r="AG135">
        <f>Year_2032!AG138/Year_2025!AG138</f>
        <v>1.2163847680241897</v>
      </c>
      <c r="AH135">
        <f>Year_2032!AH138/Year_2025!AH138</f>
        <v>1.2161789297658865</v>
      </c>
      <c r="AI135">
        <f>Year_2032!AI138/Year_2025!AI138</f>
        <v>1.2144465042372883</v>
      </c>
      <c r="AJ135">
        <f>Year_2032!AJ138/Year_2025!AJ138</f>
        <v>1</v>
      </c>
      <c r="AK135">
        <f>Year_2032!AK138/Year_2025!AK138</f>
        <v>1.0000721709006928</v>
      </c>
      <c r="AL135" t="e">
        <f>Year_2032!AL138/Year_2025!AL138</f>
        <v>#DIV/0!</v>
      </c>
      <c r="AM135" t="e">
        <f>Year_2032!AM138/Year_2025!AM138</f>
        <v>#DIV/0!</v>
      </c>
      <c r="AN135" t="e">
        <f>Year_2032!AN138/Year_2025!AN138</f>
        <v>#DIV/0!</v>
      </c>
      <c r="AO135" t="e">
        <f>Year_2032!AO138/Year_2025!AO138</f>
        <v>#DIV/0!</v>
      </c>
      <c r="AP135" t="e">
        <f>Year_2032!AP138/Year_2025!AP138</f>
        <v>#DIV/0!</v>
      </c>
      <c r="AQ135" t="e">
        <f>Year_2032!AQ138/Year_2025!AQ138</f>
        <v>#DIV/0!</v>
      </c>
      <c r="AR135" t="e">
        <f>Year_2032!AR138/Year_2025!AR138</f>
        <v>#DIV/0!</v>
      </c>
      <c r="AS135" t="e">
        <f>Year_2032!AS138/Year_2025!AS138</f>
        <v>#DIV/0!</v>
      </c>
      <c r="AT135" t="e">
        <f>Year_2032!AT138/Year_2025!AT138</f>
        <v>#DIV/0!</v>
      </c>
      <c r="AU135" t="e">
        <f>Year_2032!AU138/Year_2025!AU138</f>
        <v>#DIV/0!</v>
      </c>
      <c r="AV135" t="e">
        <f>Year_2032!AV138/Year_2025!AV138</f>
        <v>#DIV/0!</v>
      </c>
      <c r="AW135" t="e">
        <f>Year_2032!AW138/Year_2025!AW138</f>
        <v>#DIV/0!</v>
      </c>
      <c r="AX135" t="e">
        <f>Year_2032!AX138/Year_2025!AX138</f>
        <v>#DIV/0!</v>
      </c>
    </row>
    <row r="136" spans="2:50" x14ac:dyDescent="0.3">
      <c r="B136">
        <f>Year_2032!B139</f>
        <v>0</v>
      </c>
      <c r="C136" t="e">
        <f>Year_2032!C139/Year_2025!C139</f>
        <v>#DIV/0!</v>
      </c>
      <c r="D136" t="e">
        <f>Year_2032!D139/Year_2025!D139</f>
        <v>#DIV/0!</v>
      </c>
      <c r="E136" t="e">
        <f>Year_2032!E139/Year_2025!E139</f>
        <v>#DIV/0!</v>
      </c>
      <c r="F136" t="e">
        <f>Year_2032!F139/Year_2025!F139</f>
        <v>#DIV/0!</v>
      </c>
      <c r="G136" t="e">
        <f>Year_2032!G139/Year_2025!G139</f>
        <v>#DIV/0!</v>
      </c>
      <c r="H136" t="e">
        <f>Year_2032!H139/Year_2025!H139</f>
        <v>#DIV/0!</v>
      </c>
      <c r="I136" t="e">
        <f>Year_2032!I139/Year_2025!I139</f>
        <v>#DIV/0!</v>
      </c>
      <c r="J136" t="e">
        <f>Year_2032!J139/Year_2025!J139</f>
        <v>#DIV/0!</v>
      </c>
      <c r="K136" t="e">
        <f>Year_2032!K139/Year_2025!K139</f>
        <v>#DIV/0!</v>
      </c>
      <c r="L136" t="e">
        <f>Year_2032!L139/Year_2025!L139</f>
        <v>#DIV/0!</v>
      </c>
      <c r="M136" t="e">
        <f>Year_2032!M139/Year_2025!M139</f>
        <v>#DIV/0!</v>
      </c>
      <c r="N136" t="str">
        <f>Year_2032!N139</f>
        <v>MD</v>
      </c>
      <c r="O136">
        <f>Year_2032!O139/Year_2025!O139</f>
        <v>1.3240715268225585</v>
      </c>
      <c r="P136">
        <f>Year_2032!P139/Year_2025!P139</f>
        <v>1.2911220505856391</v>
      </c>
      <c r="Q136">
        <f>Year_2032!Q139/Year_2025!Q139</f>
        <v>1.3296590152019865</v>
      </c>
      <c r="R136">
        <f>Year_2032!R139/Year_2025!R139</f>
        <v>1.3518552256027208</v>
      </c>
      <c r="S136">
        <f>Year_2032!S139/Year_2025!S139</f>
        <v>1.1985882352941175</v>
      </c>
      <c r="T136">
        <f>Year_2032!T139/Year_2025!T139</f>
        <v>1.190264891757429</v>
      </c>
      <c r="U136">
        <f>Year_2032!U139/Year_2025!U139</f>
        <v>1.2028639618138424</v>
      </c>
      <c r="V136">
        <f>Year_2032!V139/Year_2025!V139</f>
        <v>1.1960840360154352</v>
      </c>
      <c r="W136">
        <f>Year_2032!W139/Year_2025!W139</f>
        <v>1.0607922803453529</v>
      </c>
      <c r="X136">
        <f>Year_2032!X139/Year_2025!X139</f>
        <v>1.258234666965939</v>
      </c>
      <c r="Y136" t="e">
        <f>Year_2032!Y139/Year_2025!Y139</f>
        <v>#DIV/0!</v>
      </c>
      <c r="Z136" t="e">
        <f>Year_2032!Z139/Year_2025!Z139</f>
        <v>#DIV/0!</v>
      </c>
      <c r="AA136" t="e">
        <f>Year_2032!AA139/Year_2025!AA139</f>
        <v>#VALUE!</v>
      </c>
      <c r="AB136">
        <f>Year_2032!AB139/Year_2025!AB139</f>
        <v>1.0245757328251202</v>
      </c>
      <c r="AC136">
        <f>Year_2032!AC139/Year_2025!AC139</f>
        <v>1.0527980705372435</v>
      </c>
      <c r="AD136">
        <f>Year_2032!AD139/Year_2025!AD139</f>
        <v>1.1773527051467858</v>
      </c>
      <c r="AE136">
        <f>Year_2032!AE139/Year_2025!AE139</f>
        <v>1.1186260667474666</v>
      </c>
      <c r="AF136">
        <f>Year_2032!AF139/Year_2025!AF139</f>
        <v>1.2139437751004016</v>
      </c>
      <c r="AG136">
        <f>Year_2032!AG139/Year_2025!AG139</f>
        <v>1.2159830229246364</v>
      </c>
      <c r="AH136">
        <f>Year_2032!AH139/Year_2025!AH139</f>
        <v>1.2128932248226592</v>
      </c>
      <c r="AI136">
        <f>Year_2032!AI139/Year_2025!AI139</f>
        <v>1.2148846028501172</v>
      </c>
      <c r="AJ136">
        <f>Year_2032!AJ139/Year_2025!AJ139</f>
        <v>0.98689081152119151</v>
      </c>
      <c r="AK136">
        <f>Year_2032!AK139/Year_2025!AK139</f>
        <v>1.0038967954303417</v>
      </c>
      <c r="AL136" t="e">
        <f>Year_2032!AL139/Year_2025!AL139</f>
        <v>#DIV/0!</v>
      </c>
      <c r="AM136" t="e">
        <f>Year_2032!AM139/Year_2025!AM139</f>
        <v>#DIV/0!</v>
      </c>
      <c r="AN136" t="e">
        <f>Year_2032!AN139/Year_2025!AN139</f>
        <v>#DIV/0!</v>
      </c>
      <c r="AO136" t="e">
        <f>Year_2032!AO139/Year_2025!AO139</f>
        <v>#DIV/0!</v>
      </c>
      <c r="AP136" t="e">
        <f>Year_2032!AP139/Year_2025!AP139</f>
        <v>#DIV/0!</v>
      </c>
      <c r="AQ136" t="e">
        <f>Year_2032!AQ139/Year_2025!AQ139</f>
        <v>#DIV/0!</v>
      </c>
      <c r="AR136" t="e">
        <f>Year_2032!AR139/Year_2025!AR139</f>
        <v>#DIV/0!</v>
      </c>
      <c r="AS136" t="e">
        <f>Year_2032!AS139/Year_2025!AS139</f>
        <v>#DIV/0!</v>
      </c>
      <c r="AT136" t="e">
        <f>Year_2032!AT139/Year_2025!AT139</f>
        <v>#DIV/0!</v>
      </c>
      <c r="AU136" t="e">
        <f>Year_2032!AU139/Year_2025!AU139</f>
        <v>#DIV/0!</v>
      </c>
      <c r="AV136" t="e">
        <f>Year_2032!AV139/Year_2025!AV139</f>
        <v>#DIV/0!</v>
      </c>
      <c r="AW136" t="e">
        <f>Year_2032!AW139/Year_2025!AW139</f>
        <v>#DIV/0!</v>
      </c>
      <c r="AX136" t="e">
        <f>Year_2032!AX139/Year_2025!AX139</f>
        <v>#DIV/0!</v>
      </c>
    </row>
    <row r="137" spans="2:50" x14ac:dyDescent="0.3">
      <c r="B137">
        <f>Year_2032!B140</f>
        <v>0</v>
      </c>
      <c r="C137" t="e">
        <f>Year_2032!C140/Year_2025!C140</f>
        <v>#DIV/0!</v>
      </c>
      <c r="D137" t="e">
        <f>Year_2032!D140/Year_2025!D140</f>
        <v>#DIV/0!</v>
      </c>
      <c r="E137" t="e">
        <f>Year_2032!E140/Year_2025!E140</f>
        <v>#DIV/0!</v>
      </c>
      <c r="F137" t="e">
        <f>Year_2032!F140/Year_2025!F140</f>
        <v>#DIV/0!</v>
      </c>
      <c r="G137" t="e">
        <f>Year_2032!G140/Year_2025!G140</f>
        <v>#DIV/0!</v>
      </c>
      <c r="H137" t="e">
        <f>Year_2032!H140/Year_2025!H140</f>
        <v>#DIV/0!</v>
      </c>
      <c r="I137" t="e">
        <f>Year_2032!I140/Year_2025!I140</f>
        <v>#DIV/0!</v>
      </c>
      <c r="J137" t="e">
        <f>Year_2032!J140/Year_2025!J140</f>
        <v>#DIV/0!</v>
      </c>
      <c r="K137" t="e">
        <f>Year_2032!K140/Year_2025!K140</f>
        <v>#DIV/0!</v>
      </c>
      <c r="L137" t="e">
        <f>Year_2032!L140/Year_2025!L140</f>
        <v>#DIV/0!</v>
      </c>
      <c r="M137" t="e">
        <f>Year_2032!M140/Year_2025!M140</f>
        <v>#DIV/0!</v>
      </c>
      <c r="N137" t="str">
        <f>Year_2032!N140</f>
        <v>PM-Shoulder</v>
      </c>
      <c r="O137">
        <f>Year_2032!O140/Year_2025!O140</f>
        <v>1.0502108087389803</v>
      </c>
      <c r="P137">
        <f>Year_2032!P140/Year_2025!P140</f>
        <v>1.0412416851441242</v>
      </c>
      <c r="Q137">
        <f>Year_2032!Q140/Year_2025!Q140</f>
        <v>1.1920122887864824</v>
      </c>
      <c r="R137">
        <f>Year_2032!R140/Year_2025!R140</f>
        <v>1.1391982182628062</v>
      </c>
      <c r="S137">
        <f>Year_2032!S140/Year_2025!S140</f>
        <v>1.1238722262862717</v>
      </c>
      <c r="T137">
        <f>Year_2032!T140/Year_2025!T140</f>
        <v>0.98924442054315675</v>
      </c>
      <c r="U137">
        <f>Year_2032!U140/Year_2025!U140</f>
        <v>1.1808278867102395</v>
      </c>
      <c r="V137">
        <f>Year_2032!V140/Year_2025!V140</f>
        <v>1.0912095175148713</v>
      </c>
      <c r="W137">
        <f>Year_2032!W140/Year_2025!W140</f>
        <v>1.1348982785602504</v>
      </c>
      <c r="X137">
        <f>Year_2032!X140/Year_2025!X140</f>
        <v>1.2335243553008595</v>
      </c>
      <c r="Y137" t="e">
        <f>Year_2032!Y140/Year_2025!Y140</f>
        <v>#DIV/0!</v>
      </c>
      <c r="Z137" t="e">
        <f>Year_2032!Z140/Year_2025!Z140</f>
        <v>#DIV/0!</v>
      </c>
      <c r="AA137" t="e">
        <f>Year_2032!AA140/Year_2025!AA140</f>
        <v>#VALUE!</v>
      </c>
      <c r="AB137">
        <f>Year_2032!AB140/Year_2025!AB140</f>
        <v>1.024348324262389</v>
      </c>
      <c r="AC137">
        <f>Year_2032!AC140/Year_2025!AC140</f>
        <v>1.0268084122948924</v>
      </c>
      <c r="AD137">
        <f>Year_2032!AD140/Year_2025!AD140</f>
        <v>1.2017288861689106</v>
      </c>
      <c r="AE137">
        <f>Year_2032!AE140/Year_2025!AE140</f>
        <v>1.2172355270601545</v>
      </c>
      <c r="AF137">
        <f>Year_2032!AF140/Year_2025!AF140</f>
        <v>1.1997035939236755</v>
      </c>
      <c r="AG137">
        <f>Year_2032!AG140/Year_2025!AG140</f>
        <v>1.0390980418012792</v>
      </c>
      <c r="AH137">
        <f>Year_2032!AH140/Year_2025!AH140</f>
        <v>1.2193481220469287</v>
      </c>
      <c r="AI137">
        <f>Year_2032!AI140/Year_2025!AI140</f>
        <v>1.24085092509577</v>
      </c>
      <c r="AJ137">
        <f>Year_2032!AJ140/Year_2025!AJ140</f>
        <v>1.0146501206480523</v>
      </c>
      <c r="AK137">
        <f>Year_2032!AK140/Year_2025!AK140</f>
        <v>1.0085097961606966</v>
      </c>
      <c r="AL137" t="e">
        <f>Year_2032!AL140/Year_2025!AL140</f>
        <v>#DIV/0!</v>
      </c>
      <c r="AM137" t="e">
        <f>Year_2032!AM140/Year_2025!AM140</f>
        <v>#DIV/0!</v>
      </c>
      <c r="AN137" t="e">
        <f>Year_2032!AN140/Year_2025!AN140</f>
        <v>#DIV/0!</v>
      </c>
      <c r="AO137" t="e">
        <f>Year_2032!AO140/Year_2025!AO140</f>
        <v>#DIV/0!</v>
      </c>
      <c r="AP137" t="e">
        <f>Year_2032!AP140/Year_2025!AP140</f>
        <v>#DIV/0!</v>
      </c>
      <c r="AQ137" t="e">
        <f>Year_2032!AQ140/Year_2025!AQ140</f>
        <v>#DIV/0!</v>
      </c>
      <c r="AR137" t="e">
        <f>Year_2032!AR140/Year_2025!AR140</f>
        <v>#DIV/0!</v>
      </c>
      <c r="AS137" t="e">
        <f>Year_2032!AS140/Year_2025!AS140</f>
        <v>#DIV/0!</v>
      </c>
      <c r="AT137" t="e">
        <f>Year_2032!AT140/Year_2025!AT140</f>
        <v>#DIV/0!</v>
      </c>
      <c r="AU137" t="e">
        <f>Year_2032!AU140/Year_2025!AU140</f>
        <v>#DIV/0!</v>
      </c>
      <c r="AV137" t="e">
        <f>Year_2032!AV140/Year_2025!AV140</f>
        <v>#DIV/0!</v>
      </c>
      <c r="AW137" t="e">
        <f>Year_2032!AW140/Year_2025!AW140</f>
        <v>#DIV/0!</v>
      </c>
      <c r="AX137" t="e">
        <f>Year_2032!AX140/Year_2025!AX140</f>
        <v>#DIV/0!</v>
      </c>
    </row>
    <row r="138" spans="2:50" x14ac:dyDescent="0.3">
      <c r="B138">
        <f>Year_2032!B141</f>
        <v>0</v>
      </c>
      <c r="C138" t="e">
        <f>Year_2032!C141/Year_2025!C141</f>
        <v>#DIV/0!</v>
      </c>
      <c r="D138" t="e">
        <f>Year_2032!D141/Year_2025!D141</f>
        <v>#DIV/0!</v>
      </c>
      <c r="E138" t="e">
        <f>Year_2032!E141/Year_2025!E141</f>
        <v>#DIV/0!</v>
      </c>
      <c r="F138" t="e">
        <f>Year_2032!F141/Year_2025!F141</f>
        <v>#DIV/0!</v>
      </c>
      <c r="G138" t="e">
        <f>Year_2032!G141/Year_2025!G141</f>
        <v>#DIV/0!</v>
      </c>
      <c r="H138" t="e">
        <f>Year_2032!H141/Year_2025!H141</f>
        <v>#DIV/0!</v>
      </c>
      <c r="I138" t="e">
        <f>Year_2032!I141/Year_2025!I141</f>
        <v>#DIV/0!</v>
      </c>
      <c r="J138" t="e">
        <f>Year_2032!J141/Year_2025!J141</f>
        <v>#DIV/0!</v>
      </c>
      <c r="K138" t="e">
        <f>Year_2032!K141/Year_2025!K141</f>
        <v>#DIV/0!</v>
      </c>
      <c r="L138" t="e">
        <f>Year_2032!L141/Year_2025!L141</f>
        <v>#DIV/0!</v>
      </c>
      <c r="M138" t="e">
        <f>Year_2032!M141/Year_2025!M141</f>
        <v>#DIV/0!</v>
      </c>
      <c r="N138" t="str">
        <f>Year_2032!N141</f>
        <v>PM-Peak</v>
      </c>
      <c r="O138">
        <f>Year_2032!O141/Year_2025!O141</f>
        <v>1.6338112305854244</v>
      </c>
      <c r="P138">
        <f>Year_2032!P141/Year_2025!P141</f>
        <v>1.5696498054474708</v>
      </c>
      <c r="Q138">
        <f>Year_2032!Q141/Year_2025!Q141</f>
        <v>1.3848294040123001</v>
      </c>
      <c r="R138">
        <f>Year_2032!R141/Year_2025!R141</f>
        <v>1.1655601659751038</v>
      </c>
      <c r="S138">
        <f>Year_2032!S141/Year_2025!S141</f>
        <v>1.1541059094397543</v>
      </c>
      <c r="T138">
        <f>Year_2032!T141/Year_2025!T141</f>
        <v>1.2341403616304014</v>
      </c>
      <c r="U138">
        <f>Year_2032!U141/Year_2025!U141</f>
        <v>1.1754497086394731</v>
      </c>
      <c r="V138">
        <f>Year_2032!V141/Year_2025!V141</f>
        <v>1.1762877442273534</v>
      </c>
      <c r="W138">
        <f>Year_2032!W141/Year_2025!W141</f>
        <v>1.1686576230006074</v>
      </c>
      <c r="X138">
        <f>Year_2032!X141/Year_2025!X141</f>
        <v>0.99898641800121635</v>
      </c>
      <c r="Y138" t="e">
        <f>Year_2032!Y141/Year_2025!Y141</f>
        <v>#DIV/0!</v>
      </c>
      <c r="Z138" t="e">
        <f>Year_2032!Z141/Year_2025!Z141</f>
        <v>#DIV/0!</v>
      </c>
      <c r="AA138" t="e">
        <f>Year_2032!AA141/Year_2025!AA141</f>
        <v>#VALUE!</v>
      </c>
      <c r="AB138">
        <f>Year_2032!AB141/Year_2025!AB141</f>
        <v>1.095814533582774</v>
      </c>
      <c r="AC138">
        <f>Year_2032!AC141/Year_2025!AC141</f>
        <v>1.1082751744765704</v>
      </c>
      <c r="AD138">
        <f>Year_2032!AD141/Year_2025!AD141</f>
        <v>1.1563346263631706</v>
      </c>
      <c r="AE138">
        <f>Year_2032!AE141/Year_2025!AE141</f>
        <v>1.2120340788072419</v>
      </c>
      <c r="AF138">
        <f>Year_2032!AF141/Year_2025!AF141</f>
        <v>1.2254848719937936</v>
      </c>
      <c r="AG138">
        <f>Year_2032!AG141/Year_2025!AG141</f>
        <v>1.2059897451833439</v>
      </c>
      <c r="AH138">
        <f>Year_2032!AH141/Year_2025!AH141</f>
        <v>1.2206519630036865</v>
      </c>
      <c r="AI138">
        <f>Year_2032!AI141/Year_2025!AI141</f>
        <v>1.2204348790769914</v>
      </c>
      <c r="AJ138">
        <f>Year_2032!AJ141/Year_2025!AJ141</f>
        <v>0.95328360720094207</v>
      </c>
      <c r="AK138">
        <f>Year_2032!AK141/Year_2025!AK141</f>
        <v>1.0002803161966698</v>
      </c>
      <c r="AL138" t="e">
        <f>Year_2032!AL141/Year_2025!AL141</f>
        <v>#DIV/0!</v>
      </c>
      <c r="AM138" t="e">
        <f>Year_2032!AM141/Year_2025!AM141</f>
        <v>#DIV/0!</v>
      </c>
      <c r="AN138" t="e">
        <f>Year_2032!AN141/Year_2025!AN141</f>
        <v>#DIV/0!</v>
      </c>
      <c r="AO138" t="e">
        <f>Year_2032!AO141/Year_2025!AO141</f>
        <v>#DIV/0!</v>
      </c>
      <c r="AP138" t="e">
        <f>Year_2032!AP141/Year_2025!AP141</f>
        <v>#DIV/0!</v>
      </c>
      <c r="AQ138" t="e">
        <f>Year_2032!AQ141/Year_2025!AQ141</f>
        <v>#DIV/0!</v>
      </c>
      <c r="AR138" t="e">
        <f>Year_2032!AR141/Year_2025!AR141</f>
        <v>#DIV/0!</v>
      </c>
      <c r="AS138" t="e">
        <f>Year_2032!AS141/Year_2025!AS141</f>
        <v>#DIV/0!</v>
      </c>
      <c r="AT138" t="e">
        <f>Year_2032!AT141/Year_2025!AT141</f>
        <v>#DIV/0!</v>
      </c>
      <c r="AU138" t="e">
        <f>Year_2032!AU141/Year_2025!AU141</f>
        <v>#DIV/0!</v>
      </c>
      <c r="AV138" t="e">
        <f>Year_2032!AV141/Year_2025!AV141</f>
        <v>#DIV/0!</v>
      </c>
      <c r="AW138" t="e">
        <f>Year_2032!AW141/Year_2025!AW141</f>
        <v>#DIV/0!</v>
      </c>
      <c r="AX138" t="e">
        <f>Year_2032!AX141/Year_2025!AX141</f>
        <v>#DIV/0!</v>
      </c>
    </row>
    <row r="139" spans="2:50" x14ac:dyDescent="0.3">
      <c r="B139">
        <f>Year_2032!B142</f>
        <v>0</v>
      </c>
      <c r="C139" t="e">
        <f>Year_2032!C142/Year_2025!C142</f>
        <v>#DIV/0!</v>
      </c>
      <c r="D139" t="e">
        <f>Year_2032!D142/Year_2025!D142</f>
        <v>#DIV/0!</v>
      </c>
      <c r="E139" t="e">
        <f>Year_2032!E142/Year_2025!E142</f>
        <v>#DIV/0!</v>
      </c>
      <c r="F139" t="e">
        <f>Year_2032!F142/Year_2025!F142</f>
        <v>#DIV/0!</v>
      </c>
      <c r="G139" t="e">
        <f>Year_2032!G142/Year_2025!G142</f>
        <v>#DIV/0!</v>
      </c>
      <c r="H139" t="e">
        <f>Year_2032!H142/Year_2025!H142</f>
        <v>#DIV/0!</v>
      </c>
      <c r="I139" t="e">
        <f>Year_2032!I142/Year_2025!I142</f>
        <v>#DIV/0!</v>
      </c>
      <c r="J139" t="e">
        <f>Year_2032!J142/Year_2025!J142</f>
        <v>#DIV/0!</v>
      </c>
      <c r="K139" t="e">
        <f>Year_2032!K142/Year_2025!K142</f>
        <v>#DIV/0!</v>
      </c>
      <c r="L139" t="e">
        <f>Year_2032!L142/Year_2025!L142</f>
        <v>#DIV/0!</v>
      </c>
      <c r="M139" t="e">
        <f>Year_2032!M142/Year_2025!M142</f>
        <v>#DIV/0!</v>
      </c>
      <c r="N139" t="str">
        <f>Year_2032!N142</f>
        <v>PM-Late</v>
      </c>
      <c r="O139">
        <f>Year_2032!O142/Year_2025!O142</f>
        <v>1.2</v>
      </c>
      <c r="P139">
        <f>Year_2032!P142/Year_2025!P142</f>
        <v>1.1974600573535437</v>
      </c>
      <c r="Q139">
        <f>Year_2032!Q142/Year_2025!Q142</f>
        <v>1.1995891817870592</v>
      </c>
      <c r="R139">
        <f>Year_2032!R142/Year_2025!R142</f>
        <v>1.351690294438386</v>
      </c>
      <c r="S139">
        <f>Year_2032!S142/Year_2025!S142</f>
        <v>1.2026291931097008</v>
      </c>
      <c r="T139">
        <f>Year_2032!T142/Year_2025!T142</f>
        <v>1.2092469018112488</v>
      </c>
      <c r="U139">
        <f>Year_2032!U142/Year_2025!U142</f>
        <v>1.2104962920707358</v>
      </c>
      <c r="V139">
        <f>Year_2032!V142/Year_2025!V142</f>
        <v>1.2040816326530612</v>
      </c>
      <c r="W139">
        <f>Year_2032!W142/Year_2025!W142</f>
        <v>1</v>
      </c>
      <c r="X139">
        <f>Year_2032!X142/Year_2025!X142</f>
        <v>1.0310302027306579</v>
      </c>
      <c r="Y139" t="e">
        <f>Year_2032!Y142/Year_2025!Y142</f>
        <v>#DIV/0!</v>
      </c>
      <c r="Z139" t="e">
        <f>Year_2032!Z142/Year_2025!Z142</f>
        <v>#DIV/0!</v>
      </c>
      <c r="AA139" t="e">
        <f>Year_2032!AA142/Year_2025!AA142</f>
        <v>#VALUE!</v>
      </c>
      <c r="AB139">
        <f>Year_2032!AB142/Year_2025!AB142</f>
        <v>1.2024570024570025</v>
      </c>
      <c r="AC139">
        <f>Year_2032!AC142/Year_2025!AC142</f>
        <v>1.2039097094718652</v>
      </c>
      <c r="AD139">
        <f>Year_2032!AD142/Year_2025!AD142</f>
        <v>1.2027180067950169</v>
      </c>
      <c r="AE139">
        <f>Year_2032!AE142/Year_2025!AE142</f>
        <v>1.1692288618894124</v>
      </c>
      <c r="AF139">
        <f>Year_2032!AF142/Year_2025!AF142</f>
        <v>1.2137689896310586</v>
      </c>
      <c r="AG139">
        <f>Year_2032!AG142/Year_2025!AG142</f>
        <v>1.2128941297103306</v>
      </c>
      <c r="AH139">
        <f>Year_2032!AH142/Year_2025!AH142</f>
        <v>1.2107717767413873</v>
      </c>
      <c r="AI139">
        <f>Year_2032!AI142/Year_2025!AI142</f>
        <v>1.2103049421661409</v>
      </c>
      <c r="AJ139">
        <f>Year_2032!AJ142/Year_2025!AJ142</f>
        <v>1</v>
      </c>
      <c r="AK139">
        <f>Year_2032!AK142/Year_2025!AK142</f>
        <v>1.0317696983599036</v>
      </c>
      <c r="AL139" t="e">
        <f>Year_2032!AL142/Year_2025!AL142</f>
        <v>#DIV/0!</v>
      </c>
      <c r="AM139" t="e">
        <f>Year_2032!AM142/Year_2025!AM142</f>
        <v>#DIV/0!</v>
      </c>
      <c r="AN139" t="e">
        <f>Year_2032!AN142/Year_2025!AN142</f>
        <v>#DIV/0!</v>
      </c>
      <c r="AO139" t="e">
        <f>Year_2032!AO142/Year_2025!AO142</f>
        <v>#DIV/0!</v>
      </c>
      <c r="AP139" t="e">
        <f>Year_2032!AP142/Year_2025!AP142</f>
        <v>#DIV/0!</v>
      </c>
      <c r="AQ139" t="e">
        <f>Year_2032!AQ142/Year_2025!AQ142</f>
        <v>#DIV/0!</v>
      </c>
      <c r="AR139" t="e">
        <f>Year_2032!AR142/Year_2025!AR142</f>
        <v>#DIV/0!</v>
      </c>
      <c r="AS139" t="e">
        <f>Year_2032!AS142/Year_2025!AS142</f>
        <v>#DIV/0!</v>
      </c>
      <c r="AT139" t="e">
        <f>Year_2032!AT142/Year_2025!AT142</f>
        <v>#DIV/0!</v>
      </c>
      <c r="AU139" t="e">
        <f>Year_2032!AU142/Year_2025!AU142</f>
        <v>#DIV/0!</v>
      </c>
      <c r="AV139" t="e">
        <f>Year_2032!AV142/Year_2025!AV142</f>
        <v>#DIV/0!</v>
      </c>
      <c r="AW139" t="e">
        <f>Year_2032!AW142/Year_2025!AW142</f>
        <v>#DIV/0!</v>
      </c>
      <c r="AX139" t="e">
        <f>Year_2032!AX142/Year_2025!AX142</f>
        <v>#DIV/0!</v>
      </c>
    </row>
    <row r="140" spans="2:50" x14ac:dyDescent="0.3">
      <c r="B140">
        <f>Year_2032!B143</f>
        <v>0</v>
      </c>
      <c r="C140" t="e">
        <f>Year_2032!C143/Year_2025!C143</f>
        <v>#DIV/0!</v>
      </c>
      <c r="D140" t="e">
        <f>Year_2032!D143/Year_2025!D143</f>
        <v>#DIV/0!</v>
      </c>
      <c r="E140" t="e">
        <f>Year_2032!E143/Year_2025!E143</f>
        <v>#DIV/0!</v>
      </c>
      <c r="F140" t="e">
        <f>Year_2032!F143/Year_2025!F143</f>
        <v>#DIV/0!</v>
      </c>
      <c r="G140" t="e">
        <f>Year_2032!G143/Year_2025!G143</f>
        <v>#DIV/0!</v>
      </c>
      <c r="H140" t="e">
        <f>Year_2032!H143/Year_2025!H143</f>
        <v>#DIV/0!</v>
      </c>
      <c r="I140" t="e">
        <f>Year_2032!I143/Year_2025!I143</f>
        <v>#DIV/0!</v>
      </c>
      <c r="J140" t="e">
        <f>Year_2032!J143/Year_2025!J143</f>
        <v>#DIV/0!</v>
      </c>
      <c r="K140" t="e">
        <f>Year_2032!K143/Year_2025!K143</f>
        <v>#DIV/0!</v>
      </c>
      <c r="L140" t="e">
        <f>Year_2032!L143/Year_2025!L143</f>
        <v>#DIV/0!</v>
      </c>
      <c r="M140" t="e">
        <f>Year_2032!M143/Year_2025!M143</f>
        <v>#DIV/0!</v>
      </c>
      <c r="N140">
        <f>Year_2032!N143</f>
        <v>0</v>
      </c>
      <c r="O140" t="e">
        <f>Year_2032!O143/Year_2025!O143</f>
        <v>#DIV/0!</v>
      </c>
      <c r="P140" t="e">
        <f>Year_2032!P143/Year_2025!P143</f>
        <v>#DIV/0!</v>
      </c>
      <c r="Q140" t="e">
        <f>Year_2032!Q143/Year_2025!Q143</f>
        <v>#DIV/0!</v>
      </c>
      <c r="R140" t="e">
        <f>Year_2032!R143/Year_2025!R143</f>
        <v>#DIV/0!</v>
      </c>
      <c r="S140" t="e">
        <f>Year_2032!S143/Year_2025!S143</f>
        <v>#DIV/0!</v>
      </c>
      <c r="T140" t="e">
        <f>Year_2032!T143/Year_2025!T143</f>
        <v>#DIV/0!</v>
      </c>
      <c r="U140" t="e">
        <f>Year_2032!U143/Year_2025!U143</f>
        <v>#DIV/0!</v>
      </c>
      <c r="V140" t="e">
        <f>Year_2032!V143/Year_2025!V143</f>
        <v>#DIV/0!</v>
      </c>
      <c r="W140" t="e">
        <f>Year_2032!W143/Year_2025!W143</f>
        <v>#DIV/0!</v>
      </c>
      <c r="X140" t="e">
        <f>Year_2032!X143/Year_2025!X143</f>
        <v>#DIV/0!</v>
      </c>
      <c r="Y140" t="e">
        <f>Year_2032!Y143/Year_2025!Y143</f>
        <v>#DIV/0!</v>
      </c>
      <c r="Z140" t="e">
        <f>Year_2032!Z143/Year_2025!Z143</f>
        <v>#DIV/0!</v>
      </c>
      <c r="AA140" t="e">
        <f>Year_2032!AA143/Year_2025!AA143</f>
        <v>#DIV/0!</v>
      </c>
      <c r="AB140" t="e">
        <f>Year_2032!AB143/Year_2025!AB143</f>
        <v>#DIV/0!</v>
      </c>
      <c r="AC140" t="e">
        <f>Year_2032!AC143/Year_2025!AC143</f>
        <v>#DIV/0!</v>
      </c>
      <c r="AD140" t="e">
        <f>Year_2032!AD143/Year_2025!AD143</f>
        <v>#DIV/0!</v>
      </c>
      <c r="AE140" t="e">
        <f>Year_2032!AE143/Year_2025!AE143</f>
        <v>#DIV/0!</v>
      </c>
      <c r="AF140" t="e">
        <f>Year_2032!AF143/Year_2025!AF143</f>
        <v>#DIV/0!</v>
      </c>
      <c r="AG140" t="e">
        <f>Year_2032!AG143/Year_2025!AG143</f>
        <v>#DIV/0!</v>
      </c>
      <c r="AH140" t="e">
        <f>Year_2032!AH143/Year_2025!AH143</f>
        <v>#DIV/0!</v>
      </c>
      <c r="AI140" t="e">
        <f>Year_2032!AI143/Year_2025!AI143</f>
        <v>#DIV/0!</v>
      </c>
      <c r="AJ140" t="e">
        <f>Year_2032!AJ143/Year_2025!AJ143</f>
        <v>#DIV/0!</v>
      </c>
      <c r="AK140" t="e">
        <f>Year_2032!AK143/Year_2025!AK143</f>
        <v>#DIV/0!</v>
      </c>
      <c r="AL140" t="e">
        <f>Year_2032!AL143/Year_2025!AL143</f>
        <v>#DIV/0!</v>
      </c>
      <c r="AM140" t="e">
        <f>Year_2032!AM143/Year_2025!AM143</f>
        <v>#DIV/0!</v>
      </c>
      <c r="AN140" t="e">
        <f>Year_2032!AN143/Year_2025!AN143</f>
        <v>#DIV/0!</v>
      </c>
      <c r="AO140" t="e">
        <f>Year_2032!AO143/Year_2025!AO143</f>
        <v>#DIV/0!</v>
      </c>
      <c r="AP140" t="e">
        <f>Year_2032!AP143/Year_2025!AP143</f>
        <v>#DIV/0!</v>
      </c>
      <c r="AQ140" t="e">
        <f>Year_2032!AQ143/Year_2025!AQ143</f>
        <v>#DIV/0!</v>
      </c>
      <c r="AR140" t="e">
        <f>Year_2032!AR143/Year_2025!AR143</f>
        <v>#DIV/0!</v>
      </c>
      <c r="AS140" t="e">
        <f>Year_2032!AS143/Year_2025!AS143</f>
        <v>#DIV/0!</v>
      </c>
      <c r="AT140" t="e">
        <f>Year_2032!AT143/Year_2025!AT143</f>
        <v>#DIV/0!</v>
      </c>
      <c r="AU140" t="e">
        <f>Year_2032!AU143/Year_2025!AU143</f>
        <v>#DIV/0!</v>
      </c>
      <c r="AV140" t="e">
        <f>Year_2032!AV143/Year_2025!AV143</f>
        <v>#DIV/0!</v>
      </c>
      <c r="AW140" t="e">
        <f>Year_2032!AW143/Year_2025!AW143</f>
        <v>#DIV/0!</v>
      </c>
      <c r="AX140" t="e">
        <f>Year_2032!AX143/Year_2025!AX143</f>
        <v>#DIV/0!</v>
      </c>
    </row>
    <row r="141" spans="2:50" x14ac:dyDescent="0.3">
      <c r="B141">
        <f>Year_2032!B144</f>
        <v>0</v>
      </c>
      <c r="C141" t="e">
        <f>Year_2032!C144/Year_2025!C144</f>
        <v>#DIV/0!</v>
      </c>
      <c r="D141" t="e">
        <f>Year_2032!D144/Year_2025!D144</f>
        <v>#DIV/0!</v>
      </c>
      <c r="E141" t="e">
        <f>Year_2032!E144/Year_2025!E144</f>
        <v>#DIV/0!</v>
      </c>
      <c r="F141" t="e">
        <f>Year_2032!F144/Year_2025!F144</f>
        <v>#DIV/0!</v>
      </c>
      <c r="G141" t="e">
        <f>Year_2032!G144/Year_2025!G144</f>
        <v>#DIV/0!</v>
      </c>
      <c r="H141" t="e">
        <f>Year_2032!H144/Year_2025!H144</f>
        <v>#DIV/0!</v>
      </c>
      <c r="I141" t="e">
        <f>Year_2032!I144/Year_2025!I144</f>
        <v>#DIV/0!</v>
      </c>
      <c r="J141" t="e">
        <f>Year_2032!J144/Year_2025!J144</f>
        <v>#DIV/0!</v>
      </c>
      <c r="K141" t="e">
        <f>Year_2032!K144/Year_2025!K144</f>
        <v>#DIV/0!</v>
      </c>
      <c r="L141" t="e">
        <f>Year_2032!L144/Year_2025!L144</f>
        <v>#DIV/0!</v>
      </c>
      <c r="M141" t="e">
        <f>Year_2032!M144/Year_2025!M144</f>
        <v>#DIV/0!</v>
      </c>
      <c r="N141">
        <f>Year_2032!N144</f>
        <v>0</v>
      </c>
      <c r="O141" t="e">
        <f>Year_2032!O144/Year_2025!O144</f>
        <v>#DIV/0!</v>
      </c>
      <c r="P141" t="e">
        <f>Year_2032!P144/Year_2025!P144</f>
        <v>#DIV/0!</v>
      </c>
      <c r="Q141" t="e">
        <f>Year_2032!Q144/Year_2025!Q144</f>
        <v>#DIV/0!</v>
      </c>
      <c r="R141" t="e">
        <f>Year_2032!R144/Year_2025!R144</f>
        <v>#DIV/0!</v>
      </c>
      <c r="S141" t="e">
        <f>Year_2032!S144/Year_2025!S144</f>
        <v>#DIV/0!</v>
      </c>
      <c r="T141" t="e">
        <f>Year_2032!T144/Year_2025!T144</f>
        <v>#DIV/0!</v>
      </c>
      <c r="U141" t="e">
        <f>Year_2032!U144/Year_2025!U144</f>
        <v>#DIV/0!</v>
      </c>
      <c r="V141" t="e">
        <f>Year_2032!V144/Year_2025!V144</f>
        <v>#DIV/0!</v>
      </c>
      <c r="W141" t="e">
        <f>Year_2032!W144/Year_2025!W144</f>
        <v>#DIV/0!</v>
      </c>
      <c r="X141" t="e">
        <f>Year_2032!X144/Year_2025!X144</f>
        <v>#DIV/0!</v>
      </c>
      <c r="Y141" t="e">
        <f>Year_2032!Y144/Year_2025!Y144</f>
        <v>#DIV/0!</v>
      </c>
      <c r="Z141" t="e">
        <f>Year_2032!Z144/Year_2025!Z144</f>
        <v>#DIV/0!</v>
      </c>
      <c r="AA141" t="e">
        <f>Year_2032!AA144/Year_2025!AA144</f>
        <v>#DIV/0!</v>
      </c>
      <c r="AB141" t="e">
        <f>Year_2032!AB144/Year_2025!AB144</f>
        <v>#DIV/0!</v>
      </c>
      <c r="AC141" t="e">
        <f>Year_2032!AC144/Year_2025!AC144</f>
        <v>#DIV/0!</v>
      </c>
      <c r="AD141" t="e">
        <f>Year_2032!AD144/Year_2025!AD144</f>
        <v>#DIV/0!</v>
      </c>
      <c r="AE141" t="e">
        <f>Year_2032!AE144/Year_2025!AE144</f>
        <v>#DIV/0!</v>
      </c>
      <c r="AF141" t="e">
        <f>Year_2032!AF144/Year_2025!AF144</f>
        <v>#DIV/0!</v>
      </c>
      <c r="AG141" t="e">
        <f>Year_2032!AG144/Year_2025!AG144</f>
        <v>#DIV/0!</v>
      </c>
      <c r="AH141" t="e">
        <f>Year_2032!AH144/Year_2025!AH144</f>
        <v>#DIV/0!</v>
      </c>
      <c r="AI141" t="e">
        <f>Year_2032!AI144/Year_2025!AI144</f>
        <v>#DIV/0!</v>
      </c>
      <c r="AJ141" t="e">
        <f>Year_2032!AJ144/Year_2025!AJ144</f>
        <v>#DIV/0!</v>
      </c>
      <c r="AK141" t="e">
        <f>Year_2032!AK144/Year_2025!AK144</f>
        <v>#DIV/0!</v>
      </c>
      <c r="AL141" t="e">
        <f>Year_2032!AL144/Year_2025!AL144</f>
        <v>#DIV/0!</v>
      </c>
      <c r="AM141" t="e">
        <f>Year_2032!AM144/Year_2025!AM144</f>
        <v>#DIV/0!</v>
      </c>
      <c r="AN141" t="e">
        <f>Year_2032!AN144/Year_2025!AN144</f>
        <v>#DIV/0!</v>
      </c>
      <c r="AO141" t="e">
        <f>Year_2032!AO144/Year_2025!AO144</f>
        <v>#DIV/0!</v>
      </c>
      <c r="AP141" t="e">
        <f>Year_2032!AP144/Year_2025!AP144</f>
        <v>#DIV/0!</v>
      </c>
      <c r="AQ141" t="e">
        <f>Year_2032!AQ144/Year_2025!AQ144</f>
        <v>#DIV/0!</v>
      </c>
      <c r="AR141" t="e">
        <f>Year_2032!AR144/Year_2025!AR144</f>
        <v>#DIV/0!</v>
      </c>
      <c r="AS141" t="e">
        <f>Year_2032!AS144/Year_2025!AS144</f>
        <v>#DIV/0!</v>
      </c>
      <c r="AT141" t="e">
        <f>Year_2032!AT144/Year_2025!AT144</f>
        <v>#DIV/0!</v>
      </c>
      <c r="AU141" t="e">
        <f>Year_2032!AU144/Year_2025!AU144</f>
        <v>#DIV/0!</v>
      </c>
      <c r="AV141" t="e">
        <f>Year_2032!AV144/Year_2025!AV144</f>
        <v>#DIV/0!</v>
      </c>
      <c r="AW141" t="e">
        <f>Year_2032!AW144/Year_2025!AW144</f>
        <v>#DIV/0!</v>
      </c>
      <c r="AX141" t="e">
        <f>Year_2032!AX144/Year_2025!AX144</f>
        <v>#DIV/0!</v>
      </c>
    </row>
    <row r="142" spans="2:50" x14ac:dyDescent="0.3">
      <c r="B142">
        <f>Year_2032!B145</f>
        <v>0</v>
      </c>
      <c r="C142" t="e">
        <f>Year_2032!C145/Year_2025!C145</f>
        <v>#DIV/0!</v>
      </c>
      <c r="D142" t="e">
        <f>Year_2032!D145/Year_2025!D145</f>
        <v>#DIV/0!</v>
      </c>
      <c r="E142" t="e">
        <f>Year_2032!E145/Year_2025!E145</f>
        <v>#DIV/0!</v>
      </c>
      <c r="F142" t="e">
        <f>Year_2032!F145/Year_2025!F145</f>
        <v>#DIV/0!</v>
      </c>
      <c r="G142" t="e">
        <f>Year_2032!G145/Year_2025!G145</f>
        <v>#DIV/0!</v>
      </c>
      <c r="H142" t="e">
        <f>Year_2032!H145/Year_2025!H145</f>
        <v>#DIV/0!</v>
      </c>
      <c r="I142" t="e">
        <f>Year_2032!I145/Year_2025!I145</f>
        <v>#DIV/0!</v>
      </c>
      <c r="J142" t="e">
        <f>Year_2032!J145/Year_2025!J145</f>
        <v>#DIV/0!</v>
      </c>
      <c r="K142" t="e">
        <f>Year_2032!K145/Year_2025!K145</f>
        <v>#DIV/0!</v>
      </c>
      <c r="L142" t="e">
        <f>Year_2032!L145/Year_2025!L145</f>
        <v>#DIV/0!</v>
      </c>
      <c r="M142" t="e">
        <f>Year_2032!M145/Year_2025!M145</f>
        <v>#DIV/0!</v>
      </c>
      <c r="N142" t="str">
        <f>Year_2032!N145</f>
        <v>ML medium B veh.Miles</v>
      </c>
      <c r="O142" t="e">
        <f>Year_2032!O145/Year_2025!O145</f>
        <v>#DIV/0!</v>
      </c>
      <c r="P142" t="e">
        <f>Year_2032!P145/Year_2025!P145</f>
        <v>#DIV/0!</v>
      </c>
      <c r="Q142" t="e">
        <f>Year_2032!Q145/Year_2025!Q145</f>
        <v>#DIV/0!</v>
      </c>
      <c r="R142" t="e">
        <f>Year_2032!R145/Year_2025!R145</f>
        <v>#DIV/0!</v>
      </c>
      <c r="S142" t="e">
        <f>Year_2032!S145/Year_2025!S145</f>
        <v>#DIV/0!</v>
      </c>
      <c r="T142" t="e">
        <f>Year_2032!T145/Year_2025!T145</f>
        <v>#DIV/0!</v>
      </c>
      <c r="U142" t="e">
        <f>Year_2032!U145/Year_2025!U145</f>
        <v>#DIV/0!</v>
      </c>
      <c r="V142" t="e">
        <f>Year_2032!V145/Year_2025!V145</f>
        <v>#DIV/0!</v>
      </c>
      <c r="W142" t="e">
        <f>Year_2032!W145/Year_2025!W145</f>
        <v>#DIV/0!</v>
      </c>
      <c r="X142" t="e">
        <f>Year_2032!X145/Year_2025!X145</f>
        <v>#DIV/0!</v>
      </c>
      <c r="Y142" t="e">
        <f>Year_2032!Y145/Year_2025!Y145</f>
        <v>#DIV/0!</v>
      </c>
      <c r="Z142" t="e">
        <f>Year_2032!Z145/Year_2025!Z145</f>
        <v>#DIV/0!</v>
      </c>
      <c r="AA142" t="e">
        <f>Year_2032!AA145/Year_2025!AA145</f>
        <v>#VALUE!</v>
      </c>
      <c r="AB142" t="e">
        <f>Year_2032!AB145/Year_2025!AB145</f>
        <v>#DIV/0!</v>
      </c>
      <c r="AC142" t="e">
        <f>Year_2032!AC145/Year_2025!AC145</f>
        <v>#DIV/0!</v>
      </c>
      <c r="AD142" t="e">
        <f>Year_2032!AD145/Year_2025!AD145</f>
        <v>#DIV/0!</v>
      </c>
      <c r="AE142" t="e">
        <f>Year_2032!AE145/Year_2025!AE145</f>
        <v>#DIV/0!</v>
      </c>
      <c r="AF142" t="e">
        <f>Year_2032!AF145/Year_2025!AF145</f>
        <v>#DIV/0!</v>
      </c>
      <c r="AG142" t="e">
        <f>Year_2032!AG145/Year_2025!AG145</f>
        <v>#DIV/0!</v>
      </c>
      <c r="AH142" t="e">
        <f>Year_2032!AH145/Year_2025!AH145</f>
        <v>#DIV/0!</v>
      </c>
      <c r="AI142" t="e">
        <f>Year_2032!AI145/Year_2025!AI145</f>
        <v>#DIV/0!</v>
      </c>
      <c r="AJ142" t="e">
        <f>Year_2032!AJ145/Year_2025!AJ145</f>
        <v>#DIV/0!</v>
      </c>
      <c r="AK142" t="e">
        <f>Year_2032!AK145/Year_2025!AK145</f>
        <v>#DIV/0!</v>
      </c>
      <c r="AL142" t="e">
        <f>Year_2032!AL145/Year_2025!AL145</f>
        <v>#DIV/0!</v>
      </c>
      <c r="AM142" t="e">
        <f>Year_2032!AM145/Year_2025!AM145</f>
        <v>#DIV/0!</v>
      </c>
      <c r="AN142" t="e">
        <f>Year_2032!AN145/Year_2025!AN145</f>
        <v>#DIV/0!</v>
      </c>
      <c r="AO142" t="e">
        <f>Year_2032!AO145/Year_2025!AO145</f>
        <v>#DIV/0!</v>
      </c>
      <c r="AP142" t="e">
        <f>Year_2032!AP145/Year_2025!AP145</f>
        <v>#DIV/0!</v>
      </c>
      <c r="AQ142" t="e">
        <f>Year_2032!AQ145/Year_2025!AQ145</f>
        <v>#DIV/0!</v>
      </c>
      <c r="AR142" t="e">
        <f>Year_2032!AR145/Year_2025!AR145</f>
        <v>#DIV/0!</v>
      </c>
      <c r="AS142" t="e">
        <f>Year_2032!AS145/Year_2025!AS145</f>
        <v>#DIV/0!</v>
      </c>
      <c r="AT142" t="e">
        <f>Year_2032!AT145/Year_2025!AT145</f>
        <v>#DIV/0!</v>
      </c>
      <c r="AU142" t="e">
        <f>Year_2032!AU145/Year_2025!AU145</f>
        <v>#DIV/0!</v>
      </c>
      <c r="AV142" t="e">
        <f>Year_2032!AV145/Year_2025!AV145</f>
        <v>#DIV/0!</v>
      </c>
      <c r="AW142" t="e">
        <f>Year_2032!AW145/Year_2025!AW145</f>
        <v>#DIV/0!</v>
      </c>
      <c r="AX142" t="e">
        <f>Year_2032!AX145/Year_2025!AX145</f>
        <v>#DIV/0!</v>
      </c>
    </row>
    <row r="143" spans="2:50" x14ac:dyDescent="0.3">
      <c r="B143">
        <f>Year_2032!B146</f>
        <v>0</v>
      </c>
      <c r="C143" t="e">
        <f>Year_2032!C146/Year_2025!C146</f>
        <v>#DIV/0!</v>
      </c>
      <c r="D143" t="e">
        <f>Year_2032!D146/Year_2025!D146</f>
        <v>#DIV/0!</v>
      </c>
      <c r="E143" t="e">
        <f>Year_2032!E146/Year_2025!E146</f>
        <v>#DIV/0!</v>
      </c>
      <c r="F143" t="e">
        <f>Year_2032!F146/Year_2025!F146</f>
        <v>#DIV/0!</v>
      </c>
      <c r="G143" t="e">
        <f>Year_2032!G146/Year_2025!G146</f>
        <v>#DIV/0!</v>
      </c>
      <c r="H143" t="e">
        <f>Year_2032!H146/Year_2025!H146</f>
        <v>#DIV/0!</v>
      </c>
      <c r="I143" t="e">
        <f>Year_2032!I146/Year_2025!I146</f>
        <v>#DIV/0!</v>
      </c>
      <c r="J143" t="e">
        <f>Year_2032!J146/Year_2025!J146</f>
        <v>#DIV/0!</v>
      </c>
      <c r="K143" t="e">
        <f>Year_2032!K146/Year_2025!K146</f>
        <v>#DIV/0!</v>
      </c>
      <c r="L143" t="e">
        <f>Year_2032!L146/Year_2025!L146</f>
        <v>#DIV/0!</v>
      </c>
      <c r="M143" t="e">
        <f>Year_2032!M146/Year_2025!M146</f>
        <v>#DIV/0!</v>
      </c>
      <c r="N143" t="str">
        <f>Year_2032!N146</f>
        <v>Direction</v>
      </c>
      <c r="O143" t="e">
        <f>Year_2032!O146/Year_2025!O146</f>
        <v>#VALUE!</v>
      </c>
      <c r="P143" t="e">
        <f>Year_2032!P146/Year_2025!P146</f>
        <v>#DIV/0!</v>
      </c>
      <c r="Q143" t="e">
        <f>Year_2032!Q146/Year_2025!Q146</f>
        <v>#DIV/0!</v>
      </c>
      <c r="R143" t="e">
        <f>Year_2032!R146/Year_2025!R146</f>
        <v>#DIV/0!</v>
      </c>
      <c r="S143" t="e">
        <f>Year_2032!S146/Year_2025!S146</f>
        <v>#DIV/0!</v>
      </c>
      <c r="T143" t="e">
        <f>Year_2032!T146/Year_2025!T146</f>
        <v>#VALUE!</v>
      </c>
      <c r="U143" t="e">
        <f>Year_2032!U146/Year_2025!U146</f>
        <v>#DIV/0!</v>
      </c>
      <c r="V143" t="e">
        <f>Year_2032!V146/Year_2025!V146</f>
        <v>#DIV/0!</v>
      </c>
      <c r="W143" t="e">
        <f>Year_2032!W146/Year_2025!W146</f>
        <v>#DIV/0!</v>
      </c>
      <c r="X143" t="e">
        <f>Year_2032!X146/Year_2025!X146</f>
        <v>#DIV/0!</v>
      </c>
      <c r="Y143" t="e">
        <f>Year_2032!Y146/Year_2025!Y146</f>
        <v>#DIV/0!</v>
      </c>
      <c r="Z143" t="e">
        <f>Year_2032!Z146/Year_2025!Z146</f>
        <v>#DIV/0!</v>
      </c>
      <c r="AA143" t="e">
        <f>Year_2032!AA146/Year_2025!AA146</f>
        <v>#VALUE!</v>
      </c>
      <c r="AB143" t="e">
        <f>Year_2032!AB146/Year_2025!AB146</f>
        <v>#VALUE!</v>
      </c>
      <c r="AC143" t="e">
        <f>Year_2032!AC146/Year_2025!AC146</f>
        <v>#DIV/0!</v>
      </c>
      <c r="AD143" t="e">
        <f>Year_2032!AD146/Year_2025!AD146</f>
        <v>#DIV/0!</v>
      </c>
      <c r="AE143" t="e">
        <f>Year_2032!AE146/Year_2025!AE146</f>
        <v>#DIV/0!</v>
      </c>
      <c r="AF143" t="e">
        <f>Year_2032!AF146/Year_2025!AF146</f>
        <v>#DIV/0!</v>
      </c>
      <c r="AG143" t="e">
        <f>Year_2032!AG146/Year_2025!AG146</f>
        <v>#VALUE!</v>
      </c>
      <c r="AH143" t="e">
        <f>Year_2032!AH146/Year_2025!AH146</f>
        <v>#DIV/0!</v>
      </c>
      <c r="AI143" t="e">
        <f>Year_2032!AI146/Year_2025!AI146</f>
        <v>#DIV/0!</v>
      </c>
      <c r="AJ143" t="e">
        <f>Year_2032!AJ146/Year_2025!AJ146</f>
        <v>#DIV/0!</v>
      </c>
      <c r="AK143" t="e">
        <f>Year_2032!AK146/Year_2025!AK146</f>
        <v>#DIV/0!</v>
      </c>
      <c r="AL143" t="e">
        <f>Year_2032!AL146/Year_2025!AL146</f>
        <v>#DIV/0!</v>
      </c>
      <c r="AM143" t="e">
        <f>Year_2032!AM146/Year_2025!AM146</f>
        <v>#DIV/0!</v>
      </c>
      <c r="AN143" t="e">
        <f>Year_2032!AN146/Year_2025!AN146</f>
        <v>#DIV/0!</v>
      </c>
      <c r="AO143" t="e">
        <f>Year_2032!AO146/Year_2025!AO146</f>
        <v>#DIV/0!</v>
      </c>
      <c r="AP143" t="e">
        <f>Year_2032!AP146/Year_2025!AP146</f>
        <v>#DIV/0!</v>
      </c>
      <c r="AQ143" t="e">
        <f>Year_2032!AQ146/Year_2025!AQ146</f>
        <v>#DIV/0!</v>
      </c>
      <c r="AR143" t="e">
        <f>Year_2032!AR146/Year_2025!AR146</f>
        <v>#DIV/0!</v>
      </c>
      <c r="AS143" t="e">
        <f>Year_2032!AS146/Year_2025!AS146</f>
        <v>#DIV/0!</v>
      </c>
      <c r="AT143" t="e">
        <f>Year_2032!AT146/Year_2025!AT146</f>
        <v>#DIV/0!</v>
      </c>
      <c r="AU143" t="e">
        <f>Year_2032!AU146/Year_2025!AU146</f>
        <v>#DIV/0!</v>
      </c>
      <c r="AV143" t="e">
        <f>Year_2032!AV146/Year_2025!AV146</f>
        <v>#DIV/0!</v>
      </c>
      <c r="AW143" t="e">
        <f>Year_2032!AW146/Year_2025!AW146</f>
        <v>#DIV/0!</v>
      </c>
      <c r="AX143" t="e">
        <f>Year_2032!AX146/Year_2025!AX146</f>
        <v>#DIV/0!</v>
      </c>
    </row>
    <row r="144" spans="2:50" x14ac:dyDescent="0.3">
      <c r="B144">
        <f>Year_2032!B147</f>
        <v>0</v>
      </c>
      <c r="C144" t="e">
        <f>Year_2032!C147/Year_2025!C147</f>
        <v>#DIV/0!</v>
      </c>
      <c r="D144" t="e">
        <f>Year_2032!D147/Year_2025!D147</f>
        <v>#DIV/0!</v>
      </c>
      <c r="E144" t="e">
        <f>Year_2032!E147/Year_2025!E147</f>
        <v>#DIV/0!</v>
      </c>
      <c r="F144" t="e">
        <f>Year_2032!F147/Year_2025!F147</f>
        <v>#DIV/0!</v>
      </c>
      <c r="G144" t="e">
        <f>Year_2032!G147/Year_2025!G147</f>
        <v>#DIV/0!</v>
      </c>
      <c r="H144" t="e">
        <f>Year_2032!H147/Year_2025!H147</f>
        <v>#DIV/0!</v>
      </c>
      <c r="I144" t="e">
        <f>Year_2032!I147/Year_2025!I147</f>
        <v>#DIV/0!</v>
      </c>
      <c r="J144" t="e">
        <f>Year_2032!J147/Year_2025!J147</f>
        <v>#DIV/0!</v>
      </c>
      <c r="K144" t="e">
        <f>Year_2032!K147/Year_2025!K147</f>
        <v>#DIV/0!</v>
      </c>
      <c r="L144" t="e">
        <f>Year_2032!L147/Year_2025!L147</f>
        <v>#DIV/0!</v>
      </c>
      <c r="M144" t="e">
        <f>Year_2032!M147/Year_2025!M147</f>
        <v>#DIV/0!</v>
      </c>
      <c r="N144" t="str">
        <f>Year_2032!N147</f>
        <v>Segment</v>
      </c>
      <c r="O144">
        <f>Year_2032!O147/Year_2025!O147</f>
        <v>1</v>
      </c>
      <c r="P144">
        <f>Year_2032!P147/Year_2025!P147</f>
        <v>1</v>
      </c>
      <c r="Q144">
        <f>Year_2032!Q147/Year_2025!Q147</f>
        <v>1</v>
      </c>
      <c r="R144">
        <f>Year_2032!R147/Year_2025!R147</f>
        <v>1</v>
      </c>
      <c r="S144">
        <f>Year_2032!S147/Year_2025!S147</f>
        <v>1</v>
      </c>
      <c r="T144">
        <f>Year_2032!T147/Year_2025!T147</f>
        <v>1</v>
      </c>
      <c r="U144">
        <f>Year_2032!U147/Year_2025!U147</f>
        <v>1</v>
      </c>
      <c r="V144">
        <f>Year_2032!V147/Year_2025!V147</f>
        <v>1</v>
      </c>
      <c r="W144">
        <f>Year_2032!W147/Year_2025!W147</f>
        <v>1</v>
      </c>
      <c r="X144">
        <f>Year_2032!X147/Year_2025!X147</f>
        <v>1</v>
      </c>
      <c r="Y144" t="e">
        <f>Year_2032!Y147/Year_2025!Y147</f>
        <v>#DIV/0!</v>
      </c>
      <c r="Z144" t="e">
        <f>Year_2032!Z147/Year_2025!Z147</f>
        <v>#DIV/0!</v>
      </c>
      <c r="AA144" t="e">
        <f>Year_2032!AA147/Year_2025!AA147</f>
        <v>#VALUE!</v>
      </c>
      <c r="AB144">
        <f>Year_2032!AB147/Year_2025!AB147</f>
        <v>1</v>
      </c>
      <c r="AC144">
        <f>Year_2032!AC147/Year_2025!AC147</f>
        <v>1</v>
      </c>
      <c r="AD144">
        <f>Year_2032!AD147/Year_2025!AD147</f>
        <v>1</v>
      </c>
      <c r="AE144">
        <f>Year_2032!AE147/Year_2025!AE147</f>
        <v>1</v>
      </c>
      <c r="AF144">
        <f>Year_2032!AF147/Year_2025!AF147</f>
        <v>1</v>
      </c>
      <c r="AG144">
        <f>Year_2032!AG147/Year_2025!AG147</f>
        <v>1</v>
      </c>
      <c r="AH144">
        <f>Year_2032!AH147/Year_2025!AH147</f>
        <v>1</v>
      </c>
      <c r="AI144">
        <f>Year_2032!AI147/Year_2025!AI147</f>
        <v>1</v>
      </c>
      <c r="AJ144">
        <f>Year_2032!AJ147/Year_2025!AJ147</f>
        <v>1</v>
      </c>
      <c r="AK144">
        <f>Year_2032!AK147/Year_2025!AK147</f>
        <v>1</v>
      </c>
      <c r="AL144" t="e">
        <f>Year_2032!AL147/Year_2025!AL147</f>
        <v>#DIV/0!</v>
      </c>
      <c r="AM144" t="e">
        <f>Year_2032!AM147/Year_2025!AM147</f>
        <v>#DIV/0!</v>
      </c>
      <c r="AN144" t="e">
        <f>Year_2032!AN147/Year_2025!AN147</f>
        <v>#DIV/0!</v>
      </c>
      <c r="AO144" t="e">
        <f>Year_2032!AO147/Year_2025!AO147</f>
        <v>#DIV/0!</v>
      </c>
      <c r="AP144" t="e">
        <f>Year_2032!AP147/Year_2025!AP147</f>
        <v>#DIV/0!</v>
      </c>
      <c r="AQ144" t="e">
        <f>Year_2032!AQ147/Year_2025!AQ147</f>
        <v>#DIV/0!</v>
      </c>
      <c r="AR144" t="e">
        <f>Year_2032!AR147/Year_2025!AR147</f>
        <v>#DIV/0!</v>
      </c>
      <c r="AS144" t="e">
        <f>Year_2032!AS147/Year_2025!AS147</f>
        <v>#DIV/0!</v>
      </c>
      <c r="AT144" t="e">
        <f>Year_2032!AT147/Year_2025!AT147</f>
        <v>#DIV/0!</v>
      </c>
      <c r="AU144" t="e">
        <f>Year_2032!AU147/Year_2025!AU147</f>
        <v>#DIV/0!</v>
      </c>
      <c r="AV144" t="e">
        <f>Year_2032!AV147/Year_2025!AV147</f>
        <v>#DIV/0!</v>
      </c>
      <c r="AW144" t="e">
        <f>Year_2032!AW147/Year_2025!AW147</f>
        <v>#DIV/0!</v>
      </c>
      <c r="AX144" t="e">
        <f>Year_2032!AX147/Year_2025!AX147</f>
        <v>#DIV/0!</v>
      </c>
    </row>
    <row r="145" spans="2:50" x14ac:dyDescent="0.3">
      <c r="B145">
        <f>Year_2032!B148</f>
        <v>0</v>
      </c>
      <c r="C145" t="e">
        <f>Year_2032!C148/Year_2025!C148</f>
        <v>#DIV/0!</v>
      </c>
      <c r="D145" t="e">
        <f>Year_2032!D148/Year_2025!D148</f>
        <v>#DIV/0!</v>
      </c>
      <c r="E145" t="e">
        <f>Year_2032!E148/Year_2025!E148</f>
        <v>#DIV/0!</v>
      </c>
      <c r="F145" t="e">
        <f>Year_2032!F148/Year_2025!F148</f>
        <v>#DIV/0!</v>
      </c>
      <c r="G145" t="e">
        <f>Year_2032!G148/Year_2025!G148</f>
        <v>#DIV/0!</v>
      </c>
      <c r="H145" t="e">
        <f>Year_2032!H148/Year_2025!H148</f>
        <v>#DIV/0!</v>
      </c>
      <c r="I145" t="e">
        <f>Year_2032!I148/Year_2025!I148</f>
        <v>#DIV/0!</v>
      </c>
      <c r="J145" t="e">
        <f>Year_2032!J148/Year_2025!J148</f>
        <v>#DIV/0!</v>
      </c>
      <c r="K145" t="e">
        <f>Year_2032!K148/Year_2025!K148</f>
        <v>#DIV/0!</v>
      </c>
      <c r="L145" t="e">
        <f>Year_2032!L148/Year_2025!L148</f>
        <v>#DIV/0!</v>
      </c>
      <c r="M145" t="e">
        <f>Year_2032!M148/Year_2025!M148</f>
        <v>#DIV/0!</v>
      </c>
      <c r="N145" t="str">
        <f>Year_2032!N148</f>
        <v>Period</v>
      </c>
      <c r="O145" t="e">
        <f>Year_2032!O148/Year_2025!O148</f>
        <v>#DIV/0!</v>
      </c>
      <c r="P145" t="e">
        <f>Year_2032!P148/Year_2025!P148</f>
        <v>#DIV/0!</v>
      </c>
      <c r="Q145" t="e">
        <f>Year_2032!Q148/Year_2025!Q148</f>
        <v>#DIV/0!</v>
      </c>
      <c r="R145" t="e">
        <f>Year_2032!R148/Year_2025!R148</f>
        <v>#DIV/0!</v>
      </c>
      <c r="S145" t="e">
        <f>Year_2032!S148/Year_2025!S148</f>
        <v>#DIV/0!</v>
      </c>
      <c r="T145" t="e">
        <f>Year_2032!T148/Year_2025!T148</f>
        <v>#DIV/0!</v>
      </c>
      <c r="U145" t="e">
        <f>Year_2032!U148/Year_2025!U148</f>
        <v>#DIV/0!</v>
      </c>
      <c r="V145" t="e">
        <f>Year_2032!V148/Year_2025!V148</f>
        <v>#DIV/0!</v>
      </c>
      <c r="W145" t="e">
        <f>Year_2032!W148/Year_2025!W148</f>
        <v>#DIV/0!</v>
      </c>
      <c r="X145" t="e">
        <f>Year_2032!X148/Year_2025!X148</f>
        <v>#DIV/0!</v>
      </c>
      <c r="Y145" t="e">
        <f>Year_2032!Y148/Year_2025!Y148</f>
        <v>#DIV/0!</v>
      </c>
      <c r="Z145" t="e">
        <f>Year_2032!Z148/Year_2025!Z148</f>
        <v>#DIV/0!</v>
      </c>
      <c r="AA145" t="e">
        <f>Year_2032!AA148/Year_2025!AA148</f>
        <v>#VALUE!</v>
      </c>
      <c r="AB145" t="e">
        <f>Year_2032!AB148/Year_2025!AB148</f>
        <v>#DIV/0!</v>
      </c>
      <c r="AC145" t="e">
        <f>Year_2032!AC148/Year_2025!AC148</f>
        <v>#DIV/0!</v>
      </c>
      <c r="AD145" t="e">
        <f>Year_2032!AD148/Year_2025!AD148</f>
        <v>#DIV/0!</v>
      </c>
      <c r="AE145" t="e">
        <f>Year_2032!AE148/Year_2025!AE148</f>
        <v>#DIV/0!</v>
      </c>
      <c r="AF145" t="e">
        <f>Year_2032!AF148/Year_2025!AF148</f>
        <v>#DIV/0!</v>
      </c>
      <c r="AG145" t="e">
        <f>Year_2032!AG148/Year_2025!AG148</f>
        <v>#DIV/0!</v>
      </c>
      <c r="AH145" t="e">
        <f>Year_2032!AH148/Year_2025!AH148</f>
        <v>#DIV/0!</v>
      </c>
      <c r="AI145" t="e">
        <f>Year_2032!AI148/Year_2025!AI148</f>
        <v>#DIV/0!</v>
      </c>
      <c r="AJ145" t="e">
        <f>Year_2032!AJ148/Year_2025!AJ148</f>
        <v>#DIV/0!</v>
      </c>
      <c r="AK145" t="e">
        <f>Year_2032!AK148/Year_2025!AK148</f>
        <v>#DIV/0!</v>
      </c>
      <c r="AL145" t="e">
        <f>Year_2032!AL148/Year_2025!AL148</f>
        <v>#DIV/0!</v>
      </c>
      <c r="AM145" t="e">
        <f>Year_2032!AM148/Year_2025!AM148</f>
        <v>#DIV/0!</v>
      </c>
      <c r="AN145" t="e">
        <f>Year_2032!AN148/Year_2025!AN148</f>
        <v>#DIV/0!</v>
      </c>
      <c r="AO145" t="e">
        <f>Year_2032!AO148/Year_2025!AO148</f>
        <v>#DIV/0!</v>
      </c>
      <c r="AP145" t="e">
        <f>Year_2032!AP148/Year_2025!AP148</f>
        <v>#DIV/0!</v>
      </c>
      <c r="AQ145" t="e">
        <f>Year_2032!AQ148/Year_2025!AQ148</f>
        <v>#DIV/0!</v>
      </c>
      <c r="AR145" t="e">
        <f>Year_2032!AR148/Year_2025!AR148</f>
        <v>#DIV/0!</v>
      </c>
      <c r="AS145" t="e">
        <f>Year_2032!AS148/Year_2025!AS148</f>
        <v>#DIV/0!</v>
      </c>
      <c r="AT145" t="e">
        <f>Year_2032!AT148/Year_2025!AT148</f>
        <v>#DIV/0!</v>
      </c>
      <c r="AU145" t="e">
        <f>Year_2032!AU148/Year_2025!AU148</f>
        <v>#DIV/0!</v>
      </c>
      <c r="AV145" t="e">
        <f>Year_2032!AV148/Year_2025!AV148</f>
        <v>#DIV/0!</v>
      </c>
      <c r="AW145" t="e">
        <f>Year_2032!AW148/Year_2025!AW148</f>
        <v>#DIV/0!</v>
      </c>
      <c r="AX145" t="e">
        <f>Year_2032!AX148/Year_2025!AX148</f>
        <v>#DIV/0!</v>
      </c>
    </row>
    <row r="146" spans="2:50" x14ac:dyDescent="0.3">
      <c r="B146">
        <f>Year_2032!B149</f>
        <v>0</v>
      </c>
      <c r="C146" t="e">
        <f>Year_2032!C149/Year_2025!C149</f>
        <v>#DIV/0!</v>
      </c>
      <c r="D146" t="e">
        <f>Year_2032!D149/Year_2025!D149</f>
        <v>#DIV/0!</v>
      </c>
      <c r="E146" t="e">
        <f>Year_2032!E149/Year_2025!E149</f>
        <v>#DIV/0!</v>
      </c>
      <c r="F146" t="e">
        <f>Year_2032!F149/Year_2025!F149</f>
        <v>#DIV/0!</v>
      </c>
      <c r="G146" t="e">
        <f>Year_2032!G149/Year_2025!G149</f>
        <v>#DIV/0!</v>
      </c>
      <c r="H146" t="e">
        <f>Year_2032!H149/Year_2025!H149</f>
        <v>#DIV/0!</v>
      </c>
      <c r="I146" t="e">
        <f>Year_2032!I149/Year_2025!I149</f>
        <v>#DIV/0!</v>
      </c>
      <c r="J146" t="e">
        <f>Year_2032!J149/Year_2025!J149</f>
        <v>#DIV/0!</v>
      </c>
      <c r="K146" t="e">
        <f>Year_2032!K149/Year_2025!K149</f>
        <v>#DIV/0!</v>
      </c>
      <c r="L146" t="e">
        <f>Year_2032!L149/Year_2025!L149</f>
        <v>#DIV/0!</v>
      </c>
      <c r="M146" t="e">
        <f>Year_2032!M149/Year_2025!M149</f>
        <v>#DIV/0!</v>
      </c>
      <c r="N146" t="str">
        <f>Year_2032!N149</f>
        <v>Night</v>
      </c>
      <c r="O146">
        <f>Year_2032!O149/Year_2025!O149</f>
        <v>1.9690501600853789</v>
      </c>
      <c r="P146">
        <f>Year_2032!P149/Year_2025!P149</f>
        <v>1.431924882629108</v>
      </c>
      <c r="Q146">
        <f>Year_2032!Q149/Year_2025!Q149</f>
        <v>1.327891156462585</v>
      </c>
      <c r="R146">
        <f>Year_2032!R149/Year_2025!R149</f>
        <v>1.2190611664295874</v>
      </c>
      <c r="S146">
        <f>Year_2032!S149/Year_2025!S149</f>
        <v>0.98194945848375459</v>
      </c>
      <c r="T146">
        <f>Year_2032!T149/Year_2025!T149</f>
        <v>1.5557038025350234</v>
      </c>
      <c r="U146">
        <f>Year_2032!U149/Year_2025!U149</f>
        <v>1.199530516431925</v>
      </c>
      <c r="V146">
        <f>Year_2032!V149/Year_2025!V149</f>
        <v>1.3405734144222414</v>
      </c>
      <c r="W146">
        <f>Year_2032!W149/Year_2025!W149</f>
        <v>1.2011331444759208</v>
      </c>
      <c r="X146">
        <f>Year_2032!X149/Year_2025!X149</f>
        <v>0.99632352941176461</v>
      </c>
      <c r="Y146" t="e">
        <f>Year_2032!Y149/Year_2025!Y149</f>
        <v>#DIV/0!</v>
      </c>
      <c r="Z146" t="e">
        <f>Year_2032!Z149/Year_2025!Z149</f>
        <v>#DIV/0!</v>
      </c>
      <c r="AA146" t="e">
        <f>Year_2032!AA149/Year_2025!AA149</f>
        <v>#VALUE!</v>
      </c>
      <c r="AB146">
        <f>Year_2032!AB149/Year_2025!AB149</f>
        <v>1.1501763119684714</v>
      </c>
      <c r="AC146">
        <f>Year_2032!AC149/Year_2025!AC149</f>
        <v>1.1849710982658961</v>
      </c>
      <c r="AD146">
        <f>Year_2032!AD149/Year_2025!AD149</f>
        <v>1.2078552175587216</v>
      </c>
      <c r="AE146">
        <f>Year_2032!AE149/Year_2025!AE149</f>
        <v>1.220060846316954</v>
      </c>
      <c r="AF146">
        <f>Year_2032!AF149/Year_2025!AF149</f>
        <v>1.0019817677368212</v>
      </c>
      <c r="AG146">
        <f>Year_2032!AG149/Year_2025!AG149</f>
        <v>1.1769586448295235</v>
      </c>
      <c r="AH146">
        <f>Year_2032!AH149/Year_2025!AH149</f>
        <v>1.2000304228780043</v>
      </c>
      <c r="AI146">
        <f>Year_2032!AI149/Year_2025!AI149</f>
        <v>1.2016757312950168</v>
      </c>
      <c r="AJ146">
        <f>Year_2032!AJ149/Year_2025!AJ149</f>
        <v>1.1999391819978715</v>
      </c>
      <c r="AK146">
        <f>Year_2032!AK149/Year_2025!AK149</f>
        <v>1.0003955696202531</v>
      </c>
      <c r="AL146" t="e">
        <f>Year_2032!AL149/Year_2025!AL149</f>
        <v>#DIV/0!</v>
      </c>
      <c r="AM146" t="e">
        <f>Year_2032!AM149/Year_2025!AM149</f>
        <v>#DIV/0!</v>
      </c>
      <c r="AN146" t="e">
        <f>Year_2032!AN149/Year_2025!AN149</f>
        <v>#DIV/0!</v>
      </c>
      <c r="AO146" t="e">
        <f>Year_2032!AO149/Year_2025!AO149</f>
        <v>#DIV/0!</v>
      </c>
      <c r="AP146" t="e">
        <f>Year_2032!AP149/Year_2025!AP149</f>
        <v>#DIV/0!</v>
      </c>
      <c r="AQ146" t="e">
        <f>Year_2032!AQ149/Year_2025!AQ149</f>
        <v>#DIV/0!</v>
      </c>
      <c r="AR146" t="e">
        <f>Year_2032!AR149/Year_2025!AR149</f>
        <v>#DIV/0!</v>
      </c>
      <c r="AS146" t="e">
        <f>Year_2032!AS149/Year_2025!AS149</f>
        <v>#DIV/0!</v>
      </c>
      <c r="AT146" t="e">
        <f>Year_2032!AT149/Year_2025!AT149</f>
        <v>#DIV/0!</v>
      </c>
      <c r="AU146" t="e">
        <f>Year_2032!AU149/Year_2025!AU149</f>
        <v>#DIV/0!</v>
      </c>
      <c r="AV146" t="e">
        <f>Year_2032!AV149/Year_2025!AV149</f>
        <v>#DIV/0!</v>
      </c>
      <c r="AW146" t="e">
        <f>Year_2032!AW149/Year_2025!AW149</f>
        <v>#DIV/0!</v>
      </c>
      <c r="AX146" t="e">
        <f>Year_2032!AX149/Year_2025!AX149</f>
        <v>#DIV/0!</v>
      </c>
    </row>
    <row r="147" spans="2:50" x14ac:dyDescent="0.3">
      <c r="B147">
        <f>Year_2032!B150</f>
        <v>0</v>
      </c>
      <c r="C147" t="e">
        <f>Year_2032!C150/Year_2025!C150</f>
        <v>#DIV/0!</v>
      </c>
      <c r="D147" t="e">
        <f>Year_2032!D150/Year_2025!D150</f>
        <v>#DIV/0!</v>
      </c>
      <c r="E147" t="e">
        <f>Year_2032!E150/Year_2025!E150</f>
        <v>#DIV/0!</v>
      </c>
      <c r="F147" t="e">
        <f>Year_2032!F150/Year_2025!F150</f>
        <v>#DIV/0!</v>
      </c>
      <c r="G147" t="e">
        <f>Year_2032!G150/Year_2025!G150</f>
        <v>#DIV/0!</v>
      </c>
      <c r="H147" t="e">
        <f>Year_2032!H150/Year_2025!H150</f>
        <v>#DIV/0!</v>
      </c>
      <c r="I147" t="e">
        <f>Year_2032!I150/Year_2025!I150</f>
        <v>#DIV/0!</v>
      </c>
      <c r="J147" t="e">
        <f>Year_2032!J150/Year_2025!J150</f>
        <v>#DIV/0!</v>
      </c>
      <c r="K147" t="e">
        <f>Year_2032!K150/Year_2025!K150</f>
        <v>#DIV/0!</v>
      </c>
      <c r="L147" t="e">
        <f>Year_2032!L150/Year_2025!L150</f>
        <v>#DIV/0!</v>
      </c>
      <c r="M147" t="e">
        <f>Year_2032!M150/Year_2025!M150</f>
        <v>#DIV/0!</v>
      </c>
      <c r="N147" t="str">
        <f>Year_2032!N150</f>
        <v>AM-Early</v>
      </c>
      <c r="O147">
        <f>Year_2032!O150/Year_2025!O150</f>
        <v>1.2154989384288748</v>
      </c>
      <c r="P147">
        <f>Year_2032!P150/Year_2025!P150</f>
        <v>1.1855807743658211</v>
      </c>
      <c r="Q147">
        <f>Year_2032!Q150/Year_2025!Q150</f>
        <v>1.1751131221719455</v>
      </c>
      <c r="R147">
        <f>Year_2032!R150/Year_2025!R150</f>
        <v>1.2182389937106917</v>
      </c>
      <c r="S147">
        <f>Year_2032!S150/Year_2025!S150</f>
        <v>1.0673934588701686</v>
      </c>
      <c r="T147">
        <f>Year_2032!T150/Year_2025!T150</f>
        <v>1.1993927125506072</v>
      </c>
      <c r="U147">
        <f>Year_2032!U150/Year_2025!U150</f>
        <v>1.2611000662690524</v>
      </c>
      <c r="V147">
        <f>Year_2032!V150/Year_2025!V150</f>
        <v>1.2071354347073087</v>
      </c>
      <c r="W147">
        <f>Year_2032!W150/Year_2025!W150</f>
        <v>1.2104097452934663</v>
      </c>
      <c r="X147">
        <f>Year_2032!X150/Year_2025!X150</f>
        <v>0.99954107388710423</v>
      </c>
      <c r="Y147" t="e">
        <f>Year_2032!Y150/Year_2025!Y150</f>
        <v>#DIV/0!</v>
      </c>
      <c r="Z147" t="e">
        <f>Year_2032!Z150/Year_2025!Z150</f>
        <v>#DIV/0!</v>
      </c>
      <c r="AA147" t="e">
        <f>Year_2032!AA150/Year_2025!AA150</f>
        <v>#VALUE!</v>
      </c>
      <c r="AB147">
        <f>Year_2032!AB150/Year_2025!AB150</f>
        <v>1.1054005771609179</v>
      </c>
      <c r="AC147">
        <f>Year_2032!AC150/Year_2025!AC150</f>
        <v>1.2060113519091846</v>
      </c>
      <c r="AD147">
        <f>Year_2032!AD150/Year_2025!AD150</f>
        <v>1.2188458070333632</v>
      </c>
      <c r="AE147">
        <f>Year_2032!AE150/Year_2025!AE150</f>
        <v>1.2025062656641603</v>
      </c>
      <c r="AF147">
        <f>Year_2032!AF150/Year_2025!AF150</f>
        <v>1.022086663862011</v>
      </c>
      <c r="AG147">
        <f>Year_2032!AG150/Year_2025!AG150</f>
        <v>1.2023957042544402</v>
      </c>
      <c r="AH147">
        <f>Year_2032!AH150/Year_2025!AH150</f>
        <v>0.98313720185761311</v>
      </c>
      <c r="AI147">
        <f>Year_2032!AI150/Year_2025!AI150</f>
        <v>1.2126069143966076</v>
      </c>
      <c r="AJ147">
        <f>Year_2032!AJ150/Year_2025!AJ150</f>
        <v>1.2107299311600386</v>
      </c>
      <c r="AK147">
        <f>Year_2032!AK150/Year_2025!AK150</f>
        <v>1.0000978377849525</v>
      </c>
      <c r="AL147" t="e">
        <f>Year_2032!AL150/Year_2025!AL150</f>
        <v>#DIV/0!</v>
      </c>
      <c r="AM147" t="e">
        <f>Year_2032!AM150/Year_2025!AM150</f>
        <v>#DIV/0!</v>
      </c>
      <c r="AN147" t="e">
        <f>Year_2032!AN150/Year_2025!AN150</f>
        <v>#DIV/0!</v>
      </c>
      <c r="AO147" t="e">
        <f>Year_2032!AO150/Year_2025!AO150</f>
        <v>#DIV/0!</v>
      </c>
      <c r="AP147" t="e">
        <f>Year_2032!AP150/Year_2025!AP150</f>
        <v>#DIV/0!</v>
      </c>
      <c r="AQ147" t="e">
        <f>Year_2032!AQ150/Year_2025!AQ150</f>
        <v>#DIV/0!</v>
      </c>
      <c r="AR147" t="e">
        <f>Year_2032!AR150/Year_2025!AR150</f>
        <v>#DIV/0!</v>
      </c>
      <c r="AS147" t="e">
        <f>Year_2032!AS150/Year_2025!AS150</f>
        <v>#DIV/0!</v>
      </c>
      <c r="AT147" t="e">
        <f>Year_2032!AT150/Year_2025!AT150</f>
        <v>#DIV/0!</v>
      </c>
      <c r="AU147" t="e">
        <f>Year_2032!AU150/Year_2025!AU150</f>
        <v>#DIV/0!</v>
      </c>
      <c r="AV147" t="e">
        <f>Year_2032!AV150/Year_2025!AV150</f>
        <v>#DIV/0!</v>
      </c>
      <c r="AW147" t="e">
        <f>Year_2032!AW150/Year_2025!AW150</f>
        <v>#DIV/0!</v>
      </c>
      <c r="AX147" t="e">
        <f>Year_2032!AX150/Year_2025!AX150</f>
        <v>#DIV/0!</v>
      </c>
    </row>
    <row r="148" spans="2:50" x14ac:dyDescent="0.3">
      <c r="B148">
        <f>Year_2032!B151</f>
        <v>0</v>
      </c>
      <c r="C148" t="e">
        <f>Year_2032!C151/Year_2025!C151</f>
        <v>#DIV/0!</v>
      </c>
      <c r="D148" t="e">
        <f>Year_2032!D151/Year_2025!D151</f>
        <v>#DIV/0!</v>
      </c>
      <c r="E148" t="e">
        <f>Year_2032!E151/Year_2025!E151</f>
        <v>#DIV/0!</v>
      </c>
      <c r="F148" t="e">
        <f>Year_2032!F151/Year_2025!F151</f>
        <v>#DIV/0!</v>
      </c>
      <c r="G148" t="e">
        <f>Year_2032!G151/Year_2025!G151</f>
        <v>#DIV/0!</v>
      </c>
      <c r="H148" t="e">
        <f>Year_2032!H151/Year_2025!H151</f>
        <v>#DIV/0!</v>
      </c>
      <c r="I148" t="e">
        <f>Year_2032!I151/Year_2025!I151</f>
        <v>#DIV/0!</v>
      </c>
      <c r="J148" t="e">
        <f>Year_2032!J151/Year_2025!J151</f>
        <v>#DIV/0!</v>
      </c>
      <c r="K148" t="e">
        <f>Year_2032!K151/Year_2025!K151</f>
        <v>#DIV/0!</v>
      </c>
      <c r="L148" t="e">
        <f>Year_2032!L151/Year_2025!L151</f>
        <v>#DIV/0!</v>
      </c>
      <c r="M148" t="e">
        <f>Year_2032!M151/Year_2025!M151</f>
        <v>#DIV/0!</v>
      </c>
      <c r="N148" t="str">
        <f>Year_2032!N151</f>
        <v>AM-Peak</v>
      </c>
      <c r="O148">
        <f>Year_2032!O151/Year_2025!O151</f>
        <v>1.196155741744702</v>
      </c>
      <c r="P148">
        <f>Year_2032!P151/Year_2025!P151</f>
        <v>1.1859662954567853</v>
      </c>
      <c r="Q148">
        <f>Year_2032!Q151/Year_2025!Q151</f>
        <v>1.3193731423939477</v>
      </c>
      <c r="R148">
        <f>Year_2032!R151/Year_2025!R151</f>
        <v>1.1382837798057108</v>
      </c>
      <c r="S148">
        <f>Year_2032!S151/Year_2025!S151</f>
        <v>0.99894681411269093</v>
      </c>
      <c r="T148">
        <f>Year_2032!T151/Year_2025!T151</f>
        <v>1.4772998805256869</v>
      </c>
      <c r="U148">
        <f>Year_2032!U151/Year_2025!U151</f>
        <v>1.2783868047872875</v>
      </c>
      <c r="V148">
        <f>Year_2032!V151/Year_2025!V151</f>
        <v>1.1845202172601086</v>
      </c>
      <c r="W148">
        <f>Year_2032!W151/Year_2025!W151</f>
        <v>1.1870850935425468</v>
      </c>
      <c r="X148">
        <f>Year_2032!X151/Year_2025!X151</f>
        <v>1.1297803091944671</v>
      </c>
      <c r="Y148" t="e">
        <f>Year_2032!Y151/Year_2025!Y151</f>
        <v>#DIV/0!</v>
      </c>
      <c r="Z148" t="e">
        <f>Year_2032!Z151/Year_2025!Z151</f>
        <v>#DIV/0!</v>
      </c>
      <c r="AA148" t="e">
        <f>Year_2032!AA151/Year_2025!AA151</f>
        <v>#VALUE!</v>
      </c>
      <c r="AB148">
        <f>Year_2032!AB151/Year_2025!AB151</f>
        <v>1.1907719038579103</v>
      </c>
      <c r="AC148">
        <f>Year_2032!AC151/Year_2025!AC151</f>
        <v>1.2054549185679906</v>
      </c>
      <c r="AD148">
        <f>Year_2032!AD151/Year_2025!AD151</f>
        <v>1.1895135466265698</v>
      </c>
      <c r="AE148">
        <f>Year_2032!AE151/Year_2025!AE151</f>
        <v>1.2252316566484387</v>
      </c>
      <c r="AF148">
        <f>Year_2032!AF151/Year_2025!AF151</f>
        <v>1.0002246938546231</v>
      </c>
      <c r="AG148">
        <f>Year_2032!AG151/Year_2025!AG151</f>
        <v>1.1464258106513689</v>
      </c>
      <c r="AH148">
        <f>Year_2032!AH151/Year_2025!AH151</f>
        <v>1.0566861220319022</v>
      </c>
      <c r="AI148">
        <f>Year_2032!AI151/Year_2025!AI151</f>
        <v>1.2175567249129373</v>
      </c>
      <c r="AJ148">
        <f>Year_2032!AJ151/Year_2025!AJ151</f>
        <v>1.2166579938167683</v>
      </c>
      <c r="AK148">
        <f>Year_2032!AK151/Year_2025!AK151</f>
        <v>0.96656885348983446</v>
      </c>
      <c r="AL148" t="e">
        <f>Year_2032!AL151/Year_2025!AL151</f>
        <v>#DIV/0!</v>
      </c>
      <c r="AM148" t="e">
        <f>Year_2032!AM151/Year_2025!AM151</f>
        <v>#DIV/0!</v>
      </c>
      <c r="AN148" t="e">
        <f>Year_2032!AN151/Year_2025!AN151</f>
        <v>#DIV/0!</v>
      </c>
      <c r="AO148" t="e">
        <f>Year_2032!AO151/Year_2025!AO151</f>
        <v>#DIV/0!</v>
      </c>
      <c r="AP148" t="e">
        <f>Year_2032!AP151/Year_2025!AP151</f>
        <v>#DIV/0!</v>
      </c>
      <c r="AQ148" t="e">
        <f>Year_2032!AQ151/Year_2025!AQ151</f>
        <v>#DIV/0!</v>
      </c>
      <c r="AR148" t="e">
        <f>Year_2032!AR151/Year_2025!AR151</f>
        <v>#DIV/0!</v>
      </c>
      <c r="AS148" t="e">
        <f>Year_2032!AS151/Year_2025!AS151</f>
        <v>#DIV/0!</v>
      </c>
      <c r="AT148" t="e">
        <f>Year_2032!AT151/Year_2025!AT151</f>
        <v>#DIV/0!</v>
      </c>
      <c r="AU148" t="e">
        <f>Year_2032!AU151/Year_2025!AU151</f>
        <v>#DIV/0!</v>
      </c>
      <c r="AV148" t="e">
        <f>Year_2032!AV151/Year_2025!AV151</f>
        <v>#DIV/0!</v>
      </c>
      <c r="AW148" t="e">
        <f>Year_2032!AW151/Year_2025!AW151</f>
        <v>#DIV/0!</v>
      </c>
      <c r="AX148" t="e">
        <f>Year_2032!AX151/Year_2025!AX151</f>
        <v>#DIV/0!</v>
      </c>
    </row>
    <row r="149" spans="2:50" x14ac:dyDescent="0.3">
      <c r="B149">
        <f>Year_2032!B152</f>
        <v>0</v>
      </c>
      <c r="C149" t="e">
        <f>Year_2032!C152/Year_2025!C152</f>
        <v>#DIV/0!</v>
      </c>
      <c r="D149" t="e">
        <f>Year_2032!D152/Year_2025!D152</f>
        <v>#DIV/0!</v>
      </c>
      <c r="E149" t="e">
        <f>Year_2032!E152/Year_2025!E152</f>
        <v>#DIV/0!</v>
      </c>
      <c r="F149" t="e">
        <f>Year_2032!F152/Year_2025!F152</f>
        <v>#DIV/0!</v>
      </c>
      <c r="G149" t="e">
        <f>Year_2032!G152/Year_2025!G152</f>
        <v>#DIV/0!</v>
      </c>
      <c r="H149" t="e">
        <f>Year_2032!H152/Year_2025!H152</f>
        <v>#DIV/0!</v>
      </c>
      <c r="I149" t="e">
        <f>Year_2032!I152/Year_2025!I152</f>
        <v>#DIV/0!</v>
      </c>
      <c r="J149" t="e">
        <f>Year_2032!J152/Year_2025!J152</f>
        <v>#DIV/0!</v>
      </c>
      <c r="K149" t="e">
        <f>Year_2032!K152/Year_2025!K152</f>
        <v>#DIV/0!</v>
      </c>
      <c r="L149" t="e">
        <f>Year_2032!L152/Year_2025!L152</f>
        <v>#DIV/0!</v>
      </c>
      <c r="M149" t="e">
        <f>Year_2032!M152/Year_2025!M152</f>
        <v>#DIV/0!</v>
      </c>
      <c r="N149" t="str">
        <f>Year_2032!N152</f>
        <v>AM-Shoulder</v>
      </c>
      <c r="O149">
        <f>Year_2032!O152/Year_2025!O152</f>
        <v>1.2672872340425532</v>
      </c>
      <c r="P149">
        <f>Year_2032!P152/Year_2025!P152</f>
        <v>1.1868539623641665</v>
      </c>
      <c r="Q149">
        <f>Year_2032!Q152/Year_2025!Q152</f>
        <v>1.1153692614770458</v>
      </c>
      <c r="R149">
        <f>Year_2032!R152/Year_2025!R152</f>
        <v>1.1881188118811881</v>
      </c>
      <c r="S149">
        <f>Year_2032!S152/Year_2025!S152</f>
        <v>1</v>
      </c>
      <c r="T149">
        <f>Year_2032!T152/Year_2025!T152</f>
        <v>1.2005970149253731</v>
      </c>
      <c r="U149">
        <f>Year_2032!U152/Year_2025!U152</f>
        <v>1.1995851946394385</v>
      </c>
      <c r="V149">
        <f>Year_2032!V152/Year_2025!V152</f>
        <v>1.1876434245366285</v>
      </c>
      <c r="W149">
        <f>Year_2032!W152/Year_2025!W152</f>
        <v>1.197134083930399</v>
      </c>
      <c r="X149">
        <f>Year_2032!X152/Year_2025!X152</f>
        <v>1</v>
      </c>
      <c r="Y149" t="e">
        <f>Year_2032!Y152/Year_2025!Y152</f>
        <v>#DIV/0!</v>
      </c>
      <c r="Z149" t="e">
        <f>Year_2032!Z152/Year_2025!Z152</f>
        <v>#DIV/0!</v>
      </c>
      <c r="AA149" t="e">
        <f>Year_2032!AA152/Year_2025!AA152</f>
        <v>#VALUE!</v>
      </c>
      <c r="AB149">
        <f>Year_2032!AB152/Year_2025!AB152</f>
        <v>1.0422268183385039</v>
      </c>
      <c r="AC149">
        <f>Year_2032!AC152/Year_2025!AC152</f>
        <v>1.2051137238794474</v>
      </c>
      <c r="AD149">
        <f>Year_2032!AD152/Year_2025!AD152</f>
        <v>1.1550931430836306</v>
      </c>
      <c r="AE149">
        <f>Year_2032!AE152/Year_2025!AE152</f>
        <v>1.2157084562239908</v>
      </c>
      <c r="AF149">
        <f>Year_2032!AF152/Year_2025!AF152</f>
        <v>1</v>
      </c>
      <c r="AG149">
        <f>Year_2032!AG152/Year_2025!AG152</f>
        <v>1.2030029296875</v>
      </c>
      <c r="AH149">
        <f>Year_2032!AH152/Year_2025!AH152</f>
        <v>1.0083903944449804</v>
      </c>
      <c r="AI149">
        <f>Year_2032!AI152/Year_2025!AI152</f>
        <v>1.216705839811969</v>
      </c>
      <c r="AJ149">
        <f>Year_2032!AJ152/Year_2025!AJ152</f>
        <v>1.2144386149003148</v>
      </c>
      <c r="AK149">
        <f>Year_2032!AK152/Year_2025!AK152</f>
        <v>1</v>
      </c>
      <c r="AL149" t="e">
        <f>Year_2032!AL152/Year_2025!AL152</f>
        <v>#DIV/0!</v>
      </c>
      <c r="AM149" t="e">
        <f>Year_2032!AM152/Year_2025!AM152</f>
        <v>#DIV/0!</v>
      </c>
      <c r="AN149" t="e">
        <f>Year_2032!AN152/Year_2025!AN152</f>
        <v>#DIV/0!</v>
      </c>
      <c r="AO149" t="e">
        <f>Year_2032!AO152/Year_2025!AO152</f>
        <v>#DIV/0!</v>
      </c>
      <c r="AP149" t="e">
        <f>Year_2032!AP152/Year_2025!AP152</f>
        <v>#DIV/0!</v>
      </c>
      <c r="AQ149" t="e">
        <f>Year_2032!AQ152/Year_2025!AQ152</f>
        <v>#DIV/0!</v>
      </c>
      <c r="AR149" t="e">
        <f>Year_2032!AR152/Year_2025!AR152</f>
        <v>#DIV/0!</v>
      </c>
      <c r="AS149" t="e">
        <f>Year_2032!AS152/Year_2025!AS152</f>
        <v>#DIV/0!</v>
      </c>
      <c r="AT149" t="e">
        <f>Year_2032!AT152/Year_2025!AT152</f>
        <v>#DIV/0!</v>
      </c>
      <c r="AU149" t="e">
        <f>Year_2032!AU152/Year_2025!AU152</f>
        <v>#DIV/0!</v>
      </c>
      <c r="AV149" t="e">
        <f>Year_2032!AV152/Year_2025!AV152</f>
        <v>#DIV/0!</v>
      </c>
      <c r="AW149" t="e">
        <f>Year_2032!AW152/Year_2025!AW152</f>
        <v>#DIV/0!</v>
      </c>
      <c r="AX149" t="e">
        <f>Year_2032!AX152/Year_2025!AX152</f>
        <v>#DIV/0!</v>
      </c>
    </row>
    <row r="150" spans="2:50" x14ac:dyDescent="0.3">
      <c r="B150">
        <f>Year_2032!B153</f>
        <v>0</v>
      </c>
      <c r="C150" t="e">
        <f>Year_2032!C153/Year_2025!C153</f>
        <v>#DIV/0!</v>
      </c>
      <c r="D150" t="e">
        <f>Year_2032!D153/Year_2025!D153</f>
        <v>#DIV/0!</v>
      </c>
      <c r="E150" t="e">
        <f>Year_2032!E153/Year_2025!E153</f>
        <v>#DIV/0!</v>
      </c>
      <c r="F150" t="e">
        <f>Year_2032!F153/Year_2025!F153</f>
        <v>#DIV/0!</v>
      </c>
      <c r="G150" t="e">
        <f>Year_2032!G153/Year_2025!G153</f>
        <v>#DIV/0!</v>
      </c>
      <c r="H150" t="e">
        <f>Year_2032!H153/Year_2025!H153</f>
        <v>#DIV/0!</v>
      </c>
      <c r="I150" t="e">
        <f>Year_2032!I153/Year_2025!I153</f>
        <v>#DIV/0!</v>
      </c>
      <c r="J150" t="e">
        <f>Year_2032!J153/Year_2025!J153</f>
        <v>#DIV/0!</v>
      </c>
      <c r="K150" t="e">
        <f>Year_2032!K153/Year_2025!K153</f>
        <v>#DIV/0!</v>
      </c>
      <c r="L150" t="e">
        <f>Year_2032!L153/Year_2025!L153</f>
        <v>#DIV/0!</v>
      </c>
      <c r="M150" t="e">
        <f>Year_2032!M153/Year_2025!M153</f>
        <v>#DIV/0!</v>
      </c>
      <c r="N150" t="str">
        <f>Year_2032!N153</f>
        <v>MD</v>
      </c>
      <c r="O150">
        <f>Year_2032!O153/Year_2025!O153</f>
        <v>1.3247249388753057</v>
      </c>
      <c r="P150">
        <f>Year_2032!P153/Year_2025!P153</f>
        <v>1.3305261588910418</v>
      </c>
      <c r="Q150">
        <f>Year_2032!Q153/Year_2025!Q153</f>
        <v>1.1992462622019029</v>
      </c>
      <c r="R150">
        <f>Year_2032!R153/Year_2025!R153</f>
        <v>1.2030827629838385</v>
      </c>
      <c r="S150">
        <f>Year_2032!S153/Year_2025!S153</f>
        <v>1.0608729692699159</v>
      </c>
      <c r="T150">
        <f>Year_2032!T153/Year_2025!T153</f>
        <v>1.2912849715276058</v>
      </c>
      <c r="U150">
        <f>Year_2032!U153/Year_2025!U153</f>
        <v>1.3529776674937963</v>
      </c>
      <c r="V150">
        <f>Year_2032!V153/Year_2025!V153</f>
        <v>1.1911550117858345</v>
      </c>
      <c r="W150">
        <f>Year_2032!W153/Year_2025!W153</f>
        <v>1.1959244080145719</v>
      </c>
      <c r="X150">
        <f>Year_2032!X153/Year_2025!X153</f>
        <v>1.2581159131647082</v>
      </c>
      <c r="Y150" t="e">
        <f>Year_2032!Y153/Year_2025!Y153</f>
        <v>#DIV/0!</v>
      </c>
      <c r="Z150" t="e">
        <f>Year_2032!Z153/Year_2025!Z153</f>
        <v>#DIV/0!</v>
      </c>
      <c r="AA150" t="e">
        <f>Year_2032!AA153/Year_2025!AA153</f>
        <v>#VALUE!</v>
      </c>
      <c r="AB150">
        <f>Year_2032!AB153/Year_2025!AB153</f>
        <v>1.024987899322362</v>
      </c>
      <c r="AC150">
        <f>Year_2032!AC153/Year_2025!AC153</f>
        <v>1.177865903998113</v>
      </c>
      <c r="AD150">
        <f>Year_2032!AD153/Year_2025!AD153</f>
        <v>1.2143291062343382</v>
      </c>
      <c r="AE150">
        <f>Year_2032!AE153/Year_2025!AE153</f>
        <v>1.2129709231801962</v>
      </c>
      <c r="AF150">
        <f>Year_2032!AF153/Year_2025!AF153</f>
        <v>0.98687265206196451</v>
      </c>
      <c r="AG150">
        <f>Year_2032!AG153/Year_2025!AG153</f>
        <v>1.0529294783539849</v>
      </c>
      <c r="AH150">
        <f>Year_2032!AH153/Year_2025!AH153</f>
        <v>1.1193894342620441</v>
      </c>
      <c r="AI150">
        <f>Year_2032!AI153/Year_2025!AI153</f>
        <v>1.216525611433634</v>
      </c>
      <c r="AJ150">
        <f>Year_2032!AJ153/Year_2025!AJ153</f>
        <v>1.2144762309399044</v>
      </c>
      <c r="AK150">
        <f>Year_2032!AK153/Year_2025!AK153</f>
        <v>1.0039096064615913</v>
      </c>
      <c r="AL150" t="e">
        <f>Year_2032!AL153/Year_2025!AL153</f>
        <v>#DIV/0!</v>
      </c>
      <c r="AM150" t="e">
        <f>Year_2032!AM153/Year_2025!AM153</f>
        <v>#DIV/0!</v>
      </c>
      <c r="AN150" t="e">
        <f>Year_2032!AN153/Year_2025!AN153</f>
        <v>#DIV/0!</v>
      </c>
      <c r="AO150" t="e">
        <f>Year_2032!AO153/Year_2025!AO153</f>
        <v>#DIV/0!</v>
      </c>
      <c r="AP150" t="e">
        <f>Year_2032!AP153/Year_2025!AP153</f>
        <v>#DIV/0!</v>
      </c>
      <c r="AQ150" t="e">
        <f>Year_2032!AQ153/Year_2025!AQ153</f>
        <v>#DIV/0!</v>
      </c>
      <c r="AR150" t="e">
        <f>Year_2032!AR153/Year_2025!AR153</f>
        <v>#DIV/0!</v>
      </c>
      <c r="AS150" t="e">
        <f>Year_2032!AS153/Year_2025!AS153</f>
        <v>#DIV/0!</v>
      </c>
      <c r="AT150" t="e">
        <f>Year_2032!AT153/Year_2025!AT153</f>
        <v>#DIV/0!</v>
      </c>
      <c r="AU150" t="e">
        <f>Year_2032!AU153/Year_2025!AU153</f>
        <v>#DIV/0!</v>
      </c>
      <c r="AV150" t="e">
        <f>Year_2032!AV153/Year_2025!AV153</f>
        <v>#DIV/0!</v>
      </c>
      <c r="AW150" t="e">
        <f>Year_2032!AW153/Year_2025!AW153</f>
        <v>#DIV/0!</v>
      </c>
      <c r="AX150" t="e">
        <f>Year_2032!AX153/Year_2025!AX153</f>
        <v>#DIV/0!</v>
      </c>
    </row>
    <row r="151" spans="2:50" x14ac:dyDescent="0.3">
      <c r="B151">
        <f>Year_2032!B154</f>
        <v>0</v>
      </c>
      <c r="C151" t="e">
        <f>Year_2032!C154/Year_2025!C154</f>
        <v>#DIV/0!</v>
      </c>
      <c r="D151" t="e">
        <f>Year_2032!D154/Year_2025!D154</f>
        <v>#DIV/0!</v>
      </c>
      <c r="E151" t="e">
        <f>Year_2032!E154/Year_2025!E154</f>
        <v>#DIV/0!</v>
      </c>
      <c r="F151" t="e">
        <f>Year_2032!F154/Year_2025!F154</f>
        <v>#DIV/0!</v>
      </c>
      <c r="G151" t="e">
        <f>Year_2032!G154/Year_2025!G154</f>
        <v>#DIV/0!</v>
      </c>
      <c r="H151" t="e">
        <f>Year_2032!H154/Year_2025!H154</f>
        <v>#DIV/0!</v>
      </c>
      <c r="I151" t="e">
        <f>Year_2032!I154/Year_2025!I154</f>
        <v>#DIV/0!</v>
      </c>
      <c r="J151" t="e">
        <f>Year_2032!J154/Year_2025!J154</f>
        <v>#DIV/0!</v>
      </c>
      <c r="K151" t="e">
        <f>Year_2032!K154/Year_2025!K154</f>
        <v>#DIV/0!</v>
      </c>
      <c r="L151" t="e">
        <f>Year_2032!L154/Year_2025!L154</f>
        <v>#DIV/0!</v>
      </c>
      <c r="M151" t="e">
        <f>Year_2032!M154/Year_2025!M154</f>
        <v>#DIV/0!</v>
      </c>
      <c r="N151" t="str">
        <f>Year_2032!N154</f>
        <v>PM-Shoulder</v>
      </c>
      <c r="O151">
        <f>Year_2032!O154/Year_2025!O154</f>
        <v>1.050259067357513</v>
      </c>
      <c r="P151">
        <f>Year_2032!P154/Year_2025!P154</f>
        <v>1.19109396914446</v>
      </c>
      <c r="Q151">
        <f>Year_2032!Q154/Year_2025!Q154</f>
        <v>1.1239574345700314</v>
      </c>
      <c r="R151">
        <f>Year_2032!R154/Year_2025!R154</f>
        <v>1.1820151679306607</v>
      </c>
      <c r="S151">
        <f>Year_2032!S154/Year_2025!S154</f>
        <v>1.134090909090909</v>
      </c>
      <c r="T151">
        <f>Year_2032!T154/Year_2025!T154</f>
        <v>1.0387481371087928</v>
      </c>
      <c r="U151">
        <f>Year_2032!U154/Year_2025!U154</f>
        <v>1.1398078975453576</v>
      </c>
      <c r="V151">
        <f>Year_2032!V154/Year_2025!V154</f>
        <v>0.98964896489648968</v>
      </c>
      <c r="W151">
        <f>Year_2032!W154/Year_2025!W154</f>
        <v>1.0920994229915668</v>
      </c>
      <c r="X151">
        <f>Year_2032!X154/Year_2025!X154</f>
        <v>1.2331189710610932</v>
      </c>
      <c r="Y151" t="e">
        <f>Year_2032!Y154/Year_2025!Y154</f>
        <v>#DIV/0!</v>
      </c>
      <c r="Z151" t="e">
        <f>Year_2032!Z154/Year_2025!Z154</f>
        <v>#DIV/0!</v>
      </c>
      <c r="AA151" t="e">
        <f>Year_2032!AA154/Year_2025!AA154</f>
        <v>#VALUE!</v>
      </c>
      <c r="AB151">
        <f>Year_2032!AB154/Year_2025!AB154</f>
        <v>1.0243996901626646</v>
      </c>
      <c r="AC151">
        <f>Year_2032!AC154/Year_2025!AC154</f>
        <v>1.2009084556254366</v>
      </c>
      <c r="AD151">
        <f>Year_2032!AD154/Year_2025!AD154</f>
        <v>1.1989071038251367</v>
      </c>
      <c r="AE151">
        <f>Year_2032!AE154/Year_2025!AE154</f>
        <v>1.2199609701700587</v>
      </c>
      <c r="AF151">
        <f>Year_2032!AF154/Year_2025!AF154</f>
        <v>1.0147104851330204</v>
      </c>
      <c r="AG151">
        <f>Year_2032!AG154/Year_2025!AG154</f>
        <v>1.024485036921881</v>
      </c>
      <c r="AH151">
        <f>Year_2032!AH154/Year_2025!AH154</f>
        <v>1.2175976138828633</v>
      </c>
      <c r="AI151">
        <f>Year_2032!AI154/Year_2025!AI154</f>
        <v>1.0387588339222613</v>
      </c>
      <c r="AJ151">
        <f>Year_2032!AJ154/Year_2025!AJ154</f>
        <v>1.2411300919842314</v>
      </c>
      <c r="AK151">
        <f>Year_2032!AK154/Year_2025!AK154</f>
        <v>1.0084369449378332</v>
      </c>
      <c r="AL151" t="e">
        <f>Year_2032!AL154/Year_2025!AL154</f>
        <v>#DIV/0!</v>
      </c>
      <c r="AM151" t="e">
        <f>Year_2032!AM154/Year_2025!AM154</f>
        <v>#DIV/0!</v>
      </c>
      <c r="AN151" t="e">
        <f>Year_2032!AN154/Year_2025!AN154</f>
        <v>#DIV/0!</v>
      </c>
      <c r="AO151" t="e">
        <f>Year_2032!AO154/Year_2025!AO154</f>
        <v>#DIV/0!</v>
      </c>
      <c r="AP151" t="e">
        <f>Year_2032!AP154/Year_2025!AP154</f>
        <v>#DIV/0!</v>
      </c>
      <c r="AQ151" t="e">
        <f>Year_2032!AQ154/Year_2025!AQ154</f>
        <v>#DIV/0!</v>
      </c>
      <c r="AR151" t="e">
        <f>Year_2032!AR154/Year_2025!AR154</f>
        <v>#DIV/0!</v>
      </c>
      <c r="AS151" t="e">
        <f>Year_2032!AS154/Year_2025!AS154</f>
        <v>#DIV/0!</v>
      </c>
      <c r="AT151" t="e">
        <f>Year_2032!AT154/Year_2025!AT154</f>
        <v>#DIV/0!</v>
      </c>
      <c r="AU151" t="e">
        <f>Year_2032!AU154/Year_2025!AU154</f>
        <v>#DIV/0!</v>
      </c>
      <c r="AV151" t="e">
        <f>Year_2032!AV154/Year_2025!AV154</f>
        <v>#DIV/0!</v>
      </c>
      <c r="AW151" t="e">
        <f>Year_2032!AW154/Year_2025!AW154</f>
        <v>#DIV/0!</v>
      </c>
      <c r="AX151" t="e">
        <f>Year_2032!AX154/Year_2025!AX154</f>
        <v>#DIV/0!</v>
      </c>
    </row>
    <row r="152" spans="2:50" x14ac:dyDescent="0.3">
      <c r="B152">
        <f>Year_2032!B155</f>
        <v>0</v>
      </c>
      <c r="C152" t="e">
        <f>Year_2032!C155/Year_2025!C155</f>
        <v>#DIV/0!</v>
      </c>
      <c r="D152" t="e">
        <f>Year_2032!D155/Year_2025!D155</f>
        <v>#DIV/0!</v>
      </c>
      <c r="E152" t="e">
        <f>Year_2032!E155/Year_2025!E155</f>
        <v>#DIV/0!</v>
      </c>
      <c r="F152" t="e">
        <f>Year_2032!F155/Year_2025!F155</f>
        <v>#DIV/0!</v>
      </c>
      <c r="G152" t="e">
        <f>Year_2032!G155/Year_2025!G155</f>
        <v>#DIV/0!</v>
      </c>
      <c r="H152" t="e">
        <f>Year_2032!H155/Year_2025!H155</f>
        <v>#DIV/0!</v>
      </c>
      <c r="I152" t="e">
        <f>Year_2032!I155/Year_2025!I155</f>
        <v>#DIV/0!</v>
      </c>
      <c r="J152" t="e">
        <f>Year_2032!J155/Year_2025!J155</f>
        <v>#DIV/0!</v>
      </c>
      <c r="K152" t="e">
        <f>Year_2032!K155/Year_2025!K155</f>
        <v>#DIV/0!</v>
      </c>
      <c r="L152" t="e">
        <f>Year_2032!L155/Year_2025!L155</f>
        <v>#DIV/0!</v>
      </c>
      <c r="M152" t="e">
        <f>Year_2032!M155/Year_2025!M155</f>
        <v>#DIV/0!</v>
      </c>
      <c r="N152" t="str">
        <f>Year_2032!N155</f>
        <v>PM-Peak</v>
      </c>
      <c r="O152">
        <f>Year_2032!O155/Year_2025!O155</f>
        <v>1.6369268897149938</v>
      </c>
      <c r="P152">
        <f>Year_2032!P155/Year_2025!P155</f>
        <v>1.3826826439891766</v>
      </c>
      <c r="Q152">
        <f>Year_2032!Q155/Year_2025!Q155</f>
        <v>1.1531595019967114</v>
      </c>
      <c r="R152">
        <f>Year_2032!R155/Year_2025!R155</f>
        <v>1.1767460007803356</v>
      </c>
      <c r="S152">
        <f>Year_2032!S155/Year_2025!S155</f>
        <v>1.1688311688311688</v>
      </c>
      <c r="T152">
        <f>Year_2032!T155/Year_2025!T155</f>
        <v>1.5717821782178216</v>
      </c>
      <c r="U152">
        <f>Year_2032!U155/Year_2025!U155</f>
        <v>1.1668997668997669</v>
      </c>
      <c r="V152">
        <f>Year_2032!V155/Year_2025!V155</f>
        <v>1.2361680327868851</v>
      </c>
      <c r="W152">
        <f>Year_2032!W155/Year_2025!W155</f>
        <v>1.1761501210653753</v>
      </c>
      <c r="X152">
        <f>Year_2032!X155/Year_2025!X155</f>
        <v>0.99895506792058519</v>
      </c>
      <c r="Y152" t="e">
        <f>Year_2032!Y155/Year_2025!Y155</f>
        <v>#DIV/0!</v>
      </c>
      <c r="Z152" t="e">
        <f>Year_2032!Z155/Year_2025!Z155</f>
        <v>#DIV/0!</v>
      </c>
      <c r="AA152" t="e">
        <f>Year_2032!AA155/Year_2025!AA155</f>
        <v>#VALUE!</v>
      </c>
      <c r="AB152">
        <f>Year_2032!AB155/Year_2025!AB155</f>
        <v>1.0980511571254568</v>
      </c>
      <c r="AC152">
        <f>Year_2032!AC155/Year_2025!AC155</f>
        <v>1.1543961352657006</v>
      </c>
      <c r="AD152">
        <f>Year_2032!AD155/Year_2025!AD155</f>
        <v>1.2237857736610855</v>
      </c>
      <c r="AE152">
        <f>Year_2032!AE155/Year_2025!AE155</f>
        <v>1.2215911921486575</v>
      </c>
      <c r="AF152">
        <f>Year_2032!AF155/Year_2025!AF155</f>
        <v>0.95321336760925446</v>
      </c>
      <c r="AG152">
        <f>Year_2032!AG155/Year_2025!AG155</f>
        <v>1.1099302030456852</v>
      </c>
      <c r="AH152">
        <f>Year_2032!AH155/Year_2025!AH155</f>
        <v>1.2129862357869539</v>
      </c>
      <c r="AI152">
        <f>Year_2032!AI155/Year_2025!AI155</f>
        <v>1.2079246508606691</v>
      </c>
      <c r="AJ152">
        <f>Year_2032!AJ155/Year_2025!AJ155</f>
        <v>1.2203731719616742</v>
      </c>
      <c r="AK152">
        <f>Year_2032!AK155/Year_2025!AK155</f>
        <v>1.0002891008962127</v>
      </c>
      <c r="AL152" t="e">
        <f>Year_2032!AL155/Year_2025!AL155</f>
        <v>#DIV/0!</v>
      </c>
      <c r="AM152" t="e">
        <f>Year_2032!AM155/Year_2025!AM155</f>
        <v>#DIV/0!</v>
      </c>
      <c r="AN152" t="e">
        <f>Year_2032!AN155/Year_2025!AN155</f>
        <v>#DIV/0!</v>
      </c>
      <c r="AO152" t="e">
        <f>Year_2032!AO155/Year_2025!AO155</f>
        <v>#DIV/0!</v>
      </c>
      <c r="AP152" t="e">
        <f>Year_2032!AP155/Year_2025!AP155</f>
        <v>#DIV/0!</v>
      </c>
      <c r="AQ152" t="e">
        <f>Year_2032!AQ155/Year_2025!AQ155</f>
        <v>#DIV/0!</v>
      </c>
      <c r="AR152" t="e">
        <f>Year_2032!AR155/Year_2025!AR155</f>
        <v>#DIV/0!</v>
      </c>
      <c r="AS152" t="e">
        <f>Year_2032!AS155/Year_2025!AS155</f>
        <v>#DIV/0!</v>
      </c>
      <c r="AT152" t="e">
        <f>Year_2032!AT155/Year_2025!AT155</f>
        <v>#DIV/0!</v>
      </c>
      <c r="AU152" t="e">
        <f>Year_2032!AU155/Year_2025!AU155</f>
        <v>#DIV/0!</v>
      </c>
      <c r="AV152" t="e">
        <f>Year_2032!AV155/Year_2025!AV155</f>
        <v>#DIV/0!</v>
      </c>
      <c r="AW152" t="e">
        <f>Year_2032!AW155/Year_2025!AW155</f>
        <v>#DIV/0!</v>
      </c>
      <c r="AX152" t="e">
        <f>Year_2032!AX155/Year_2025!AX155</f>
        <v>#DIV/0!</v>
      </c>
    </row>
    <row r="153" spans="2:50" x14ac:dyDescent="0.3">
      <c r="B153">
        <f>Year_2032!B156</f>
        <v>0</v>
      </c>
      <c r="C153" t="e">
        <f>Year_2032!C156/Year_2025!C156</f>
        <v>#DIV/0!</v>
      </c>
      <c r="D153" t="e">
        <f>Year_2032!D156/Year_2025!D156</f>
        <v>#DIV/0!</v>
      </c>
      <c r="E153" t="e">
        <f>Year_2032!E156/Year_2025!E156</f>
        <v>#DIV/0!</v>
      </c>
      <c r="F153" t="e">
        <f>Year_2032!F156/Year_2025!F156</f>
        <v>#DIV/0!</v>
      </c>
      <c r="G153" t="e">
        <f>Year_2032!G156/Year_2025!G156</f>
        <v>#DIV/0!</v>
      </c>
      <c r="H153" t="e">
        <f>Year_2032!H156/Year_2025!H156</f>
        <v>#DIV/0!</v>
      </c>
      <c r="I153" t="e">
        <f>Year_2032!I156/Year_2025!I156</f>
        <v>#DIV/0!</v>
      </c>
      <c r="J153" t="e">
        <f>Year_2032!J156/Year_2025!J156</f>
        <v>#DIV/0!</v>
      </c>
      <c r="K153" t="e">
        <f>Year_2032!K156/Year_2025!K156</f>
        <v>#DIV/0!</v>
      </c>
      <c r="L153" t="e">
        <f>Year_2032!L156/Year_2025!L156</f>
        <v>#DIV/0!</v>
      </c>
      <c r="M153" t="e">
        <f>Year_2032!M156/Year_2025!M156</f>
        <v>#DIV/0!</v>
      </c>
      <c r="N153" t="str">
        <f>Year_2032!N156</f>
        <v>PM-Late</v>
      </c>
      <c r="O153">
        <f>Year_2032!O156/Year_2025!O156</f>
        <v>1.1996996996996998</v>
      </c>
      <c r="P153">
        <f>Year_2032!P156/Year_2025!P156</f>
        <v>1.1971090670170828</v>
      </c>
      <c r="Q153">
        <f>Year_2032!Q156/Year_2025!Q156</f>
        <v>1.2046925566343043</v>
      </c>
      <c r="R153">
        <f>Year_2032!R156/Year_2025!R156</f>
        <v>1.1980676328502415</v>
      </c>
      <c r="S153">
        <f>Year_2032!S156/Year_2025!S156</f>
        <v>1</v>
      </c>
      <c r="T153">
        <f>Year_2032!T156/Year_2025!T156</f>
        <v>1.1953188054882971</v>
      </c>
      <c r="U153">
        <f>Year_2032!U156/Year_2025!U156</f>
        <v>1.3477218225419665</v>
      </c>
      <c r="V153">
        <f>Year_2032!V156/Year_2025!V156</f>
        <v>1.2059925093632959</v>
      </c>
      <c r="W153">
        <f>Year_2032!W156/Year_2025!W156</f>
        <v>1.2083333333333333</v>
      </c>
      <c r="X153">
        <f>Year_2032!X156/Year_2025!X156</f>
        <v>1.030241935483871</v>
      </c>
      <c r="Y153" t="e">
        <f>Year_2032!Y156/Year_2025!Y156</f>
        <v>#DIV/0!</v>
      </c>
      <c r="Z153" t="e">
        <f>Year_2032!Z156/Year_2025!Z156</f>
        <v>#DIV/0!</v>
      </c>
      <c r="AA153" t="e">
        <f>Year_2032!AA156/Year_2025!AA156</f>
        <v>#VALUE!</v>
      </c>
      <c r="AB153">
        <f>Year_2032!AB156/Year_2025!AB156</f>
        <v>1.2000759301442672</v>
      </c>
      <c r="AC153">
        <f>Year_2032!AC156/Year_2025!AC156</f>
        <v>1.2007360321177651</v>
      </c>
      <c r="AD153">
        <f>Year_2032!AD156/Year_2025!AD156</f>
        <v>1.2168389319552111</v>
      </c>
      <c r="AE153">
        <f>Year_2032!AE156/Year_2025!AE156</f>
        <v>1.2005108556832695</v>
      </c>
      <c r="AF153">
        <f>Year_2032!AF156/Year_2025!AF156</f>
        <v>1</v>
      </c>
      <c r="AG153">
        <f>Year_2032!AG156/Year_2025!AG156</f>
        <v>1.2012337800467985</v>
      </c>
      <c r="AH153">
        <f>Year_2032!AH156/Year_2025!AH156</f>
        <v>1.1663938897981452</v>
      </c>
      <c r="AI153">
        <f>Year_2032!AI156/Year_2025!AI156</f>
        <v>1.2089627391742197</v>
      </c>
      <c r="AJ153">
        <f>Year_2032!AJ156/Year_2025!AJ156</f>
        <v>1.199575371549894</v>
      </c>
      <c r="AK153">
        <f>Year_2032!AK156/Year_2025!AK156</f>
        <v>1.0313024035774174</v>
      </c>
      <c r="AL153" t="e">
        <f>Year_2032!AL156/Year_2025!AL156</f>
        <v>#DIV/0!</v>
      </c>
      <c r="AM153" t="e">
        <f>Year_2032!AM156/Year_2025!AM156</f>
        <v>#DIV/0!</v>
      </c>
      <c r="AN153" t="e">
        <f>Year_2032!AN156/Year_2025!AN156</f>
        <v>#DIV/0!</v>
      </c>
      <c r="AO153" t="e">
        <f>Year_2032!AO156/Year_2025!AO156</f>
        <v>#DIV/0!</v>
      </c>
      <c r="AP153" t="e">
        <f>Year_2032!AP156/Year_2025!AP156</f>
        <v>#DIV/0!</v>
      </c>
      <c r="AQ153" t="e">
        <f>Year_2032!AQ156/Year_2025!AQ156</f>
        <v>#DIV/0!</v>
      </c>
      <c r="AR153" t="e">
        <f>Year_2032!AR156/Year_2025!AR156</f>
        <v>#DIV/0!</v>
      </c>
      <c r="AS153" t="e">
        <f>Year_2032!AS156/Year_2025!AS156</f>
        <v>#DIV/0!</v>
      </c>
      <c r="AT153" t="e">
        <f>Year_2032!AT156/Year_2025!AT156</f>
        <v>#DIV/0!</v>
      </c>
      <c r="AU153" t="e">
        <f>Year_2032!AU156/Year_2025!AU156</f>
        <v>#DIV/0!</v>
      </c>
      <c r="AV153" t="e">
        <f>Year_2032!AV156/Year_2025!AV156</f>
        <v>#DIV/0!</v>
      </c>
      <c r="AW153" t="e">
        <f>Year_2032!AW156/Year_2025!AW156</f>
        <v>#DIV/0!</v>
      </c>
      <c r="AX153" t="e">
        <f>Year_2032!AX156/Year_2025!AX156</f>
        <v>#DIV/0!</v>
      </c>
    </row>
    <row r="154" spans="2:50" x14ac:dyDescent="0.3">
      <c r="B154">
        <f>Year_2032!B157</f>
        <v>0</v>
      </c>
      <c r="C154" t="e">
        <f>Year_2032!C157/Year_2025!C157</f>
        <v>#DIV/0!</v>
      </c>
      <c r="D154" t="e">
        <f>Year_2032!D157/Year_2025!D157</f>
        <v>#DIV/0!</v>
      </c>
      <c r="E154" t="e">
        <f>Year_2032!E157/Year_2025!E157</f>
        <v>#DIV/0!</v>
      </c>
      <c r="F154" t="e">
        <f>Year_2032!F157/Year_2025!F157</f>
        <v>#DIV/0!</v>
      </c>
      <c r="G154" t="e">
        <f>Year_2032!G157/Year_2025!G157</f>
        <v>#DIV/0!</v>
      </c>
      <c r="H154" t="e">
        <f>Year_2032!H157/Year_2025!H157</f>
        <v>#DIV/0!</v>
      </c>
      <c r="I154" t="e">
        <f>Year_2032!I157/Year_2025!I157</f>
        <v>#DIV/0!</v>
      </c>
      <c r="J154" t="e">
        <f>Year_2032!J157/Year_2025!J157</f>
        <v>#DIV/0!</v>
      </c>
      <c r="K154" t="e">
        <f>Year_2032!K157/Year_2025!K157</f>
        <v>#DIV/0!</v>
      </c>
      <c r="L154" t="e">
        <f>Year_2032!L157/Year_2025!L157</f>
        <v>#DIV/0!</v>
      </c>
      <c r="M154" t="e">
        <f>Year_2032!M157/Year_2025!M157</f>
        <v>#DIV/0!</v>
      </c>
      <c r="N154">
        <f>Year_2032!N157</f>
        <v>0</v>
      </c>
      <c r="O154" t="e">
        <f>Year_2032!O157/Year_2025!O157</f>
        <v>#DIV/0!</v>
      </c>
      <c r="P154" t="e">
        <f>Year_2032!P157/Year_2025!P157</f>
        <v>#DIV/0!</v>
      </c>
      <c r="Q154" t="e">
        <f>Year_2032!Q157/Year_2025!Q157</f>
        <v>#DIV/0!</v>
      </c>
      <c r="R154" t="e">
        <f>Year_2032!R157/Year_2025!R157</f>
        <v>#DIV/0!</v>
      </c>
      <c r="S154" t="e">
        <f>Year_2032!S157/Year_2025!S157</f>
        <v>#DIV/0!</v>
      </c>
      <c r="T154" t="e">
        <f>Year_2032!T157/Year_2025!T157</f>
        <v>#DIV/0!</v>
      </c>
      <c r="U154" t="e">
        <f>Year_2032!U157/Year_2025!U157</f>
        <v>#DIV/0!</v>
      </c>
      <c r="V154" t="e">
        <f>Year_2032!V157/Year_2025!V157</f>
        <v>#DIV/0!</v>
      </c>
      <c r="W154" t="e">
        <f>Year_2032!W157/Year_2025!W157</f>
        <v>#DIV/0!</v>
      </c>
      <c r="X154" t="e">
        <f>Year_2032!X157/Year_2025!X157</f>
        <v>#DIV/0!</v>
      </c>
      <c r="Y154" t="e">
        <f>Year_2032!Y157/Year_2025!Y157</f>
        <v>#DIV/0!</v>
      </c>
      <c r="Z154" t="e">
        <f>Year_2032!Z157/Year_2025!Z157</f>
        <v>#DIV/0!</v>
      </c>
      <c r="AA154" t="e">
        <f>Year_2032!AA157/Year_2025!AA157</f>
        <v>#DIV/0!</v>
      </c>
      <c r="AB154" t="e">
        <f>Year_2032!AB157/Year_2025!AB157</f>
        <v>#DIV/0!</v>
      </c>
      <c r="AC154" t="e">
        <f>Year_2032!AC157/Year_2025!AC157</f>
        <v>#DIV/0!</v>
      </c>
      <c r="AD154" t="e">
        <f>Year_2032!AD157/Year_2025!AD157</f>
        <v>#DIV/0!</v>
      </c>
      <c r="AE154" t="e">
        <f>Year_2032!AE157/Year_2025!AE157</f>
        <v>#DIV/0!</v>
      </c>
      <c r="AF154" t="e">
        <f>Year_2032!AF157/Year_2025!AF157</f>
        <v>#DIV/0!</v>
      </c>
      <c r="AG154" t="e">
        <f>Year_2032!AG157/Year_2025!AG157</f>
        <v>#DIV/0!</v>
      </c>
      <c r="AH154" t="e">
        <f>Year_2032!AH157/Year_2025!AH157</f>
        <v>#DIV/0!</v>
      </c>
      <c r="AI154" t="e">
        <f>Year_2032!AI157/Year_2025!AI157</f>
        <v>#DIV/0!</v>
      </c>
      <c r="AJ154" t="e">
        <f>Year_2032!AJ157/Year_2025!AJ157</f>
        <v>#DIV/0!</v>
      </c>
      <c r="AK154" t="e">
        <f>Year_2032!AK157/Year_2025!AK157</f>
        <v>#DIV/0!</v>
      </c>
      <c r="AL154" t="e">
        <f>Year_2032!AL157/Year_2025!AL157</f>
        <v>#DIV/0!</v>
      </c>
      <c r="AM154" t="e">
        <f>Year_2032!AM157/Year_2025!AM157</f>
        <v>#DIV/0!</v>
      </c>
      <c r="AN154" t="e">
        <f>Year_2032!AN157/Year_2025!AN157</f>
        <v>#DIV/0!</v>
      </c>
      <c r="AO154" t="e">
        <f>Year_2032!AO157/Year_2025!AO157</f>
        <v>#DIV/0!</v>
      </c>
      <c r="AP154" t="e">
        <f>Year_2032!AP157/Year_2025!AP157</f>
        <v>#DIV/0!</v>
      </c>
      <c r="AQ154" t="e">
        <f>Year_2032!AQ157/Year_2025!AQ157</f>
        <v>#DIV/0!</v>
      </c>
      <c r="AR154" t="e">
        <f>Year_2032!AR157/Year_2025!AR157</f>
        <v>#DIV/0!</v>
      </c>
      <c r="AS154" t="e">
        <f>Year_2032!AS157/Year_2025!AS157</f>
        <v>#DIV/0!</v>
      </c>
      <c r="AT154" t="e">
        <f>Year_2032!AT157/Year_2025!AT157</f>
        <v>#DIV/0!</v>
      </c>
      <c r="AU154" t="e">
        <f>Year_2032!AU157/Year_2025!AU157</f>
        <v>#DIV/0!</v>
      </c>
      <c r="AV154" t="e">
        <f>Year_2032!AV157/Year_2025!AV157</f>
        <v>#DIV/0!</v>
      </c>
      <c r="AW154" t="e">
        <f>Year_2032!AW157/Year_2025!AW157</f>
        <v>#DIV/0!</v>
      </c>
      <c r="AX154" t="e">
        <f>Year_2032!AX157/Year_2025!AX157</f>
        <v>#DIV/0!</v>
      </c>
    </row>
    <row r="155" spans="2:50" x14ac:dyDescent="0.3">
      <c r="B155">
        <f>Year_2032!B158</f>
        <v>0</v>
      </c>
      <c r="C155" t="e">
        <f>Year_2032!C158/Year_2025!C158</f>
        <v>#DIV/0!</v>
      </c>
      <c r="D155" t="e">
        <f>Year_2032!D158/Year_2025!D158</f>
        <v>#DIV/0!</v>
      </c>
      <c r="E155" t="e">
        <f>Year_2032!E158/Year_2025!E158</f>
        <v>#DIV/0!</v>
      </c>
      <c r="F155" t="e">
        <f>Year_2032!F158/Year_2025!F158</f>
        <v>#DIV/0!</v>
      </c>
      <c r="G155" t="e">
        <f>Year_2032!G158/Year_2025!G158</f>
        <v>#DIV/0!</v>
      </c>
      <c r="H155" t="e">
        <f>Year_2032!H158/Year_2025!H158</f>
        <v>#DIV/0!</v>
      </c>
      <c r="I155" t="e">
        <f>Year_2032!I158/Year_2025!I158</f>
        <v>#DIV/0!</v>
      </c>
      <c r="J155" t="e">
        <f>Year_2032!J158/Year_2025!J158</f>
        <v>#DIV/0!</v>
      </c>
      <c r="K155" t="e">
        <f>Year_2032!K158/Year_2025!K158</f>
        <v>#DIV/0!</v>
      </c>
      <c r="L155" t="e">
        <f>Year_2032!L158/Year_2025!L158</f>
        <v>#DIV/0!</v>
      </c>
      <c r="M155" t="e">
        <f>Year_2032!M158/Year_2025!M158</f>
        <v>#DIV/0!</v>
      </c>
      <c r="N155">
        <f>Year_2032!N158</f>
        <v>0</v>
      </c>
      <c r="O155" t="e">
        <f>Year_2032!O158/Year_2025!O158</f>
        <v>#DIV/0!</v>
      </c>
      <c r="P155" t="e">
        <f>Year_2032!P158/Year_2025!P158</f>
        <v>#DIV/0!</v>
      </c>
      <c r="Q155" t="e">
        <f>Year_2032!Q158/Year_2025!Q158</f>
        <v>#DIV/0!</v>
      </c>
      <c r="R155" t="e">
        <f>Year_2032!R158/Year_2025!R158</f>
        <v>#DIV/0!</v>
      </c>
      <c r="S155" t="e">
        <f>Year_2032!S158/Year_2025!S158</f>
        <v>#DIV/0!</v>
      </c>
      <c r="T155" t="e">
        <f>Year_2032!T158/Year_2025!T158</f>
        <v>#DIV/0!</v>
      </c>
      <c r="U155" t="e">
        <f>Year_2032!U158/Year_2025!U158</f>
        <v>#DIV/0!</v>
      </c>
      <c r="V155" t="e">
        <f>Year_2032!V158/Year_2025!V158</f>
        <v>#DIV/0!</v>
      </c>
      <c r="W155" t="e">
        <f>Year_2032!W158/Year_2025!W158</f>
        <v>#DIV/0!</v>
      </c>
      <c r="X155" t="e">
        <f>Year_2032!X158/Year_2025!X158</f>
        <v>#DIV/0!</v>
      </c>
      <c r="Y155" t="e">
        <f>Year_2032!Y158/Year_2025!Y158</f>
        <v>#DIV/0!</v>
      </c>
      <c r="Z155" t="e">
        <f>Year_2032!Z158/Year_2025!Z158</f>
        <v>#DIV/0!</v>
      </c>
      <c r="AA155" t="e">
        <f>Year_2032!AA158/Year_2025!AA158</f>
        <v>#DIV/0!</v>
      </c>
      <c r="AB155" t="e">
        <f>Year_2032!AB158/Year_2025!AB158</f>
        <v>#DIV/0!</v>
      </c>
      <c r="AC155" t="e">
        <f>Year_2032!AC158/Year_2025!AC158</f>
        <v>#DIV/0!</v>
      </c>
      <c r="AD155" t="e">
        <f>Year_2032!AD158/Year_2025!AD158</f>
        <v>#DIV/0!</v>
      </c>
      <c r="AE155" t="e">
        <f>Year_2032!AE158/Year_2025!AE158</f>
        <v>#DIV/0!</v>
      </c>
      <c r="AF155" t="e">
        <f>Year_2032!AF158/Year_2025!AF158</f>
        <v>#DIV/0!</v>
      </c>
      <c r="AG155" t="e">
        <f>Year_2032!AG158/Year_2025!AG158</f>
        <v>#DIV/0!</v>
      </c>
      <c r="AH155" t="e">
        <f>Year_2032!AH158/Year_2025!AH158</f>
        <v>#DIV/0!</v>
      </c>
      <c r="AI155" t="e">
        <f>Year_2032!AI158/Year_2025!AI158</f>
        <v>#DIV/0!</v>
      </c>
      <c r="AJ155" t="e">
        <f>Year_2032!AJ158/Year_2025!AJ158</f>
        <v>#DIV/0!</v>
      </c>
      <c r="AK155" t="e">
        <f>Year_2032!AK158/Year_2025!AK158</f>
        <v>#DIV/0!</v>
      </c>
      <c r="AL155" t="e">
        <f>Year_2032!AL158/Year_2025!AL158</f>
        <v>#DIV/0!</v>
      </c>
      <c r="AM155" t="e">
        <f>Year_2032!AM158/Year_2025!AM158</f>
        <v>#DIV/0!</v>
      </c>
      <c r="AN155" t="e">
        <f>Year_2032!AN158/Year_2025!AN158</f>
        <v>#DIV/0!</v>
      </c>
      <c r="AO155" t="e">
        <f>Year_2032!AO158/Year_2025!AO158</f>
        <v>#DIV/0!</v>
      </c>
      <c r="AP155" t="e">
        <f>Year_2032!AP158/Year_2025!AP158</f>
        <v>#DIV/0!</v>
      </c>
      <c r="AQ155" t="e">
        <f>Year_2032!AQ158/Year_2025!AQ158</f>
        <v>#DIV/0!</v>
      </c>
      <c r="AR155" t="e">
        <f>Year_2032!AR158/Year_2025!AR158</f>
        <v>#DIV/0!</v>
      </c>
      <c r="AS155" t="e">
        <f>Year_2032!AS158/Year_2025!AS158</f>
        <v>#DIV/0!</v>
      </c>
      <c r="AT155" t="e">
        <f>Year_2032!AT158/Year_2025!AT158</f>
        <v>#DIV/0!</v>
      </c>
      <c r="AU155" t="e">
        <f>Year_2032!AU158/Year_2025!AU158</f>
        <v>#DIV/0!</v>
      </c>
      <c r="AV155" t="e">
        <f>Year_2032!AV158/Year_2025!AV158</f>
        <v>#DIV/0!</v>
      </c>
      <c r="AW155" t="e">
        <f>Year_2032!AW158/Year_2025!AW158</f>
        <v>#DIV/0!</v>
      </c>
      <c r="AX155" t="e">
        <f>Year_2032!AX158/Year_2025!AX158</f>
        <v>#DIV/0!</v>
      </c>
    </row>
    <row r="156" spans="2:50" x14ac:dyDescent="0.3">
      <c r="B156">
        <f>Year_2032!B159</f>
        <v>0</v>
      </c>
      <c r="C156" t="e">
        <f>Year_2032!C159/Year_2025!C159</f>
        <v>#DIV/0!</v>
      </c>
      <c r="D156" t="e">
        <f>Year_2032!D159/Year_2025!D159</f>
        <v>#DIV/0!</v>
      </c>
      <c r="E156" t="e">
        <f>Year_2032!E159/Year_2025!E159</f>
        <v>#DIV/0!</v>
      </c>
      <c r="F156" t="e">
        <f>Year_2032!F159/Year_2025!F159</f>
        <v>#DIV/0!</v>
      </c>
      <c r="G156" t="e">
        <f>Year_2032!G159/Year_2025!G159</f>
        <v>#DIV/0!</v>
      </c>
      <c r="H156" t="e">
        <f>Year_2032!H159/Year_2025!H159</f>
        <v>#DIV/0!</v>
      </c>
      <c r="I156" t="e">
        <f>Year_2032!I159/Year_2025!I159</f>
        <v>#DIV/0!</v>
      </c>
      <c r="J156" t="e">
        <f>Year_2032!J159/Year_2025!J159</f>
        <v>#DIV/0!</v>
      </c>
      <c r="K156" t="e">
        <f>Year_2032!K159/Year_2025!K159</f>
        <v>#DIV/0!</v>
      </c>
      <c r="L156" t="e">
        <f>Year_2032!L159/Year_2025!L159</f>
        <v>#DIV/0!</v>
      </c>
      <c r="M156" t="e">
        <f>Year_2032!M159/Year_2025!M159</f>
        <v>#DIV/0!</v>
      </c>
      <c r="N156" t="str">
        <f>Year_2032!N159</f>
        <v>ML medium B veh/period</v>
      </c>
      <c r="O156" t="e">
        <f>Year_2032!O159/Year_2025!O159</f>
        <v>#DIV/0!</v>
      </c>
      <c r="P156" t="e">
        <f>Year_2032!P159/Year_2025!P159</f>
        <v>#DIV/0!</v>
      </c>
      <c r="Q156" t="e">
        <f>Year_2032!Q159/Year_2025!Q159</f>
        <v>#DIV/0!</v>
      </c>
      <c r="R156" t="e">
        <f>Year_2032!R159/Year_2025!R159</f>
        <v>#DIV/0!</v>
      </c>
      <c r="S156" t="e">
        <f>Year_2032!S159/Year_2025!S159</f>
        <v>#DIV/0!</v>
      </c>
      <c r="T156" t="e">
        <f>Year_2032!T159/Year_2025!T159</f>
        <v>#DIV/0!</v>
      </c>
      <c r="U156" t="e">
        <f>Year_2032!U159/Year_2025!U159</f>
        <v>#DIV/0!</v>
      </c>
      <c r="V156" t="e">
        <f>Year_2032!V159/Year_2025!V159</f>
        <v>#DIV/0!</v>
      </c>
      <c r="W156" t="e">
        <f>Year_2032!W159/Year_2025!W159</f>
        <v>#DIV/0!</v>
      </c>
      <c r="X156" t="e">
        <f>Year_2032!X159/Year_2025!X159</f>
        <v>#DIV/0!</v>
      </c>
      <c r="Y156" t="e">
        <f>Year_2032!Y159/Year_2025!Y159</f>
        <v>#DIV/0!</v>
      </c>
      <c r="Z156" t="e">
        <f>Year_2032!Z159/Year_2025!Z159</f>
        <v>#DIV/0!</v>
      </c>
      <c r="AA156" t="e">
        <f>Year_2032!AA159/Year_2025!AA159</f>
        <v>#VALUE!</v>
      </c>
      <c r="AB156" t="e">
        <f>Year_2032!AB159/Year_2025!AB159</f>
        <v>#DIV/0!</v>
      </c>
      <c r="AC156" t="e">
        <f>Year_2032!AC159/Year_2025!AC159</f>
        <v>#DIV/0!</v>
      </c>
      <c r="AD156" t="e">
        <f>Year_2032!AD159/Year_2025!AD159</f>
        <v>#DIV/0!</v>
      </c>
      <c r="AE156" t="e">
        <f>Year_2032!AE159/Year_2025!AE159</f>
        <v>#DIV/0!</v>
      </c>
      <c r="AF156" t="e">
        <f>Year_2032!AF159/Year_2025!AF159</f>
        <v>#DIV/0!</v>
      </c>
      <c r="AG156" t="e">
        <f>Year_2032!AG159/Year_2025!AG159</f>
        <v>#DIV/0!</v>
      </c>
      <c r="AH156" t="e">
        <f>Year_2032!AH159/Year_2025!AH159</f>
        <v>#DIV/0!</v>
      </c>
      <c r="AI156" t="e">
        <f>Year_2032!AI159/Year_2025!AI159</f>
        <v>#DIV/0!</v>
      </c>
      <c r="AJ156" t="e">
        <f>Year_2032!AJ159/Year_2025!AJ159</f>
        <v>#DIV/0!</v>
      </c>
      <c r="AK156" t="e">
        <f>Year_2032!AK159/Year_2025!AK159</f>
        <v>#DIV/0!</v>
      </c>
      <c r="AL156" t="e">
        <f>Year_2032!AL159/Year_2025!AL159</f>
        <v>#DIV/0!</v>
      </c>
      <c r="AM156" t="e">
        <f>Year_2032!AM159/Year_2025!AM159</f>
        <v>#DIV/0!</v>
      </c>
      <c r="AN156" t="e">
        <f>Year_2032!AN159/Year_2025!AN159</f>
        <v>#DIV/0!</v>
      </c>
      <c r="AO156" t="e">
        <f>Year_2032!AO159/Year_2025!AO159</f>
        <v>#DIV/0!</v>
      </c>
      <c r="AP156" t="e">
        <f>Year_2032!AP159/Year_2025!AP159</f>
        <v>#DIV/0!</v>
      </c>
      <c r="AQ156" t="e">
        <f>Year_2032!AQ159/Year_2025!AQ159</f>
        <v>#DIV/0!</v>
      </c>
      <c r="AR156" t="e">
        <f>Year_2032!AR159/Year_2025!AR159</f>
        <v>#DIV/0!</v>
      </c>
      <c r="AS156" t="e">
        <f>Year_2032!AS159/Year_2025!AS159</f>
        <v>#DIV/0!</v>
      </c>
      <c r="AT156" t="e">
        <f>Year_2032!AT159/Year_2025!AT159</f>
        <v>#DIV/0!</v>
      </c>
      <c r="AU156" t="e">
        <f>Year_2032!AU159/Year_2025!AU159</f>
        <v>#DIV/0!</v>
      </c>
      <c r="AV156" t="e">
        <f>Year_2032!AV159/Year_2025!AV159</f>
        <v>#DIV/0!</v>
      </c>
      <c r="AW156" t="e">
        <f>Year_2032!AW159/Year_2025!AW159</f>
        <v>#DIV/0!</v>
      </c>
      <c r="AX156" t="e">
        <f>Year_2032!AX159/Year_2025!AX159</f>
        <v>#DIV/0!</v>
      </c>
    </row>
    <row r="157" spans="2:50" x14ac:dyDescent="0.3">
      <c r="B157">
        <f>Year_2032!B160</f>
        <v>0</v>
      </c>
      <c r="C157" t="e">
        <f>Year_2032!C160/Year_2025!C160</f>
        <v>#DIV/0!</v>
      </c>
      <c r="D157" t="e">
        <f>Year_2032!D160/Year_2025!D160</f>
        <v>#DIV/0!</v>
      </c>
      <c r="E157" t="e">
        <f>Year_2032!E160/Year_2025!E160</f>
        <v>#DIV/0!</v>
      </c>
      <c r="F157" t="e">
        <f>Year_2032!F160/Year_2025!F160</f>
        <v>#DIV/0!</v>
      </c>
      <c r="G157" t="e">
        <f>Year_2032!G160/Year_2025!G160</f>
        <v>#DIV/0!</v>
      </c>
      <c r="H157" t="e">
        <f>Year_2032!H160/Year_2025!H160</f>
        <v>#DIV/0!</v>
      </c>
      <c r="I157" t="e">
        <f>Year_2032!I160/Year_2025!I160</f>
        <v>#DIV/0!</v>
      </c>
      <c r="J157" t="e">
        <f>Year_2032!J160/Year_2025!J160</f>
        <v>#DIV/0!</v>
      </c>
      <c r="K157" t="e">
        <f>Year_2032!K160/Year_2025!K160</f>
        <v>#DIV/0!</v>
      </c>
      <c r="L157" t="e">
        <f>Year_2032!L160/Year_2025!L160</f>
        <v>#DIV/0!</v>
      </c>
      <c r="M157" t="e">
        <f>Year_2032!M160/Year_2025!M160</f>
        <v>#DIV/0!</v>
      </c>
      <c r="N157" t="str">
        <f>Year_2032!N160</f>
        <v>Direction</v>
      </c>
      <c r="O157" t="e">
        <f>Year_2032!O160/Year_2025!O160</f>
        <v>#VALUE!</v>
      </c>
      <c r="P157" t="e">
        <f>Year_2032!P160/Year_2025!P160</f>
        <v>#VALUE!</v>
      </c>
      <c r="Q157" t="e">
        <f>Year_2032!Q160/Year_2025!Q160</f>
        <v>#VALUE!</v>
      </c>
      <c r="R157" t="e">
        <f>Year_2032!R160/Year_2025!R160</f>
        <v>#VALUE!</v>
      </c>
      <c r="S157" t="e">
        <f>Year_2032!S160/Year_2025!S160</f>
        <v>#VALUE!</v>
      </c>
      <c r="T157" t="e">
        <f>Year_2032!T160/Year_2025!T160</f>
        <v>#VALUE!</v>
      </c>
      <c r="U157" t="e">
        <f>Year_2032!U160/Year_2025!U160</f>
        <v>#VALUE!</v>
      </c>
      <c r="V157" t="e">
        <f>Year_2032!V160/Year_2025!V160</f>
        <v>#VALUE!</v>
      </c>
      <c r="W157" t="e">
        <f>Year_2032!W160/Year_2025!W160</f>
        <v>#VALUE!</v>
      </c>
      <c r="X157" t="e">
        <f>Year_2032!X160/Year_2025!X160</f>
        <v>#VALUE!</v>
      </c>
      <c r="Y157" t="e">
        <f>Year_2032!Y160/Year_2025!Y160</f>
        <v>#DIV/0!</v>
      </c>
      <c r="Z157" t="e">
        <f>Year_2032!Z160/Year_2025!Z160</f>
        <v>#DIV/0!</v>
      </c>
      <c r="AA157" t="e">
        <f>Year_2032!AA160/Year_2025!AA160</f>
        <v>#VALUE!</v>
      </c>
      <c r="AB157" t="e">
        <f>Year_2032!AB160/Year_2025!AB160</f>
        <v>#VALUE!</v>
      </c>
      <c r="AC157" t="e">
        <f>Year_2032!AC160/Year_2025!AC160</f>
        <v>#VALUE!</v>
      </c>
      <c r="AD157" t="e">
        <f>Year_2032!AD160/Year_2025!AD160</f>
        <v>#VALUE!</v>
      </c>
      <c r="AE157" t="e">
        <f>Year_2032!AE160/Year_2025!AE160</f>
        <v>#VALUE!</v>
      </c>
      <c r="AF157" t="e">
        <f>Year_2032!AF160/Year_2025!AF160</f>
        <v>#VALUE!</v>
      </c>
      <c r="AG157" t="e">
        <f>Year_2032!AG160/Year_2025!AG160</f>
        <v>#VALUE!</v>
      </c>
      <c r="AH157" t="e">
        <f>Year_2032!AH160/Year_2025!AH160</f>
        <v>#VALUE!</v>
      </c>
      <c r="AI157" t="e">
        <f>Year_2032!AI160/Year_2025!AI160</f>
        <v>#VALUE!</v>
      </c>
      <c r="AJ157" t="e">
        <f>Year_2032!AJ160/Year_2025!AJ160</f>
        <v>#VALUE!</v>
      </c>
      <c r="AK157" t="e">
        <f>Year_2032!AK160/Year_2025!AK160</f>
        <v>#VALUE!</v>
      </c>
      <c r="AL157" t="e">
        <f>Year_2032!AL160/Year_2025!AL160</f>
        <v>#DIV/0!</v>
      </c>
      <c r="AM157" t="e">
        <f>Year_2032!AM160/Year_2025!AM160</f>
        <v>#DIV/0!</v>
      </c>
      <c r="AN157" t="e">
        <f>Year_2032!AN160/Year_2025!AN160</f>
        <v>#DIV/0!</v>
      </c>
      <c r="AO157" t="e">
        <f>Year_2032!AO160/Year_2025!AO160</f>
        <v>#DIV/0!</v>
      </c>
      <c r="AP157" t="e">
        <f>Year_2032!AP160/Year_2025!AP160</f>
        <v>#DIV/0!</v>
      </c>
      <c r="AQ157" t="e">
        <f>Year_2032!AQ160/Year_2025!AQ160</f>
        <v>#DIV/0!</v>
      </c>
      <c r="AR157" t="e">
        <f>Year_2032!AR160/Year_2025!AR160</f>
        <v>#DIV/0!</v>
      </c>
      <c r="AS157" t="e">
        <f>Year_2032!AS160/Year_2025!AS160</f>
        <v>#DIV/0!</v>
      </c>
      <c r="AT157" t="e">
        <f>Year_2032!AT160/Year_2025!AT160</f>
        <v>#DIV/0!</v>
      </c>
      <c r="AU157" t="e">
        <f>Year_2032!AU160/Year_2025!AU160</f>
        <v>#DIV/0!</v>
      </c>
      <c r="AV157" t="e">
        <f>Year_2032!AV160/Year_2025!AV160</f>
        <v>#DIV/0!</v>
      </c>
      <c r="AW157" t="e">
        <f>Year_2032!AW160/Year_2025!AW160</f>
        <v>#DIV/0!</v>
      </c>
      <c r="AX157" t="e">
        <f>Year_2032!AX160/Year_2025!AX160</f>
        <v>#DIV/0!</v>
      </c>
    </row>
    <row r="158" spans="2:50" x14ac:dyDescent="0.3">
      <c r="B158">
        <f>Year_2032!B161</f>
        <v>0</v>
      </c>
      <c r="C158" t="e">
        <f>Year_2032!C161/Year_2025!C161</f>
        <v>#DIV/0!</v>
      </c>
      <c r="D158" t="e">
        <f>Year_2032!D161/Year_2025!D161</f>
        <v>#DIV/0!</v>
      </c>
      <c r="E158" t="e">
        <f>Year_2032!E161/Year_2025!E161</f>
        <v>#DIV/0!</v>
      </c>
      <c r="F158" t="e">
        <f>Year_2032!F161/Year_2025!F161</f>
        <v>#DIV/0!</v>
      </c>
      <c r="G158" t="e">
        <f>Year_2032!G161/Year_2025!G161</f>
        <v>#DIV/0!</v>
      </c>
      <c r="H158" t="e">
        <f>Year_2032!H161/Year_2025!H161</f>
        <v>#DIV/0!</v>
      </c>
      <c r="I158" t="e">
        <f>Year_2032!I161/Year_2025!I161</f>
        <v>#DIV/0!</v>
      </c>
      <c r="J158" t="e">
        <f>Year_2032!J161/Year_2025!J161</f>
        <v>#DIV/0!</v>
      </c>
      <c r="K158" t="e">
        <f>Year_2032!K161/Year_2025!K161</f>
        <v>#DIV/0!</v>
      </c>
      <c r="L158" t="e">
        <f>Year_2032!L161/Year_2025!L161</f>
        <v>#DIV/0!</v>
      </c>
      <c r="M158" t="e">
        <f>Year_2032!M161/Year_2025!M161</f>
        <v>#DIV/0!</v>
      </c>
      <c r="N158" t="str">
        <f>Year_2032!N161</f>
        <v>Segment</v>
      </c>
      <c r="O158">
        <f>Year_2032!O161/Year_2025!O161</f>
        <v>1</v>
      </c>
      <c r="P158">
        <f>Year_2032!P161/Year_2025!P161</f>
        <v>1</v>
      </c>
      <c r="Q158">
        <f>Year_2032!Q161/Year_2025!Q161</f>
        <v>1</v>
      </c>
      <c r="R158">
        <f>Year_2032!R161/Year_2025!R161</f>
        <v>1</v>
      </c>
      <c r="S158">
        <f>Year_2032!S161/Year_2025!S161</f>
        <v>1</v>
      </c>
      <c r="T158">
        <f>Year_2032!T161/Year_2025!T161</f>
        <v>1</v>
      </c>
      <c r="U158">
        <f>Year_2032!U161/Year_2025!U161</f>
        <v>1</v>
      </c>
      <c r="V158">
        <f>Year_2032!V161/Year_2025!V161</f>
        <v>1</v>
      </c>
      <c r="W158">
        <f>Year_2032!W161/Year_2025!W161</f>
        <v>1</v>
      </c>
      <c r="X158">
        <f>Year_2032!X161/Year_2025!X161</f>
        <v>1</v>
      </c>
      <c r="Y158" t="e">
        <f>Year_2032!Y161/Year_2025!Y161</f>
        <v>#DIV/0!</v>
      </c>
      <c r="Z158" t="e">
        <f>Year_2032!Z161/Year_2025!Z161</f>
        <v>#DIV/0!</v>
      </c>
      <c r="AA158" t="e">
        <f>Year_2032!AA161/Year_2025!AA161</f>
        <v>#VALUE!</v>
      </c>
      <c r="AB158">
        <f>Year_2032!AB161/Year_2025!AB161</f>
        <v>1</v>
      </c>
      <c r="AC158">
        <f>Year_2032!AC161/Year_2025!AC161</f>
        <v>1</v>
      </c>
      <c r="AD158">
        <f>Year_2032!AD161/Year_2025!AD161</f>
        <v>1</v>
      </c>
      <c r="AE158">
        <f>Year_2032!AE161/Year_2025!AE161</f>
        <v>1</v>
      </c>
      <c r="AF158">
        <f>Year_2032!AF161/Year_2025!AF161</f>
        <v>1</v>
      </c>
      <c r="AG158">
        <f>Year_2032!AG161/Year_2025!AG161</f>
        <v>1</v>
      </c>
      <c r="AH158">
        <f>Year_2032!AH161/Year_2025!AH161</f>
        <v>1</v>
      </c>
      <c r="AI158">
        <f>Year_2032!AI161/Year_2025!AI161</f>
        <v>1</v>
      </c>
      <c r="AJ158">
        <f>Year_2032!AJ161/Year_2025!AJ161</f>
        <v>1</v>
      </c>
      <c r="AK158">
        <f>Year_2032!AK161/Year_2025!AK161</f>
        <v>1</v>
      </c>
      <c r="AL158" t="e">
        <f>Year_2032!AL161/Year_2025!AL161</f>
        <v>#DIV/0!</v>
      </c>
      <c r="AM158" t="e">
        <f>Year_2032!AM161/Year_2025!AM161</f>
        <v>#DIV/0!</v>
      </c>
      <c r="AN158" t="e">
        <f>Year_2032!AN161/Year_2025!AN161</f>
        <v>#DIV/0!</v>
      </c>
      <c r="AO158" t="e">
        <f>Year_2032!AO161/Year_2025!AO161</f>
        <v>#DIV/0!</v>
      </c>
      <c r="AP158" t="e">
        <f>Year_2032!AP161/Year_2025!AP161</f>
        <v>#DIV/0!</v>
      </c>
      <c r="AQ158" t="e">
        <f>Year_2032!AQ161/Year_2025!AQ161</f>
        <v>#DIV/0!</v>
      </c>
      <c r="AR158" t="e">
        <f>Year_2032!AR161/Year_2025!AR161</f>
        <v>#DIV/0!</v>
      </c>
      <c r="AS158" t="e">
        <f>Year_2032!AS161/Year_2025!AS161</f>
        <v>#DIV/0!</v>
      </c>
      <c r="AT158" t="e">
        <f>Year_2032!AT161/Year_2025!AT161</f>
        <v>#DIV/0!</v>
      </c>
      <c r="AU158" t="e">
        <f>Year_2032!AU161/Year_2025!AU161</f>
        <v>#DIV/0!</v>
      </c>
      <c r="AV158" t="e">
        <f>Year_2032!AV161/Year_2025!AV161</f>
        <v>#DIV/0!</v>
      </c>
      <c r="AW158" t="e">
        <f>Year_2032!AW161/Year_2025!AW161</f>
        <v>#DIV/0!</v>
      </c>
      <c r="AX158" t="e">
        <f>Year_2032!AX161/Year_2025!AX161</f>
        <v>#DIV/0!</v>
      </c>
    </row>
    <row r="159" spans="2:50" x14ac:dyDescent="0.3">
      <c r="B159">
        <f>Year_2032!B162</f>
        <v>0</v>
      </c>
      <c r="C159" t="e">
        <f>Year_2032!C162/Year_2025!C162</f>
        <v>#DIV/0!</v>
      </c>
      <c r="D159" t="e">
        <f>Year_2032!D162/Year_2025!D162</f>
        <v>#DIV/0!</v>
      </c>
      <c r="E159" t="e">
        <f>Year_2032!E162/Year_2025!E162</f>
        <v>#DIV/0!</v>
      </c>
      <c r="F159" t="e">
        <f>Year_2032!F162/Year_2025!F162</f>
        <v>#DIV/0!</v>
      </c>
      <c r="G159" t="e">
        <f>Year_2032!G162/Year_2025!G162</f>
        <v>#DIV/0!</v>
      </c>
      <c r="H159" t="e">
        <f>Year_2032!H162/Year_2025!H162</f>
        <v>#DIV/0!</v>
      </c>
      <c r="I159" t="e">
        <f>Year_2032!I162/Year_2025!I162</f>
        <v>#DIV/0!</v>
      </c>
      <c r="J159" t="e">
        <f>Year_2032!J162/Year_2025!J162</f>
        <v>#DIV/0!</v>
      </c>
      <c r="K159" t="e">
        <f>Year_2032!K162/Year_2025!K162</f>
        <v>#DIV/0!</v>
      </c>
      <c r="L159" t="e">
        <f>Year_2032!L162/Year_2025!L162</f>
        <v>#DIV/0!</v>
      </c>
      <c r="M159" t="e">
        <f>Year_2032!M162/Year_2025!M162</f>
        <v>#DIV/0!</v>
      </c>
      <c r="N159" t="str">
        <f>Year_2032!N162</f>
        <v>Period</v>
      </c>
      <c r="O159" t="e">
        <f>Year_2032!O162/Year_2025!O162</f>
        <v>#DIV/0!</v>
      </c>
      <c r="P159" t="e">
        <f>Year_2032!P162/Year_2025!P162</f>
        <v>#DIV/0!</v>
      </c>
      <c r="Q159" t="e">
        <f>Year_2032!Q162/Year_2025!Q162</f>
        <v>#DIV/0!</v>
      </c>
      <c r="R159" t="e">
        <f>Year_2032!R162/Year_2025!R162</f>
        <v>#DIV/0!</v>
      </c>
      <c r="S159" t="e">
        <f>Year_2032!S162/Year_2025!S162</f>
        <v>#DIV/0!</v>
      </c>
      <c r="T159" t="e">
        <f>Year_2032!T162/Year_2025!T162</f>
        <v>#DIV/0!</v>
      </c>
      <c r="U159" t="e">
        <f>Year_2032!U162/Year_2025!U162</f>
        <v>#DIV/0!</v>
      </c>
      <c r="V159" t="e">
        <f>Year_2032!V162/Year_2025!V162</f>
        <v>#DIV/0!</v>
      </c>
      <c r="W159" t="e">
        <f>Year_2032!W162/Year_2025!W162</f>
        <v>#DIV/0!</v>
      </c>
      <c r="X159" t="e">
        <f>Year_2032!X162/Year_2025!X162</f>
        <v>#DIV/0!</v>
      </c>
      <c r="Y159" t="e">
        <f>Year_2032!Y162/Year_2025!Y162</f>
        <v>#DIV/0!</v>
      </c>
      <c r="Z159" t="e">
        <f>Year_2032!Z162/Year_2025!Z162</f>
        <v>#DIV/0!</v>
      </c>
      <c r="AA159" t="e">
        <f>Year_2032!AA162/Year_2025!AA162</f>
        <v>#VALUE!</v>
      </c>
      <c r="AB159" t="e">
        <f>Year_2032!AB162/Year_2025!AB162</f>
        <v>#DIV/0!</v>
      </c>
      <c r="AC159" t="e">
        <f>Year_2032!AC162/Year_2025!AC162</f>
        <v>#DIV/0!</v>
      </c>
      <c r="AD159" t="e">
        <f>Year_2032!AD162/Year_2025!AD162</f>
        <v>#DIV/0!</v>
      </c>
      <c r="AE159" t="e">
        <f>Year_2032!AE162/Year_2025!AE162</f>
        <v>#DIV/0!</v>
      </c>
      <c r="AF159" t="e">
        <f>Year_2032!AF162/Year_2025!AF162</f>
        <v>#DIV/0!</v>
      </c>
      <c r="AG159" t="e">
        <f>Year_2032!AG162/Year_2025!AG162</f>
        <v>#DIV/0!</v>
      </c>
      <c r="AH159" t="e">
        <f>Year_2032!AH162/Year_2025!AH162</f>
        <v>#DIV/0!</v>
      </c>
      <c r="AI159" t="e">
        <f>Year_2032!AI162/Year_2025!AI162</f>
        <v>#DIV/0!</v>
      </c>
      <c r="AJ159" t="e">
        <f>Year_2032!AJ162/Year_2025!AJ162</f>
        <v>#DIV/0!</v>
      </c>
      <c r="AK159" t="e">
        <f>Year_2032!AK162/Year_2025!AK162</f>
        <v>#DIV/0!</v>
      </c>
      <c r="AL159" t="e">
        <f>Year_2032!AL162/Year_2025!AL162</f>
        <v>#DIV/0!</v>
      </c>
      <c r="AM159" t="e">
        <f>Year_2032!AM162/Year_2025!AM162</f>
        <v>#DIV/0!</v>
      </c>
      <c r="AN159" t="e">
        <f>Year_2032!AN162/Year_2025!AN162</f>
        <v>#DIV/0!</v>
      </c>
      <c r="AO159" t="e">
        <f>Year_2032!AO162/Year_2025!AO162</f>
        <v>#DIV/0!</v>
      </c>
      <c r="AP159" t="e">
        <f>Year_2032!AP162/Year_2025!AP162</f>
        <v>#DIV/0!</v>
      </c>
      <c r="AQ159" t="e">
        <f>Year_2032!AQ162/Year_2025!AQ162</f>
        <v>#DIV/0!</v>
      </c>
      <c r="AR159" t="e">
        <f>Year_2032!AR162/Year_2025!AR162</f>
        <v>#DIV/0!</v>
      </c>
      <c r="AS159" t="e">
        <f>Year_2032!AS162/Year_2025!AS162</f>
        <v>#DIV/0!</v>
      </c>
      <c r="AT159" t="e">
        <f>Year_2032!AT162/Year_2025!AT162</f>
        <v>#DIV/0!</v>
      </c>
      <c r="AU159" t="e">
        <f>Year_2032!AU162/Year_2025!AU162</f>
        <v>#DIV/0!</v>
      </c>
      <c r="AV159" t="e">
        <f>Year_2032!AV162/Year_2025!AV162</f>
        <v>#DIV/0!</v>
      </c>
      <c r="AW159" t="e">
        <f>Year_2032!AW162/Year_2025!AW162</f>
        <v>#DIV/0!</v>
      </c>
      <c r="AX159" t="e">
        <f>Year_2032!AX162/Year_2025!AX162</f>
        <v>#DIV/0!</v>
      </c>
    </row>
  </sheetData>
  <conditionalFormatting sqref="A1:XFD1048576">
    <cfRule type="cellIs" dxfId="1" priority="1" operator="lessThan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0DBA-035A-4E8F-B513-85EA2B6E0413}">
  <dimension ref="B2:AY159"/>
  <sheetViews>
    <sheetView topLeftCell="J35" workbookViewId="0">
      <selection activeCell="V53" sqref="V53"/>
    </sheetView>
  </sheetViews>
  <sheetFormatPr defaultRowHeight="14.4" x14ac:dyDescent="0.3"/>
  <cols>
    <col min="14" max="14" width="21.77734375" bestFit="1" customWidth="1"/>
  </cols>
  <sheetData>
    <row r="2" spans="2:51" x14ac:dyDescent="0.3">
      <c r="B2" t="str">
        <f>Year_2032!B5</f>
        <v>TollLights</v>
      </c>
      <c r="C2" t="e">
        <f>Year_2040!C5/Year_2032!C5</f>
        <v>#DIV/0!</v>
      </c>
      <c r="D2" t="e">
        <f>Year_2040!D5/Year_2032!D5</f>
        <v>#DIV/0!</v>
      </c>
      <c r="E2" t="e">
        <f>Year_2040!E5/Year_2032!E5</f>
        <v>#DIV/0!</v>
      </c>
      <c r="F2" t="e">
        <f>Year_2040!F5/Year_2032!F5</f>
        <v>#DIV/0!</v>
      </c>
      <c r="G2" t="e">
        <f>Year_2040!G5/Year_2032!G5</f>
        <v>#DIV/0!</v>
      </c>
      <c r="H2" t="e">
        <f>Year_2040!H5/Year_2032!H5</f>
        <v>#DIV/0!</v>
      </c>
      <c r="I2" t="e">
        <f>Year_2040!I5/Year_2032!I5</f>
        <v>#DIV/0!</v>
      </c>
      <c r="J2" t="e">
        <f>Year_2040!J5/Year_2032!J5</f>
        <v>#DIV/0!</v>
      </c>
      <c r="K2" t="e">
        <f>Year_2040!K5/Year_2032!K5</f>
        <v>#DIV/0!</v>
      </c>
      <c r="L2" t="e">
        <f>Year_2040!L5/Year_2032!L5</f>
        <v>#DIV/0!</v>
      </c>
      <c r="M2" t="e">
        <f>Year_2040!M5/Year_2032!M5</f>
        <v>#DIV/0!</v>
      </c>
      <c r="N2" t="str">
        <f>Year_2040!N5</f>
        <v>ML PCE.Miles</v>
      </c>
      <c r="O2" t="e">
        <f>Year_2040!O5/Year_2032!O5</f>
        <v>#DIV/0!</v>
      </c>
      <c r="P2" t="e">
        <f>Year_2040!P5/Year_2032!P5</f>
        <v>#DIV/0!</v>
      </c>
      <c r="Q2" t="e">
        <f>Year_2040!Q5/Year_2032!Q5</f>
        <v>#DIV/0!</v>
      </c>
      <c r="R2" t="e">
        <f>Year_2040!R5/Year_2032!R5</f>
        <v>#DIV/0!</v>
      </c>
      <c r="S2" t="e">
        <f>Year_2040!S5/Year_2032!S5</f>
        <v>#DIV/0!</v>
      </c>
      <c r="T2" t="e">
        <f>Year_2040!T5/Year_2032!T5</f>
        <v>#DIV/0!</v>
      </c>
      <c r="U2" t="e">
        <f>Year_2040!U5/Year_2032!U5</f>
        <v>#DIV/0!</v>
      </c>
      <c r="V2" t="e">
        <f>Year_2040!V5/Year_2032!V5</f>
        <v>#DIV/0!</v>
      </c>
      <c r="W2" t="e">
        <f>Year_2040!W5/Year_2032!W5</f>
        <v>#DIV/0!</v>
      </c>
      <c r="X2" t="e">
        <f>Year_2040!X5/Year_2032!X5</f>
        <v>#DIV/0!</v>
      </c>
      <c r="Y2" t="e">
        <f>Year_2040!Y5/Year_2032!Y5</f>
        <v>#DIV/0!</v>
      </c>
      <c r="Z2" t="e">
        <f>Year_2040!Z5/Year_2032!Z5</f>
        <v>#DIV/0!</v>
      </c>
      <c r="AA2" t="e">
        <f>Year_2040!AA5/Year_2032!AA5</f>
        <v>#VALUE!</v>
      </c>
      <c r="AB2" t="e">
        <f>Year_2040!AB5/Year_2032!AB5</f>
        <v>#DIV/0!</v>
      </c>
      <c r="AC2" t="e">
        <f>Year_2040!AC5/Year_2032!AC5</f>
        <v>#DIV/0!</v>
      </c>
      <c r="AD2" t="e">
        <f>Year_2040!AD5/Year_2032!AD5</f>
        <v>#DIV/0!</v>
      </c>
      <c r="AE2" t="e">
        <f>Year_2040!AE5/Year_2032!AE5</f>
        <v>#DIV/0!</v>
      </c>
      <c r="AF2" t="e">
        <f>Year_2040!AF5/Year_2032!AF5</f>
        <v>#DIV/0!</v>
      </c>
      <c r="AG2" t="e">
        <f>Year_2040!AG5/Year_2032!AG5</f>
        <v>#DIV/0!</v>
      </c>
      <c r="AH2" t="e">
        <f>Year_2040!AH5/Year_2032!AH5</f>
        <v>#DIV/0!</v>
      </c>
      <c r="AI2" t="e">
        <f>Year_2040!AI5/Year_2032!AI5</f>
        <v>#DIV/0!</v>
      </c>
      <c r="AJ2" t="e">
        <f>Year_2040!AJ5/Year_2032!AJ5</f>
        <v>#DIV/0!</v>
      </c>
      <c r="AK2" t="e">
        <f>Year_2040!AK5/Year_2032!AK5</f>
        <v>#DIV/0!</v>
      </c>
      <c r="AL2" t="e">
        <f>Year_2040!AL5/Year_2032!AL5</f>
        <v>#DIV/0!</v>
      </c>
      <c r="AM2" t="e">
        <f>Year_2040!AM5/Year_2032!AM5</f>
        <v>#DIV/0!</v>
      </c>
      <c r="AN2" t="e">
        <f>Year_2040!AN5/Year_2032!AN5</f>
        <v>#VALUE!</v>
      </c>
      <c r="AO2" t="e">
        <f>Year_2040!AO5/Year_2032!AO5</f>
        <v>#DIV/0!</v>
      </c>
      <c r="AP2" t="e">
        <f>Year_2040!AP5/Year_2032!AP5</f>
        <v>#DIV/0!</v>
      </c>
      <c r="AQ2" t="e">
        <f>Year_2040!AQ5/Year_2032!AQ5</f>
        <v>#DIV/0!</v>
      </c>
      <c r="AR2" t="e">
        <f>Year_2040!AR5/Year_2032!AR5</f>
        <v>#DIV/0!</v>
      </c>
      <c r="AS2" t="e">
        <f>Year_2040!AS5/Year_2032!AS5</f>
        <v>#DIV/0!</v>
      </c>
      <c r="AT2" t="e">
        <f>Year_2040!AT5/Year_2032!AT5</f>
        <v>#DIV/0!</v>
      </c>
      <c r="AU2" t="e">
        <f>Year_2040!AU5/Year_2032!AU5</f>
        <v>#DIV/0!</v>
      </c>
      <c r="AV2" t="e">
        <f>Year_2040!AV5/Year_2032!AV5</f>
        <v>#DIV/0!</v>
      </c>
      <c r="AW2" t="e">
        <f>Year_2040!AW5/Year_2032!AW5</f>
        <v>#DIV/0!</v>
      </c>
      <c r="AX2" t="e">
        <f>Year_2040!AX5/Year_2032!AX5</f>
        <v>#DIV/0!</v>
      </c>
      <c r="AY2" t="e">
        <f>Year_2040!AY5/Year_2032!AY5</f>
        <v>#DIV/0!</v>
      </c>
    </row>
    <row r="3" spans="2:51" x14ac:dyDescent="0.3">
      <c r="B3" t="str">
        <f>Year_2032!B6</f>
        <v>Direction</v>
      </c>
      <c r="C3" t="e">
        <f>Year_2040!C6/Year_2032!C6</f>
        <v>#VALUE!</v>
      </c>
      <c r="D3" t="e">
        <f>Year_2040!D6/Year_2032!D6</f>
        <v>#VALUE!</v>
      </c>
      <c r="E3" t="e">
        <f>Year_2040!E6/Year_2032!E6</f>
        <v>#VALUE!</v>
      </c>
      <c r="F3" t="e">
        <f>Year_2040!F6/Year_2032!F6</f>
        <v>#VALUE!</v>
      </c>
      <c r="G3" t="e">
        <f>Year_2040!G6/Year_2032!G6</f>
        <v>#VALUE!</v>
      </c>
      <c r="H3" t="e">
        <f>Year_2040!H6/Year_2032!H6</f>
        <v>#VALUE!</v>
      </c>
      <c r="I3" t="e">
        <f>Year_2040!I6/Year_2032!I6</f>
        <v>#VALUE!</v>
      </c>
      <c r="J3" t="e">
        <f>Year_2040!J6/Year_2032!J6</f>
        <v>#VALUE!</v>
      </c>
      <c r="K3" t="e">
        <f>Year_2040!K6/Year_2032!K6</f>
        <v>#VALUE!</v>
      </c>
      <c r="L3" t="e">
        <f>Year_2040!L6/Year_2032!L6</f>
        <v>#VALUE!</v>
      </c>
      <c r="M3" t="e">
        <f>Year_2040!M6/Year_2032!M6</f>
        <v>#DIV/0!</v>
      </c>
      <c r="N3" t="str">
        <f>Year_2040!N6</f>
        <v>Direction</v>
      </c>
      <c r="O3" t="e">
        <f>Year_2040!O6/Year_2032!O6</f>
        <v>#VALUE!</v>
      </c>
      <c r="P3" t="e">
        <f>Year_2040!P6/Year_2032!P6</f>
        <v>#VALUE!</v>
      </c>
      <c r="Q3" t="e">
        <f>Year_2040!Q6/Year_2032!Q6</f>
        <v>#VALUE!</v>
      </c>
      <c r="R3" t="e">
        <f>Year_2040!R6/Year_2032!R6</f>
        <v>#VALUE!</v>
      </c>
      <c r="S3" t="e">
        <f>Year_2040!S6/Year_2032!S6</f>
        <v>#VALUE!</v>
      </c>
      <c r="T3" t="e">
        <f>Year_2040!T6/Year_2032!T6</f>
        <v>#VALUE!</v>
      </c>
      <c r="U3" t="e">
        <f>Year_2040!U6/Year_2032!U6</f>
        <v>#VALUE!</v>
      </c>
      <c r="V3" t="e">
        <f>Year_2040!V6/Year_2032!V6</f>
        <v>#VALUE!</v>
      </c>
      <c r="W3" t="e">
        <f>Year_2040!W6/Year_2032!W6</f>
        <v>#VALUE!</v>
      </c>
      <c r="X3" t="e">
        <f>Year_2040!X6/Year_2032!X6</f>
        <v>#VALUE!</v>
      </c>
      <c r="Y3" t="e">
        <f>Year_2040!Y6/Year_2032!Y6</f>
        <v>#DIV/0!</v>
      </c>
      <c r="Z3" t="e">
        <f>Year_2040!Z6/Year_2032!Z6</f>
        <v>#DIV/0!</v>
      </c>
      <c r="AA3" t="e">
        <f>Year_2040!AA6/Year_2032!AA6</f>
        <v>#VALUE!</v>
      </c>
      <c r="AB3" t="e">
        <f>Year_2040!AB6/Year_2032!AB6</f>
        <v>#VALUE!</v>
      </c>
      <c r="AC3" t="e">
        <f>Year_2040!AC6/Year_2032!AC6</f>
        <v>#VALUE!</v>
      </c>
      <c r="AD3" t="e">
        <f>Year_2040!AD6/Year_2032!AD6</f>
        <v>#VALUE!</v>
      </c>
      <c r="AE3" t="e">
        <f>Year_2040!AE6/Year_2032!AE6</f>
        <v>#VALUE!</v>
      </c>
      <c r="AF3" t="e">
        <f>Year_2040!AF6/Year_2032!AF6</f>
        <v>#VALUE!</v>
      </c>
      <c r="AG3" t="e">
        <f>Year_2040!AG6/Year_2032!AG6</f>
        <v>#VALUE!</v>
      </c>
      <c r="AH3" t="e">
        <f>Year_2040!AH6/Year_2032!AH6</f>
        <v>#VALUE!</v>
      </c>
      <c r="AI3" t="e">
        <f>Year_2040!AI6/Year_2032!AI6</f>
        <v>#VALUE!</v>
      </c>
      <c r="AJ3" t="e">
        <f>Year_2040!AJ6/Year_2032!AJ6</f>
        <v>#VALUE!</v>
      </c>
      <c r="AK3" t="e">
        <f>Year_2040!AK6/Year_2032!AK6</f>
        <v>#VALUE!</v>
      </c>
      <c r="AL3" t="e">
        <f>Year_2040!AL6/Year_2032!AL6</f>
        <v>#DIV/0!</v>
      </c>
      <c r="AM3" t="e">
        <f>Year_2040!AM6/Year_2032!AM6</f>
        <v>#DIV/0!</v>
      </c>
      <c r="AN3" t="e">
        <f>Year_2040!AN6/Year_2032!AN6</f>
        <v>#VALUE!</v>
      </c>
      <c r="AO3" t="e">
        <f>Year_2040!AO6/Year_2032!AO6</f>
        <v>#VALUE!</v>
      </c>
      <c r="AP3" t="str">
        <f>Year_2040!AP6</f>
        <v>SB</v>
      </c>
      <c r="AQ3" t="str">
        <f>Year_2040!AQ6</f>
        <v>NB</v>
      </c>
      <c r="AR3" t="str">
        <f>Year_2040!AR6</f>
        <v>SB</v>
      </c>
      <c r="AS3" t="str">
        <f>Year_2040!AS6</f>
        <v>NB</v>
      </c>
      <c r="AT3" t="str">
        <f>Year_2040!AT6</f>
        <v>SB</v>
      </c>
      <c r="AU3" t="str">
        <f>Year_2040!AU6</f>
        <v>NB</v>
      </c>
      <c r="AV3" t="str">
        <f>Year_2040!AV6</f>
        <v>SB</v>
      </c>
      <c r="AW3" t="str">
        <f>Year_2040!AW6</f>
        <v>NB</v>
      </c>
      <c r="AX3" t="str">
        <f>Year_2040!AX6</f>
        <v>SB</v>
      </c>
    </row>
    <row r="4" spans="2:51" x14ac:dyDescent="0.3">
      <c r="B4" t="str">
        <f>Year_2032!B7</f>
        <v>Segment</v>
      </c>
      <c r="C4">
        <f>Year_2040!C7/Year_2032!C7</f>
        <v>1</v>
      </c>
      <c r="D4">
        <f>Year_2040!D7/Year_2032!D7</f>
        <v>1</v>
      </c>
      <c r="E4">
        <f>Year_2040!E7/Year_2032!E7</f>
        <v>1</v>
      </c>
      <c r="F4">
        <f>Year_2040!F7/Year_2032!F7</f>
        <v>1</v>
      </c>
      <c r="G4">
        <f>Year_2040!G7/Year_2032!G7</f>
        <v>1</v>
      </c>
      <c r="H4">
        <f>Year_2040!H7/Year_2032!H7</f>
        <v>1</v>
      </c>
      <c r="I4">
        <f>Year_2040!I7/Year_2032!I7</f>
        <v>1</v>
      </c>
      <c r="J4">
        <f>Year_2040!J7/Year_2032!J7</f>
        <v>1</v>
      </c>
      <c r="K4">
        <f>Year_2040!K7/Year_2032!K7</f>
        <v>1</v>
      </c>
      <c r="L4">
        <f>Year_2040!L7/Year_2032!L7</f>
        <v>1</v>
      </c>
      <c r="M4" t="e">
        <f>Year_2040!M7/Year_2032!M7</f>
        <v>#DIV/0!</v>
      </c>
      <c r="N4" t="str">
        <f>Year_2040!N7</f>
        <v>Segment</v>
      </c>
      <c r="O4">
        <f>Year_2040!O7/Year_2032!O7</f>
        <v>1</v>
      </c>
      <c r="P4">
        <f>Year_2040!P7/Year_2032!P7</f>
        <v>1</v>
      </c>
      <c r="Q4">
        <f>Year_2040!Q7/Year_2032!Q7</f>
        <v>1</v>
      </c>
      <c r="R4">
        <f>Year_2040!R7/Year_2032!R7</f>
        <v>1</v>
      </c>
      <c r="S4">
        <f>Year_2040!S7/Year_2032!S7</f>
        <v>1</v>
      </c>
      <c r="T4">
        <f>Year_2040!T7/Year_2032!T7</f>
        <v>1</v>
      </c>
      <c r="U4">
        <f>Year_2040!U7/Year_2032!U7</f>
        <v>1</v>
      </c>
      <c r="V4">
        <f>Year_2040!V7/Year_2032!V7</f>
        <v>1</v>
      </c>
      <c r="W4">
        <f>Year_2040!W7/Year_2032!W7</f>
        <v>1</v>
      </c>
      <c r="X4">
        <f>Year_2040!X7/Year_2032!X7</f>
        <v>1</v>
      </c>
      <c r="Y4" t="e">
        <f>Year_2040!Y7/Year_2032!Y7</f>
        <v>#DIV/0!</v>
      </c>
      <c r="Z4" t="e">
        <f>Year_2040!Z7/Year_2032!Z7</f>
        <v>#DIV/0!</v>
      </c>
      <c r="AA4" t="e">
        <f>Year_2040!AA7/Year_2032!AA7</f>
        <v>#VALUE!</v>
      </c>
      <c r="AB4">
        <f>Year_2040!AB7/Year_2032!AB7</f>
        <v>1</v>
      </c>
      <c r="AC4">
        <f>Year_2040!AC7/Year_2032!AC7</f>
        <v>1</v>
      </c>
      <c r="AD4">
        <f>Year_2040!AD7/Year_2032!AD7</f>
        <v>1</v>
      </c>
      <c r="AE4">
        <f>Year_2040!AE7/Year_2032!AE7</f>
        <v>1</v>
      </c>
      <c r="AF4">
        <f>Year_2040!AF7/Year_2032!AF7</f>
        <v>1</v>
      </c>
      <c r="AG4">
        <f>Year_2040!AG7/Year_2032!AG7</f>
        <v>1</v>
      </c>
      <c r="AH4">
        <f>Year_2040!AH7/Year_2032!AH7</f>
        <v>1</v>
      </c>
      <c r="AI4">
        <f>Year_2040!AI7/Year_2032!AI7</f>
        <v>1</v>
      </c>
      <c r="AJ4">
        <f>Year_2040!AJ7/Year_2032!AJ7</f>
        <v>1</v>
      </c>
      <c r="AK4">
        <f>Year_2040!AK7/Year_2032!AK7</f>
        <v>1</v>
      </c>
      <c r="AL4" t="e">
        <f>Year_2040!AL7/Year_2032!AL7</f>
        <v>#DIV/0!</v>
      </c>
      <c r="AM4" t="e">
        <f>Year_2040!AM7/Year_2032!AM7</f>
        <v>#DIV/0!</v>
      </c>
      <c r="AN4" t="e">
        <f>Year_2040!AN7/Year_2032!AN7</f>
        <v>#VALUE!</v>
      </c>
      <c r="AO4" t="e" cm="1">
        <f t="array" ref="AO4">Year_2040</f>
        <v>#NAME?</v>
      </c>
      <c r="AP4" t="str">
        <f>Year_2040!AP7</f>
        <v>11</v>
      </c>
      <c r="AQ4" t="str">
        <f>Year_2040!AQ7</f>
        <v>12</v>
      </c>
      <c r="AR4" t="str">
        <f>Year_2040!AR7</f>
        <v>12</v>
      </c>
      <c r="AS4" t="str">
        <f>Year_2040!AS7</f>
        <v>13</v>
      </c>
      <c r="AT4" t="str">
        <f>Year_2040!AT7</f>
        <v>13</v>
      </c>
      <c r="AU4" t="str">
        <f>Year_2040!AU7</f>
        <v>14</v>
      </c>
      <c r="AV4" t="str">
        <f>Year_2040!AV7</f>
        <v>14</v>
      </c>
      <c r="AW4" t="str">
        <f>Year_2040!AW7</f>
        <v>18</v>
      </c>
      <c r="AX4" t="str">
        <f>Year_2040!AX7</f>
        <v>18</v>
      </c>
    </row>
    <row r="5" spans="2:51" x14ac:dyDescent="0.3">
      <c r="B5" t="str">
        <f>Year_2032!B8</f>
        <v>Period</v>
      </c>
      <c r="C5" t="e">
        <f>Year_2040!C8/Year_2032!C8</f>
        <v>#DIV/0!</v>
      </c>
      <c r="D5" t="e">
        <f>Year_2040!D8/Year_2032!D8</f>
        <v>#DIV/0!</v>
      </c>
      <c r="E5" t="e">
        <f>Year_2040!E8/Year_2032!E8</f>
        <v>#DIV/0!</v>
      </c>
      <c r="F5" t="e">
        <f>Year_2040!F8/Year_2032!F8</f>
        <v>#DIV/0!</v>
      </c>
      <c r="G5" t="e">
        <f>Year_2040!G8/Year_2032!G8</f>
        <v>#DIV/0!</v>
      </c>
      <c r="H5" t="e">
        <f>Year_2040!H8/Year_2032!H8</f>
        <v>#DIV/0!</v>
      </c>
      <c r="I5" t="e">
        <f>Year_2040!I8/Year_2032!I8</f>
        <v>#DIV/0!</v>
      </c>
      <c r="J5" t="e">
        <f>Year_2040!J8/Year_2032!J8</f>
        <v>#DIV/0!</v>
      </c>
      <c r="K5" t="e">
        <f>Year_2040!K8/Year_2032!K8</f>
        <v>#DIV/0!</v>
      </c>
      <c r="L5" t="e">
        <f>Year_2040!L8/Year_2032!L8</f>
        <v>#DIV/0!</v>
      </c>
      <c r="M5" t="e">
        <f>Year_2040!M8/Year_2032!M8</f>
        <v>#DIV/0!</v>
      </c>
      <c r="N5" t="str">
        <f>Year_2040!N8</f>
        <v>Period</v>
      </c>
      <c r="O5" t="e">
        <f>Year_2040!O8/Year_2032!O8</f>
        <v>#DIV/0!</v>
      </c>
      <c r="P5" t="e">
        <f>Year_2040!P8/Year_2032!P8</f>
        <v>#DIV/0!</v>
      </c>
      <c r="Q5" t="e">
        <f>Year_2040!Q8/Year_2032!Q8</f>
        <v>#DIV/0!</v>
      </c>
      <c r="R5" t="e">
        <f>Year_2040!R8/Year_2032!R8</f>
        <v>#DIV/0!</v>
      </c>
      <c r="S5" t="e">
        <f>Year_2040!S8/Year_2032!S8</f>
        <v>#DIV/0!</v>
      </c>
      <c r="T5" t="e">
        <f>Year_2040!T8/Year_2032!T8</f>
        <v>#DIV/0!</v>
      </c>
      <c r="U5" t="e">
        <f>Year_2040!U8/Year_2032!U8</f>
        <v>#DIV/0!</v>
      </c>
      <c r="V5" t="e">
        <f>Year_2040!V8/Year_2032!V8</f>
        <v>#DIV/0!</v>
      </c>
      <c r="W5" t="e">
        <f>Year_2040!W8/Year_2032!W8</f>
        <v>#DIV/0!</v>
      </c>
      <c r="X5" t="e">
        <f>Year_2040!X8/Year_2032!X8</f>
        <v>#DIV/0!</v>
      </c>
      <c r="Y5" t="e">
        <f>Year_2040!Y8/Year_2032!Y8</f>
        <v>#DIV/0!</v>
      </c>
      <c r="Z5" t="e">
        <f>Year_2040!Z8/Year_2032!Z8</f>
        <v>#DIV/0!</v>
      </c>
      <c r="AA5" t="e">
        <f>Year_2040!AA8/Year_2032!AA8</f>
        <v>#VALUE!</v>
      </c>
      <c r="AB5" t="e">
        <f>Year_2040!AB8/Year_2032!AB8</f>
        <v>#DIV/0!</v>
      </c>
      <c r="AC5" t="e">
        <f>Year_2040!AC8/Year_2032!AC8</f>
        <v>#DIV/0!</v>
      </c>
      <c r="AD5" t="e">
        <f>Year_2040!AD8/Year_2032!AD8</f>
        <v>#DIV/0!</v>
      </c>
      <c r="AE5" t="e">
        <f>Year_2040!AE8/Year_2032!AE8</f>
        <v>#DIV/0!</v>
      </c>
      <c r="AF5" t="e">
        <f>Year_2040!AF8/Year_2032!AF8</f>
        <v>#DIV/0!</v>
      </c>
      <c r="AG5" t="e">
        <f>Year_2040!AG8/Year_2032!AG8</f>
        <v>#DIV/0!</v>
      </c>
      <c r="AH5" t="e">
        <f>Year_2040!AH8/Year_2032!AH8</f>
        <v>#DIV/0!</v>
      </c>
      <c r="AI5" t="e">
        <f>Year_2040!AI8/Year_2032!AI8</f>
        <v>#DIV/0!</v>
      </c>
      <c r="AJ5" t="e">
        <f>Year_2040!AJ8/Year_2032!AJ8</f>
        <v>#DIV/0!</v>
      </c>
      <c r="AK5" t="e">
        <f>Year_2040!AK8/Year_2032!AK8</f>
        <v>#DIV/0!</v>
      </c>
      <c r="AL5" t="e">
        <f>Year_2040!AL8/Year_2032!AL8</f>
        <v>#DIV/0!</v>
      </c>
      <c r="AM5" t="e">
        <f>Year_2040!AM8/Year_2032!AM8</f>
        <v>#DIV/0!</v>
      </c>
      <c r="AN5" t="e">
        <f>Year_2040!AN8/Year_2032!AN8</f>
        <v>#VALUE!</v>
      </c>
      <c r="AO5" t="e">
        <f>Year_2040!AO8/Year_2032!AO8</f>
        <v>#DIV/0!</v>
      </c>
      <c r="AP5">
        <f>Year_2040!AP8</f>
        <v>0</v>
      </c>
      <c r="AQ5">
        <f>Year_2040!AQ8</f>
        <v>0</v>
      </c>
      <c r="AR5">
        <f>Year_2040!AR8</f>
        <v>0</v>
      </c>
      <c r="AS5">
        <f>Year_2040!AS8</f>
        <v>0</v>
      </c>
      <c r="AT5">
        <f>Year_2040!AT8</f>
        <v>0</v>
      </c>
      <c r="AU5">
        <f>Year_2040!AU8</f>
        <v>0</v>
      </c>
      <c r="AV5">
        <f>Year_2040!AV8</f>
        <v>0</v>
      </c>
      <c r="AW5">
        <f>Year_2040!AW8</f>
        <v>0</v>
      </c>
      <c r="AX5">
        <f>Year_2040!AX8</f>
        <v>0</v>
      </c>
    </row>
    <row r="6" spans="2:51" x14ac:dyDescent="0.3">
      <c r="B6" t="str">
        <f>Year_2032!B9</f>
        <v>Night</v>
      </c>
      <c r="C6">
        <f>Year_2040!C9/Year_2032!C9</f>
        <v>1</v>
      </c>
      <c r="D6">
        <f>Year_2040!D9/Year_2032!D9</f>
        <v>1</v>
      </c>
      <c r="E6">
        <f>Year_2040!E9/Year_2032!E9</f>
        <v>1</v>
      </c>
      <c r="F6">
        <f>Year_2040!F9/Year_2032!F9</f>
        <v>1</v>
      </c>
      <c r="G6">
        <f>Year_2040!G9/Year_2032!G9</f>
        <v>1</v>
      </c>
      <c r="H6">
        <f>Year_2040!H9/Year_2032!H9</f>
        <v>1</v>
      </c>
      <c r="I6">
        <f>Year_2040!I9/Year_2032!I9</f>
        <v>1</v>
      </c>
      <c r="J6">
        <f>Year_2040!J9/Year_2032!J9</f>
        <v>1</v>
      </c>
      <c r="K6">
        <f>Year_2040!K9/Year_2032!K9</f>
        <v>1</v>
      </c>
      <c r="L6">
        <f>Year_2040!L9/Year_2032!L9</f>
        <v>1</v>
      </c>
      <c r="M6" t="e">
        <f>Year_2040!M9/Year_2032!M9</f>
        <v>#DIV/0!</v>
      </c>
      <c r="N6" t="str">
        <f>Year_2040!N9</f>
        <v>Night</v>
      </c>
      <c r="O6">
        <f>Year_2040!O9/Year_2032!O9</f>
        <v>1.1003299766740628</v>
      </c>
      <c r="P6">
        <f>Year_2040!P9/Year_2032!P9</f>
        <v>1.1197961530872989</v>
      </c>
      <c r="Q6">
        <f>Year_2040!Q9/Year_2032!Q9</f>
        <v>1.1157457941334443</v>
      </c>
      <c r="R6">
        <f>Year_2040!R9/Year_2032!R9</f>
        <v>1.1102972665652644</v>
      </c>
      <c r="S6">
        <f>Year_2040!S9/Year_2032!S9</f>
        <v>1.7575211518989511</v>
      </c>
      <c r="T6">
        <f>Year_2040!T9/Year_2032!T9</f>
        <v>1.7290791037421376</v>
      </c>
      <c r="U6">
        <f>Year_2040!U9/Year_2032!U9</f>
        <v>1.1179790286638787</v>
      </c>
      <c r="V6">
        <f>Year_2040!V9/Year_2032!V9</f>
        <v>1.1178207453469793</v>
      </c>
      <c r="W6">
        <f>Year_2040!W9/Year_2032!W9</f>
        <v>1.0070818754373689</v>
      </c>
      <c r="X6">
        <f>Year_2040!X9/Year_2032!X9</f>
        <v>0.99731154783985987</v>
      </c>
      <c r="Y6" t="e">
        <f>Year_2040!Y9/Year_2032!Y9</f>
        <v>#DIV/0!</v>
      </c>
      <c r="Z6" t="e">
        <f>Year_2040!Z9/Year_2032!Z9</f>
        <v>#DIV/0!</v>
      </c>
      <c r="AA6" t="e">
        <f>Year_2040!AA9/Year_2032!AA9</f>
        <v>#VALUE!</v>
      </c>
      <c r="AB6">
        <f>Year_2040!AB9/Year_2032!AB9</f>
        <v>1.1112136519981703</v>
      </c>
      <c r="AC6">
        <f>Year_2040!AC9/Year_2032!AC9</f>
        <v>1.1093207781993903</v>
      </c>
      <c r="AD6">
        <f>Year_2040!AD9/Year_2032!AD9</f>
        <v>1.1096101345601657</v>
      </c>
      <c r="AE6">
        <f>Year_2040!AE9/Year_2032!AE9</f>
        <v>1.1103532535045848</v>
      </c>
      <c r="AF6">
        <f>Year_2040!AF9/Year_2032!AF9</f>
        <v>1.0804899369934089</v>
      </c>
      <c r="AG6">
        <f>Year_2040!AG9/Year_2032!AG9</f>
        <v>1.0820536859904888</v>
      </c>
      <c r="AH6">
        <f>Year_2040!AH9/Year_2032!AH9</f>
        <v>1.1180388408024324</v>
      </c>
      <c r="AI6">
        <f>Year_2040!AI9/Year_2032!AI9</f>
        <v>1.1178200106884588</v>
      </c>
      <c r="AJ6">
        <f>Year_2040!AJ9/Year_2032!AJ9</f>
        <v>0.99923035504056601</v>
      </c>
      <c r="AK6">
        <f>Year_2040!AK9/Year_2032!AK9</f>
        <v>1.0002890365522943</v>
      </c>
      <c r="AL6" t="e">
        <f>Year_2040!AL9/Year_2032!AL9</f>
        <v>#DIV/0!</v>
      </c>
      <c r="AM6" t="e">
        <f>Year_2040!AM9/Year_2032!AM9</f>
        <v>#DIV/0!</v>
      </c>
      <c r="AN6" t="str">
        <f>Year_2040!AN9</f>
        <v>Night</v>
      </c>
      <c r="AO6">
        <f>Year_2040!AO9/Year_2032!AO9</f>
        <v>1.1101683029453016</v>
      </c>
      <c r="AP6">
        <f>Year_2040!AP9/Year_2032!AP9</f>
        <v>1.1103187771384191</v>
      </c>
      <c r="AQ6">
        <f>Year_2040!AQ9/Year_2032!AQ9</f>
        <v>1.1102120950709462</v>
      </c>
      <c r="AR6">
        <f>Year_2040!AR9/Year_2032!AR9</f>
        <v>1.1103498993652268</v>
      </c>
      <c r="AS6">
        <f>Year_2040!AS9/Year_2032!AS9</f>
        <v>1.1180587960802613</v>
      </c>
      <c r="AT6">
        <f>Year_2040!AT9/Year_2032!AT9</f>
        <v>1.1178876710892025</v>
      </c>
      <c r="AU6">
        <f>Year_2040!AU9/Year_2032!AU9</f>
        <v>1.1180352296312064</v>
      </c>
      <c r="AV6">
        <f>Year_2040!AV9/Year_2032!AV9</f>
        <v>1.1178200475534978</v>
      </c>
      <c r="AW6">
        <f>Year_2040!AW9/Year_2032!AW9</f>
        <v>1</v>
      </c>
      <c r="AX6">
        <f>Year_2040!AX9/Year_2032!AX9</f>
        <v>1</v>
      </c>
    </row>
    <row r="7" spans="2:51" x14ac:dyDescent="0.3">
      <c r="B7" t="str">
        <f>Year_2032!B10</f>
        <v>AM-Early</v>
      </c>
      <c r="C7">
        <f>Year_2040!C10/Year_2032!C10</f>
        <v>1.1666666666666667</v>
      </c>
      <c r="D7">
        <f>Year_2040!D10/Year_2032!D10</f>
        <v>1.7752808988764046</v>
      </c>
      <c r="E7">
        <f>Year_2040!E10/Year_2032!E10</f>
        <v>2.0121951219512195</v>
      </c>
      <c r="F7">
        <f>Year_2040!F10/Year_2032!F10</f>
        <v>1.1666666666666667</v>
      </c>
      <c r="G7">
        <f>Year_2040!G10/Year_2032!G10</f>
        <v>1.2650602409638556</v>
      </c>
      <c r="H7">
        <f>Year_2040!H10/Year_2032!H10</f>
        <v>1.4583333333333335</v>
      </c>
      <c r="I7">
        <f>Year_2040!I10/Year_2032!I10</f>
        <v>1.1666666666666667</v>
      </c>
      <c r="J7">
        <f>Year_2040!J10/Year_2032!J10</f>
        <v>1</v>
      </c>
      <c r="K7">
        <f>Year_2040!K10/Year_2032!K10</f>
        <v>1.1666666666666667</v>
      </c>
      <c r="L7">
        <f>Year_2040!L10/Year_2032!L10</f>
        <v>1.4615384615384615</v>
      </c>
      <c r="M7" t="e">
        <f>Year_2040!M10/Year_2032!M10</f>
        <v>#DIV/0!</v>
      </c>
      <c r="N7" t="str">
        <f>Year_2040!N10</f>
        <v>AM-Early</v>
      </c>
      <c r="O7">
        <f>Year_2040!O10/Year_2032!O10</f>
        <v>1.2982154703957423</v>
      </c>
      <c r="P7">
        <f>Year_2040!P10/Year_2032!P10</f>
        <v>1.1049155318507304</v>
      </c>
      <c r="Q7">
        <f>Year_2040!Q10/Year_2032!Q10</f>
        <v>1.0787695025022077</v>
      </c>
      <c r="R7">
        <f>Year_2040!R10/Year_2032!R10</f>
        <v>1.3198876615606736</v>
      </c>
      <c r="S7">
        <f>Year_2040!S10/Year_2032!S10</f>
        <v>1.4146567560418655</v>
      </c>
      <c r="T7">
        <f>Year_2040!T10/Year_2032!T10</f>
        <v>1.3487511169737456</v>
      </c>
      <c r="U7">
        <f>Year_2040!U10/Year_2032!U10</f>
        <v>1.2861817934562076</v>
      </c>
      <c r="V7">
        <f>Year_2040!V10/Year_2032!V10</f>
        <v>1.9303755735873938</v>
      </c>
      <c r="W7">
        <f>Year_2040!W10/Year_2032!W10</f>
        <v>1.2296499776746714</v>
      </c>
      <c r="X7">
        <f>Year_2040!X10/Year_2032!X10</f>
        <v>0.99858394084019519</v>
      </c>
      <c r="Y7" t="e">
        <f>Year_2040!Y10/Year_2032!Y10</f>
        <v>#DIV/0!</v>
      </c>
      <c r="Z7" t="e">
        <f>Year_2040!Z10/Year_2032!Z10</f>
        <v>#DIV/0!</v>
      </c>
      <c r="AA7" t="e">
        <f>Year_2040!AA10/Year_2032!AA10</f>
        <v>#VALUE!</v>
      </c>
      <c r="AB7">
        <f>Year_2040!AB10/Year_2032!AB10</f>
        <v>1.0008864295882514</v>
      </c>
      <c r="AC7">
        <f>Year_2040!AC10/Year_2032!AC10</f>
        <v>1.1112035538192402</v>
      </c>
      <c r="AD7">
        <f>Year_2040!AD10/Year_2032!AD10</f>
        <v>1.1154738985337878</v>
      </c>
      <c r="AE7">
        <f>Year_2040!AE10/Year_2032!AE10</f>
        <v>0.99217163442426426</v>
      </c>
      <c r="AF7">
        <f>Year_2040!AF10/Year_2032!AF10</f>
        <v>1.0529161715260538</v>
      </c>
      <c r="AG7">
        <f>Year_2040!AG10/Year_2032!AG10</f>
        <v>1.075890716124444</v>
      </c>
      <c r="AH7">
        <f>Year_2040!AH10/Year_2032!AH10</f>
        <v>1.0039618627503426</v>
      </c>
      <c r="AI7">
        <f>Year_2040!AI10/Year_2032!AI10</f>
        <v>1.0765541796770943</v>
      </c>
      <c r="AJ7">
        <f>Year_2040!AJ10/Year_2032!AJ10</f>
        <v>0.99084858569051593</v>
      </c>
      <c r="AK7">
        <f>Year_2040!AK10/Year_2032!AK10</f>
        <v>1.0002395889718083</v>
      </c>
      <c r="AL7" t="e">
        <f>Year_2040!AL10/Year_2032!AL10</f>
        <v>#DIV/0!</v>
      </c>
      <c r="AM7" t="e">
        <f>Year_2040!AM10/Year_2032!AM10</f>
        <v>#DIV/0!</v>
      </c>
      <c r="AN7" t="str">
        <f>Year_2040!AN10</f>
        <v>AM-Early</v>
      </c>
      <c r="AO7">
        <f>Year_2040!AO10/Year_2032!AO10</f>
        <v>1.0485440083156854</v>
      </c>
      <c r="AP7">
        <f>Year_2040!AP10/Year_2032!AP10</f>
        <v>1.110290227496032</v>
      </c>
      <c r="AQ7">
        <f>Year_2040!AQ10/Year_2032!AQ10</f>
        <v>1.1103104844136618</v>
      </c>
      <c r="AR7">
        <f>Year_2040!AR10/Year_2032!AR10</f>
        <v>1.0485431938742444</v>
      </c>
      <c r="AS7">
        <f>Year_2040!AS10/Year_2032!AS10</f>
        <v>1.1075105623692523</v>
      </c>
      <c r="AT7">
        <f>Year_2040!AT10/Year_2032!AT10</f>
        <v>1.1180549873169134</v>
      </c>
      <c r="AU7">
        <f>Year_2040!AU10/Year_2032!AU10</f>
        <v>1.0485436489525768</v>
      </c>
      <c r="AV7">
        <f>Year_2040!AV10/Year_2032!AV10</f>
        <v>1.1180021125697903</v>
      </c>
      <c r="AW7">
        <f>Year_2040!AW10/Year_2032!AW10</f>
        <v>1.029126213592233</v>
      </c>
      <c r="AX7">
        <f>Year_2040!AX10/Year_2032!AX10</f>
        <v>1</v>
      </c>
    </row>
    <row r="8" spans="2:51" x14ac:dyDescent="0.3">
      <c r="B8" t="str">
        <f>Year_2032!B11</f>
        <v>AM-Peak</v>
      </c>
      <c r="C8">
        <f>Year_2040!C11/Year_2032!C11</f>
        <v>1.5949367088607593</v>
      </c>
      <c r="D8">
        <f>Year_2040!D11/Year_2032!D11</f>
        <v>1.1666666666666667</v>
      </c>
      <c r="E8">
        <f>Year_2040!E11/Year_2032!E11</f>
        <v>2.3333333333333335</v>
      </c>
      <c r="F8">
        <f>Year_2040!F11/Year_2032!F11</f>
        <v>3.5</v>
      </c>
      <c r="G8">
        <f>Year_2040!G11/Year_2032!G11</f>
        <v>1.693548387096774</v>
      </c>
      <c r="H8">
        <f>Year_2040!H11/Year_2032!H11</f>
        <v>1.2138728323699424</v>
      </c>
      <c r="I8">
        <f>Year_2040!I11/Year_2032!I11</f>
        <v>1.8960244648318043</v>
      </c>
      <c r="J8">
        <f>Year_2040!J11/Year_2032!J11</f>
        <v>1.8450704225352115</v>
      </c>
      <c r="K8">
        <f>Year_2040!K11/Year_2032!K11</f>
        <v>1.3043478260869565</v>
      </c>
      <c r="L8">
        <f>Year_2040!L11/Year_2032!L11</f>
        <v>1.1666666666666667</v>
      </c>
      <c r="M8" t="e">
        <f>Year_2040!M11/Year_2032!M11</f>
        <v>#DIV/0!</v>
      </c>
      <c r="N8" t="str">
        <f>Year_2040!N11</f>
        <v>AM-Peak</v>
      </c>
      <c r="O8">
        <f>Year_2040!O11/Year_2032!O11</f>
        <v>1.3273722405422359</v>
      </c>
      <c r="P8">
        <f>Year_2040!P11/Year_2032!P11</f>
        <v>1.4151980676167883</v>
      </c>
      <c r="Q8">
        <f>Year_2040!Q11/Year_2032!Q11</f>
        <v>1.0177287193328768</v>
      </c>
      <c r="R8">
        <f>Year_2040!R11/Year_2032!R11</f>
        <v>0.95746202183950413</v>
      </c>
      <c r="S8">
        <f>Year_2040!S11/Year_2032!S11</f>
        <v>1.2963418206829791</v>
      </c>
      <c r="T8">
        <f>Year_2040!T11/Year_2032!T11</f>
        <v>1.406568159744694</v>
      </c>
      <c r="U8">
        <f>Year_2040!U11/Year_2032!U11</f>
        <v>1.2325117403024402</v>
      </c>
      <c r="V8">
        <f>Year_2040!V11/Year_2032!V11</f>
        <v>1.0785038357925254</v>
      </c>
      <c r="W8">
        <f>Year_2040!W11/Year_2032!W11</f>
        <v>1.0846511486414545</v>
      </c>
      <c r="X8">
        <f>Year_2040!X11/Year_2032!X11</f>
        <v>1.1245272138265576</v>
      </c>
      <c r="Y8" t="e">
        <f>Year_2040!Y11/Year_2032!Y11</f>
        <v>#DIV/0!</v>
      </c>
      <c r="Z8" t="e">
        <f>Year_2040!Z11/Year_2032!Z11</f>
        <v>#DIV/0!</v>
      </c>
      <c r="AA8" t="e">
        <f>Year_2040!AA11/Year_2032!AA11</f>
        <v>#VALUE!</v>
      </c>
      <c r="AB8">
        <f>Year_2040!AB11/Year_2032!AB11</f>
        <v>1.0735968564017704</v>
      </c>
      <c r="AC8">
        <f>Year_2040!AC11/Year_2032!AC11</f>
        <v>1.0450783191332784</v>
      </c>
      <c r="AD8">
        <f>Year_2040!AD11/Year_2032!AD11</f>
        <v>1.1245035167307385</v>
      </c>
      <c r="AE8">
        <f>Year_2040!AE11/Year_2032!AE11</f>
        <v>1.1861850421519231</v>
      </c>
      <c r="AF8">
        <f>Year_2040!AF11/Year_2032!AF11</f>
        <v>1.0819573658463091</v>
      </c>
      <c r="AG8">
        <f>Year_2040!AG11/Year_2032!AG11</f>
        <v>1.0680139611336639</v>
      </c>
      <c r="AH8">
        <f>Year_2040!AH11/Year_2032!AH11</f>
        <v>1.0997954431831143</v>
      </c>
      <c r="AI8">
        <f>Year_2040!AI11/Year_2032!AI11</f>
        <v>1.1245976096634178</v>
      </c>
      <c r="AJ8">
        <f>Year_2040!AJ11/Year_2032!AJ11</f>
        <v>0.98508815724956178</v>
      </c>
      <c r="AK8">
        <f>Year_2040!AK11/Year_2032!AK11</f>
        <v>0.97089660803970301</v>
      </c>
      <c r="AL8" t="e">
        <f>Year_2040!AL11/Year_2032!AL11</f>
        <v>#DIV/0!</v>
      </c>
      <c r="AM8" t="e">
        <f>Year_2040!AM11/Year_2032!AM11</f>
        <v>#DIV/0!</v>
      </c>
      <c r="AN8" t="str">
        <f>Year_2040!AN11</f>
        <v>AM-Peak</v>
      </c>
      <c r="AO8">
        <f>Year_2040!AO11/Year_2032!AO11</f>
        <v>1.119572148651873</v>
      </c>
      <c r="AP8">
        <f>Year_2040!AP11/Year_2032!AP11</f>
        <v>1.1102593649143024</v>
      </c>
      <c r="AQ8">
        <f>Year_2040!AQ11/Year_2032!AQ11</f>
        <v>1.1103010915170319</v>
      </c>
      <c r="AR8">
        <f>Year_2040!AR11/Year_2032!AR11</f>
        <v>1.1259842162965379</v>
      </c>
      <c r="AS8">
        <f>Year_2040!AS11/Year_2032!AS11</f>
        <v>1.1179453466980098</v>
      </c>
      <c r="AT8">
        <f>Year_2040!AT11/Year_2032!AT11</f>
        <v>1.1179750543555207</v>
      </c>
      <c r="AU8">
        <f>Year_2040!AU11/Year_2032!AU11</f>
        <v>1.1179789466288332</v>
      </c>
      <c r="AV8">
        <f>Year_2040!AV11/Year_2032!AV11</f>
        <v>1.1179765356112275</v>
      </c>
      <c r="AW8">
        <f>Year_2040!AW11/Year_2032!AW11</f>
        <v>1</v>
      </c>
      <c r="AX8">
        <f>Year_2040!AX11/Year_2032!AX11</f>
        <v>1</v>
      </c>
    </row>
    <row r="9" spans="2:51" x14ac:dyDescent="0.3">
      <c r="B9" t="str">
        <f>Year_2032!B12</f>
        <v>AM-Shoulder</v>
      </c>
      <c r="C9">
        <f>Year_2040!C12/Year_2032!C12</f>
        <v>1.1666666666666667</v>
      </c>
      <c r="D9">
        <f>Year_2040!D12/Year_2032!D12</f>
        <v>1.1731843575418994</v>
      </c>
      <c r="E9">
        <f>Year_2040!E12/Year_2032!E12</f>
        <v>1.5441176470588236</v>
      </c>
      <c r="F9">
        <f>Year_2040!F12/Year_2032!F12</f>
        <v>1.1666666666666667</v>
      </c>
      <c r="G9">
        <f>Year_2040!G12/Year_2032!G12</f>
        <v>1.6331877729257642</v>
      </c>
      <c r="H9">
        <f>Year_2040!H12/Year_2032!H12</f>
        <v>1.2138728323699424</v>
      </c>
      <c r="I9">
        <f>Year_2040!I12/Year_2032!I12</f>
        <v>2.101123595505618</v>
      </c>
      <c r="J9">
        <f>Year_2040!J12/Year_2032!J12</f>
        <v>1.8409090909090911</v>
      </c>
      <c r="K9">
        <f>Year_2040!K12/Year_2032!K12</f>
        <v>1.4513888888888888</v>
      </c>
      <c r="L9">
        <f>Year_2040!L12/Year_2032!L12</f>
        <v>1.320754716981132</v>
      </c>
      <c r="M9" t="e">
        <f>Year_2040!M12/Year_2032!M12</f>
        <v>#DIV/0!</v>
      </c>
      <c r="N9" t="str">
        <f>Year_2040!N12</f>
        <v>AM-Shoulder</v>
      </c>
      <c r="O9">
        <f>Year_2040!O12/Year_2032!O12</f>
        <v>1.1953806285075226</v>
      </c>
      <c r="P9">
        <f>Year_2040!P12/Year_2032!P12</f>
        <v>1.6045822971074859</v>
      </c>
      <c r="Q9">
        <f>Year_2040!Q12/Year_2032!Q12</f>
        <v>1.3123895756635229</v>
      </c>
      <c r="R9">
        <f>Year_2040!R12/Year_2032!R12</f>
        <v>1.1905139256132633</v>
      </c>
      <c r="S9">
        <f>Year_2040!S12/Year_2032!S12</f>
        <v>0.98632651100221003</v>
      </c>
      <c r="T9">
        <f>Year_2040!T12/Year_2032!T12</f>
        <v>1.4564338321283596</v>
      </c>
      <c r="U9">
        <f>Year_2040!U12/Year_2032!U12</f>
        <v>1.074837005972457</v>
      </c>
      <c r="V9">
        <f>Year_2040!V12/Year_2032!V12</f>
        <v>1.0945499367754412</v>
      </c>
      <c r="W9">
        <f>Year_2040!W12/Year_2032!W12</f>
        <v>0.99966213933373871</v>
      </c>
      <c r="X9">
        <f>Year_2040!X12/Year_2032!X12</f>
        <v>1.0824750735064637</v>
      </c>
      <c r="Y9" t="e">
        <f>Year_2040!Y12/Year_2032!Y12</f>
        <v>#DIV/0!</v>
      </c>
      <c r="Z9" t="e">
        <f>Year_2040!Z12/Year_2032!Z12</f>
        <v>#DIV/0!</v>
      </c>
      <c r="AA9" t="e">
        <f>Year_2040!AA12/Year_2032!AA12</f>
        <v>#VALUE!</v>
      </c>
      <c r="AB9">
        <f>Year_2040!AB12/Year_2032!AB12</f>
        <v>0.98574443225638075</v>
      </c>
      <c r="AC9">
        <f>Year_2040!AC12/Year_2032!AC12</f>
        <v>1.0329437316034635</v>
      </c>
      <c r="AD9">
        <f>Year_2040!AD12/Year_2032!AD12</f>
        <v>1.0817881515928065</v>
      </c>
      <c r="AE9">
        <f>Year_2040!AE12/Year_2032!AE12</f>
        <v>0.98809958171941625</v>
      </c>
      <c r="AF9">
        <f>Year_2040!AF12/Year_2032!AF12</f>
        <v>1.0244448671009461</v>
      </c>
      <c r="AG9">
        <f>Year_2040!AG12/Year_2032!AG12</f>
        <v>1.0465041235881964</v>
      </c>
      <c r="AH9">
        <f>Year_2040!AH12/Year_2032!AH12</f>
        <v>1.1253381173255501</v>
      </c>
      <c r="AI9">
        <f>Year_2040!AI12/Year_2032!AI12</f>
        <v>1.1219291446724948</v>
      </c>
      <c r="AJ9">
        <f>Year_2040!AJ12/Year_2032!AJ12</f>
        <v>1.0000531456936046</v>
      </c>
      <c r="AK9">
        <f>Year_2040!AK12/Year_2032!AK12</f>
        <v>0.98669951391372301</v>
      </c>
      <c r="AL9" t="e">
        <f>Year_2040!AL12/Year_2032!AL12</f>
        <v>#DIV/0!</v>
      </c>
      <c r="AM9" t="e">
        <f>Year_2040!AM12/Year_2032!AM12</f>
        <v>#DIV/0!</v>
      </c>
      <c r="AN9" t="str">
        <f>Year_2040!AN12</f>
        <v>AM-Shoulder</v>
      </c>
      <c r="AO9">
        <f>Year_2040!AO12/Year_2032!AO12</f>
        <v>1.019047511698383</v>
      </c>
      <c r="AP9">
        <f>Year_2040!AP12/Year_2032!AP12</f>
        <v>1.1103678984853178</v>
      </c>
      <c r="AQ9">
        <f>Year_2040!AQ12/Year_2032!AQ12</f>
        <v>1.1102600994219056</v>
      </c>
      <c r="AR9">
        <f>Year_2040!AR12/Year_2032!AR12</f>
        <v>1.0190475013032825</v>
      </c>
      <c r="AS9">
        <f>Year_2040!AS12/Year_2032!AS12</f>
        <v>1.019047619047619</v>
      </c>
      <c r="AT9">
        <f>Year_2040!AT12/Year_2032!AT12</f>
        <v>1.1046643678635584</v>
      </c>
      <c r="AU9">
        <f>Year_2040!AU12/Year_2032!AU12</f>
        <v>1.1180063149384349</v>
      </c>
      <c r="AV9">
        <f>Year_2040!AV12/Year_2032!AV12</f>
        <v>1.1179993708713432</v>
      </c>
      <c r="AW9">
        <f>Year_2040!AW12/Year_2032!AW12</f>
        <v>1</v>
      </c>
      <c r="AX9">
        <f>Year_2040!AX12/Year_2032!AX12</f>
        <v>1</v>
      </c>
    </row>
    <row r="10" spans="2:51" x14ac:dyDescent="0.3">
      <c r="B10" t="str">
        <f>Year_2032!B13</f>
        <v>MD</v>
      </c>
      <c r="C10">
        <f>Year_2040!C13/Year_2032!C13</f>
        <v>1.1666666666666667</v>
      </c>
      <c r="D10">
        <f>Year_2040!D13/Year_2032!D13</f>
        <v>2.0111111111111111</v>
      </c>
      <c r="E10">
        <f>Year_2040!E13/Year_2032!E13</f>
        <v>1.1666666666666667</v>
      </c>
      <c r="F10">
        <f>Year_2040!F13/Year_2032!F13</f>
        <v>1.1666666666666667</v>
      </c>
      <c r="G10">
        <f>Year_2040!G13/Year_2032!G13</f>
        <v>1.4000000000000001</v>
      </c>
      <c r="H10">
        <f>Year_2040!H13/Year_2032!H13</f>
        <v>1.4583333333333335</v>
      </c>
      <c r="I10">
        <f>Year_2040!I13/Year_2032!I13</f>
        <v>1.8115942028985508</v>
      </c>
      <c r="J10">
        <f>Year_2040!J13/Year_2032!J13</f>
        <v>1.810810810810811</v>
      </c>
      <c r="K10">
        <f>Year_2040!K13/Year_2032!K13</f>
        <v>1.1666666666666667</v>
      </c>
      <c r="L10">
        <f>Year_2040!L13/Year_2032!L13</f>
        <v>1.1666666666666667</v>
      </c>
      <c r="M10" t="e">
        <f>Year_2040!M13/Year_2032!M13</f>
        <v>#DIV/0!</v>
      </c>
      <c r="N10" t="str">
        <f>Year_2040!N13</f>
        <v>MD</v>
      </c>
      <c r="O10">
        <f>Year_2040!O13/Year_2032!O13</f>
        <v>1.2083922797777473</v>
      </c>
      <c r="P10">
        <f>Year_2040!P13/Year_2032!P13</f>
        <v>0.84591693409155189</v>
      </c>
      <c r="Q10">
        <f>Year_2040!Q13/Year_2032!Q13</f>
        <v>1.3342721496160579</v>
      </c>
      <c r="R10">
        <f>Year_2040!R13/Year_2032!R13</f>
        <v>1.1980152812656346</v>
      </c>
      <c r="S10">
        <f>Year_2040!S13/Year_2032!S13</f>
        <v>1.3927188972265174</v>
      </c>
      <c r="T10">
        <f>Year_2040!T13/Year_2032!T13</f>
        <v>1.3503724998199815</v>
      </c>
      <c r="U10">
        <f>Year_2040!U13/Year_2032!U13</f>
        <v>1.1025672454011941</v>
      </c>
      <c r="V10">
        <f>Year_2040!V13/Year_2032!V13</f>
        <v>1.0920487838832631</v>
      </c>
      <c r="W10">
        <f>Year_2040!W13/Year_2032!W13</f>
        <v>1.1519869888078067</v>
      </c>
      <c r="X10">
        <f>Year_2040!X13/Year_2032!X13</f>
        <v>1.1635722176686503</v>
      </c>
      <c r="Y10" t="e">
        <f>Year_2040!Y13/Year_2032!Y13</f>
        <v>#DIV/0!</v>
      </c>
      <c r="Z10" t="e">
        <f>Year_2040!Z13/Year_2032!Z13</f>
        <v>#DIV/0!</v>
      </c>
      <c r="AA10" t="e">
        <f>Year_2040!AA13/Year_2032!AA13</f>
        <v>#VALUE!</v>
      </c>
      <c r="AB10">
        <f>Year_2040!AB13/Year_2032!AB13</f>
        <v>0.97961295785135749</v>
      </c>
      <c r="AC10">
        <f>Year_2040!AC13/Year_2032!AC13</f>
        <v>1.0546202487884082</v>
      </c>
      <c r="AD10">
        <f>Year_2040!AD13/Year_2032!AD13</f>
        <v>1.005992114654334</v>
      </c>
      <c r="AE10">
        <f>Year_2040!AE13/Year_2032!AE13</f>
        <v>0.9851212625903959</v>
      </c>
      <c r="AF10">
        <f>Year_2040!AF13/Year_2032!AF13</f>
        <v>1.0705421079488433</v>
      </c>
      <c r="AG10">
        <f>Year_2040!AG13/Year_2032!AG13</f>
        <v>1.0762863279221455</v>
      </c>
      <c r="AH10">
        <f>Year_2040!AH13/Year_2032!AH13</f>
        <v>1.1208381021864526</v>
      </c>
      <c r="AI10">
        <f>Year_2040!AI13/Year_2032!AI13</f>
        <v>1.1226927251962864</v>
      </c>
      <c r="AJ10">
        <f>Year_2040!AJ13/Year_2032!AJ13</f>
        <v>0.97357724030938542</v>
      </c>
      <c r="AK10">
        <f>Year_2040!AK13/Year_2032!AK13</f>
        <v>0.97912900187595797</v>
      </c>
      <c r="AL10" t="e">
        <f>Year_2040!AL13/Year_2032!AL13</f>
        <v>#DIV/0!</v>
      </c>
      <c r="AM10" t="e">
        <f>Year_2040!AM13/Year_2032!AM13</f>
        <v>#DIV/0!</v>
      </c>
      <c r="AN10" t="str">
        <f>Year_2040!AN13</f>
        <v>MD</v>
      </c>
      <c r="AO10">
        <f>Year_2040!AO13/Year_2032!AO13</f>
        <v>1.0190475922331799</v>
      </c>
      <c r="AP10">
        <f>Year_2040!AP13/Year_2032!AP13</f>
        <v>1.0190475530734306</v>
      </c>
      <c r="AQ10">
        <f>Year_2040!AQ13/Year_2032!AQ13</f>
        <v>1.0531523044676292</v>
      </c>
      <c r="AR10">
        <f>Year_2040!AR13/Year_2032!AR13</f>
        <v>1.0190476116756462</v>
      </c>
      <c r="AS10">
        <f>Year_2040!AS13/Year_2032!AS13</f>
        <v>1.1180125880093876</v>
      </c>
      <c r="AT10">
        <f>Year_2040!AT13/Year_2032!AT13</f>
        <v>1.1179507732930971</v>
      </c>
      <c r="AU10">
        <f>Year_2040!AU13/Year_2032!AU13</f>
        <v>1.1180820648788512</v>
      </c>
      <c r="AV10">
        <f>Year_2040!AV13/Year_2032!AV13</f>
        <v>1.118047403616603</v>
      </c>
      <c r="AW10">
        <f>Year_2040!AW13/Year_2032!AW13</f>
        <v>1</v>
      </c>
      <c r="AX10">
        <f>Year_2040!AX13/Year_2032!AX13</f>
        <v>1.0106517851332764</v>
      </c>
    </row>
    <row r="11" spans="2:51" x14ac:dyDescent="0.3">
      <c r="B11" t="str">
        <f>Year_2032!B14</f>
        <v>PM-Shoulder</v>
      </c>
      <c r="C11">
        <f>Year_2040!C14/Year_2032!C14</f>
        <v>1.1666666666666667</v>
      </c>
      <c r="D11">
        <f>Year_2040!D14/Year_2032!D14</f>
        <v>1.6611111111111112</v>
      </c>
      <c r="E11">
        <f>Year_2040!E14/Year_2032!E14</f>
        <v>1.1666666666666667</v>
      </c>
      <c r="F11">
        <f>Year_2040!F14/Year_2032!F14</f>
        <v>1.3291139240506329</v>
      </c>
      <c r="G11">
        <f>Year_2040!G14/Year_2032!G14</f>
        <v>1.1797752808988764</v>
      </c>
      <c r="H11">
        <f>Year_2040!H14/Year_2032!H14</f>
        <v>1.807017543859649</v>
      </c>
      <c r="I11">
        <f>Year_2040!I14/Year_2032!I14</f>
        <v>2.2571428571428576</v>
      </c>
      <c r="J11">
        <f>Year_2040!J14/Year_2032!J14</f>
        <v>3.3195876288659796</v>
      </c>
      <c r="K11">
        <f>Year_2040!K14/Year_2032!K14</f>
        <v>1.1666666666666667</v>
      </c>
      <c r="L11">
        <f>Year_2040!L14/Year_2032!L14</f>
        <v>1.1666666666666667</v>
      </c>
      <c r="M11" t="e">
        <f>Year_2040!M14/Year_2032!M14</f>
        <v>#DIV/0!</v>
      </c>
      <c r="N11" t="str">
        <f>Year_2040!N14</f>
        <v>PM-Shoulder</v>
      </c>
      <c r="O11">
        <f>Year_2040!O14/Year_2032!O14</f>
        <v>1.2074157050062702</v>
      </c>
      <c r="P11">
        <f>Year_2040!P14/Year_2032!P14</f>
        <v>0.98576695796600522</v>
      </c>
      <c r="Q11">
        <f>Year_2040!Q14/Year_2032!Q14</f>
        <v>1.1949819327710207</v>
      </c>
      <c r="R11">
        <f>Year_2040!R14/Year_2032!R14</f>
        <v>1.1032310094190387</v>
      </c>
      <c r="S11">
        <f>Year_2040!S14/Year_2032!S14</f>
        <v>1.1652126260412101</v>
      </c>
      <c r="T11">
        <f>Year_2040!T14/Year_2032!T14</f>
        <v>0.95175875112823627</v>
      </c>
      <c r="U11">
        <f>Year_2040!U14/Year_2032!U14</f>
        <v>1.0600195384051778</v>
      </c>
      <c r="V11">
        <f>Year_2040!V14/Year_2032!V14</f>
        <v>0.9351872087322729</v>
      </c>
      <c r="W11">
        <f>Year_2040!W14/Year_2032!W14</f>
        <v>1.1282908068318103</v>
      </c>
      <c r="X11">
        <f>Year_2040!X14/Year_2032!X14</f>
        <v>1.2701683639760326</v>
      </c>
      <c r="Y11" t="e">
        <f>Year_2040!Y14/Year_2032!Y14</f>
        <v>#DIV/0!</v>
      </c>
      <c r="Z11" t="e">
        <f>Year_2040!Z14/Year_2032!Z14</f>
        <v>#DIV/0!</v>
      </c>
      <c r="AA11" t="e">
        <f>Year_2040!AA14/Year_2032!AA14</f>
        <v>#VALUE!</v>
      </c>
      <c r="AB11">
        <f>Year_2040!AB14/Year_2032!AB14</f>
        <v>0.98012349390355302</v>
      </c>
      <c r="AC11">
        <f>Year_2040!AC14/Year_2032!AC14</f>
        <v>1.026312278084039</v>
      </c>
      <c r="AD11">
        <f>Year_2040!AD14/Year_2032!AD14</f>
        <v>0.98719615731746502</v>
      </c>
      <c r="AE11">
        <f>Year_2040!AE14/Year_2032!AE14</f>
        <v>1.0029280611602487</v>
      </c>
      <c r="AF11">
        <f>Year_2040!AF14/Year_2032!AF14</f>
        <v>0.98896430944392955</v>
      </c>
      <c r="AG11">
        <f>Year_2040!AG14/Year_2032!AG14</f>
        <v>1.0329752909725527</v>
      </c>
      <c r="AH11">
        <f>Year_2040!AH14/Year_2032!AH14</f>
        <v>1.1306544988715996</v>
      </c>
      <c r="AI11">
        <f>Year_2040!AI14/Year_2032!AI14</f>
        <v>1.1491747942321995</v>
      </c>
      <c r="AJ11">
        <f>Year_2040!AJ14/Year_2032!AJ14</f>
        <v>0.97118922684002795</v>
      </c>
      <c r="AK11">
        <f>Year_2040!AK14/Year_2032!AK14</f>
        <v>0.98386961972419551</v>
      </c>
      <c r="AL11" t="e">
        <f>Year_2040!AL14/Year_2032!AL14</f>
        <v>#DIV/0!</v>
      </c>
      <c r="AM11" t="e">
        <f>Year_2040!AM14/Year_2032!AM14</f>
        <v>#DIV/0!</v>
      </c>
      <c r="AN11" t="str">
        <f>Year_2040!AN14</f>
        <v>PM-Shoulder</v>
      </c>
      <c r="AO11">
        <f>Year_2040!AO14/Year_2032!AO14</f>
        <v>1.0190478833238727</v>
      </c>
      <c r="AP11">
        <f>Year_2040!AP14/Year_2032!AP14</f>
        <v>1.0190478814639288</v>
      </c>
      <c r="AQ11">
        <f>Year_2040!AQ14/Year_2032!AQ14</f>
        <v>1.019047619047619</v>
      </c>
      <c r="AR11">
        <f>Year_2040!AR14/Year_2032!AR14</f>
        <v>1.0190475272642805</v>
      </c>
      <c r="AS11">
        <f>Year_2040!AS14/Year_2032!AS14</f>
        <v>1.019047619047619</v>
      </c>
      <c r="AT11">
        <f>Year_2040!AT14/Year_2032!AT14</f>
        <v>1.0190476735312917</v>
      </c>
      <c r="AU11">
        <f>Year_2040!AU14/Year_2032!AU14</f>
        <v>1.1179967985364738</v>
      </c>
      <c r="AV11">
        <f>Year_2040!AV14/Year_2032!AV14</f>
        <v>1.1140058269132529</v>
      </c>
      <c r="AW11">
        <f>Year_2040!AW14/Year_2032!AW14</f>
        <v>1</v>
      </c>
      <c r="AX11">
        <f>Year_2040!AX14/Year_2032!AX14</f>
        <v>1.0450441898447331</v>
      </c>
    </row>
    <row r="12" spans="2:51" x14ac:dyDescent="0.3">
      <c r="B12" t="str">
        <f>Year_2032!B15</f>
        <v>PM-Peak</v>
      </c>
      <c r="C12">
        <f>Year_2040!C15/Year_2032!C15</f>
        <v>3.5</v>
      </c>
      <c r="D12">
        <f>Year_2040!D15/Year_2032!D15</f>
        <v>3.5</v>
      </c>
      <c r="E12">
        <f>Year_2040!E15/Year_2032!E15</f>
        <v>1.1666666666666667</v>
      </c>
      <c r="F12">
        <f>Year_2040!F15/Year_2032!F15</f>
        <v>1.2883435582822087</v>
      </c>
      <c r="G12">
        <f>Year_2040!G15/Year_2032!G15</f>
        <v>2.3463687150837989</v>
      </c>
      <c r="H12">
        <f>Year_2040!H15/Year_2032!H15</f>
        <v>2.3333333333333335</v>
      </c>
      <c r="I12">
        <f>Year_2040!I15/Year_2032!I15</f>
        <v>2.1212121212121211</v>
      </c>
      <c r="J12">
        <f>Year_2040!J15/Year_2032!J15</f>
        <v>2.4772727272727275</v>
      </c>
      <c r="K12">
        <f>Year_2040!K15/Year_2032!K15</f>
        <v>1.1666666666666667</v>
      </c>
      <c r="L12">
        <f>Year_2040!L15/Year_2032!L15</f>
        <v>1.05</v>
      </c>
      <c r="M12" t="e">
        <f>Year_2040!M15/Year_2032!M15</f>
        <v>#DIV/0!</v>
      </c>
      <c r="N12" t="str">
        <f>Year_2040!N15</f>
        <v>PM-Peak</v>
      </c>
      <c r="O12">
        <f>Year_2040!O15/Year_2032!O15</f>
        <v>0.92267769739890537</v>
      </c>
      <c r="P12">
        <f>Year_2040!P15/Year_2032!P15</f>
        <v>0.90986115798100564</v>
      </c>
      <c r="Q12">
        <f>Year_2040!Q15/Year_2032!Q15</f>
        <v>1.3995737481107531</v>
      </c>
      <c r="R12">
        <f>Year_2040!R15/Year_2032!R15</f>
        <v>1.343557064738049</v>
      </c>
      <c r="S12">
        <f>Year_2040!S15/Year_2032!S15</f>
        <v>1.044089244614846</v>
      </c>
      <c r="T12">
        <f>Year_2040!T15/Year_2032!T15</f>
        <v>1.0842961339338764</v>
      </c>
      <c r="U12">
        <f>Year_2040!U15/Year_2032!U15</f>
        <v>1.054634087999291</v>
      </c>
      <c r="V12">
        <f>Year_2040!V15/Year_2032!V15</f>
        <v>1.0254769943680684</v>
      </c>
      <c r="W12">
        <f>Year_2040!W15/Year_2032!W15</f>
        <v>1.1606368819583086</v>
      </c>
      <c r="X12">
        <f>Year_2040!X15/Year_2032!X15</f>
        <v>1.245842792219912</v>
      </c>
      <c r="Y12" t="e">
        <f>Year_2040!Y15/Year_2032!Y15</f>
        <v>#DIV/0!</v>
      </c>
      <c r="Z12" t="e">
        <f>Year_2040!Z15/Year_2032!Z15</f>
        <v>#DIV/0!</v>
      </c>
      <c r="AA12" t="e">
        <f>Year_2040!AA15/Year_2032!AA15</f>
        <v>#VALUE!</v>
      </c>
      <c r="AB12">
        <f>Year_2040!AB15/Year_2032!AB15</f>
        <v>1.1671600173345626</v>
      </c>
      <c r="AC12">
        <f>Year_2040!AC15/Year_2032!AC15</f>
        <v>1.1695497148497616</v>
      </c>
      <c r="AD12">
        <f>Year_2040!AD15/Year_2032!AD15</f>
        <v>1.0456566889784231</v>
      </c>
      <c r="AE12">
        <f>Year_2040!AE15/Year_2032!AE15</f>
        <v>1.0671748111300456</v>
      </c>
      <c r="AF12">
        <f>Year_2040!AF15/Year_2032!AF15</f>
        <v>1.1331034666671356</v>
      </c>
      <c r="AG12">
        <f>Year_2040!AG15/Year_2032!AG15</f>
        <v>1.1257543922642625</v>
      </c>
      <c r="AH12">
        <f>Year_2040!AH15/Year_2032!AH15</f>
        <v>1.1312631339549695</v>
      </c>
      <c r="AI12">
        <f>Year_2040!AI15/Year_2032!AI15</f>
        <v>1.1378670030564761</v>
      </c>
      <c r="AJ12">
        <f>Year_2040!AJ15/Year_2032!AJ15</f>
        <v>0.96004022263384425</v>
      </c>
      <c r="AK12">
        <f>Year_2040!AK15/Year_2032!AK15</f>
        <v>0.94937181830777562</v>
      </c>
      <c r="AL12" t="e">
        <f>Year_2040!AL15/Year_2032!AL15</f>
        <v>#DIV/0!</v>
      </c>
      <c r="AM12" t="e">
        <f>Year_2040!AM15/Year_2032!AM15</f>
        <v>#DIV/0!</v>
      </c>
      <c r="AN12" t="str">
        <f>Year_2040!AN15</f>
        <v>PM-Peak</v>
      </c>
      <c r="AO12">
        <f>Year_2040!AO15/Year_2032!AO15</f>
        <v>1.1103008487365824</v>
      </c>
      <c r="AP12">
        <f>Year_2040!AP15/Year_2032!AP15</f>
        <v>1.1102407642903707</v>
      </c>
      <c r="AQ12">
        <f>Year_2040!AQ15/Year_2032!AQ15</f>
        <v>1.1103564655239482</v>
      </c>
      <c r="AR12">
        <f>Year_2040!AR15/Year_2032!AR15</f>
        <v>1.1102342669020469</v>
      </c>
      <c r="AS12">
        <f>Year_2040!AS15/Year_2032!AS15</f>
        <v>1.1180073581364935</v>
      </c>
      <c r="AT12">
        <f>Year_2040!AT15/Year_2032!AT15</f>
        <v>1.1179978799760946</v>
      </c>
      <c r="AU12">
        <f>Year_2040!AU15/Year_2032!AU15</f>
        <v>1.1179409685770914</v>
      </c>
      <c r="AV12">
        <f>Year_2040!AV15/Year_2032!AV15</f>
        <v>1.1179681951639606</v>
      </c>
      <c r="AW12">
        <f>Year_2040!AW15/Year_2032!AW15</f>
        <v>1</v>
      </c>
      <c r="AX12">
        <f>Year_2040!AX15/Year_2032!AX15</f>
        <v>1</v>
      </c>
    </row>
    <row r="13" spans="2:51" x14ac:dyDescent="0.3">
      <c r="B13" t="str">
        <f>Year_2032!B16</f>
        <v>PM-Late</v>
      </c>
      <c r="C13">
        <f>Year_2040!C16/Year_2032!C16</f>
        <v>1.8152173913043477</v>
      </c>
      <c r="D13">
        <f>Year_2040!D16/Year_2032!D16</f>
        <v>1.8518518518518516</v>
      </c>
      <c r="E13">
        <f>Year_2040!E16/Year_2032!E16</f>
        <v>1.8482142857142854</v>
      </c>
      <c r="F13">
        <f>Year_2040!F16/Year_2032!F16</f>
        <v>1.6666666666666665</v>
      </c>
      <c r="G13">
        <f>Year_2040!G16/Year_2032!G16</f>
        <v>1.7073170731707319</v>
      </c>
      <c r="H13">
        <f>Year_2040!H16/Year_2032!H16</f>
        <v>1.8333333333333333</v>
      </c>
      <c r="I13">
        <f>Year_2040!I16/Year_2032!I16</f>
        <v>1.752808988764045</v>
      </c>
      <c r="J13">
        <f>Year_2040!J16/Year_2032!J16</f>
        <v>1</v>
      </c>
      <c r="K13">
        <f>Year_2040!K16/Year_2032!K16</f>
        <v>1.4848484848484849</v>
      </c>
      <c r="L13">
        <f>Year_2040!L16/Year_2032!L16</f>
        <v>1.2138728323699424</v>
      </c>
      <c r="M13" t="e">
        <f>Year_2040!M16/Year_2032!M16</f>
        <v>#DIV/0!</v>
      </c>
      <c r="N13" t="str">
        <f>Year_2040!N16</f>
        <v>PM-Late</v>
      </c>
      <c r="O13">
        <f>Year_2040!O16/Year_2032!O16</f>
        <v>1.1058185897357735</v>
      </c>
      <c r="P13">
        <f>Year_2040!P16/Year_2032!P16</f>
        <v>1.0997090242967829</v>
      </c>
      <c r="Q13">
        <f>Year_2040!Q16/Year_2032!Q16</f>
        <v>1.1094511808867584</v>
      </c>
      <c r="R13">
        <f>Year_2040!R16/Year_2032!R16</f>
        <v>1.1048672641912078</v>
      </c>
      <c r="S13">
        <f>Year_2040!S16/Year_2032!S16</f>
        <v>1.192437190900099</v>
      </c>
      <c r="T13">
        <f>Year_2040!T16/Year_2032!T16</f>
        <v>1.1100921309114085</v>
      </c>
      <c r="U13">
        <f>Year_2040!U16/Year_2032!U16</f>
        <v>1.1165634094670918</v>
      </c>
      <c r="V13">
        <f>Year_2040!V16/Year_2032!V16</f>
        <v>1.1180757846956564</v>
      </c>
      <c r="W13">
        <f>Year_2040!W16/Year_2032!W16</f>
        <v>0.99986700359090308</v>
      </c>
      <c r="X13">
        <f>Year_2040!X16/Year_2032!X16</f>
        <v>1.2222707470095122</v>
      </c>
      <c r="Y13" t="e">
        <f>Year_2040!Y16/Year_2032!Y16</f>
        <v>#DIV/0!</v>
      </c>
      <c r="Z13" t="e">
        <f>Year_2040!Z16/Year_2032!Z16</f>
        <v>#DIV/0!</v>
      </c>
      <c r="AA13" t="e">
        <f>Year_2040!AA16/Year_2032!AA16</f>
        <v>#VALUE!</v>
      </c>
      <c r="AB13">
        <f>Year_2040!AB16/Year_2032!AB16</f>
        <v>1.1111320022610345</v>
      </c>
      <c r="AC13">
        <f>Year_2040!AC16/Year_2032!AC16</f>
        <v>1.1124652270511746</v>
      </c>
      <c r="AD13">
        <f>Year_2040!AD16/Year_2032!AD16</f>
        <v>1.1104717544463962</v>
      </c>
      <c r="AE13">
        <f>Year_2040!AE16/Year_2032!AE16</f>
        <v>1.1113529304940348</v>
      </c>
      <c r="AF13">
        <f>Year_2040!AF16/Year_2032!AF16</f>
        <v>1.1024663928890472</v>
      </c>
      <c r="AG13">
        <f>Year_2040!AG16/Year_2032!AG16</f>
        <v>1.1199177432956962</v>
      </c>
      <c r="AH13">
        <f>Year_2040!AH16/Year_2032!AH16</f>
        <v>1.1183477713920003</v>
      </c>
      <c r="AI13">
        <f>Year_2040!AI16/Year_2032!AI16</f>
        <v>1.1180912039618447</v>
      </c>
      <c r="AJ13">
        <f>Year_2040!AJ16/Year_2032!AJ16</f>
        <v>1.000023960391295</v>
      </c>
      <c r="AK13">
        <f>Year_2040!AK16/Year_2032!AK16</f>
        <v>0.97898411709040689</v>
      </c>
      <c r="AL13" t="e">
        <f>Year_2040!AL16/Year_2032!AL16</f>
        <v>#DIV/0!</v>
      </c>
      <c r="AM13" t="e">
        <f>Year_2040!AM16/Year_2032!AM16</f>
        <v>#DIV/0!</v>
      </c>
      <c r="AN13" t="str">
        <f>Year_2040!AN16</f>
        <v>PM-Late</v>
      </c>
      <c r="AO13">
        <f>Year_2040!AO16/Year_2032!AO16</f>
        <v>1.1102596287243178</v>
      </c>
      <c r="AP13">
        <f>Year_2040!AP16/Year_2032!AP16</f>
        <v>1.1102339549353522</v>
      </c>
      <c r="AQ13">
        <f>Year_2040!AQ16/Year_2032!AQ16</f>
        <v>1.1103266435684558</v>
      </c>
      <c r="AR13">
        <f>Year_2040!AR16/Year_2032!AR16</f>
        <v>1.1103404161752655</v>
      </c>
      <c r="AS13">
        <f>Year_2040!AS16/Year_2032!AS16</f>
        <v>1.1179997704842781</v>
      </c>
      <c r="AT13">
        <f>Year_2040!AT16/Year_2032!AT16</f>
        <v>1.1181190940452976</v>
      </c>
      <c r="AU13">
        <f>Year_2040!AU16/Year_2032!AU16</f>
        <v>1.1180392863579023</v>
      </c>
      <c r="AV13">
        <f>Year_2040!AV16/Year_2032!AV16</f>
        <v>1.1180904522613064</v>
      </c>
      <c r="AW13">
        <f>Year_2040!AW16/Year_2032!AW16</f>
        <v>1</v>
      </c>
      <c r="AX13">
        <f>Year_2040!AX16/Year_2032!AX16</f>
        <v>1.0184726540922258</v>
      </c>
    </row>
    <row r="14" spans="2:51" x14ac:dyDescent="0.3">
      <c r="B14">
        <f>Year_2032!B17</f>
        <v>0</v>
      </c>
      <c r="C14" t="e">
        <f>Year_2040!C17/Year_2032!C17</f>
        <v>#DIV/0!</v>
      </c>
      <c r="D14" t="e">
        <f>Year_2040!D17/Year_2032!D17</f>
        <v>#DIV/0!</v>
      </c>
      <c r="E14" t="e">
        <f>Year_2040!E17/Year_2032!E17</f>
        <v>#DIV/0!</v>
      </c>
      <c r="F14" t="e">
        <f>Year_2040!F17/Year_2032!F17</f>
        <v>#DIV/0!</v>
      </c>
      <c r="G14" t="e">
        <f>Year_2040!G17/Year_2032!G17</f>
        <v>#DIV/0!</v>
      </c>
      <c r="H14" t="e">
        <f>Year_2040!H17/Year_2032!H17</f>
        <v>#DIV/0!</v>
      </c>
      <c r="I14" t="e">
        <f>Year_2040!I17/Year_2032!I17</f>
        <v>#DIV/0!</v>
      </c>
      <c r="J14" t="e">
        <f>Year_2040!J17/Year_2032!J17</f>
        <v>#DIV/0!</v>
      </c>
      <c r="K14" t="e">
        <f>Year_2040!K17/Year_2032!K17</f>
        <v>#DIV/0!</v>
      </c>
      <c r="L14" t="e">
        <f>Year_2040!L17/Year_2032!L17</f>
        <v>#DIV/0!</v>
      </c>
      <c r="M14" t="e">
        <f>Year_2040!M17/Year_2032!M17</f>
        <v>#DIV/0!</v>
      </c>
      <c r="N14">
        <f>Year_2040!N17</f>
        <v>0</v>
      </c>
      <c r="O14" t="e">
        <f>Year_2040!O17/Year_2032!O17</f>
        <v>#DIV/0!</v>
      </c>
      <c r="P14" t="e">
        <f>Year_2040!P17/Year_2032!P17</f>
        <v>#DIV/0!</v>
      </c>
      <c r="Q14" t="e">
        <f>Year_2040!Q17/Year_2032!Q17</f>
        <v>#DIV/0!</v>
      </c>
      <c r="R14" t="e">
        <f>Year_2040!R17/Year_2032!R17</f>
        <v>#DIV/0!</v>
      </c>
      <c r="S14" t="e">
        <f>Year_2040!S17/Year_2032!S17</f>
        <v>#DIV/0!</v>
      </c>
      <c r="T14" t="e">
        <f>Year_2040!T17/Year_2032!T17</f>
        <v>#DIV/0!</v>
      </c>
      <c r="U14" t="e">
        <f>Year_2040!U17/Year_2032!U17</f>
        <v>#DIV/0!</v>
      </c>
      <c r="V14" t="e">
        <f>Year_2040!V17/Year_2032!V17</f>
        <v>#DIV/0!</v>
      </c>
      <c r="W14" t="e">
        <f>Year_2040!W17/Year_2032!W17</f>
        <v>#DIV/0!</v>
      </c>
      <c r="X14" t="e">
        <f>Year_2040!X17/Year_2032!X17</f>
        <v>#DIV/0!</v>
      </c>
      <c r="Y14" t="e">
        <f>Year_2040!Y17/Year_2032!Y17</f>
        <v>#DIV/0!</v>
      </c>
      <c r="Z14" t="e">
        <f>Year_2040!Z17/Year_2032!Z17</f>
        <v>#DIV/0!</v>
      </c>
      <c r="AA14" t="e">
        <f>Year_2040!AA17/Year_2032!AA17</f>
        <v>#DIV/0!</v>
      </c>
      <c r="AB14" t="e">
        <f>Year_2040!AB17/Year_2032!AB17</f>
        <v>#DIV/0!</v>
      </c>
      <c r="AC14" t="e">
        <f>Year_2040!AC17/Year_2032!AC17</f>
        <v>#DIV/0!</v>
      </c>
      <c r="AD14" t="e">
        <f>Year_2040!AD17/Year_2032!AD17</f>
        <v>#DIV/0!</v>
      </c>
      <c r="AE14" t="e">
        <f>Year_2040!AE17/Year_2032!AE17</f>
        <v>#DIV/0!</v>
      </c>
      <c r="AF14" t="e">
        <f>Year_2040!AF17/Year_2032!AF17</f>
        <v>#DIV/0!</v>
      </c>
      <c r="AG14" t="e">
        <f>Year_2040!AG17/Year_2032!AG17</f>
        <v>#DIV/0!</v>
      </c>
      <c r="AH14" t="e">
        <f>Year_2040!AH17/Year_2032!AH17</f>
        <v>#DIV/0!</v>
      </c>
      <c r="AI14" t="e">
        <f>Year_2040!AI17/Year_2032!AI17</f>
        <v>#DIV/0!</v>
      </c>
      <c r="AJ14" t="e">
        <f>Year_2040!AJ17/Year_2032!AJ17</f>
        <v>#DIV/0!</v>
      </c>
      <c r="AK14" t="e">
        <f>Year_2040!AK17/Year_2032!AK17</f>
        <v>#DIV/0!</v>
      </c>
      <c r="AL14" t="e">
        <f>Year_2040!AL17/Year_2032!AL17</f>
        <v>#DIV/0!</v>
      </c>
      <c r="AM14" t="e">
        <f>Year_2040!AM17/Year_2032!AM17</f>
        <v>#DIV/0!</v>
      </c>
      <c r="AN14" t="e">
        <f>Year_2040!AN17/Year_2032!AN17</f>
        <v>#DIV/0!</v>
      </c>
      <c r="AO14" t="e">
        <f>Year_2040!AO17/Year_2032!AO17</f>
        <v>#DIV/0!</v>
      </c>
      <c r="AP14" t="e">
        <f>Year_2040!AP17/Year_2032!AP17</f>
        <v>#DIV/0!</v>
      </c>
      <c r="AQ14" t="e">
        <f>Year_2040!AQ17/Year_2032!AQ17</f>
        <v>#DIV/0!</v>
      </c>
      <c r="AR14" t="e">
        <f>Year_2040!AR17/Year_2032!AR17</f>
        <v>#DIV/0!</v>
      </c>
      <c r="AS14" t="e">
        <f>Year_2040!AS17/Year_2032!AS17</f>
        <v>#DIV/0!</v>
      </c>
      <c r="AT14" t="e">
        <f>Year_2040!AT17/Year_2032!AT17</f>
        <v>#DIV/0!</v>
      </c>
      <c r="AU14" t="e">
        <f>Year_2040!AU17/Year_2032!AU17</f>
        <v>#DIV/0!</v>
      </c>
      <c r="AV14" t="e">
        <f>Year_2040!AV17/Year_2032!AV17</f>
        <v>#DIV/0!</v>
      </c>
      <c r="AW14" t="e">
        <f>Year_2040!AW17/Year_2032!AW17</f>
        <v>#DIV/0!</v>
      </c>
      <c r="AX14" t="e">
        <f>Year_2040!AX17/Year_2032!AX17</f>
        <v>#DIV/0!</v>
      </c>
    </row>
    <row r="15" spans="2:51" x14ac:dyDescent="0.3">
      <c r="B15">
        <f>Year_2032!B18</f>
        <v>0</v>
      </c>
      <c r="C15" t="e">
        <f>Year_2040!C18/Year_2032!C18</f>
        <v>#DIV/0!</v>
      </c>
      <c r="D15" t="e">
        <f>Year_2040!D18/Year_2032!D18</f>
        <v>#DIV/0!</v>
      </c>
      <c r="E15" t="e">
        <f>Year_2040!E18/Year_2032!E18</f>
        <v>#DIV/0!</v>
      </c>
      <c r="F15" t="e">
        <f>Year_2040!F18/Year_2032!F18</f>
        <v>#DIV/0!</v>
      </c>
      <c r="G15" t="e">
        <f>Year_2040!G18/Year_2032!G18</f>
        <v>#DIV/0!</v>
      </c>
      <c r="H15" t="e">
        <f>Year_2040!H18/Year_2032!H18</f>
        <v>#DIV/0!</v>
      </c>
      <c r="I15" t="e">
        <f>Year_2040!I18/Year_2032!I18</f>
        <v>#DIV/0!</v>
      </c>
      <c r="J15" t="e">
        <f>Year_2040!J18/Year_2032!J18</f>
        <v>#DIV/0!</v>
      </c>
      <c r="K15" t="e">
        <f>Year_2040!K18/Year_2032!K18</f>
        <v>#DIV/0!</v>
      </c>
      <c r="L15" t="e">
        <f>Year_2040!L18/Year_2032!L18</f>
        <v>#DIV/0!</v>
      </c>
      <c r="M15" t="e">
        <f>Year_2040!M18/Year_2032!M18</f>
        <v>#DIV/0!</v>
      </c>
      <c r="N15">
        <f>Year_2040!N18</f>
        <v>0</v>
      </c>
      <c r="O15" t="e">
        <f>Year_2040!O18/Year_2032!O18</f>
        <v>#DIV/0!</v>
      </c>
      <c r="P15" t="e">
        <f>Year_2040!P18/Year_2032!P18</f>
        <v>#DIV/0!</v>
      </c>
      <c r="Q15" t="e">
        <f>Year_2040!Q18/Year_2032!Q18</f>
        <v>#DIV/0!</v>
      </c>
      <c r="R15" t="e">
        <f>Year_2040!R18/Year_2032!R18</f>
        <v>#DIV/0!</v>
      </c>
      <c r="S15" t="e">
        <f>Year_2040!S18/Year_2032!S18</f>
        <v>#DIV/0!</v>
      </c>
      <c r="T15" t="e">
        <f>Year_2040!T18/Year_2032!T18</f>
        <v>#DIV/0!</v>
      </c>
      <c r="U15" t="e">
        <f>Year_2040!U18/Year_2032!U18</f>
        <v>#DIV/0!</v>
      </c>
      <c r="V15" t="e">
        <f>Year_2040!V18/Year_2032!V18</f>
        <v>#DIV/0!</v>
      </c>
      <c r="W15" t="e">
        <f>Year_2040!W18/Year_2032!W18</f>
        <v>#DIV/0!</v>
      </c>
      <c r="X15" t="e">
        <f>Year_2040!X18/Year_2032!X18</f>
        <v>#DIV/0!</v>
      </c>
      <c r="Y15" t="e">
        <f>Year_2040!Y18/Year_2032!Y18</f>
        <v>#DIV/0!</v>
      </c>
      <c r="Z15" t="e">
        <f>Year_2040!Z18/Year_2032!Z18</f>
        <v>#DIV/0!</v>
      </c>
      <c r="AA15" t="e">
        <f>Year_2040!AA18/Year_2032!AA18</f>
        <v>#DIV/0!</v>
      </c>
      <c r="AB15" t="e">
        <f>Year_2040!AB18/Year_2032!AB18</f>
        <v>#DIV/0!</v>
      </c>
      <c r="AC15" t="e">
        <f>Year_2040!AC18/Year_2032!AC18</f>
        <v>#DIV/0!</v>
      </c>
      <c r="AD15" t="e">
        <f>Year_2040!AD18/Year_2032!AD18</f>
        <v>#DIV/0!</v>
      </c>
      <c r="AE15" t="e">
        <f>Year_2040!AE18/Year_2032!AE18</f>
        <v>#DIV/0!</v>
      </c>
      <c r="AF15" t="e">
        <f>Year_2040!AF18/Year_2032!AF18</f>
        <v>#DIV/0!</v>
      </c>
      <c r="AG15" t="e">
        <f>Year_2040!AG18/Year_2032!AG18</f>
        <v>#DIV/0!</v>
      </c>
      <c r="AH15" t="e">
        <f>Year_2040!AH18/Year_2032!AH18</f>
        <v>#DIV/0!</v>
      </c>
      <c r="AI15" t="e">
        <f>Year_2040!AI18/Year_2032!AI18</f>
        <v>#DIV/0!</v>
      </c>
      <c r="AJ15" t="e">
        <f>Year_2040!AJ18/Year_2032!AJ18</f>
        <v>#DIV/0!</v>
      </c>
      <c r="AK15" t="e">
        <f>Year_2040!AK18/Year_2032!AK18</f>
        <v>#DIV/0!</v>
      </c>
      <c r="AL15" t="e">
        <f>Year_2040!AL18/Year_2032!AL18</f>
        <v>#DIV/0!</v>
      </c>
      <c r="AM15" t="e">
        <f>Year_2040!AM18/Year_2032!AM18</f>
        <v>#DIV/0!</v>
      </c>
      <c r="AN15" t="e">
        <f>Year_2040!AN18/Year_2032!AN18</f>
        <v>#DIV/0!</v>
      </c>
      <c r="AO15" t="e">
        <f>Year_2040!AO18/Year_2032!AO18</f>
        <v>#DIV/0!</v>
      </c>
      <c r="AP15" t="e">
        <f>Year_2040!AP18/Year_2032!AP18</f>
        <v>#DIV/0!</v>
      </c>
      <c r="AQ15" t="e">
        <f>Year_2040!AQ18/Year_2032!AQ18</f>
        <v>#DIV/0!</v>
      </c>
      <c r="AR15" t="e">
        <f>Year_2040!AR18/Year_2032!AR18</f>
        <v>#DIV/0!</v>
      </c>
      <c r="AS15" t="e">
        <f>Year_2040!AS18/Year_2032!AS18</f>
        <v>#DIV/0!</v>
      </c>
      <c r="AT15" t="e">
        <f>Year_2040!AT18/Year_2032!AT18</f>
        <v>#DIV/0!</v>
      </c>
      <c r="AU15" t="e">
        <f>Year_2040!AU18/Year_2032!AU18</f>
        <v>#DIV/0!</v>
      </c>
      <c r="AV15" t="e">
        <f>Year_2040!AV18/Year_2032!AV18</f>
        <v>#DIV/0!</v>
      </c>
      <c r="AW15" t="e">
        <f>Year_2040!AW18/Year_2032!AW18</f>
        <v>#DIV/0!</v>
      </c>
      <c r="AX15" t="e">
        <f>Year_2040!AX18/Year_2032!AX18</f>
        <v>#DIV/0!</v>
      </c>
    </row>
    <row r="16" spans="2:51" x14ac:dyDescent="0.3">
      <c r="B16" t="str">
        <f>Year_2032!B19</f>
        <v>CaptureRateLights</v>
      </c>
      <c r="C16" t="e">
        <f>Year_2040!C19/Year_2032!C19</f>
        <v>#DIV/0!</v>
      </c>
      <c r="D16" t="e">
        <f>Year_2040!D19/Year_2032!D19</f>
        <v>#DIV/0!</v>
      </c>
      <c r="E16" t="e">
        <f>Year_2040!E19/Year_2032!E19</f>
        <v>#DIV/0!</v>
      </c>
      <c r="F16" t="e">
        <f>Year_2040!F19/Year_2032!F19</f>
        <v>#DIV/0!</v>
      </c>
      <c r="G16" t="e">
        <f>Year_2040!G19/Year_2032!G19</f>
        <v>#DIV/0!</v>
      </c>
      <c r="H16" t="e">
        <f>Year_2040!H19/Year_2032!H19</f>
        <v>#DIV/0!</v>
      </c>
      <c r="I16" t="e">
        <f>Year_2040!I19/Year_2032!I19</f>
        <v>#DIV/0!</v>
      </c>
      <c r="J16" t="e">
        <f>Year_2040!J19/Year_2032!J19</f>
        <v>#DIV/0!</v>
      </c>
      <c r="K16" t="e">
        <f>Year_2040!K19/Year_2032!K19</f>
        <v>#DIV/0!</v>
      </c>
      <c r="L16" t="e">
        <f>Year_2040!L19/Year_2032!L19</f>
        <v>#DIV/0!</v>
      </c>
      <c r="M16" t="e">
        <f>Year_2040!M19/Year_2032!M19</f>
        <v>#DIV/0!</v>
      </c>
      <c r="N16" t="str">
        <f>Year_2040!N19</f>
        <v>ML Volume (PCE/Period)</v>
      </c>
      <c r="O16" t="e">
        <f>Year_2040!O19/Year_2032!O19</f>
        <v>#DIV/0!</v>
      </c>
      <c r="P16" t="e">
        <f>Year_2040!P19/Year_2032!P19</f>
        <v>#DIV/0!</v>
      </c>
      <c r="Q16" t="e">
        <f>Year_2040!Q19/Year_2032!Q19</f>
        <v>#DIV/0!</v>
      </c>
      <c r="R16" t="e">
        <f>Year_2040!R19/Year_2032!R19</f>
        <v>#DIV/0!</v>
      </c>
      <c r="S16" t="e">
        <f>Year_2040!S19/Year_2032!S19</f>
        <v>#DIV/0!</v>
      </c>
      <c r="T16" t="e">
        <f>Year_2040!T19/Year_2032!T19</f>
        <v>#DIV/0!</v>
      </c>
      <c r="U16" t="e">
        <f>Year_2040!U19/Year_2032!U19</f>
        <v>#DIV/0!</v>
      </c>
      <c r="V16" t="e">
        <f>Year_2040!V19/Year_2032!V19</f>
        <v>#DIV/0!</v>
      </c>
      <c r="W16" t="e">
        <f>Year_2040!W19/Year_2032!W19</f>
        <v>#DIV/0!</v>
      </c>
      <c r="X16" t="e">
        <f>Year_2040!X19/Year_2032!X19</f>
        <v>#DIV/0!</v>
      </c>
      <c r="Y16" t="e">
        <f>Year_2040!Y19/Year_2032!Y19</f>
        <v>#DIV/0!</v>
      </c>
      <c r="Z16" t="e">
        <f>Year_2040!Z19/Year_2032!Z19</f>
        <v>#DIV/0!</v>
      </c>
      <c r="AA16" t="e">
        <f>Year_2040!AA19/Year_2032!AA19</f>
        <v>#VALUE!</v>
      </c>
      <c r="AB16" t="e">
        <f>Year_2040!AB19/Year_2032!AB19</f>
        <v>#DIV/0!</v>
      </c>
      <c r="AC16" t="e">
        <f>Year_2040!AC19/Year_2032!AC19</f>
        <v>#DIV/0!</v>
      </c>
      <c r="AD16" t="e">
        <f>Year_2040!AD19/Year_2032!AD19</f>
        <v>#DIV/0!</v>
      </c>
      <c r="AE16" t="e">
        <f>Year_2040!AE19/Year_2032!AE19</f>
        <v>#DIV/0!</v>
      </c>
      <c r="AF16" t="e">
        <f>Year_2040!AF19/Year_2032!AF19</f>
        <v>#DIV/0!</v>
      </c>
      <c r="AG16" t="e">
        <f>Year_2040!AG19/Year_2032!AG19</f>
        <v>#DIV/0!</v>
      </c>
      <c r="AH16" t="e">
        <f>Year_2040!AH19/Year_2032!AH19</f>
        <v>#DIV/0!</v>
      </c>
      <c r="AI16" t="e">
        <f>Year_2040!AI19/Year_2032!AI19</f>
        <v>#DIV/0!</v>
      </c>
      <c r="AJ16" t="e">
        <f>Year_2040!AJ19/Year_2032!AJ19</f>
        <v>#DIV/0!</v>
      </c>
      <c r="AK16" t="e">
        <f>Year_2040!AK19/Year_2032!AK19</f>
        <v>#DIV/0!</v>
      </c>
      <c r="AL16" t="e">
        <f>Year_2040!AL19/Year_2032!AL19</f>
        <v>#DIV/0!</v>
      </c>
      <c r="AM16" t="e">
        <f>Year_2040!AM19/Year_2032!AM19</f>
        <v>#DIV/0!</v>
      </c>
      <c r="AN16" t="e">
        <f>Year_2040!AN19/Year_2032!AN19</f>
        <v>#VALUE!</v>
      </c>
      <c r="AO16" t="e">
        <f>Year_2040!AO19/Year_2032!AO19</f>
        <v>#DIV/0!</v>
      </c>
      <c r="AP16" t="e">
        <f>Year_2040!AP19/Year_2032!AP19</f>
        <v>#DIV/0!</v>
      </c>
      <c r="AQ16" t="e">
        <f>Year_2040!AQ19/Year_2032!AQ19</f>
        <v>#DIV/0!</v>
      </c>
      <c r="AR16" t="e">
        <f>Year_2040!AR19/Year_2032!AR19</f>
        <v>#DIV/0!</v>
      </c>
      <c r="AS16" t="e">
        <f>Year_2040!AS19/Year_2032!AS19</f>
        <v>#DIV/0!</v>
      </c>
      <c r="AT16" t="e">
        <f>Year_2040!AT19/Year_2032!AT19</f>
        <v>#DIV/0!</v>
      </c>
      <c r="AU16" t="e">
        <f>Year_2040!AU19/Year_2032!AU19</f>
        <v>#DIV/0!</v>
      </c>
      <c r="AV16" t="e">
        <f>Year_2040!AV19/Year_2032!AV19</f>
        <v>#DIV/0!</v>
      </c>
      <c r="AW16" t="e">
        <f>Year_2040!AW19/Year_2032!AW19</f>
        <v>#DIV/0!</v>
      </c>
      <c r="AX16" t="e">
        <f>Year_2040!AX19/Year_2032!AX19</f>
        <v>#DIV/0!</v>
      </c>
    </row>
    <row r="17" spans="2:50" x14ac:dyDescent="0.3">
      <c r="B17" t="str">
        <f>Year_2032!B20</f>
        <v>Direction</v>
      </c>
      <c r="C17" t="e">
        <f>Year_2040!C20/Year_2032!C20</f>
        <v>#VALUE!</v>
      </c>
      <c r="D17" t="e">
        <f>Year_2040!D20/Year_2032!D20</f>
        <v>#VALUE!</v>
      </c>
      <c r="E17" t="e">
        <f>Year_2040!E20/Year_2032!E20</f>
        <v>#VALUE!</v>
      </c>
      <c r="F17" t="e">
        <f>Year_2040!F20/Year_2032!F20</f>
        <v>#VALUE!</v>
      </c>
      <c r="G17" t="e">
        <f>Year_2040!G20/Year_2032!G20</f>
        <v>#VALUE!</v>
      </c>
      <c r="H17" t="e">
        <f>Year_2040!H20/Year_2032!H20</f>
        <v>#VALUE!</v>
      </c>
      <c r="I17" t="e">
        <f>Year_2040!I20/Year_2032!I20</f>
        <v>#VALUE!</v>
      </c>
      <c r="J17" t="e">
        <f>Year_2040!J20/Year_2032!J20</f>
        <v>#VALUE!</v>
      </c>
      <c r="K17" t="e">
        <f>Year_2040!K20/Year_2032!K20</f>
        <v>#VALUE!</v>
      </c>
      <c r="L17" t="e">
        <f>Year_2040!L20/Year_2032!L20</f>
        <v>#VALUE!</v>
      </c>
      <c r="M17" t="e">
        <f>Year_2040!M20/Year_2032!M20</f>
        <v>#DIV/0!</v>
      </c>
      <c r="N17" t="str">
        <f>Year_2040!N20</f>
        <v>Direction</v>
      </c>
      <c r="O17" t="e">
        <f>Year_2040!O20/Year_2032!O20</f>
        <v>#VALUE!</v>
      </c>
      <c r="P17" t="e">
        <f>Year_2040!P20/Year_2032!P20</f>
        <v>#VALUE!</v>
      </c>
      <c r="Q17" t="e">
        <f>Year_2040!Q20/Year_2032!Q20</f>
        <v>#VALUE!</v>
      </c>
      <c r="R17" t="e">
        <f>Year_2040!R20/Year_2032!R20</f>
        <v>#VALUE!</v>
      </c>
      <c r="S17" t="e">
        <f>Year_2040!S20/Year_2032!S20</f>
        <v>#VALUE!</v>
      </c>
      <c r="T17" t="e">
        <f>Year_2040!T20/Year_2032!T20</f>
        <v>#VALUE!</v>
      </c>
      <c r="U17" t="e">
        <f>Year_2040!U20/Year_2032!U20</f>
        <v>#VALUE!</v>
      </c>
      <c r="V17" t="e">
        <f>Year_2040!V20/Year_2032!V20</f>
        <v>#VALUE!</v>
      </c>
      <c r="W17" t="e">
        <f>Year_2040!W20/Year_2032!W20</f>
        <v>#VALUE!</v>
      </c>
      <c r="X17" t="e">
        <f>Year_2040!X20/Year_2032!X20</f>
        <v>#VALUE!</v>
      </c>
      <c r="Y17" t="e">
        <f>Year_2040!Y20/Year_2032!Y20</f>
        <v>#DIV/0!</v>
      </c>
      <c r="Z17" t="e">
        <f>Year_2040!Z20/Year_2032!Z20</f>
        <v>#DIV/0!</v>
      </c>
      <c r="AA17" t="e">
        <f>Year_2040!AA20/Year_2032!AA20</f>
        <v>#VALUE!</v>
      </c>
      <c r="AB17" t="e">
        <f>Year_2040!AB20/Year_2032!AB20</f>
        <v>#VALUE!</v>
      </c>
      <c r="AC17" t="e">
        <f>Year_2040!AC20/Year_2032!AC20</f>
        <v>#VALUE!</v>
      </c>
      <c r="AD17" t="e">
        <f>Year_2040!AD20/Year_2032!AD20</f>
        <v>#VALUE!</v>
      </c>
      <c r="AE17" t="e">
        <f>Year_2040!AE20/Year_2032!AE20</f>
        <v>#VALUE!</v>
      </c>
      <c r="AF17" t="e">
        <f>Year_2040!AF20/Year_2032!AF20</f>
        <v>#VALUE!</v>
      </c>
      <c r="AG17" t="e">
        <f>Year_2040!AG20/Year_2032!AG20</f>
        <v>#VALUE!</v>
      </c>
      <c r="AH17" t="e">
        <f>Year_2040!AH20/Year_2032!AH20</f>
        <v>#VALUE!</v>
      </c>
      <c r="AI17" t="e">
        <f>Year_2040!AI20/Year_2032!AI20</f>
        <v>#VALUE!</v>
      </c>
      <c r="AJ17" t="e">
        <f>Year_2040!AJ20/Year_2032!AJ20</f>
        <v>#VALUE!</v>
      </c>
      <c r="AK17" t="e">
        <f>Year_2040!AK20/Year_2032!AK20</f>
        <v>#VALUE!</v>
      </c>
      <c r="AL17" t="e">
        <f>Year_2040!AL20/Year_2032!AL20</f>
        <v>#DIV/0!</v>
      </c>
      <c r="AM17" t="e">
        <f>Year_2040!AM20/Year_2032!AM20</f>
        <v>#DIV/0!</v>
      </c>
      <c r="AN17" t="e">
        <f>Year_2040!AN20/Year_2032!AN20</f>
        <v>#VALUE!</v>
      </c>
      <c r="AO17" t="e">
        <f>Year_2040!AO20/Year_2032!AO20</f>
        <v>#VALUE!</v>
      </c>
      <c r="AP17" t="e">
        <f>Year_2040!AP20/Year_2032!AP20</f>
        <v>#VALUE!</v>
      </c>
      <c r="AQ17" t="e">
        <f>Year_2040!AQ20/Year_2032!AQ20</f>
        <v>#VALUE!</v>
      </c>
      <c r="AR17" t="e">
        <f>Year_2040!AR20/Year_2032!AR20</f>
        <v>#VALUE!</v>
      </c>
      <c r="AS17" t="e">
        <f>Year_2040!AS20/Year_2032!AS20</f>
        <v>#VALUE!</v>
      </c>
      <c r="AT17" t="e">
        <f>Year_2040!AT20/Year_2032!AT20</f>
        <v>#VALUE!</v>
      </c>
      <c r="AU17" t="e">
        <f>Year_2040!AU20/Year_2032!AU20</f>
        <v>#VALUE!</v>
      </c>
      <c r="AV17" t="e">
        <f>Year_2040!AV20/Year_2032!AV20</f>
        <v>#VALUE!</v>
      </c>
      <c r="AW17" t="e">
        <f>Year_2040!AW20/Year_2032!AW20</f>
        <v>#VALUE!</v>
      </c>
      <c r="AX17" t="e">
        <f>Year_2040!AX20/Year_2032!AX20</f>
        <v>#VALUE!</v>
      </c>
    </row>
    <row r="18" spans="2:50" x14ac:dyDescent="0.3">
      <c r="B18" t="str">
        <f>Year_2032!B21</f>
        <v>Segment</v>
      </c>
      <c r="C18">
        <f>Year_2040!C21/Year_2032!C21</f>
        <v>1</v>
      </c>
      <c r="D18">
        <f>Year_2040!D21/Year_2032!D21</f>
        <v>1</v>
      </c>
      <c r="E18">
        <f>Year_2040!E21/Year_2032!E21</f>
        <v>1</v>
      </c>
      <c r="F18">
        <f>Year_2040!F21/Year_2032!F21</f>
        <v>1</v>
      </c>
      <c r="G18">
        <f>Year_2040!G21/Year_2032!G21</f>
        <v>1</v>
      </c>
      <c r="H18">
        <f>Year_2040!H21/Year_2032!H21</f>
        <v>1</v>
      </c>
      <c r="I18">
        <f>Year_2040!I21/Year_2032!I21</f>
        <v>1</v>
      </c>
      <c r="J18">
        <f>Year_2040!J21/Year_2032!J21</f>
        <v>1</v>
      </c>
      <c r="K18">
        <f>Year_2040!K21/Year_2032!K21</f>
        <v>1</v>
      </c>
      <c r="L18">
        <f>Year_2040!L21/Year_2032!L21</f>
        <v>1</v>
      </c>
      <c r="M18" t="e">
        <f>Year_2040!M21/Year_2032!M21</f>
        <v>#DIV/0!</v>
      </c>
      <c r="N18" t="str">
        <f>Year_2040!N21</f>
        <v>Segment</v>
      </c>
      <c r="O18">
        <f>Year_2040!O21/Year_2032!O21</f>
        <v>1</v>
      </c>
      <c r="P18">
        <f>Year_2040!P21/Year_2032!P21</f>
        <v>1</v>
      </c>
      <c r="Q18">
        <f>Year_2040!Q21/Year_2032!Q21</f>
        <v>1</v>
      </c>
      <c r="R18">
        <f>Year_2040!R21/Year_2032!R21</f>
        <v>1</v>
      </c>
      <c r="S18">
        <f>Year_2040!S21/Year_2032!S21</f>
        <v>1</v>
      </c>
      <c r="T18">
        <f>Year_2040!T21/Year_2032!T21</f>
        <v>1</v>
      </c>
      <c r="U18">
        <f>Year_2040!U21/Year_2032!U21</f>
        <v>1</v>
      </c>
      <c r="V18">
        <f>Year_2040!V21/Year_2032!V21</f>
        <v>1</v>
      </c>
      <c r="W18">
        <f>Year_2040!W21/Year_2032!W21</f>
        <v>1</v>
      </c>
      <c r="X18">
        <f>Year_2040!X21/Year_2032!X21</f>
        <v>1</v>
      </c>
      <c r="Y18" t="e">
        <f>Year_2040!Y21/Year_2032!Y21</f>
        <v>#DIV/0!</v>
      </c>
      <c r="Z18" t="e">
        <f>Year_2040!Z21/Year_2032!Z21</f>
        <v>#DIV/0!</v>
      </c>
      <c r="AA18" t="e">
        <f>Year_2040!AA21/Year_2032!AA21</f>
        <v>#VALUE!</v>
      </c>
      <c r="AB18">
        <f>Year_2040!AB21/Year_2032!AB21</f>
        <v>1</v>
      </c>
      <c r="AC18">
        <f>Year_2040!AC21/Year_2032!AC21</f>
        <v>1</v>
      </c>
      <c r="AD18">
        <f>Year_2040!AD21/Year_2032!AD21</f>
        <v>1</v>
      </c>
      <c r="AE18">
        <f>Year_2040!AE21/Year_2032!AE21</f>
        <v>1</v>
      </c>
      <c r="AF18">
        <f>Year_2040!AF21/Year_2032!AF21</f>
        <v>1</v>
      </c>
      <c r="AG18">
        <f>Year_2040!AG21/Year_2032!AG21</f>
        <v>1</v>
      </c>
      <c r="AH18">
        <f>Year_2040!AH21/Year_2032!AH21</f>
        <v>1</v>
      </c>
      <c r="AI18">
        <f>Year_2040!AI21/Year_2032!AI21</f>
        <v>1</v>
      </c>
      <c r="AJ18">
        <f>Year_2040!AJ21/Year_2032!AJ21</f>
        <v>1</v>
      </c>
      <c r="AK18">
        <f>Year_2040!AK21/Year_2032!AK21</f>
        <v>1</v>
      </c>
      <c r="AL18" t="e">
        <f>Year_2040!AL21/Year_2032!AL21</f>
        <v>#DIV/0!</v>
      </c>
      <c r="AM18" t="e">
        <f>Year_2040!AM21/Year_2032!AM21</f>
        <v>#DIV/0!</v>
      </c>
      <c r="AN18" t="e">
        <f>Year_2040!AN21/Year_2032!AN21</f>
        <v>#VALUE!</v>
      </c>
      <c r="AO18">
        <f>Year_2040!AO21/Year_2032!AO21</f>
        <v>1</v>
      </c>
      <c r="AP18">
        <f>Year_2040!AP21/Year_2032!AP21</f>
        <v>1</v>
      </c>
      <c r="AQ18">
        <f>Year_2040!AQ21/Year_2032!AQ21</f>
        <v>1</v>
      </c>
      <c r="AR18">
        <f>Year_2040!AR21/Year_2032!AR21</f>
        <v>1</v>
      </c>
      <c r="AS18">
        <f>Year_2040!AS21/Year_2032!AS21</f>
        <v>1</v>
      </c>
      <c r="AT18">
        <f>Year_2040!AT21/Year_2032!AT21</f>
        <v>1</v>
      </c>
      <c r="AU18">
        <f>Year_2040!AU21/Year_2032!AU21</f>
        <v>1</v>
      </c>
      <c r="AV18">
        <f>Year_2040!AV21/Year_2032!AV21</f>
        <v>1</v>
      </c>
      <c r="AW18">
        <f>Year_2040!AW21/Year_2032!AW21</f>
        <v>1</v>
      </c>
      <c r="AX18">
        <f>Year_2040!AX21/Year_2032!AX21</f>
        <v>1</v>
      </c>
    </row>
    <row r="19" spans="2:50" x14ac:dyDescent="0.3">
      <c r="B19" t="str">
        <f>Year_2032!B22</f>
        <v>Period</v>
      </c>
      <c r="C19" t="e">
        <f>Year_2040!C22/Year_2032!C22</f>
        <v>#DIV/0!</v>
      </c>
      <c r="D19" t="e">
        <f>Year_2040!D22/Year_2032!D22</f>
        <v>#DIV/0!</v>
      </c>
      <c r="E19" t="e">
        <f>Year_2040!E22/Year_2032!E22</f>
        <v>#DIV/0!</v>
      </c>
      <c r="F19" t="e">
        <f>Year_2040!F22/Year_2032!F22</f>
        <v>#DIV/0!</v>
      </c>
      <c r="G19" t="e">
        <f>Year_2040!G22/Year_2032!G22</f>
        <v>#DIV/0!</v>
      </c>
      <c r="H19" t="e">
        <f>Year_2040!H22/Year_2032!H22</f>
        <v>#DIV/0!</v>
      </c>
      <c r="I19" t="e">
        <f>Year_2040!I22/Year_2032!I22</f>
        <v>#DIV/0!</v>
      </c>
      <c r="J19" t="e">
        <f>Year_2040!J22/Year_2032!J22</f>
        <v>#DIV/0!</v>
      </c>
      <c r="K19" t="e">
        <f>Year_2040!K22/Year_2032!K22</f>
        <v>#DIV/0!</v>
      </c>
      <c r="L19" t="e">
        <f>Year_2040!L22/Year_2032!L22</f>
        <v>#DIV/0!</v>
      </c>
      <c r="M19" t="e">
        <f>Year_2040!M22/Year_2032!M22</f>
        <v>#DIV/0!</v>
      </c>
      <c r="N19" t="str">
        <f>Year_2040!N22</f>
        <v>Period</v>
      </c>
      <c r="O19" t="e">
        <f>Year_2040!O22/Year_2032!O22</f>
        <v>#DIV/0!</v>
      </c>
      <c r="P19" t="e">
        <f>Year_2040!P22/Year_2032!P22</f>
        <v>#DIV/0!</v>
      </c>
      <c r="Q19" t="e">
        <f>Year_2040!Q22/Year_2032!Q22</f>
        <v>#DIV/0!</v>
      </c>
      <c r="R19" t="e">
        <f>Year_2040!R22/Year_2032!R22</f>
        <v>#DIV/0!</v>
      </c>
      <c r="S19" t="e">
        <f>Year_2040!S22/Year_2032!S22</f>
        <v>#DIV/0!</v>
      </c>
      <c r="T19" t="e">
        <f>Year_2040!T22/Year_2032!T22</f>
        <v>#DIV/0!</v>
      </c>
      <c r="U19" t="e">
        <f>Year_2040!U22/Year_2032!U22</f>
        <v>#DIV/0!</v>
      </c>
      <c r="V19" t="e">
        <f>Year_2040!V22/Year_2032!V22</f>
        <v>#DIV/0!</v>
      </c>
      <c r="W19" t="e">
        <f>Year_2040!W22/Year_2032!W22</f>
        <v>#DIV/0!</v>
      </c>
      <c r="X19" t="e">
        <f>Year_2040!X22/Year_2032!X22</f>
        <v>#DIV/0!</v>
      </c>
      <c r="Y19" t="e">
        <f>Year_2040!Y22/Year_2032!Y22</f>
        <v>#DIV/0!</v>
      </c>
      <c r="Z19" t="e">
        <f>Year_2040!Z22/Year_2032!Z22</f>
        <v>#DIV/0!</v>
      </c>
      <c r="AA19" t="e">
        <f>Year_2040!AA22/Year_2032!AA22</f>
        <v>#VALUE!</v>
      </c>
      <c r="AB19" t="e">
        <f>Year_2040!AB22/Year_2032!AB22</f>
        <v>#DIV/0!</v>
      </c>
      <c r="AC19" t="e">
        <f>Year_2040!AC22/Year_2032!AC22</f>
        <v>#DIV/0!</v>
      </c>
      <c r="AD19" t="e">
        <f>Year_2040!AD22/Year_2032!AD22</f>
        <v>#DIV/0!</v>
      </c>
      <c r="AE19" t="e">
        <f>Year_2040!AE22/Year_2032!AE22</f>
        <v>#DIV/0!</v>
      </c>
      <c r="AF19" t="e">
        <f>Year_2040!AF22/Year_2032!AF22</f>
        <v>#DIV/0!</v>
      </c>
      <c r="AG19" t="e">
        <f>Year_2040!AG22/Year_2032!AG22</f>
        <v>#DIV/0!</v>
      </c>
      <c r="AH19" t="e">
        <f>Year_2040!AH22/Year_2032!AH22</f>
        <v>#DIV/0!</v>
      </c>
      <c r="AI19" t="e">
        <f>Year_2040!AI22/Year_2032!AI22</f>
        <v>#DIV/0!</v>
      </c>
      <c r="AJ19" t="e">
        <f>Year_2040!AJ22/Year_2032!AJ22</f>
        <v>#DIV/0!</v>
      </c>
      <c r="AK19" t="e">
        <f>Year_2040!AK22/Year_2032!AK22</f>
        <v>#DIV/0!</v>
      </c>
      <c r="AL19" t="e">
        <f>Year_2040!AL22/Year_2032!AL22</f>
        <v>#DIV/0!</v>
      </c>
      <c r="AM19" t="e">
        <f>Year_2040!AM22/Year_2032!AM22</f>
        <v>#DIV/0!</v>
      </c>
      <c r="AN19" t="e">
        <f>Year_2040!AN22/Year_2032!AN22</f>
        <v>#VALUE!</v>
      </c>
      <c r="AO19" t="e">
        <f>Year_2040!AO22/Year_2032!AO22</f>
        <v>#DIV/0!</v>
      </c>
      <c r="AP19" t="e">
        <f>Year_2040!AP22/Year_2032!AP22</f>
        <v>#DIV/0!</v>
      </c>
      <c r="AQ19" t="e">
        <f>Year_2040!AQ22/Year_2032!AQ22</f>
        <v>#DIV/0!</v>
      </c>
      <c r="AR19" t="e">
        <f>Year_2040!AR22/Year_2032!AR22</f>
        <v>#DIV/0!</v>
      </c>
      <c r="AS19" t="e">
        <f>Year_2040!AS22/Year_2032!AS22</f>
        <v>#DIV/0!</v>
      </c>
      <c r="AT19" t="e">
        <f>Year_2040!AT22/Year_2032!AT22</f>
        <v>#DIV/0!</v>
      </c>
      <c r="AU19" t="e">
        <f>Year_2040!AU22/Year_2032!AU22</f>
        <v>#DIV/0!</v>
      </c>
      <c r="AV19" t="e">
        <f>Year_2040!AV22/Year_2032!AV22</f>
        <v>#DIV/0!</v>
      </c>
      <c r="AW19" t="e">
        <f>Year_2040!AW22/Year_2032!AW22</f>
        <v>#DIV/0!</v>
      </c>
      <c r="AX19" t="e">
        <f>Year_2040!AX22/Year_2032!AX22</f>
        <v>#DIV/0!</v>
      </c>
    </row>
    <row r="20" spans="2:50" x14ac:dyDescent="0.3">
      <c r="B20" t="str">
        <f>Year_2032!B23</f>
        <v>Night</v>
      </c>
      <c r="C20">
        <f>Year_2040!C23/Year_2032!C23</f>
        <v>1</v>
      </c>
      <c r="D20">
        <f>Year_2040!D23/Year_2032!D23</f>
        <v>1</v>
      </c>
      <c r="E20">
        <f>Year_2040!E23/Year_2032!E23</f>
        <v>1</v>
      </c>
      <c r="F20">
        <f>Year_2040!F23/Year_2032!F23</f>
        <v>1</v>
      </c>
      <c r="G20">
        <f>Year_2040!G23/Year_2032!G23</f>
        <v>1.6666666666666667</v>
      </c>
      <c r="H20">
        <f>Year_2040!H23/Year_2032!H23</f>
        <v>1.6666666666666667</v>
      </c>
      <c r="I20">
        <f>Year_2040!I23/Year_2032!I23</f>
        <v>1</v>
      </c>
      <c r="J20">
        <f>Year_2040!J23/Year_2032!J23</f>
        <v>1</v>
      </c>
      <c r="K20">
        <f>Year_2040!K23/Year_2032!K23</f>
        <v>1</v>
      </c>
      <c r="L20">
        <f>Year_2040!L23/Year_2032!L23</f>
        <v>1</v>
      </c>
      <c r="M20" t="e">
        <f>Year_2040!M23/Year_2032!M23</f>
        <v>#DIV/0!</v>
      </c>
      <c r="N20" t="str">
        <f>Year_2040!N23</f>
        <v>Night</v>
      </c>
      <c r="O20">
        <f>Year_2040!O23/Year_2032!O23</f>
        <v>1.1003290760316873</v>
      </c>
      <c r="P20">
        <f>Year_2040!P23/Year_2032!P23</f>
        <v>1.1197965190141441</v>
      </c>
      <c r="Q20">
        <f>Year_2040!Q23/Year_2032!Q23</f>
        <v>1.1157457941334443</v>
      </c>
      <c r="R20">
        <f>Year_2040!R23/Year_2032!R23</f>
        <v>1.1103030079282306</v>
      </c>
      <c r="S20">
        <f>Year_2040!S23/Year_2032!S23</f>
        <v>1.757535349166877</v>
      </c>
      <c r="T20">
        <f>Year_2040!T23/Year_2032!T23</f>
        <v>1.7290705696159725</v>
      </c>
      <c r="U20">
        <f>Year_2040!U23/Year_2032!U23</f>
        <v>1.1179737080689032</v>
      </c>
      <c r="V20">
        <f>Year_2040!V23/Year_2032!V23</f>
        <v>1.1178346218247888</v>
      </c>
      <c r="W20">
        <f>Year_2040!W23/Year_2032!W23</f>
        <v>1.0070807319891437</v>
      </c>
      <c r="X20">
        <f>Year_2040!X23/Year_2032!X23</f>
        <v>0.99731016967049579</v>
      </c>
      <c r="Y20" t="e">
        <f>Year_2040!Y23/Year_2032!Y23</f>
        <v>#DIV/0!</v>
      </c>
      <c r="Z20" t="e">
        <f>Year_2040!Z23/Year_2032!Z23</f>
        <v>#DIV/0!</v>
      </c>
      <c r="AA20" t="e">
        <f>Year_2040!AA23/Year_2032!AA23</f>
        <v>#VALUE!</v>
      </c>
      <c r="AB20">
        <f>Year_2040!AB23/Year_2032!AB23</f>
        <v>1.1112137471455701</v>
      </c>
      <c r="AC20">
        <f>Year_2040!AC23/Year_2032!AC23</f>
        <v>1.1093207386043755</v>
      </c>
      <c r="AD20">
        <f>Year_2040!AD23/Year_2032!AD23</f>
        <v>1.1096101345601657</v>
      </c>
      <c r="AE20">
        <f>Year_2040!AE23/Year_2032!AE23</f>
        <v>1.110352887617907</v>
      </c>
      <c r="AF20">
        <f>Year_2040!AF23/Year_2032!AF23</f>
        <v>1.0804893076869329</v>
      </c>
      <c r="AG20">
        <f>Year_2040!AG23/Year_2032!AG23</f>
        <v>1.0820538931226271</v>
      </c>
      <c r="AH20">
        <f>Year_2040!AH23/Year_2032!AH23</f>
        <v>1.1180391826880289</v>
      </c>
      <c r="AI20">
        <f>Year_2040!AI23/Year_2032!AI23</f>
        <v>1.1178192775846458</v>
      </c>
      <c r="AJ20">
        <f>Year_2040!AJ23/Year_2032!AJ23</f>
        <v>0.99923047644264973</v>
      </c>
      <c r="AK20">
        <f>Year_2040!AK23/Year_2032!AK23</f>
        <v>1.0002891860547793</v>
      </c>
      <c r="AL20" t="e">
        <f>Year_2040!AL23/Year_2032!AL23</f>
        <v>#DIV/0!</v>
      </c>
      <c r="AM20" t="e">
        <f>Year_2040!AM23/Year_2032!AM23</f>
        <v>#DIV/0!</v>
      </c>
      <c r="AN20" t="e">
        <f>Year_2040!AN23/Year_2032!AN23</f>
        <v>#VALUE!</v>
      </c>
      <c r="AO20">
        <f>Year_2040!AO23/Year_2032!AO23</f>
        <v>1.1101683029453016</v>
      </c>
      <c r="AP20">
        <f>Year_2040!AP23/Year_2032!AP23</f>
        <v>1.1103187771384191</v>
      </c>
      <c r="AQ20">
        <f>Year_2040!AQ23/Year_2032!AQ23</f>
        <v>1.1102120950709462</v>
      </c>
      <c r="AR20">
        <f>Year_2040!AR23/Year_2032!AR23</f>
        <v>1.1103498993652268</v>
      </c>
      <c r="AS20">
        <f>Year_2040!AS23/Year_2032!AS23</f>
        <v>1.1180587960802613</v>
      </c>
      <c r="AT20">
        <f>Year_2040!AT23/Year_2032!AT23</f>
        <v>1.1178876710892025</v>
      </c>
      <c r="AU20">
        <f>Year_2040!AU23/Year_2032!AU23</f>
        <v>1.1180352296312064</v>
      </c>
      <c r="AV20">
        <f>Year_2040!AV23/Year_2032!AV23</f>
        <v>1.1178200475534976</v>
      </c>
      <c r="AW20">
        <f>Year_2040!AW23/Year_2032!AW23</f>
        <v>1</v>
      </c>
      <c r="AX20">
        <f>Year_2040!AX23/Year_2032!AX23</f>
        <v>1</v>
      </c>
    </row>
    <row r="21" spans="2:50" x14ac:dyDescent="0.3">
      <c r="B21" t="str">
        <f>Year_2032!B24</f>
        <v>AM-Early</v>
      </c>
      <c r="C21">
        <f>Year_2040!C24/Year_2032!C24</f>
        <v>1.2222222222222223</v>
      </c>
      <c r="D21">
        <f>Year_2040!D24/Year_2032!D24</f>
        <v>1</v>
      </c>
      <c r="E21">
        <f>Year_2040!E24/Year_2032!E24</f>
        <v>0.9375</v>
      </c>
      <c r="F21">
        <f>Year_2040!F24/Year_2032!F24</f>
        <v>1.2380952380952381</v>
      </c>
      <c r="G21">
        <f>Year_2040!G24/Year_2032!G24</f>
        <v>1.25</v>
      </c>
      <c r="H21">
        <f>Year_2040!H24/Year_2032!H24</f>
        <v>1.2352941176470587</v>
      </c>
      <c r="I21">
        <f>Year_2040!I24/Year_2032!I24</f>
        <v>1.1764705882352942</v>
      </c>
      <c r="J21">
        <f>Year_2040!J24/Year_2032!J24</f>
        <v>1.7999999999999998</v>
      </c>
      <c r="K21">
        <f>Year_2040!K24/Year_2032!K24</f>
        <v>1.2222222222222223</v>
      </c>
      <c r="L21">
        <f>Year_2040!L24/Year_2032!L24</f>
        <v>1</v>
      </c>
      <c r="M21" t="e">
        <f>Year_2040!M24/Year_2032!M24</f>
        <v>#DIV/0!</v>
      </c>
      <c r="N21" t="str">
        <f>Year_2040!N24</f>
        <v>AM-Early</v>
      </c>
      <c r="O21">
        <f>Year_2040!O24/Year_2032!O24</f>
        <v>1.2982198643784286</v>
      </c>
      <c r="P21">
        <f>Year_2040!P24/Year_2032!P24</f>
        <v>1.10490165469872</v>
      </c>
      <c r="Q21">
        <f>Year_2040!Q24/Year_2032!Q24</f>
        <v>1.0787680306152487</v>
      </c>
      <c r="R21">
        <f>Year_2040!R24/Year_2032!R24</f>
        <v>1.3198966599915942</v>
      </c>
      <c r="S21">
        <f>Year_2040!S24/Year_2032!S24</f>
        <v>1.41465486196517</v>
      </c>
      <c r="T21">
        <f>Year_2040!T24/Year_2032!T24</f>
        <v>1.3487470048584176</v>
      </c>
      <c r="U21">
        <f>Year_2040!U24/Year_2032!U24</f>
        <v>1.2861764961348043</v>
      </c>
      <c r="V21">
        <f>Year_2040!V24/Year_2032!V24</f>
        <v>1.9303699098539011</v>
      </c>
      <c r="W21">
        <f>Year_2040!W24/Year_2032!W24</f>
        <v>1.2296432620478654</v>
      </c>
      <c r="X21">
        <f>Year_2040!X24/Year_2032!X24</f>
        <v>0.99858394084019508</v>
      </c>
      <c r="Y21" t="e">
        <f>Year_2040!Y24/Year_2032!Y24</f>
        <v>#DIV/0!</v>
      </c>
      <c r="Z21" t="e">
        <f>Year_2040!Z24/Year_2032!Z24</f>
        <v>#DIV/0!</v>
      </c>
      <c r="AA21" t="e">
        <f>Year_2040!AA24/Year_2032!AA24</f>
        <v>#VALUE!</v>
      </c>
      <c r="AB21">
        <f>Year_2040!AB24/Year_2032!AB24</f>
        <v>1.0008858601999915</v>
      </c>
      <c r="AC21">
        <f>Year_2040!AC24/Year_2032!AC24</f>
        <v>1.1112059208432072</v>
      </c>
      <c r="AD21">
        <f>Year_2040!AD24/Year_2032!AD24</f>
        <v>1.1154741394889343</v>
      </c>
      <c r="AE21">
        <f>Year_2040!AE24/Year_2032!AE24</f>
        <v>0.992172653593697</v>
      </c>
      <c r="AF21">
        <f>Year_2040!AF24/Year_2032!AF24</f>
        <v>1.0529162897485105</v>
      </c>
      <c r="AG21">
        <f>Year_2040!AG24/Year_2032!AG24</f>
        <v>1.0758914205385421</v>
      </c>
      <c r="AH21">
        <f>Year_2040!AH24/Year_2032!AH24</f>
        <v>1.0039624396569868</v>
      </c>
      <c r="AI21">
        <f>Year_2040!AI24/Year_2032!AI24</f>
        <v>1.0765546445054162</v>
      </c>
      <c r="AJ21">
        <f>Year_2040!AJ24/Year_2032!AJ24</f>
        <v>0.99084969064157402</v>
      </c>
      <c r="AK21">
        <f>Year_2040!AK24/Year_2032!AK24</f>
        <v>1.0002395889718085</v>
      </c>
      <c r="AL21" t="e">
        <f>Year_2040!AL24/Year_2032!AL24</f>
        <v>#DIV/0!</v>
      </c>
      <c r="AM21" t="e">
        <f>Year_2040!AM24/Year_2032!AM24</f>
        <v>#DIV/0!</v>
      </c>
      <c r="AN21" t="e">
        <f>Year_2040!AN24/Year_2032!AN24</f>
        <v>#VALUE!</v>
      </c>
      <c r="AO21">
        <f>Year_2040!AO24/Year_2032!AO24</f>
        <v>1.0485435362026274</v>
      </c>
      <c r="AP21">
        <f>Year_2040!AP24/Year_2032!AP24</f>
        <v>1.1102902274960322</v>
      </c>
      <c r="AQ21">
        <f>Year_2040!AQ24/Year_2032!AQ24</f>
        <v>1.1103104844136618</v>
      </c>
      <c r="AR21">
        <f>Year_2040!AR24/Year_2032!AR24</f>
        <v>1.0485431732308745</v>
      </c>
      <c r="AS21">
        <f>Year_2040!AS24/Year_2032!AS24</f>
        <v>1.1075105623692523</v>
      </c>
      <c r="AT21">
        <f>Year_2040!AT24/Year_2032!AT24</f>
        <v>1.1180549873169137</v>
      </c>
      <c r="AU21">
        <f>Year_2040!AU24/Year_2032!AU24</f>
        <v>1.0485438003318199</v>
      </c>
      <c r="AV21">
        <f>Year_2040!AV24/Year_2032!AV24</f>
        <v>1.1180021125697903</v>
      </c>
      <c r="AW21">
        <f>Year_2040!AW24/Year_2032!AW24</f>
        <v>1.029126213592233</v>
      </c>
      <c r="AX21">
        <f>Year_2040!AX24/Year_2032!AX24</f>
        <v>1</v>
      </c>
    </row>
    <row r="22" spans="2:50" x14ac:dyDescent="0.3">
      <c r="B22" t="str">
        <f>Year_2032!B25</f>
        <v>AM-Peak</v>
      </c>
      <c r="C22">
        <f>Year_2040!C25/Year_2032!C25</f>
        <v>1.1428571428571428</v>
      </c>
      <c r="D22">
        <f>Year_2040!D25/Year_2032!D25</f>
        <v>1.2380952380952381</v>
      </c>
      <c r="E22">
        <f>Year_2040!E25/Year_2032!E25</f>
        <v>0.93333333333333346</v>
      </c>
      <c r="F22">
        <f>Year_2040!F25/Year_2032!F25</f>
        <v>0.9655172413793105</v>
      </c>
      <c r="G22">
        <f>Year_2040!G25/Year_2032!G25</f>
        <v>1.1666666666666667</v>
      </c>
      <c r="H22">
        <f>Year_2040!H25/Year_2032!H25</f>
        <v>1.3125</v>
      </c>
      <c r="I22">
        <f>Year_2040!I25/Year_2032!I25</f>
        <v>1.0666666666666667</v>
      </c>
      <c r="J22">
        <f>Year_2040!J25/Year_2032!J25</f>
        <v>1</v>
      </c>
      <c r="K22">
        <f>Year_2040!K25/Year_2032!K25</f>
        <v>1.0555555555555556</v>
      </c>
      <c r="L22">
        <f>Year_2040!L25/Year_2032!L25</f>
        <v>1.1304347826086956</v>
      </c>
      <c r="M22" t="e">
        <f>Year_2040!M25/Year_2032!M25</f>
        <v>#DIV/0!</v>
      </c>
      <c r="N22" t="str">
        <f>Year_2040!N25</f>
        <v>AM-Peak</v>
      </c>
      <c r="O22">
        <f>Year_2040!O25/Year_2032!O25</f>
        <v>1.327371638850255</v>
      </c>
      <c r="P22">
        <f>Year_2040!P25/Year_2032!P25</f>
        <v>1.4151982620526211</v>
      </c>
      <c r="Q22">
        <f>Year_2040!Q25/Year_2032!Q25</f>
        <v>1.0177295250372638</v>
      </c>
      <c r="R22">
        <f>Year_2040!R25/Year_2032!R25</f>
        <v>0.95746061799183135</v>
      </c>
      <c r="S22">
        <f>Year_2040!S25/Year_2032!S25</f>
        <v>1.296343068722684</v>
      </c>
      <c r="T22">
        <f>Year_2040!T25/Year_2032!T25</f>
        <v>1.4065700202366207</v>
      </c>
      <c r="U22">
        <f>Year_2040!U25/Year_2032!U25</f>
        <v>1.2325108412071641</v>
      </c>
      <c r="V22">
        <f>Year_2040!V25/Year_2032!V25</f>
        <v>1.0785040402758386</v>
      </c>
      <c r="W22">
        <f>Year_2040!W25/Year_2032!W25</f>
        <v>1.084651234480269</v>
      </c>
      <c r="X22">
        <f>Year_2040!X25/Year_2032!X25</f>
        <v>1.1245315379125247</v>
      </c>
      <c r="Y22" t="e">
        <f>Year_2040!Y25/Year_2032!Y25</f>
        <v>#DIV/0!</v>
      </c>
      <c r="Z22" t="e">
        <f>Year_2040!Z25/Year_2032!Z25</f>
        <v>#DIV/0!</v>
      </c>
      <c r="AA22" t="e">
        <f>Year_2040!AA25/Year_2032!AA25</f>
        <v>#VALUE!</v>
      </c>
      <c r="AB22">
        <f>Year_2040!AB25/Year_2032!AB25</f>
        <v>1.0735970074621124</v>
      </c>
      <c r="AC22">
        <f>Year_2040!AC25/Year_2032!AC25</f>
        <v>1.045078167385618</v>
      </c>
      <c r="AD22">
        <f>Year_2040!AD25/Year_2032!AD25</f>
        <v>1.1245033931198163</v>
      </c>
      <c r="AE22">
        <f>Year_2040!AE25/Year_2032!AE25</f>
        <v>1.1861846340080895</v>
      </c>
      <c r="AF22">
        <f>Year_2040!AF25/Year_2032!AF25</f>
        <v>1.0819572199473677</v>
      </c>
      <c r="AG22">
        <f>Year_2040!AG25/Year_2032!AG25</f>
        <v>1.0680137698917311</v>
      </c>
      <c r="AH22">
        <f>Year_2040!AH25/Year_2032!AH25</f>
        <v>1.0997954177493994</v>
      </c>
      <c r="AI22">
        <f>Year_2040!AI25/Year_2032!AI25</f>
        <v>1.1245975828240189</v>
      </c>
      <c r="AJ22">
        <f>Year_2040!AJ25/Year_2032!AJ25</f>
        <v>0.98508815991322973</v>
      </c>
      <c r="AK22">
        <f>Year_2040!AK25/Year_2032!AK25</f>
        <v>0.97089567053358683</v>
      </c>
      <c r="AL22" t="e">
        <f>Year_2040!AL25/Year_2032!AL25</f>
        <v>#DIV/0!</v>
      </c>
      <c r="AM22" t="e">
        <f>Year_2040!AM25/Year_2032!AM25</f>
        <v>#DIV/0!</v>
      </c>
      <c r="AN22" t="e">
        <f>Year_2040!AN25/Year_2032!AN25</f>
        <v>#VALUE!</v>
      </c>
      <c r="AO22">
        <f>Year_2040!AO25/Year_2032!AO25</f>
        <v>1.1195721784776902</v>
      </c>
      <c r="AP22">
        <f>Year_2040!AP25/Year_2032!AP25</f>
        <v>1.1102593515534878</v>
      </c>
      <c r="AQ22">
        <f>Year_2040!AQ25/Year_2032!AQ25</f>
        <v>1.1103010915170319</v>
      </c>
      <c r="AR22">
        <f>Year_2040!AR25/Year_2032!AR25</f>
        <v>1.1259845232241301</v>
      </c>
      <c r="AS22">
        <f>Year_2040!AS25/Year_2032!AS25</f>
        <v>1.1179454118899506</v>
      </c>
      <c r="AT22">
        <f>Year_2040!AT25/Year_2032!AT25</f>
        <v>1.1179752756180343</v>
      </c>
      <c r="AU22">
        <f>Year_2040!AU25/Year_2032!AU25</f>
        <v>1.1179788137179485</v>
      </c>
      <c r="AV22">
        <f>Year_2040!AV25/Year_2032!AV25</f>
        <v>1.1179766677578167</v>
      </c>
      <c r="AW22">
        <f>Year_2040!AW25/Year_2032!AW25</f>
        <v>1</v>
      </c>
      <c r="AX22">
        <f>Year_2040!AX25/Year_2032!AX25</f>
        <v>1</v>
      </c>
    </row>
    <row r="23" spans="2:50" x14ac:dyDescent="0.3">
      <c r="B23" t="str">
        <f>Year_2032!B26</f>
        <v>AM-Shoulder</v>
      </c>
      <c r="C23">
        <f>Year_2040!C26/Year_2032!C26</f>
        <v>1.1578947368421053</v>
      </c>
      <c r="D23">
        <f>Year_2040!D26/Year_2032!D26</f>
        <v>1.4117647058823528</v>
      </c>
      <c r="E23">
        <f>Year_2040!E26/Year_2032!E26</f>
        <v>1.1875</v>
      </c>
      <c r="F23">
        <f>Year_2040!F26/Year_2032!F26</f>
        <v>1.1578947368421053</v>
      </c>
      <c r="G23">
        <f>Year_2040!G26/Year_2032!G26</f>
        <v>0.9375</v>
      </c>
      <c r="H23">
        <f>Year_2040!H26/Year_2032!H26</f>
        <v>1.2941176470588234</v>
      </c>
      <c r="I23">
        <f>Year_2040!I26/Year_2032!I26</f>
        <v>1</v>
      </c>
      <c r="J23">
        <f>Year_2040!J26/Year_2032!J26</f>
        <v>0.94117647058823528</v>
      </c>
      <c r="K23">
        <f>Year_2040!K26/Year_2032!K26</f>
        <v>1</v>
      </c>
      <c r="L23">
        <f>Year_2040!L26/Year_2032!L26</f>
        <v>1.0555555555555556</v>
      </c>
      <c r="M23" t="e">
        <f>Year_2040!M26/Year_2032!M26</f>
        <v>#DIV/0!</v>
      </c>
      <c r="N23" t="str">
        <f>Year_2040!N26</f>
        <v>AM-Shoulder</v>
      </c>
      <c r="O23">
        <f>Year_2040!O26/Year_2032!O26</f>
        <v>1.1953810245889456</v>
      </c>
      <c r="P23">
        <f>Year_2040!P26/Year_2032!P26</f>
        <v>1.6045830323460952</v>
      </c>
      <c r="Q23">
        <f>Year_2040!Q26/Year_2032!Q26</f>
        <v>1.3123905352694489</v>
      </c>
      <c r="R23">
        <f>Year_2040!R26/Year_2032!R26</f>
        <v>1.1905150165427922</v>
      </c>
      <c r="S23">
        <f>Year_2040!S26/Year_2032!S26</f>
        <v>0.9863255106913924</v>
      </c>
      <c r="T23">
        <f>Year_2040!T26/Year_2032!T26</f>
        <v>1.4564420124285069</v>
      </c>
      <c r="U23">
        <f>Year_2040!U26/Year_2032!U26</f>
        <v>1.0748327476050361</v>
      </c>
      <c r="V23">
        <f>Year_2040!V26/Year_2032!V26</f>
        <v>1.0945455501788344</v>
      </c>
      <c r="W23">
        <f>Year_2040!W26/Year_2032!W26</f>
        <v>0.99966213933373882</v>
      </c>
      <c r="X23">
        <f>Year_2040!X26/Year_2032!X26</f>
        <v>1.082471517365537</v>
      </c>
      <c r="Y23" t="e">
        <f>Year_2040!Y26/Year_2032!Y26</f>
        <v>#DIV/0!</v>
      </c>
      <c r="Z23" t="e">
        <f>Year_2040!Z26/Year_2032!Z26</f>
        <v>#DIV/0!</v>
      </c>
      <c r="AA23" t="e">
        <f>Year_2040!AA26/Year_2032!AA26</f>
        <v>#VALUE!</v>
      </c>
      <c r="AB23">
        <f>Year_2040!AB26/Year_2032!AB26</f>
        <v>0.98574519072159883</v>
      </c>
      <c r="AC23">
        <f>Year_2040!AC26/Year_2032!AC26</f>
        <v>1.0329437504322294</v>
      </c>
      <c r="AD23">
        <f>Year_2040!AD26/Year_2032!AD26</f>
        <v>1.0817879710909879</v>
      </c>
      <c r="AE23">
        <f>Year_2040!AE26/Year_2032!AE26</f>
        <v>0.9880993355817097</v>
      </c>
      <c r="AF23">
        <f>Year_2040!AF26/Year_2032!AF26</f>
        <v>1.0244450139738097</v>
      </c>
      <c r="AG23">
        <f>Year_2040!AG26/Year_2032!AG26</f>
        <v>1.0465029824565624</v>
      </c>
      <c r="AH23">
        <f>Year_2040!AH26/Year_2032!AH26</f>
        <v>1.1253388581646124</v>
      </c>
      <c r="AI23">
        <f>Year_2040!AI26/Year_2032!AI26</f>
        <v>1.1219298993062798</v>
      </c>
      <c r="AJ23">
        <f>Year_2040!AJ26/Year_2032!AJ26</f>
        <v>1.0000531456936044</v>
      </c>
      <c r="AK23">
        <f>Year_2040!AK26/Year_2032!AK26</f>
        <v>0.98670003666178541</v>
      </c>
      <c r="AL23" t="e">
        <f>Year_2040!AL26/Year_2032!AL26</f>
        <v>#DIV/0!</v>
      </c>
      <c r="AM23" t="e">
        <f>Year_2040!AM26/Year_2032!AM26</f>
        <v>#DIV/0!</v>
      </c>
      <c r="AN23" t="e">
        <f>Year_2040!AN26/Year_2032!AN26</f>
        <v>#VALUE!</v>
      </c>
      <c r="AO23">
        <f>Year_2040!AO26/Year_2032!AO26</f>
        <v>1.0190481701074448</v>
      </c>
      <c r="AP23">
        <f>Year_2040!AP26/Year_2032!AP26</f>
        <v>1.110367056751659</v>
      </c>
      <c r="AQ23">
        <f>Year_2040!AQ26/Year_2032!AQ26</f>
        <v>1.1102600994219054</v>
      </c>
      <c r="AR23">
        <f>Year_2040!AR26/Year_2032!AR26</f>
        <v>1.0190475013032825</v>
      </c>
      <c r="AS23">
        <f>Year_2040!AS26/Year_2032!AS26</f>
        <v>1.019047619047619</v>
      </c>
      <c r="AT23">
        <f>Year_2040!AT26/Year_2032!AT26</f>
        <v>1.1046643678635584</v>
      </c>
      <c r="AU23">
        <f>Year_2040!AU26/Year_2032!AU26</f>
        <v>1.1180063149384349</v>
      </c>
      <c r="AV23">
        <f>Year_2040!AV26/Year_2032!AV26</f>
        <v>1.1179993708713432</v>
      </c>
      <c r="AW23">
        <f>Year_2040!AW26/Year_2032!AW26</f>
        <v>1</v>
      </c>
      <c r="AX23">
        <f>Year_2040!AX26/Year_2032!AX26</f>
        <v>1</v>
      </c>
    </row>
    <row r="24" spans="2:50" x14ac:dyDescent="0.3">
      <c r="B24" t="str">
        <f>Year_2032!B27</f>
        <v>MD</v>
      </c>
      <c r="C24">
        <f>Year_2040!C27/Year_2032!C27</f>
        <v>1.2</v>
      </c>
      <c r="D24">
        <f>Year_2040!D27/Year_2032!D27</f>
        <v>0.85</v>
      </c>
      <c r="E24">
        <f>Year_2040!E27/Year_2032!E27</f>
        <v>1.2777777777777779</v>
      </c>
      <c r="F24">
        <f>Year_2040!F27/Year_2032!F27</f>
        <v>1.1499999999999999</v>
      </c>
      <c r="G24">
        <f>Year_2040!G27/Year_2032!G27</f>
        <v>1.2352941176470587</v>
      </c>
      <c r="H24">
        <f>Year_2040!H27/Year_2032!H27</f>
        <v>1.1764705882352942</v>
      </c>
      <c r="I24">
        <f>Year_2040!I27/Year_2032!I27</f>
        <v>1</v>
      </c>
      <c r="J24">
        <f>Year_2040!J27/Year_2032!J27</f>
        <v>0.94117647058823528</v>
      </c>
      <c r="K24">
        <f>Year_2040!K27/Year_2032!K27</f>
        <v>1.1578947368421053</v>
      </c>
      <c r="L24">
        <f>Year_2040!L27/Year_2032!L27</f>
        <v>1.1428571428571428</v>
      </c>
      <c r="M24" t="e">
        <f>Year_2040!M27/Year_2032!M27</f>
        <v>#DIV/0!</v>
      </c>
      <c r="N24" t="str">
        <f>Year_2040!N27</f>
        <v>MD</v>
      </c>
      <c r="O24">
        <f>Year_2040!O27/Year_2032!O27</f>
        <v>1.2083912286585854</v>
      </c>
      <c r="P24">
        <f>Year_2040!P27/Year_2032!P27</f>
        <v>0.84591545870394802</v>
      </c>
      <c r="Q24">
        <f>Year_2040!Q27/Year_2032!Q27</f>
        <v>1.3342721496160579</v>
      </c>
      <c r="R24">
        <f>Year_2040!R27/Year_2032!R27</f>
        <v>1.1980148574516465</v>
      </c>
      <c r="S24">
        <f>Year_2040!S27/Year_2032!S27</f>
        <v>1.3927186109104992</v>
      </c>
      <c r="T24">
        <f>Year_2040!T27/Year_2032!T27</f>
        <v>1.3503718351362879</v>
      </c>
      <c r="U24">
        <f>Year_2040!U27/Year_2032!U27</f>
        <v>1.1025694240026092</v>
      </c>
      <c r="V24">
        <f>Year_2040!V27/Year_2032!V27</f>
        <v>1.0920481122619445</v>
      </c>
      <c r="W24">
        <f>Year_2040!W27/Year_2032!W27</f>
        <v>1.1519860027083799</v>
      </c>
      <c r="X24">
        <f>Year_2040!X27/Year_2032!X27</f>
        <v>1.1635714060640798</v>
      </c>
      <c r="Y24" t="e">
        <f>Year_2040!Y27/Year_2032!Y27</f>
        <v>#DIV/0!</v>
      </c>
      <c r="Z24" t="e">
        <f>Year_2040!Z27/Year_2032!Z27</f>
        <v>#DIV/0!</v>
      </c>
      <c r="AA24" t="e">
        <f>Year_2040!AA27/Year_2032!AA27</f>
        <v>#VALUE!</v>
      </c>
      <c r="AB24">
        <f>Year_2040!AB27/Year_2032!AB27</f>
        <v>0.97961266008363168</v>
      </c>
      <c r="AC24">
        <f>Year_2040!AC27/Year_2032!AC27</f>
        <v>1.05462028948871</v>
      </c>
      <c r="AD24">
        <f>Year_2040!AD27/Year_2032!AD27</f>
        <v>1.005992114654334</v>
      </c>
      <c r="AE24">
        <f>Year_2040!AE27/Year_2032!AE27</f>
        <v>0.98512114749135893</v>
      </c>
      <c r="AF24">
        <f>Year_2040!AF27/Year_2032!AF27</f>
        <v>1.0705421718213533</v>
      </c>
      <c r="AG24">
        <f>Year_2040!AG27/Year_2032!AG27</f>
        <v>1.0762864470748508</v>
      </c>
      <c r="AH24">
        <f>Year_2040!AH27/Year_2032!AH27</f>
        <v>1.1208377112250461</v>
      </c>
      <c r="AI24">
        <f>Year_2040!AI27/Year_2032!AI27</f>
        <v>1.1226928475085771</v>
      </c>
      <c r="AJ24">
        <f>Year_2040!AJ27/Year_2032!AJ27</f>
        <v>0.97357738519182324</v>
      </c>
      <c r="AK24">
        <f>Year_2040!AK27/Year_2032!AK27</f>
        <v>0.97912877635000872</v>
      </c>
      <c r="AL24" t="e">
        <f>Year_2040!AL27/Year_2032!AL27</f>
        <v>#DIV/0!</v>
      </c>
      <c r="AM24" t="e">
        <f>Year_2040!AM27/Year_2032!AM27</f>
        <v>#DIV/0!</v>
      </c>
      <c r="AN24" t="e">
        <f>Year_2040!AN27/Year_2032!AN27</f>
        <v>#VALUE!</v>
      </c>
      <c r="AO24">
        <f>Year_2040!AO27/Year_2032!AO27</f>
        <v>1.0190476518208176</v>
      </c>
      <c r="AP24">
        <f>Year_2040!AP27/Year_2032!AP27</f>
        <v>1.0190476074361625</v>
      </c>
      <c r="AQ24">
        <f>Year_2040!AQ27/Year_2032!AQ27</f>
        <v>1.0531523044676292</v>
      </c>
      <c r="AR24">
        <f>Year_2040!AR27/Year_2032!AR27</f>
        <v>1.0190476144401353</v>
      </c>
      <c r="AS24">
        <f>Year_2040!AS27/Year_2032!AS27</f>
        <v>1.1180125880093876</v>
      </c>
      <c r="AT24">
        <f>Year_2040!AT27/Year_2032!AT27</f>
        <v>1.1179507732930969</v>
      </c>
      <c r="AU24">
        <f>Year_2040!AU27/Year_2032!AU27</f>
        <v>1.1180820648788512</v>
      </c>
      <c r="AV24">
        <f>Year_2040!AV27/Year_2032!AV27</f>
        <v>1.118047403616603</v>
      </c>
      <c r="AW24">
        <f>Year_2040!AW27/Year_2032!AW27</f>
        <v>1</v>
      </c>
      <c r="AX24">
        <f>Year_2040!AX27/Year_2032!AX27</f>
        <v>1.0106517203390004</v>
      </c>
    </row>
    <row r="25" spans="2:50" x14ac:dyDescent="0.3">
      <c r="B25" t="str">
        <f>Year_2032!B28</f>
        <v>PM-Shoulder</v>
      </c>
      <c r="C25">
        <f>Year_2040!C28/Year_2032!C28</f>
        <v>1.2</v>
      </c>
      <c r="D25">
        <f>Year_2040!D28/Year_2032!D28</f>
        <v>0.95238095238095244</v>
      </c>
      <c r="E25">
        <f>Year_2040!E28/Year_2032!E28</f>
        <v>1.1499999999999999</v>
      </c>
      <c r="F25">
        <f>Year_2040!F28/Year_2032!F28</f>
        <v>1.1052631578947367</v>
      </c>
      <c r="G25">
        <f>Year_2040!G28/Year_2032!G28</f>
        <v>1.1578947368421053</v>
      </c>
      <c r="H25">
        <f>Year_2040!H28/Year_2032!H28</f>
        <v>0.89473684210526316</v>
      </c>
      <c r="I25">
        <f>Year_2040!I28/Year_2032!I28</f>
        <v>0.95</v>
      </c>
      <c r="J25">
        <f>Year_2040!J28/Year_2032!J28</f>
        <v>0.88235294117647045</v>
      </c>
      <c r="K25">
        <f>Year_2040!K28/Year_2032!K28</f>
        <v>1.0833333333333335</v>
      </c>
      <c r="L25">
        <f>Year_2040!L28/Year_2032!L28</f>
        <v>1.2</v>
      </c>
      <c r="M25" t="e">
        <f>Year_2040!M28/Year_2032!M28</f>
        <v>#DIV/0!</v>
      </c>
      <c r="N25" t="str">
        <f>Year_2040!N28</f>
        <v>PM-Shoulder</v>
      </c>
      <c r="O25">
        <f>Year_2040!O28/Year_2032!O28</f>
        <v>1.2074195198313673</v>
      </c>
      <c r="P25">
        <f>Year_2040!P28/Year_2032!P28</f>
        <v>0.98576467304422855</v>
      </c>
      <c r="Q25">
        <f>Year_2040!Q28/Year_2032!Q28</f>
        <v>1.194973750427138</v>
      </c>
      <c r="R25">
        <f>Year_2040!R28/Year_2032!R28</f>
        <v>1.1032320433420528</v>
      </c>
      <c r="S25">
        <f>Year_2040!S28/Year_2032!S28</f>
        <v>1.1652150138655626</v>
      </c>
      <c r="T25">
        <f>Year_2040!T28/Year_2032!T28</f>
        <v>0.95175402179553714</v>
      </c>
      <c r="U25">
        <f>Year_2040!U28/Year_2032!U28</f>
        <v>1.0600170594596046</v>
      </c>
      <c r="V25">
        <f>Year_2040!V28/Year_2032!V28</f>
        <v>0.93518536566349608</v>
      </c>
      <c r="W25">
        <f>Year_2040!W28/Year_2032!W28</f>
        <v>1.1282926732437422</v>
      </c>
      <c r="X25">
        <f>Year_2040!X28/Year_2032!X28</f>
        <v>1.2701648546927542</v>
      </c>
      <c r="Y25" t="e">
        <f>Year_2040!Y28/Year_2032!Y28</f>
        <v>#DIV/0!</v>
      </c>
      <c r="Z25" t="e">
        <f>Year_2040!Z28/Year_2032!Z28</f>
        <v>#DIV/0!</v>
      </c>
      <c r="AA25" t="e">
        <f>Year_2040!AA28/Year_2032!AA28</f>
        <v>#VALUE!</v>
      </c>
      <c r="AB25">
        <f>Year_2040!AB28/Year_2032!AB28</f>
        <v>0.98012391327671988</v>
      </c>
      <c r="AC25">
        <f>Year_2040!AC28/Year_2032!AC28</f>
        <v>1.0263126314293047</v>
      </c>
      <c r="AD25">
        <f>Year_2040!AD28/Year_2032!AD28</f>
        <v>0.98719749843933646</v>
      </c>
      <c r="AE25">
        <f>Year_2040!AE28/Year_2032!AE28</f>
        <v>1.0029280605805637</v>
      </c>
      <c r="AF25">
        <f>Year_2040!AF28/Year_2032!AF28</f>
        <v>0.98896390473357765</v>
      </c>
      <c r="AG25">
        <f>Year_2040!AG28/Year_2032!AG28</f>
        <v>1.0329755902653213</v>
      </c>
      <c r="AH25">
        <f>Year_2040!AH28/Year_2032!AH28</f>
        <v>1.1306550494956589</v>
      </c>
      <c r="AI25">
        <f>Year_2040!AI28/Year_2032!AI28</f>
        <v>1.14917517305888</v>
      </c>
      <c r="AJ25">
        <f>Year_2040!AJ28/Year_2032!AJ28</f>
        <v>0.97118886605475152</v>
      </c>
      <c r="AK25">
        <f>Year_2040!AK28/Year_2032!AK28</f>
        <v>0.98387144703802221</v>
      </c>
      <c r="AL25" t="e">
        <f>Year_2040!AL28/Year_2032!AL28</f>
        <v>#DIV/0!</v>
      </c>
      <c r="AM25" t="e">
        <f>Year_2040!AM28/Year_2032!AM28</f>
        <v>#DIV/0!</v>
      </c>
      <c r="AN25" t="e">
        <f>Year_2040!AN28/Year_2032!AN28</f>
        <v>#VALUE!</v>
      </c>
      <c r="AO25">
        <f>Year_2040!AO28/Year_2032!AO28</f>
        <v>1.0190469112471268</v>
      </c>
      <c r="AP25">
        <f>Year_2040!AP28/Year_2032!AP28</f>
        <v>1.0190477489437282</v>
      </c>
      <c r="AQ25">
        <f>Year_2040!AQ28/Year_2032!AQ28</f>
        <v>1.019047619047619</v>
      </c>
      <c r="AR25">
        <f>Year_2040!AR28/Year_2032!AR28</f>
        <v>1.0190476902588184</v>
      </c>
      <c r="AS25">
        <f>Year_2040!AS28/Year_2032!AS28</f>
        <v>1.019047619047619</v>
      </c>
      <c r="AT25">
        <f>Year_2040!AT28/Year_2032!AT28</f>
        <v>1.0190474156419471</v>
      </c>
      <c r="AU25">
        <f>Year_2040!AU28/Year_2032!AU28</f>
        <v>1.1179967985364738</v>
      </c>
      <c r="AV25">
        <f>Year_2040!AV28/Year_2032!AV28</f>
        <v>1.1140057998777877</v>
      </c>
      <c r="AW25">
        <f>Year_2040!AW28/Year_2032!AW28</f>
        <v>1</v>
      </c>
      <c r="AX25">
        <f>Year_2040!AX28/Year_2032!AX28</f>
        <v>1.0450451853856773</v>
      </c>
    </row>
    <row r="26" spans="2:50" x14ac:dyDescent="0.3">
      <c r="B26" t="str">
        <f>Year_2032!B29</f>
        <v>PM-Peak</v>
      </c>
      <c r="C26">
        <f>Year_2040!C29/Year_2032!C29</f>
        <v>0.81481481481481477</v>
      </c>
      <c r="D26">
        <f>Year_2040!D29/Year_2032!D29</f>
        <v>0.81481481481481477</v>
      </c>
      <c r="E26">
        <f>Year_2040!E29/Year_2032!E29</f>
        <v>1.2608695652173911</v>
      </c>
      <c r="F26">
        <f>Year_2040!F29/Year_2032!F29</f>
        <v>1.2</v>
      </c>
      <c r="G26">
        <f>Year_2040!G29/Year_2032!G29</f>
        <v>0.94736842105263153</v>
      </c>
      <c r="H26">
        <f>Year_2040!H29/Year_2032!H29</f>
        <v>1</v>
      </c>
      <c r="I26">
        <f>Year_2040!I29/Year_2032!I29</f>
        <v>0.89999999999999991</v>
      </c>
      <c r="J26">
        <f>Year_2040!J29/Year_2032!J29</f>
        <v>0.94736842105263153</v>
      </c>
      <c r="K26">
        <f>Year_2040!K29/Year_2032!K29</f>
        <v>1.1599999999999999</v>
      </c>
      <c r="L26">
        <f>Year_2040!L29/Year_2032!L29</f>
        <v>1.2272727272727273</v>
      </c>
      <c r="M26" t="e">
        <f>Year_2040!M29/Year_2032!M29</f>
        <v>#DIV/0!</v>
      </c>
      <c r="N26" t="str">
        <f>Year_2040!N29</f>
        <v>PM-Peak</v>
      </c>
      <c r="O26">
        <f>Year_2040!O29/Year_2032!O29</f>
        <v>0.92267727364986662</v>
      </c>
      <c r="P26">
        <f>Year_2040!P29/Year_2032!P29</f>
        <v>0.90986154501229821</v>
      </c>
      <c r="Q26">
        <f>Year_2040!Q29/Year_2032!Q29</f>
        <v>1.3995722867613083</v>
      </c>
      <c r="R26">
        <f>Year_2040!R29/Year_2032!R29</f>
        <v>1.3435551508568768</v>
      </c>
      <c r="S26">
        <f>Year_2040!S29/Year_2032!S29</f>
        <v>1.0440902616930194</v>
      </c>
      <c r="T26">
        <f>Year_2040!T29/Year_2032!T29</f>
        <v>1.0842959714636125</v>
      </c>
      <c r="U26">
        <f>Year_2040!U29/Year_2032!U29</f>
        <v>1.0546329076604475</v>
      </c>
      <c r="V26">
        <f>Year_2040!V29/Year_2032!V29</f>
        <v>1.0254760272166255</v>
      </c>
      <c r="W26">
        <f>Year_2040!W29/Year_2032!W29</f>
        <v>1.1606359826615589</v>
      </c>
      <c r="X26">
        <f>Year_2040!X29/Year_2032!X29</f>
        <v>1.2458451687281666</v>
      </c>
      <c r="Y26" t="e">
        <f>Year_2040!Y29/Year_2032!Y29</f>
        <v>#DIV/0!</v>
      </c>
      <c r="Z26" t="e">
        <f>Year_2040!Z29/Year_2032!Z29</f>
        <v>#DIV/0!</v>
      </c>
      <c r="AA26" t="e">
        <f>Year_2040!AA29/Year_2032!AA29</f>
        <v>#VALUE!</v>
      </c>
      <c r="AB26">
        <f>Year_2040!AB29/Year_2032!AB29</f>
        <v>1.1671600451132582</v>
      </c>
      <c r="AC26">
        <f>Year_2040!AC29/Year_2032!AC29</f>
        <v>1.1695495675994834</v>
      </c>
      <c r="AD26">
        <f>Year_2040!AD29/Year_2032!AD29</f>
        <v>1.0456567939224926</v>
      </c>
      <c r="AE26">
        <f>Year_2040!AE29/Year_2032!AE29</f>
        <v>1.0671751226805242</v>
      </c>
      <c r="AF26">
        <f>Year_2040!AF29/Year_2032!AF29</f>
        <v>1.1331032830373531</v>
      </c>
      <c r="AG26">
        <f>Year_2040!AG29/Year_2032!AG29</f>
        <v>1.1257546685604911</v>
      </c>
      <c r="AH26">
        <f>Year_2040!AH29/Year_2032!AH29</f>
        <v>1.1312635217218143</v>
      </c>
      <c r="AI26">
        <f>Year_2040!AI29/Year_2032!AI29</f>
        <v>1.1378670329430902</v>
      </c>
      <c r="AJ26">
        <f>Year_2040!AJ29/Year_2032!AJ29</f>
        <v>0.96004044634148533</v>
      </c>
      <c r="AK26">
        <f>Year_2040!AK29/Year_2032!AK29</f>
        <v>0.94937148790530779</v>
      </c>
      <c r="AL26" t="e">
        <f>Year_2040!AL29/Year_2032!AL29</f>
        <v>#DIV/0!</v>
      </c>
      <c r="AM26" t="e">
        <f>Year_2040!AM29/Year_2032!AM29</f>
        <v>#DIV/0!</v>
      </c>
      <c r="AN26" t="e">
        <f>Year_2040!AN29/Year_2032!AN29</f>
        <v>#VALUE!</v>
      </c>
      <c r="AO26">
        <f>Year_2040!AO29/Year_2032!AO29</f>
        <v>1.1103011190642513</v>
      </c>
      <c r="AP26">
        <f>Year_2040!AP29/Year_2032!AP29</f>
        <v>1.1102407642903707</v>
      </c>
      <c r="AQ26">
        <f>Year_2040!AQ29/Year_2032!AQ29</f>
        <v>1.1103567099465042</v>
      </c>
      <c r="AR26">
        <f>Year_2040!AR29/Year_2032!AR29</f>
        <v>1.1102342669020469</v>
      </c>
      <c r="AS26">
        <f>Year_2040!AS29/Year_2032!AS29</f>
        <v>1.1180072464385304</v>
      </c>
      <c r="AT26">
        <f>Year_2040!AT29/Year_2032!AT29</f>
        <v>1.1179976245549224</v>
      </c>
      <c r="AU26">
        <f>Year_2040!AU29/Year_2032!AU29</f>
        <v>1.1179410761710877</v>
      </c>
      <c r="AV26">
        <f>Year_2040!AV29/Year_2032!AV29</f>
        <v>1.1179680446402323</v>
      </c>
      <c r="AW26">
        <f>Year_2040!AW29/Year_2032!AW29</f>
        <v>1</v>
      </c>
      <c r="AX26">
        <f>Year_2040!AX29/Year_2032!AX29</f>
        <v>1</v>
      </c>
    </row>
    <row r="27" spans="2:50" x14ac:dyDescent="0.3">
      <c r="B27" t="str">
        <f>Year_2032!B30</f>
        <v>PM-Late</v>
      </c>
      <c r="C27">
        <f>Year_2040!C30/Year_2032!C30</f>
        <v>1</v>
      </c>
      <c r="D27">
        <f>Year_2040!D30/Year_2032!D30</f>
        <v>1</v>
      </c>
      <c r="E27">
        <f>Year_2040!E30/Year_2032!E30</f>
        <v>1</v>
      </c>
      <c r="F27">
        <f>Year_2040!F30/Year_2032!F30</f>
        <v>1</v>
      </c>
      <c r="G27">
        <f>Year_2040!G30/Year_2032!G30</f>
        <v>1.0476190476190477</v>
      </c>
      <c r="H27">
        <f>Year_2040!H30/Year_2032!H30</f>
        <v>1</v>
      </c>
      <c r="I27">
        <f>Year_2040!I30/Year_2032!I30</f>
        <v>1</v>
      </c>
      <c r="J27">
        <f>Year_2040!J30/Year_2032!J30</f>
        <v>1</v>
      </c>
      <c r="K27">
        <f>Year_2040!K30/Year_2032!K30</f>
        <v>1</v>
      </c>
      <c r="L27">
        <f>Year_2040!L30/Year_2032!L30</f>
        <v>1.1818181818181819</v>
      </c>
      <c r="M27" t="e">
        <f>Year_2040!M30/Year_2032!M30</f>
        <v>#DIV/0!</v>
      </c>
      <c r="N27" t="str">
        <f>Year_2040!N30</f>
        <v>PM-Late</v>
      </c>
      <c r="O27">
        <f>Year_2040!O30/Year_2032!O30</f>
        <v>1.1058156586430132</v>
      </c>
      <c r="P27">
        <f>Year_2040!P30/Year_2032!P30</f>
        <v>1.0997093979603028</v>
      </c>
      <c r="Q27">
        <f>Year_2040!Q30/Year_2032!Q30</f>
        <v>1.1094502710075556</v>
      </c>
      <c r="R27">
        <f>Year_2040!R30/Year_2032!R30</f>
        <v>1.1048655569782329</v>
      </c>
      <c r="S27">
        <f>Year_2040!S30/Year_2032!S30</f>
        <v>1.1924325342313999</v>
      </c>
      <c r="T27">
        <f>Year_2040!T30/Year_2032!T30</f>
        <v>1.11009195193008</v>
      </c>
      <c r="U27">
        <f>Year_2040!U30/Year_2032!U30</f>
        <v>1.1165609212016763</v>
      </c>
      <c r="V27">
        <f>Year_2040!V30/Year_2032!V30</f>
        <v>1.1180558236497704</v>
      </c>
      <c r="W27">
        <f>Year_2040!W30/Year_2032!W30</f>
        <v>0.99986942202318485</v>
      </c>
      <c r="X27">
        <f>Year_2040!X30/Year_2032!X30</f>
        <v>1.2222724038465635</v>
      </c>
      <c r="Y27" t="e">
        <f>Year_2040!Y30/Year_2032!Y30</f>
        <v>#DIV/0!</v>
      </c>
      <c r="Z27" t="e">
        <f>Year_2040!Z30/Year_2032!Z30</f>
        <v>#DIV/0!</v>
      </c>
      <c r="AA27" t="e">
        <f>Year_2040!AA30/Year_2032!AA30</f>
        <v>#VALUE!</v>
      </c>
      <c r="AB27">
        <f>Year_2040!AB30/Year_2032!AB30</f>
        <v>1.1111325788779423</v>
      </c>
      <c r="AC27">
        <f>Year_2040!AC30/Year_2032!AC30</f>
        <v>1.1124651461500572</v>
      </c>
      <c r="AD27">
        <f>Year_2040!AD30/Year_2032!AD30</f>
        <v>1.1104719050889136</v>
      </c>
      <c r="AE27">
        <f>Year_2040!AE30/Year_2032!AE30</f>
        <v>1.1113532463225715</v>
      </c>
      <c r="AF27">
        <f>Year_2040!AF30/Year_2032!AF30</f>
        <v>1.1024673349176553</v>
      </c>
      <c r="AG27">
        <f>Year_2040!AG30/Year_2032!AG30</f>
        <v>1.1199177869805588</v>
      </c>
      <c r="AH27">
        <f>Year_2040!AH30/Year_2032!AH30</f>
        <v>1.1183482920353083</v>
      </c>
      <c r="AI27">
        <f>Year_2040!AI30/Year_2032!AI30</f>
        <v>1.1180922269684841</v>
      </c>
      <c r="AJ27">
        <f>Year_2040!AJ30/Year_2032!AJ30</f>
        <v>1.0000235247580653</v>
      </c>
      <c r="AK27">
        <f>Year_2040!AK30/Year_2032!AK30</f>
        <v>0.9789834935762487</v>
      </c>
      <c r="AL27" t="e">
        <f>Year_2040!AL30/Year_2032!AL30</f>
        <v>#DIV/0!</v>
      </c>
      <c r="AM27" t="e">
        <f>Year_2040!AM30/Year_2032!AM30</f>
        <v>#DIV/0!</v>
      </c>
      <c r="AN27" t="e">
        <f>Year_2040!AN30/Year_2032!AN30</f>
        <v>#VALUE!</v>
      </c>
      <c r="AO27">
        <f>Year_2040!AO30/Year_2032!AO30</f>
        <v>1.1102596287243178</v>
      </c>
      <c r="AP27">
        <f>Year_2040!AP30/Year_2032!AP30</f>
        <v>1.1102339549353522</v>
      </c>
      <c r="AQ27">
        <f>Year_2040!AQ30/Year_2032!AQ30</f>
        <v>1.1103266435684558</v>
      </c>
      <c r="AR27">
        <f>Year_2040!AR30/Year_2032!AR30</f>
        <v>1.1103404161752652</v>
      </c>
      <c r="AS27">
        <f>Year_2040!AS30/Year_2032!AS30</f>
        <v>1.1179997704842783</v>
      </c>
      <c r="AT27">
        <f>Year_2040!AT30/Year_2032!AT30</f>
        <v>1.1181190940452976</v>
      </c>
      <c r="AU27">
        <f>Year_2040!AU30/Year_2032!AU30</f>
        <v>1.1180392863579023</v>
      </c>
      <c r="AV27">
        <f>Year_2040!AV30/Year_2032!AV30</f>
        <v>1.1180904522613064</v>
      </c>
      <c r="AW27">
        <f>Year_2040!AW30/Year_2032!AW30</f>
        <v>1</v>
      </c>
      <c r="AX27">
        <f>Year_2040!AX30/Year_2032!AX30</f>
        <v>1.0184724780064025</v>
      </c>
    </row>
    <row r="28" spans="2:50" x14ac:dyDescent="0.3">
      <c r="B28">
        <f>Year_2032!B31</f>
        <v>0</v>
      </c>
      <c r="C28" t="e">
        <f>Year_2040!C31/Year_2032!C31</f>
        <v>#DIV/0!</v>
      </c>
      <c r="D28" t="e">
        <f>Year_2040!D31/Year_2032!D31</f>
        <v>#DIV/0!</v>
      </c>
      <c r="E28" t="e">
        <f>Year_2040!E31/Year_2032!E31</f>
        <v>#DIV/0!</v>
      </c>
      <c r="F28" t="e">
        <f>Year_2040!F31/Year_2032!F31</f>
        <v>#DIV/0!</v>
      </c>
      <c r="G28" t="e">
        <f>Year_2040!G31/Year_2032!G31</f>
        <v>#DIV/0!</v>
      </c>
      <c r="H28" t="e">
        <f>Year_2040!H31/Year_2032!H31</f>
        <v>#DIV/0!</v>
      </c>
      <c r="I28" t="e">
        <f>Year_2040!I31/Year_2032!I31</f>
        <v>#DIV/0!</v>
      </c>
      <c r="J28" t="e">
        <f>Year_2040!J31/Year_2032!J31</f>
        <v>#DIV/0!</v>
      </c>
      <c r="K28" t="e">
        <f>Year_2040!K31/Year_2032!K31</f>
        <v>#DIV/0!</v>
      </c>
      <c r="L28" t="e">
        <f>Year_2040!L31/Year_2032!L31</f>
        <v>#DIV/0!</v>
      </c>
      <c r="M28" t="e">
        <f>Year_2040!M31/Year_2032!M31</f>
        <v>#DIV/0!</v>
      </c>
      <c r="N28">
        <f>Year_2040!N31</f>
        <v>0</v>
      </c>
      <c r="O28" t="e">
        <f>Year_2040!O31/Year_2032!O31</f>
        <v>#DIV/0!</v>
      </c>
      <c r="P28" t="e">
        <f>Year_2040!P31/Year_2032!P31</f>
        <v>#DIV/0!</v>
      </c>
      <c r="Q28" t="e">
        <f>Year_2040!Q31/Year_2032!Q31</f>
        <v>#DIV/0!</v>
      </c>
      <c r="R28" t="e">
        <f>Year_2040!R31/Year_2032!R31</f>
        <v>#DIV/0!</v>
      </c>
      <c r="S28" t="e">
        <f>Year_2040!S31/Year_2032!S31</f>
        <v>#DIV/0!</v>
      </c>
      <c r="T28" t="e">
        <f>Year_2040!T31/Year_2032!T31</f>
        <v>#DIV/0!</v>
      </c>
      <c r="U28" t="e">
        <f>Year_2040!U31/Year_2032!U31</f>
        <v>#DIV/0!</v>
      </c>
      <c r="V28" t="e">
        <f>Year_2040!V31/Year_2032!V31</f>
        <v>#DIV/0!</v>
      </c>
      <c r="W28" t="e">
        <f>Year_2040!W31/Year_2032!W31</f>
        <v>#DIV/0!</v>
      </c>
      <c r="X28" t="e">
        <f>Year_2040!X31/Year_2032!X31</f>
        <v>#DIV/0!</v>
      </c>
      <c r="Y28" t="e">
        <f>Year_2040!Y31/Year_2032!Y31</f>
        <v>#DIV/0!</v>
      </c>
      <c r="Z28" t="e">
        <f>Year_2040!Z31/Year_2032!Z31</f>
        <v>#DIV/0!</v>
      </c>
      <c r="AA28" t="e">
        <f>Year_2040!AA31/Year_2032!AA31</f>
        <v>#DIV/0!</v>
      </c>
      <c r="AB28" t="e">
        <f>Year_2040!AB31/Year_2032!AB31</f>
        <v>#DIV/0!</v>
      </c>
      <c r="AC28" t="e">
        <f>Year_2040!AC31/Year_2032!AC31</f>
        <v>#DIV/0!</v>
      </c>
      <c r="AD28" t="e">
        <f>Year_2040!AD31/Year_2032!AD31</f>
        <v>#DIV/0!</v>
      </c>
      <c r="AE28" t="e">
        <f>Year_2040!AE31/Year_2032!AE31</f>
        <v>#DIV/0!</v>
      </c>
      <c r="AF28" t="e">
        <f>Year_2040!AF31/Year_2032!AF31</f>
        <v>#DIV/0!</v>
      </c>
      <c r="AG28" t="e">
        <f>Year_2040!AG31/Year_2032!AG31</f>
        <v>#DIV/0!</v>
      </c>
      <c r="AH28" t="e">
        <f>Year_2040!AH31/Year_2032!AH31</f>
        <v>#DIV/0!</v>
      </c>
      <c r="AI28" t="e">
        <f>Year_2040!AI31/Year_2032!AI31</f>
        <v>#DIV/0!</v>
      </c>
      <c r="AJ28" t="e">
        <f>Year_2040!AJ31/Year_2032!AJ31</f>
        <v>#DIV/0!</v>
      </c>
      <c r="AK28" t="e">
        <f>Year_2040!AK31/Year_2032!AK31</f>
        <v>#DIV/0!</v>
      </c>
      <c r="AL28" t="e">
        <f>Year_2040!AL31/Year_2032!AL31</f>
        <v>#DIV/0!</v>
      </c>
      <c r="AM28" t="e">
        <f>Year_2040!AM31/Year_2032!AM31</f>
        <v>#DIV/0!</v>
      </c>
      <c r="AN28" t="e">
        <f>Year_2040!AN31/Year_2032!AN31</f>
        <v>#DIV/0!</v>
      </c>
      <c r="AO28" t="e">
        <f>Year_2040!AO31/Year_2032!AO31</f>
        <v>#DIV/0!</v>
      </c>
      <c r="AP28" t="e">
        <f>Year_2040!AP31/Year_2032!AP31</f>
        <v>#DIV/0!</v>
      </c>
      <c r="AQ28" t="e">
        <f>Year_2040!AQ31/Year_2032!AQ31</f>
        <v>#DIV/0!</v>
      </c>
      <c r="AR28" t="e">
        <f>Year_2040!AR31/Year_2032!AR31</f>
        <v>#DIV/0!</v>
      </c>
      <c r="AS28" t="e">
        <f>Year_2040!AS31/Year_2032!AS31</f>
        <v>#DIV/0!</v>
      </c>
      <c r="AT28" t="e">
        <f>Year_2040!AT31/Year_2032!AT31</f>
        <v>#DIV/0!</v>
      </c>
      <c r="AU28" t="e">
        <f>Year_2040!AU31/Year_2032!AU31</f>
        <v>#DIV/0!</v>
      </c>
      <c r="AV28" t="e">
        <f>Year_2040!AV31/Year_2032!AV31</f>
        <v>#DIV/0!</v>
      </c>
      <c r="AW28" t="e">
        <f>Year_2040!AW31/Year_2032!AW31</f>
        <v>#DIV/0!</v>
      </c>
      <c r="AX28" t="e">
        <f>Year_2040!AX31/Year_2032!AX31</f>
        <v>#DIV/0!</v>
      </c>
    </row>
    <row r="29" spans="2:50" x14ac:dyDescent="0.3">
      <c r="B29">
        <f>Year_2032!B32</f>
        <v>0</v>
      </c>
      <c r="C29" t="e">
        <f>Year_2040!C32/Year_2032!C32</f>
        <v>#DIV/0!</v>
      </c>
      <c r="D29" t="e">
        <f>Year_2040!D32/Year_2032!D32</f>
        <v>#DIV/0!</v>
      </c>
      <c r="E29" t="e">
        <f>Year_2040!E32/Year_2032!E32</f>
        <v>#DIV/0!</v>
      </c>
      <c r="F29" t="e">
        <f>Year_2040!F32/Year_2032!F32</f>
        <v>#DIV/0!</v>
      </c>
      <c r="G29" t="e">
        <f>Year_2040!G32/Year_2032!G32</f>
        <v>#DIV/0!</v>
      </c>
      <c r="H29" t="e">
        <f>Year_2040!H32/Year_2032!H32</f>
        <v>#DIV/0!</v>
      </c>
      <c r="I29" t="e">
        <f>Year_2040!I32/Year_2032!I32</f>
        <v>#DIV/0!</v>
      </c>
      <c r="J29" t="e">
        <f>Year_2040!J32/Year_2032!J32</f>
        <v>#DIV/0!</v>
      </c>
      <c r="K29" t="e">
        <f>Year_2040!K32/Year_2032!K32</f>
        <v>#DIV/0!</v>
      </c>
      <c r="L29" t="e">
        <f>Year_2040!L32/Year_2032!L32</f>
        <v>#DIV/0!</v>
      </c>
      <c r="M29" t="e">
        <f>Year_2040!M32/Year_2032!M32</f>
        <v>#DIV/0!</v>
      </c>
      <c r="N29">
        <f>Year_2040!N32</f>
        <v>0</v>
      </c>
      <c r="O29" t="e">
        <f>Year_2040!O32/Year_2032!O32</f>
        <v>#DIV/0!</v>
      </c>
      <c r="P29" t="e">
        <f>Year_2040!P32/Year_2032!P32</f>
        <v>#DIV/0!</v>
      </c>
      <c r="Q29" t="e">
        <f>Year_2040!Q32/Year_2032!Q32</f>
        <v>#DIV/0!</v>
      </c>
      <c r="R29" t="e">
        <f>Year_2040!R32/Year_2032!R32</f>
        <v>#DIV/0!</v>
      </c>
      <c r="S29" t="e">
        <f>Year_2040!S32/Year_2032!S32</f>
        <v>#DIV/0!</v>
      </c>
      <c r="T29" t="e">
        <f>Year_2040!T32/Year_2032!T32</f>
        <v>#DIV/0!</v>
      </c>
      <c r="U29" t="e">
        <f>Year_2040!U32/Year_2032!U32</f>
        <v>#DIV/0!</v>
      </c>
      <c r="V29" t="e">
        <f>Year_2040!V32/Year_2032!V32</f>
        <v>#DIV/0!</v>
      </c>
      <c r="W29" t="e">
        <f>Year_2040!W32/Year_2032!W32</f>
        <v>#DIV/0!</v>
      </c>
      <c r="X29" t="e">
        <f>Year_2040!X32/Year_2032!X32</f>
        <v>#DIV/0!</v>
      </c>
      <c r="Y29" t="e">
        <f>Year_2040!Y32/Year_2032!Y32</f>
        <v>#DIV/0!</v>
      </c>
      <c r="Z29" t="e">
        <f>Year_2040!Z32/Year_2032!Z32</f>
        <v>#DIV/0!</v>
      </c>
      <c r="AA29" t="e">
        <f>Year_2040!AA32/Year_2032!AA32</f>
        <v>#DIV/0!</v>
      </c>
      <c r="AB29" t="e">
        <f>Year_2040!AB32/Year_2032!AB32</f>
        <v>#DIV/0!</v>
      </c>
      <c r="AC29" t="e">
        <f>Year_2040!AC32/Year_2032!AC32</f>
        <v>#DIV/0!</v>
      </c>
      <c r="AD29" t="e">
        <f>Year_2040!AD32/Year_2032!AD32</f>
        <v>#DIV/0!</v>
      </c>
      <c r="AE29" t="e">
        <f>Year_2040!AE32/Year_2032!AE32</f>
        <v>#DIV/0!</v>
      </c>
      <c r="AF29" t="e">
        <f>Year_2040!AF32/Year_2032!AF32</f>
        <v>#DIV/0!</v>
      </c>
      <c r="AG29" t="e">
        <f>Year_2040!AG32/Year_2032!AG32</f>
        <v>#DIV/0!</v>
      </c>
      <c r="AH29" t="e">
        <f>Year_2040!AH32/Year_2032!AH32</f>
        <v>#DIV/0!</v>
      </c>
      <c r="AI29" t="e">
        <f>Year_2040!AI32/Year_2032!AI32</f>
        <v>#DIV/0!</v>
      </c>
      <c r="AJ29" t="e">
        <f>Year_2040!AJ32/Year_2032!AJ32</f>
        <v>#DIV/0!</v>
      </c>
      <c r="AK29" t="e">
        <f>Year_2040!AK32/Year_2032!AK32</f>
        <v>#DIV/0!</v>
      </c>
      <c r="AL29" t="e">
        <f>Year_2040!AL32/Year_2032!AL32</f>
        <v>#DIV/0!</v>
      </c>
      <c r="AM29" t="e">
        <f>Year_2040!AM32/Year_2032!AM32</f>
        <v>#DIV/0!</v>
      </c>
      <c r="AN29" t="e">
        <f>Year_2040!AN32/Year_2032!AN32</f>
        <v>#DIV/0!</v>
      </c>
      <c r="AO29" t="e">
        <f>Year_2040!AO32/Year_2032!AO32</f>
        <v>#DIV/0!</v>
      </c>
      <c r="AP29" t="e">
        <f>Year_2040!AP32/Year_2032!AP32</f>
        <v>#DIV/0!</v>
      </c>
      <c r="AQ29" t="e">
        <f>Year_2040!AQ32/Year_2032!AQ32</f>
        <v>#DIV/0!</v>
      </c>
      <c r="AR29" t="e">
        <f>Year_2040!AR32/Year_2032!AR32</f>
        <v>#DIV/0!</v>
      </c>
      <c r="AS29" t="e">
        <f>Year_2040!AS32/Year_2032!AS32</f>
        <v>#DIV/0!</v>
      </c>
      <c r="AT29" t="e">
        <f>Year_2040!AT32/Year_2032!AT32</f>
        <v>#DIV/0!</v>
      </c>
      <c r="AU29" t="e">
        <f>Year_2040!AU32/Year_2032!AU32</f>
        <v>#DIV/0!</v>
      </c>
      <c r="AV29" t="e">
        <f>Year_2040!AV32/Year_2032!AV32</f>
        <v>#DIV/0!</v>
      </c>
      <c r="AW29" t="e">
        <f>Year_2040!AW32/Year_2032!AW32</f>
        <v>#DIV/0!</v>
      </c>
      <c r="AX29" t="e">
        <f>Year_2040!AX32/Year_2032!AX32</f>
        <v>#DIV/0!</v>
      </c>
    </row>
    <row r="30" spans="2:50" x14ac:dyDescent="0.3">
      <c r="B30" t="str">
        <f>Year_2032!B33</f>
        <v>Revenue Per Period</v>
      </c>
      <c r="C30" t="e">
        <f>Year_2040!C33/Year_2032!C33</f>
        <v>#DIV/0!</v>
      </c>
      <c r="D30" t="e">
        <f>Year_2040!D33/Year_2032!D33</f>
        <v>#DIV/0!</v>
      </c>
      <c r="E30" t="e">
        <f>Year_2040!E33/Year_2032!E33</f>
        <v>#DIV/0!</v>
      </c>
      <c r="F30" t="e">
        <f>Year_2040!F33/Year_2032!F33</f>
        <v>#DIV/0!</v>
      </c>
      <c r="G30" t="e">
        <f>Year_2040!G33/Year_2032!G33</f>
        <v>#DIV/0!</v>
      </c>
      <c r="H30" t="e">
        <f>Year_2040!H33/Year_2032!H33</f>
        <v>#DIV/0!</v>
      </c>
      <c r="I30" t="e">
        <f>Year_2040!I33/Year_2032!I33</f>
        <v>#DIV/0!</v>
      </c>
      <c r="J30" t="e">
        <f>Year_2040!J33/Year_2032!J33</f>
        <v>#DIV/0!</v>
      </c>
      <c r="K30" t="e">
        <f>Year_2040!K33/Year_2032!K33</f>
        <v>#DIV/0!</v>
      </c>
      <c r="L30" t="e">
        <f>Year_2040!L33/Year_2032!L33</f>
        <v>#DIV/0!</v>
      </c>
      <c r="M30" t="e">
        <f>Year_2040!M33/Year_2032!M33</f>
        <v>#DIV/0!</v>
      </c>
      <c r="N30" t="str">
        <f>Year_2040!N33</f>
        <v>ML Flow (PCE/hr)</v>
      </c>
      <c r="O30" t="e">
        <f>Year_2040!O33/Year_2032!O33</f>
        <v>#DIV/0!</v>
      </c>
      <c r="P30" t="e">
        <f>Year_2040!P33/Year_2032!P33</f>
        <v>#DIV/0!</v>
      </c>
      <c r="Q30" t="e">
        <f>Year_2040!Q33/Year_2032!Q33</f>
        <v>#DIV/0!</v>
      </c>
      <c r="R30" t="e">
        <f>Year_2040!R33/Year_2032!R33</f>
        <v>#DIV/0!</v>
      </c>
      <c r="S30" t="e">
        <f>Year_2040!S33/Year_2032!S33</f>
        <v>#DIV/0!</v>
      </c>
      <c r="T30" t="e">
        <f>Year_2040!T33/Year_2032!T33</f>
        <v>#DIV/0!</v>
      </c>
      <c r="U30" t="e">
        <f>Year_2040!U33/Year_2032!U33</f>
        <v>#DIV/0!</v>
      </c>
      <c r="V30" t="e">
        <f>Year_2040!V33/Year_2032!V33</f>
        <v>#DIV/0!</v>
      </c>
      <c r="W30" t="e">
        <f>Year_2040!W33/Year_2032!W33</f>
        <v>#DIV/0!</v>
      </c>
      <c r="X30" t="e">
        <f>Year_2040!X33/Year_2032!X33</f>
        <v>#DIV/0!</v>
      </c>
      <c r="Y30" t="e">
        <f>Year_2040!Y33/Year_2032!Y33</f>
        <v>#DIV/0!</v>
      </c>
      <c r="Z30" t="e">
        <f>Year_2040!Z33/Year_2032!Z33</f>
        <v>#DIV/0!</v>
      </c>
      <c r="AA30" t="e">
        <f>Year_2040!AA33/Year_2032!AA33</f>
        <v>#VALUE!</v>
      </c>
      <c r="AB30" t="e">
        <f>Year_2040!AB33/Year_2032!AB33</f>
        <v>#DIV/0!</v>
      </c>
      <c r="AC30" t="e">
        <f>Year_2040!AC33/Year_2032!AC33</f>
        <v>#DIV/0!</v>
      </c>
      <c r="AD30" t="e">
        <f>Year_2040!AD33/Year_2032!AD33</f>
        <v>#DIV/0!</v>
      </c>
      <c r="AE30" t="e">
        <f>Year_2040!AE33/Year_2032!AE33</f>
        <v>#DIV/0!</v>
      </c>
      <c r="AF30" t="e">
        <f>Year_2040!AF33/Year_2032!AF33</f>
        <v>#DIV/0!</v>
      </c>
      <c r="AG30" t="e">
        <f>Year_2040!AG33/Year_2032!AG33</f>
        <v>#DIV/0!</v>
      </c>
      <c r="AH30" t="e">
        <f>Year_2040!AH33/Year_2032!AH33</f>
        <v>#DIV/0!</v>
      </c>
      <c r="AI30" t="e">
        <f>Year_2040!AI33/Year_2032!AI33</f>
        <v>#DIV/0!</v>
      </c>
      <c r="AJ30" t="e">
        <f>Year_2040!AJ33/Year_2032!AJ33</f>
        <v>#DIV/0!</v>
      </c>
      <c r="AK30" t="e">
        <f>Year_2040!AK33/Year_2032!AK33</f>
        <v>#DIV/0!</v>
      </c>
      <c r="AL30" t="e">
        <f>Year_2040!AL33/Year_2032!AL33</f>
        <v>#DIV/0!</v>
      </c>
      <c r="AM30" t="e">
        <f>Year_2040!AM33/Year_2032!AM33</f>
        <v>#DIV/0!</v>
      </c>
      <c r="AN30" t="e">
        <f>Year_2040!AN33/Year_2032!AN33</f>
        <v>#VALUE!</v>
      </c>
      <c r="AO30" t="e">
        <f>Year_2040!AO33/Year_2032!AO33</f>
        <v>#DIV/0!</v>
      </c>
      <c r="AP30" t="e">
        <f>Year_2040!AP33/Year_2032!AP33</f>
        <v>#DIV/0!</v>
      </c>
      <c r="AQ30" t="e">
        <f>Year_2040!AQ33/Year_2032!AQ33</f>
        <v>#DIV/0!</v>
      </c>
      <c r="AR30" t="e">
        <f>Year_2040!AR33/Year_2032!AR33</f>
        <v>#DIV/0!</v>
      </c>
      <c r="AS30" t="e">
        <f>Year_2040!AS33/Year_2032!AS33</f>
        <v>#DIV/0!</v>
      </c>
      <c r="AT30" t="e">
        <f>Year_2040!AT33/Year_2032!AT33</f>
        <v>#DIV/0!</v>
      </c>
      <c r="AU30" t="e">
        <f>Year_2040!AU33/Year_2032!AU33</f>
        <v>#DIV/0!</v>
      </c>
      <c r="AV30" t="e">
        <f>Year_2040!AV33/Year_2032!AV33</f>
        <v>#DIV/0!</v>
      </c>
      <c r="AW30" t="e">
        <f>Year_2040!AW33/Year_2032!AW33</f>
        <v>#DIV/0!</v>
      </c>
      <c r="AX30" t="e">
        <f>Year_2040!AX33/Year_2032!AX33</f>
        <v>#DIV/0!</v>
      </c>
    </row>
    <row r="31" spans="2:50" x14ac:dyDescent="0.3">
      <c r="B31" t="str">
        <f>Year_2032!B34</f>
        <v>Direction</v>
      </c>
      <c r="C31" t="e">
        <f>Year_2040!C34/Year_2032!C34</f>
        <v>#VALUE!</v>
      </c>
      <c r="D31" t="e">
        <f>Year_2040!D34/Year_2032!D34</f>
        <v>#VALUE!</v>
      </c>
      <c r="E31" t="e">
        <f>Year_2040!E34/Year_2032!E34</f>
        <v>#VALUE!</v>
      </c>
      <c r="F31" t="e">
        <f>Year_2040!F34/Year_2032!F34</f>
        <v>#VALUE!</v>
      </c>
      <c r="G31" t="e">
        <f>Year_2040!G34/Year_2032!G34</f>
        <v>#VALUE!</v>
      </c>
      <c r="H31" t="e">
        <f>Year_2040!H34/Year_2032!H34</f>
        <v>#VALUE!</v>
      </c>
      <c r="I31" t="e">
        <f>Year_2040!I34/Year_2032!I34</f>
        <v>#VALUE!</v>
      </c>
      <c r="J31" t="e">
        <f>Year_2040!J34/Year_2032!J34</f>
        <v>#VALUE!</v>
      </c>
      <c r="K31" t="e">
        <f>Year_2040!K34/Year_2032!K34</f>
        <v>#VALUE!</v>
      </c>
      <c r="L31" t="e">
        <f>Year_2040!L34/Year_2032!L34</f>
        <v>#VALUE!</v>
      </c>
      <c r="M31" t="e">
        <f>Year_2040!M34/Year_2032!M34</f>
        <v>#DIV/0!</v>
      </c>
      <c r="N31" t="str">
        <f>Year_2040!N34</f>
        <v>Direction</v>
      </c>
      <c r="O31" t="e">
        <f>Year_2040!O34/Year_2032!O34</f>
        <v>#VALUE!</v>
      </c>
      <c r="P31" t="e">
        <f>Year_2040!P34/Year_2032!P34</f>
        <v>#VALUE!</v>
      </c>
      <c r="Q31" t="e">
        <f>Year_2040!Q34/Year_2032!Q34</f>
        <v>#VALUE!</v>
      </c>
      <c r="R31" t="e">
        <f>Year_2040!R34/Year_2032!R34</f>
        <v>#VALUE!</v>
      </c>
      <c r="S31" t="e">
        <f>Year_2040!S34/Year_2032!S34</f>
        <v>#VALUE!</v>
      </c>
      <c r="T31" t="e">
        <f>Year_2040!T34/Year_2032!T34</f>
        <v>#VALUE!</v>
      </c>
      <c r="U31" t="e">
        <f>Year_2040!U34/Year_2032!U34</f>
        <v>#VALUE!</v>
      </c>
      <c r="V31" t="e">
        <f>Year_2040!V34/Year_2032!V34</f>
        <v>#VALUE!</v>
      </c>
      <c r="W31" t="e">
        <f>Year_2040!W34/Year_2032!W34</f>
        <v>#VALUE!</v>
      </c>
      <c r="X31" t="e">
        <f>Year_2040!X34/Year_2032!X34</f>
        <v>#VALUE!</v>
      </c>
      <c r="Y31" t="e">
        <f>Year_2040!Y34/Year_2032!Y34</f>
        <v>#DIV/0!</v>
      </c>
      <c r="Z31" t="e">
        <f>Year_2040!Z34/Year_2032!Z34</f>
        <v>#DIV/0!</v>
      </c>
      <c r="AA31" t="e">
        <f>Year_2040!AA34/Year_2032!AA34</f>
        <v>#VALUE!</v>
      </c>
      <c r="AB31" t="e">
        <f>Year_2040!AB34/Year_2032!AB34</f>
        <v>#VALUE!</v>
      </c>
      <c r="AC31" t="e">
        <f>Year_2040!AC34/Year_2032!AC34</f>
        <v>#VALUE!</v>
      </c>
      <c r="AD31" t="e">
        <f>Year_2040!AD34/Year_2032!AD34</f>
        <v>#VALUE!</v>
      </c>
      <c r="AE31" t="e">
        <f>Year_2040!AE34/Year_2032!AE34</f>
        <v>#VALUE!</v>
      </c>
      <c r="AF31" t="e">
        <f>Year_2040!AF34/Year_2032!AF34</f>
        <v>#VALUE!</v>
      </c>
      <c r="AG31" t="e">
        <f>Year_2040!AG34/Year_2032!AG34</f>
        <v>#VALUE!</v>
      </c>
      <c r="AH31" t="e">
        <f>Year_2040!AH34/Year_2032!AH34</f>
        <v>#VALUE!</v>
      </c>
      <c r="AI31" t="e">
        <f>Year_2040!AI34/Year_2032!AI34</f>
        <v>#VALUE!</v>
      </c>
      <c r="AJ31" t="e">
        <f>Year_2040!AJ34/Year_2032!AJ34</f>
        <v>#VALUE!</v>
      </c>
      <c r="AK31" t="e">
        <f>Year_2040!AK34/Year_2032!AK34</f>
        <v>#VALUE!</v>
      </c>
      <c r="AL31" t="e">
        <f>Year_2040!AL34/Year_2032!AL34</f>
        <v>#DIV/0!</v>
      </c>
      <c r="AM31" t="e">
        <f>Year_2040!AM34/Year_2032!AM34</f>
        <v>#DIV/0!</v>
      </c>
      <c r="AN31" t="e">
        <f>Year_2040!AN34/Year_2032!AN34</f>
        <v>#VALUE!</v>
      </c>
      <c r="AO31" t="e">
        <f>Year_2040!AO34/Year_2032!AO34</f>
        <v>#VALUE!</v>
      </c>
      <c r="AP31" t="e">
        <f>Year_2040!AP34/Year_2032!AP34</f>
        <v>#VALUE!</v>
      </c>
      <c r="AQ31" t="e">
        <f>Year_2040!AQ34/Year_2032!AQ34</f>
        <v>#VALUE!</v>
      </c>
      <c r="AR31" t="e">
        <f>Year_2040!AR34/Year_2032!AR34</f>
        <v>#VALUE!</v>
      </c>
      <c r="AS31" t="e">
        <f>Year_2040!AS34/Year_2032!AS34</f>
        <v>#VALUE!</v>
      </c>
      <c r="AT31" t="e">
        <f>Year_2040!AT34/Year_2032!AT34</f>
        <v>#VALUE!</v>
      </c>
      <c r="AU31" t="e">
        <f>Year_2040!AU34/Year_2032!AU34</f>
        <v>#VALUE!</v>
      </c>
      <c r="AV31" t="e">
        <f>Year_2040!AV34/Year_2032!AV34</f>
        <v>#VALUE!</v>
      </c>
      <c r="AW31" t="e">
        <f>Year_2040!AW34/Year_2032!AW34</f>
        <v>#VALUE!</v>
      </c>
      <c r="AX31" t="e">
        <f>Year_2040!AX34/Year_2032!AX34</f>
        <v>#VALUE!</v>
      </c>
    </row>
    <row r="32" spans="2:50" x14ac:dyDescent="0.3">
      <c r="B32" t="str">
        <f>Year_2032!B35</f>
        <v>Segment</v>
      </c>
      <c r="C32">
        <f>Year_2040!C35/Year_2032!C35</f>
        <v>1</v>
      </c>
      <c r="D32">
        <f>Year_2040!D35/Year_2032!D35</f>
        <v>1</v>
      </c>
      <c r="E32">
        <f>Year_2040!E35/Year_2032!E35</f>
        <v>1</v>
      </c>
      <c r="F32">
        <f>Year_2040!F35/Year_2032!F35</f>
        <v>1</v>
      </c>
      <c r="G32">
        <f>Year_2040!G35/Year_2032!G35</f>
        <v>1</v>
      </c>
      <c r="H32">
        <f>Year_2040!H35/Year_2032!H35</f>
        <v>1</v>
      </c>
      <c r="I32">
        <f>Year_2040!I35/Year_2032!I35</f>
        <v>1</v>
      </c>
      <c r="J32">
        <f>Year_2040!J35/Year_2032!J35</f>
        <v>1</v>
      </c>
      <c r="K32">
        <f>Year_2040!K35/Year_2032!K35</f>
        <v>1</v>
      </c>
      <c r="L32">
        <f>Year_2040!L35/Year_2032!L35</f>
        <v>1</v>
      </c>
      <c r="M32" t="e">
        <f>Year_2040!M35/Year_2032!M35</f>
        <v>#DIV/0!</v>
      </c>
      <c r="N32" t="str">
        <f>Year_2040!N35</f>
        <v>Segment</v>
      </c>
      <c r="O32">
        <f>Year_2040!O35/Year_2032!O35</f>
        <v>1</v>
      </c>
      <c r="P32">
        <f>Year_2040!P35/Year_2032!P35</f>
        <v>1</v>
      </c>
      <c r="Q32">
        <f>Year_2040!Q35/Year_2032!Q35</f>
        <v>1</v>
      </c>
      <c r="R32">
        <f>Year_2040!R35/Year_2032!R35</f>
        <v>1</v>
      </c>
      <c r="S32">
        <f>Year_2040!S35/Year_2032!S35</f>
        <v>1</v>
      </c>
      <c r="T32">
        <f>Year_2040!T35/Year_2032!T35</f>
        <v>1</v>
      </c>
      <c r="U32">
        <f>Year_2040!U35/Year_2032!U35</f>
        <v>1</v>
      </c>
      <c r="V32">
        <f>Year_2040!V35/Year_2032!V35</f>
        <v>1</v>
      </c>
      <c r="W32">
        <f>Year_2040!W35/Year_2032!W35</f>
        <v>1</v>
      </c>
      <c r="X32">
        <f>Year_2040!X35/Year_2032!X35</f>
        <v>1</v>
      </c>
      <c r="Y32" t="e">
        <f>Year_2040!Y35/Year_2032!Y35</f>
        <v>#DIV/0!</v>
      </c>
      <c r="Z32" t="e">
        <f>Year_2040!Z35/Year_2032!Z35</f>
        <v>#DIV/0!</v>
      </c>
      <c r="AA32" t="e">
        <f>Year_2040!AA35/Year_2032!AA35</f>
        <v>#VALUE!</v>
      </c>
      <c r="AB32">
        <f>Year_2040!AB35/Year_2032!AB35</f>
        <v>1</v>
      </c>
      <c r="AC32">
        <f>Year_2040!AC35/Year_2032!AC35</f>
        <v>1</v>
      </c>
      <c r="AD32">
        <f>Year_2040!AD35/Year_2032!AD35</f>
        <v>1</v>
      </c>
      <c r="AE32">
        <f>Year_2040!AE35/Year_2032!AE35</f>
        <v>1</v>
      </c>
      <c r="AF32">
        <f>Year_2040!AF35/Year_2032!AF35</f>
        <v>1</v>
      </c>
      <c r="AG32">
        <f>Year_2040!AG35/Year_2032!AG35</f>
        <v>1</v>
      </c>
      <c r="AH32">
        <f>Year_2040!AH35/Year_2032!AH35</f>
        <v>1</v>
      </c>
      <c r="AI32">
        <f>Year_2040!AI35/Year_2032!AI35</f>
        <v>1</v>
      </c>
      <c r="AJ32">
        <f>Year_2040!AJ35/Year_2032!AJ35</f>
        <v>1</v>
      </c>
      <c r="AK32">
        <f>Year_2040!AK35/Year_2032!AK35</f>
        <v>1</v>
      </c>
      <c r="AL32" t="e">
        <f>Year_2040!AL35/Year_2032!AL35</f>
        <v>#DIV/0!</v>
      </c>
      <c r="AM32" t="e">
        <f>Year_2040!AM35/Year_2032!AM35</f>
        <v>#DIV/0!</v>
      </c>
      <c r="AN32" t="e">
        <f>Year_2040!AN35/Year_2032!AN35</f>
        <v>#VALUE!</v>
      </c>
      <c r="AO32">
        <f>Year_2040!AO35/Year_2032!AO35</f>
        <v>1</v>
      </c>
      <c r="AP32">
        <f>Year_2040!AP35/Year_2032!AP35</f>
        <v>1</v>
      </c>
      <c r="AQ32">
        <f>Year_2040!AQ35/Year_2032!AQ35</f>
        <v>1</v>
      </c>
      <c r="AR32">
        <f>Year_2040!AR35/Year_2032!AR35</f>
        <v>1</v>
      </c>
      <c r="AS32">
        <f>Year_2040!AS35/Year_2032!AS35</f>
        <v>1</v>
      </c>
      <c r="AT32">
        <f>Year_2040!AT35/Year_2032!AT35</f>
        <v>1</v>
      </c>
      <c r="AU32">
        <f>Year_2040!AU35/Year_2032!AU35</f>
        <v>1</v>
      </c>
      <c r="AV32">
        <f>Year_2040!AV35/Year_2032!AV35</f>
        <v>1</v>
      </c>
      <c r="AW32">
        <f>Year_2040!AW35/Year_2032!AW35</f>
        <v>1</v>
      </c>
      <c r="AX32">
        <f>Year_2040!AX35/Year_2032!AX35</f>
        <v>1</v>
      </c>
    </row>
    <row r="33" spans="2:50" x14ac:dyDescent="0.3">
      <c r="B33" t="str">
        <f>Year_2032!B36</f>
        <v>Period</v>
      </c>
      <c r="C33" t="e">
        <f>Year_2040!C36/Year_2032!C36</f>
        <v>#DIV/0!</v>
      </c>
      <c r="D33" t="e">
        <f>Year_2040!D36/Year_2032!D36</f>
        <v>#DIV/0!</v>
      </c>
      <c r="E33" t="e">
        <f>Year_2040!E36/Year_2032!E36</f>
        <v>#DIV/0!</v>
      </c>
      <c r="F33" t="e">
        <f>Year_2040!F36/Year_2032!F36</f>
        <v>#DIV/0!</v>
      </c>
      <c r="G33" t="e">
        <f>Year_2040!G36/Year_2032!G36</f>
        <v>#DIV/0!</v>
      </c>
      <c r="H33" t="e">
        <f>Year_2040!H36/Year_2032!H36</f>
        <v>#DIV/0!</v>
      </c>
      <c r="I33" t="e">
        <f>Year_2040!I36/Year_2032!I36</f>
        <v>#DIV/0!</v>
      </c>
      <c r="J33" t="e">
        <f>Year_2040!J36/Year_2032!J36</f>
        <v>#DIV/0!</v>
      </c>
      <c r="K33" t="e">
        <f>Year_2040!K36/Year_2032!K36</f>
        <v>#DIV/0!</v>
      </c>
      <c r="L33" t="e">
        <f>Year_2040!L36/Year_2032!L36</f>
        <v>#DIV/0!</v>
      </c>
      <c r="M33" t="e">
        <f>Year_2040!M36/Year_2032!M36</f>
        <v>#DIV/0!</v>
      </c>
      <c r="N33" t="str">
        <f>Year_2040!N36</f>
        <v>Period</v>
      </c>
      <c r="O33" t="e">
        <f>Year_2040!O36/Year_2032!O36</f>
        <v>#DIV/0!</v>
      </c>
      <c r="P33" t="e">
        <f>Year_2040!P36/Year_2032!P36</f>
        <v>#DIV/0!</v>
      </c>
      <c r="Q33" t="e">
        <f>Year_2040!Q36/Year_2032!Q36</f>
        <v>#DIV/0!</v>
      </c>
      <c r="R33" t="e">
        <f>Year_2040!R36/Year_2032!R36</f>
        <v>#DIV/0!</v>
      </c>
      <c r="S33" t="e">
        <f>Year_2040!S36/Year_2032!S36</f>
        <v>#DIV/0!</v>
      </c>
      <c r="T33" t="e">
        <f>Year_2040!T36/Year_2032!T36</f>
        <v>#DIV/0!</v>
      </c>
      <c r="U33" t="e">
        <f>Year_2040!U36/Year_2032!U36</f>
        <v>#DIV/0!</v>
      </c>
      <c r="V33" t="e">
        <f>Year_2040!V36/Year_2032!V36</f>
        <v>#DIV/0!</v>
      </c>
      <c r="W33" t="e">
        <f>Year_2040!W36/Year_2032!W36</f>
        <v>#DIV/0!</v>
      </c>
      <c r="X33" t="e">
        <f>Year_2040!X36/Year_2032!X36</f>
        <v>#DIV/0!</v>
      </c>
      <c r="Y33" t="e">
        <f>Year_2040!Y36/Year_2032!Y36</f>
        <v>#DIV/0!</v>
      </c>
      <c r="Z33" t="e">
        <f>Year_2040!Z36/Year_2032!Z36</f>
        <v>#DIV/0!</v>
      </c>
      <c r="AA33" t="e">
        <f>Year_2040!AA36/Year_2032!AA36</f>
        <v>#VALUE!</v>
      </c>
      <c r="AB33" t="e">
        <f>Year_2040!AB36/Year_2032!AB36</f>
        <v>#DIV/0!</v>
      </c>
      <c r="AC33" t="e">
        <f>Year_2040!AC36/Year_2032!AC36</f>
        <v>#DIV/0!</v>
      </c>
      <c r="AD33" t="e">
        <f>Year_2040!AD36/Year_2032!AD36</f>
        <v>#DIV/0!</v>
      </c>
      <c r="AE33" t="e">
        <f>Year_2040!AE36/Year_2032!AE36</f>
        <v>#DIV/0!</v>
      </c>
      <c r="AF33" t="e">
        <f>Year_2040!AF36/Year_2032!AF36</f>
        <v>#DIV/0!</v>
      </c>
      <c r="AG33" t="e">
        <f>Year_2040!AG36/Year_2032!AG36</f>
        <v>#DIV/0!</v>
      </c>
      <c r="AH33" t="e">
        <f>Year_2040!AH36/Year_2032!AH36</f>
        <v>#DIV/0!</v>
      </c>
      <c r="AI33" t="e">
        <f>Year_2040!AI36/Year_2032!AI36</f>
        <v>#DIV/0!</v>
      </c>
      <c r="AJ33" t="e">
        <f>Year_2040!AJ36/Year_2032!AJ36</f>
        <v>#DIV/0!</v>
      </c>
      <c r="AK33" t="e">
        <f>Year_2040!AK36/Year_2032!AK36</f>
        <v>#DIV/0!</v>
      </c>
      <c r="AL33" t="e">
        <f>Year_2040!AL36/Year_2032!AL36</f>
        <v>#DIV/0!</v>
      </c>
      <c r="AM33" t="e">
        <f>Year_2040!AM36/Year_2032!AM36</f>
        <v>#DIV/0!</v>
      </c>
      <c r="AN33" t="e">
        <f>Year_2040!AN36/Year_2032!AN36</f>
        <v>#VALUE!</v>
      </c>
      <c r="AO33" t="e">
        <f>Year_2040!AO36/Year_2032!AO36</f>
        <v>#DIV/0!</v>
      </c>
      <c r="AP33" t="e">
        <f>Year_2040!AP36/Year_2032!AP36</f>
        <v>#DIV/0!</v>
      </c>
      <c r="AQ33" t="e">
        <f>Year_2040!AQ36/Year_2032!AQ36</f>
        <v>#DIV/0!</v>
      </c>
      <c r="AR33" t="e">
        <f>Year_2040!AR36/Year_2032!AR36</f>
        <v>#DIV/0!</v>
      </c>
      <c r="AS33" t="e">
        <f>Year_2040!AS36/Year_2032!AS36</f>
        <v>#DIV/0!</v>
      </c>
      <c r="AT33" t="e">
        <f>Year_2040!AT36/Year_2032!AT36</f>
        <v>#DIV/0!</v>
      </c>
      <c r="AU33" t="e">
        <f>Year_2040!AU36/Year_2032!AU36</f>
        <v>#DIV/0!</v>
      </c>
      <c r="AV33" t="e">
        <f>Year_2040!AV36/Year_2032!AV36</f>
        <v>#DIV/0!</v>
      </c>
      <c r="AW33" t="e">
        <f>Year_2040!AW36/Year_2032!AW36</f>
        <v>#DIV/0!</v>
      </c>
      <c r="AX33" t="e">
        <f>Year_2040!AX36/Year_2032!AX36</f>
        <v>#DIV/0!</v>
      </c>
    </row>
    <row r="34" spans="2:50" x14ac:dyDescent="0.3">
      <c r="B34" t="str">
        <f>Year_2032!B37</f>
        <v>Night</v>
      </c>
      <c r="C34">
        <f>Year_2040!C37/Year_2032!C37</f>
        <v>1.1003200189640867</v>
      </c>
      <c r="D34">
        <f>Year_2040!D37/Year_2032!D37</f>
        <v>1.1198012535941577</v>
      </c>
      <c r="E34">
        <f>Year_2040!E37/Year_2032!E37</f>
        <v>1.1157457941334443</v>
      </c>
      <c r="F34">
        <f>Year_2040!F37/Year_2032!F37</f>
        <v>1.1102927603647506</v>
      </c>
      <c r="G34">
        <f>Year_2040!G37/Year_2032!G37</f>
        <v>1.7575244020165184</v>
      </c>
      <c r="H34">
        <f>Year_2040!H37/Year_2032!H37</f>
        <v>1.7290755815357859</v>
      </c>
      <c r="I34">
        <f>Year_2040!I37/Year_2032!I37</f>
        <v>1.1179837448010075</v>
      </c>
      <c r="J34">
        <f>Year_2040!J37/Year_2032!J37</f>
        <v>1.1178375752341367</v>
      </c>
      <c r="K34">
        <f>Year_2040!K37/Year_2032!K37</f>
        <v>1.0070818754373687</v>
      </c>
      <c r="L34">
        <f>Year_2040!L37/Year_2032!L37</f>
        <v>0.99729072594650925</v>
      </c>
      <c r="M34" t="e">
        <f>Year_2040!M37/Year_2032!M37</f>
        <v>#DIV/0!</v>
      </c>
      <c r="N34" t="str">
        <f>Year_2040!N37</f>
        <v>Night</v>
      </c>
      <c r="O34">
        <f>Year_2040!O37/Year_2032!O37</f>
        <v>1.1003175993867047</v>
      </c>
      <c r="P34">
        <f>Year_2040!P37/Year_2032!P37</f>
        <v>1.1197984214621854</v>
      </c>
      <c r="Q34">
        <f>Year_2040!Q37/Year_2032!Q37</f>
        <v>1.1157636214790334</v>
      </c>
      <c r="R34">
        <f>Year_2040!R37/Year_2032!R37</f>
        <v>1.1102855666106732</v>
      </c>
      <c r="S34">
        <f>Year_2040!S37/Year_2032!S37</f>
        <v>1.7574840228725193</v>
      </c>
      <c r="T34">
        <f>Year_2040!T37/Year_2032!T37</f>
        <v>1.7290976233311242</v>
      </c>
      <c r="U34">
        <f>Year_2040!U37/Year_2032!U37</f>
        <v>1.1180255619215513</v>
      </c>
      <c r="V34">
        <f>Year_2040!V37/Year_2032!V37</f>
        <v>1.1178304239401498</v>
      </c>
      <c r="W34">
        <f>Year_2040!W37/Year_2032!W37</f>
        <v>1.0070853058281344</v>
      </c>
      <c r="X34">
        <f>Year_2040!X37/Year_2032!X37</f>
        <v>0.9973156973351488</v>
      </c>
      <c r="Y34" t="e">
        <f>Year_2040!Y37/Year_2032!Y37</f>
        <v>#DIV/0!</v>
      </c>
      <c r="Z34" t="e">
        <f>Year_2040!Z37/Year_2032!Z37</f>
        <v>#DIV/0!</v>
      </c>
      <c r="AA34" t="e">
        <f>Year_2040!AA37/Year_2032!AA37</f>
        <v>#VALUE!</v>
      </c>
      <c r="AB34">
        <f>Year_2040!AB37/Year_2032!AB37</f>
        <v>1.1112149786468171</v>
      </c>
      <c r="AC34">
        <f>Year_2040!AC37/Year_2032!AC37</f>
        <v>1.1093205557918395</v>
      </c>
      <c r="AD34">
        <f>Year_2040!AD37/Year_2032!AD37</f>
        <v>1.1096081981866097</v>
      </c>
      <c r="AE34">
        <f>Year_2040!AE37/Year_2032!AE37</f>
        <v>1.1103539990612725</v>
      </c>
      <c r="AF34">
        <f>Year_2040!AF37/Year_2032!AF37</f>
        <v>1.0804908896881547</v>
      </c>
      <c r="AG34">
        <f>Year_2040!AG37/Year_2032!AG37</f>
        <v>1.0820523069577914</v>
      </c>
      <c r="AH34">
        <f>Year_2040!AH37/Year_2032!AH37</f>
        <v>1.1180358508198114</v>
      </c>
      <c r="AI34">
        <f>Year_2040!AI37/Year_2032!AI37</f>
        <v>1.1178194993412385</v>
      </c>
      <c r="AJ34">
        <f>Year_2040!AJ37/Year_2032!AJ37</f>
        <v>0.99922999083484654</v>
      </c>
      <c r="AK34">
        <f>Year_2040!AK37/Year_2032!AK37</f>
        <v>1.0002885882180723</v>
      </c>
      <c r="AL34" t="e">
        <f>Year_2040!AL37/Year_2032!AL37</f>
        <v>#DIV/0!</v>
      </c>
      <c r="AM34" t="e">
        <f>Year_2040!AM37/Year_2032!AM37</f>
        <v>#DIV/0!</v>
      </c>
      <c r="AN34" t="e">
        <f>Year_2040!AN37/Year_2032!AN37</f>
        <v>#VALUE!</v>
      </c>
      <c r="AO34">
        <f>Year_2040!AO37/Year_2032!AO37</f>
        <v>1.1101683029453016</v>
      </c>
      <c r="AP34">
        <f>Year_2040!AP37/Year_2032!AP37</f>
        <v>1.1103187771384191</v>
      </c>
      <c r="AQ34">
        <f>Year_2040!AQ37/Year_2032!AQ37</f>
        <v>1.1102120950709462</v>
      </c>
      <c r="AR34">
        <f>Year_2040!AR37/Year_2032!AR37</f>
        <v>1.1103498993652268</v>
      </c>
      <c r="AS34">
        <f>Year_2040!AS37/Year_2032!AS37</f>
        <v>1.1180587960802613</v>
      </c>
      <c r="AT34">
        <f>Year_2040!AT37/Year_2032!AT37</f>
        <v>1.1178876710892023</v>
      </c>
      <c r="AU34">
        <f>Year_2040!AU37/Year_2032!AU37</f>
        <v>1.1180352296312066</v>
      </c>
      <c r="AV34">
        <f>Year_2040!AV37/Year_2032!AV37</f>
        <v>1.1178200475534976</v>
      </c>
      <c r="AW34">
        <f>Year_2040!AW37/Year_2032!AW37</f>
        <v>1</v>
      </c>
      <c r="AX34">
        <f>Year_2040!AX37/Year_2032!AX37</f>
        <v>1</v>
      </c>
    </row>
    <row r="35" spans="2:50" x14ac:dyDescent="0.3">
      <c r="B35" t="str">
        <f>Year_2032!B38</f>
        <v>AM-Early</v>
      </c>
      <c r="C35">
        <f>Year_2040!C38/Year_2032!C38</f>
        <v>1.5145842953011794</v>
      </c>
      <c r="D35">
        <f>Year_2040!D38/Year_2032!D38</f>
        <v>1.9537124792057423</v>
      </c>
      <c r="E35">
        <f>Year_2040!E38/Year_2032!E38</f>
        <v>2.1658654536061763</v>
      </c>
      <c r="F35">
        <f>Year_2040!F38/Year_2032!F38</f>
        <v>1.5398675431199063</v>
      </c>
      <c r="G35">
        <f>Year_2040!G38/Year_2032!G38</f>
        <v>1.7853743763553924</v>
      </c>
      <c r="H35">
        <f>Year_2040!H38/Year_2032!H38</f>
        <v>1.971260566693978</v>
      </c>
      <c r="I35">
        <f>Year_2040!I38/Year_2032!I38</f>
        <v>1.5005434756118365</v>
      </c>
      <c r="J35">
        <f>Year_2040!J38/Year_2032!J38</f>
        <v>1.9303699052061838</v>
      </c>
      <c r="K35">
        <f>Year_2040!K38/Year_2032!K38</f>
        <v>1.4345772217428818</v>
      </c>
      <c r="L35">
        <f>Year_2040!L38/Year_2032!L38</f>
        <v>1.4563070635487867</v>
      </c>
      <c r="M35" t="e">
        <f>Year_2040!M38/Year_2032!M38</f>
        <v>#DIV/0!</v>
      </c>
      <c r="N35" t="str">
        <f>Year_2040!N38</f>
        <v>AM-Early</v>
      </c>
      <c r="O35">
        <f>Year_2040!O38/Year_2032!O38</f>
        <v>1.2982198643784286</v>
      </c>
      <c r="P35">
        <f>Year_2040!P38/Year_2032!P38</f>
        <v>1.10490165469872</v>
      </c>
      <c r="Q35">
        <f>Year_2040!Q38/Year_2032!Q38</f>
        <v>1.0787680306152487</v>
      </c>
      <c r="R35">
        <f>Year_2040!R38/Year_2032!R38</f>
        <v>1.3198966599915942</v>
      </c>
      <c r="S35">
        <f>Year_2040!S38/Year_2032!S38</f>
        <v>1.41465486196517</v>
      </c>
      <c r="T35">
        <f>Year_2040!T38/Year_2032!T38</f>
        <v>1.3487470048584176</v>
      </c>
      <c r="U35">
        <f>Year_2040!U38/Year_2032!U38</f>
        <v>1.2861764961348043</v>
      </c>
      <c r="V35">
        <f>Year_2040!V38/Year_2032!V38</f>
        <v>1.9303699098539011</v>
      </c>
      <c r="W35">
        <f>Year_2040!W38/Year_2032!W38</f>
        <v>1.2296432620478654</v>
      </c>
      <c r="X35">
        <f>Year_2040!X38/Year_2032!X38</f>
        <v>0.99858394084019508</v>
      </c>
      <c r="Y35" t="e">
        <f>Year_2040!Y38/Year_2032!Y38</f>
        <v>#DIV/0!</v>
      </c>
      <c r="Z35" t="e">
        <f>Year_2040!Z38/Year_2032!Z38</f>
        <v>#DIV/0!</v>
      </c>
      <c r="AA35" t="e">
        <f>Year_2040!AA38/Year_2032!AA38</f>
        <v>#VALUE!</v>
      </c>
      <c r="AB35">
        <f>Year_2040!AB38/Year_2032!AB38</f>
        <v>1.0008858601999915</v>
      </c>
      <c r="AC35">
        <f>Year_2040!AC38/Year_2032!AC38</f>
        <v>1.1112059208432072</v>
      </c>
      <c r="AD35">
        <f>Year_2040!AD38/Year_2032!AD38</f>
        <v>1.1154741394889343</v>
      </c>
      <c r="AE35">
        <f>Year_2040!AE38/Year_2032!AE38</f>
        <v>0.992172653593697</v>
      </c>
      <c r="AF35">
        <f>Year_2040!AF38/Year_2032!AF38</f>
        <v>1.0529162897485105</v>
      </c>
      <c r="AG35">
        <f>Year_2040!AG38/Year_2032!AG38</f>
        <v>1.0758914205385421</v>
      </c>
      <c r="AH35">
        <f>Year_2040!AH38/Year_2032!AH38</f>
        <v>1.0039624396569868</v>
      </c>
      <c r="AI35">
        <f>Year_2040!AI38/Year_2032!AI38</f>
        <v>1.0765546445054162</v>
      </c>
      <c r="AJ35">
        <f>Year_2040!AJ38/Year_2032!AJ38</f>
        <v>0.99084969064157402</v>
      </c>
      <c r="AK35">
        <f>Year_2040!AK38/Year_2032!AK38</f>
        <v>1.0002395889718085</v>
      </c>
      <c r="AL35" t="e">
        <f>Year_2040!AL38/Year_2032!AL38</f>
        <v>#DIV/0!</v>
      </c>
      <c r="AM35" t="e">
        <f>Year_2040!AM38/Year_2032!AM38</f>
        <v>#DIV/0!</v>
      </c>
      <c r="AN35" t="e">
        <f>Year_2040!AN38/Year_2032!AN38</f>
        <v>#VALUE!</v>
      </c>
      <c r="AO35">
        <f>Year_2040!AO38/Year_2032!AO38</f>
        <v>1.0485435362026274</v>
      </c>
      <c r="AP35">
        <f>Year_2040!AP38/Year_2032!AP38</f>
        <v>1.1102902274960322</v>
      </c>
      <c r="AQ35">
        <f>Year_2040!AQ38/Year_2032!AQ38</f>
        <v>1.1103104844136618</v>
      </c>
      <c r="AR35">
        <f>Year_2040!AR38/Year_2032!AR38</f>
        <v>1.0485431732308745</v>
      </c>
      <c r="AS35">
        <f>Year_2040!AS38/Year_2032!AS38</f>
        <v>1.1075105623692523</v>
      </c>
      <c r="AT35">
        <f>Year_2040!AT38/Year_2032!AT38</f>
        <v>1.1180549873169137</v>
      </c>
      <c r="AU35">
        <f>Year_2040!AU38/Year_2032!AU38</f>
        <v>1.0485438003318199</v>
      </c>
      <c r="AV35">
        <f>Year_2040!AV38/Year_2032!AV38</f>
        <v>1.1180021125697903</v>
      </c>
      <c r="AW35">
        <f>Year_2040!AW38/Year_2032!AW38</f>
        <v>1.029126213592233</v>
      </c>
      <c r="AX35">
        <f>Year_2040!AX38/Year_2032!AX38</f>
        <v>1</v>
      </c>
    </row>
    <row r="36" spans="2:50" x14ac:dyDescent="0.3">
      <c r="B36" t="str">
        <f>Year_2032!B39</f>
        <v>AM-Peak</v>
      </c>
      <c r="C36">
        <f>Year_2040!C39/Year_2032!C39</f>
        <v>2.1163230839387359</v>
      </c>
      <c r="D36">
        <f>Year_2040!D39/Year_2032!D39</f>
        <v>1.6510649577101606</v>
      </c>
      <c r="E36">
        <f>Year_2040!E39/Year_2032!E39</f>
        <v>2.3747034557587323</v>
      </c>
      <c r="F36">
        <f>Year_2040!F39/Year_2032!F39</f>
        <v>3.3511168255149641</v>
      </c>
      <c r="G36">
        <f>Year_2040!G39/Year_2032!G39</f>
        <v>2.1976556686845421</v>
      </c>
      <c r="H36">
        <f>Year_2040!H39/Year_2032!H39</f>
        <v>1.7063652568976668</v>
      </c>
      <c r="I36">
        <f>Year_2040!I39/Year_2032!I39</f>
        <v>2.333268829811638</v>
      </c>
      <c r="J36">
        <f>Year_2040!J39/Year_2032!J39</f>
        <v>2.0032089851584436</v>
      </c>
      <c r="K36">
        <f>Year_2040!K39/Year_2032!K39</f>
        <v>1.4162899351202074</v>
      </c>
      <c r="L36">
        <f>Year_2040!L39/Year_2032!L39</f>
        <v>1.3119592482101361</v>
      </c>
      <c r="M36" t="e">
        <f>Year_2040!M39/Year_2032!M39</f>
        <v>#DIV/0!</v>
      </c>
      <c r="N36" t="str">
        <f>Year_2040!N39</f>
        <v>AM-Peak</v>
      </c>
      <c r="O36">
        <f>Year_2040!O39/Year_2032!O39</f>
        <v>1.3273698278859527</v>
      </c>
      <c r="P36">
        <f>Year_2040!P39/Year_2032!P39</f>
        <v>1.4151982620526211</v>
      </c>
      <c r="Q36">
        <f>Year_2040!Q39/Year_2032!Q39</f>
        <v>1.0177294893254456</v>
      </c>
      <c r="R36">
        <f>Year_2040!R39/Year_2032!R39</f>
        <v>0.9574588250481405</v>
      </c>
      <c r="S36">
        <f>Year_2040!S39/Year_2032!S39</f>
        <v>1.2963393460721042</v>
      </c>
      <c r="T36">
        <f>Year_2040!T39/Year_2032!T39</f>
        <v>1.4065725689293962</v>
      </c>
      <c r="U36">
        <f>Year_2040!U39/Year_2032!U39</f>
        <v>1.2325103288712609</v>
      </c>
      <c r="V36">
        <f>Year_2040!V39/Year_2032!V39</f>
        <v>1.0785040402758388</v>
      </c>
      <c r="W36">
        <f>Year_2040!W39/Year_2032!W39</f>
        <v>1.0846556339742031</v>
      </c>
      <c r="X36">
        <f>Year_2040!X39/Year_2032!X39</f>
        <v>1.1245288241567684</v>
      </c>
      <c r="Y36" t="e">
        <f>Year_2040!Y39/Year_2032!Y39</f>
        <v>#DIV/0!</v>
      </c>
      <c r="Z36" t="e">
        <f>Year_2040!Z39/Year_2032!Z39</f>
        <v>#DIV/0!</v>
      </c>
      <c r="AA36" t="e">
        <f>Year_2040!AA39/Year_2032!AA39</f>
        <v>#VALUE!</v>
      </c>
      <c r="AB36">
        <f>Year_2040!AB39/Year_2032!AB39</f>
        <v>1.0735970074621124</v>
      </c>
      <c r="AC36">
        <f>Year_2040!AC39/Year_2032!AC39</f>
        <v>1.0450781321456966</v>
      </c>
      <c r="AD36">
        <f>Year_2040!AD39/Year_2032!AD39</f>
        <v>1.1245034315947759</v>
      </c>
      <c r="AE36">
        <f>Year_2040!AE39/Year_2032!AE39</f>
        <v>1.1861846340080893</v>
      </c>
      <c r="AF36">
        <f>Year_2040!AF39/Year_2032!AF39</f>
        <v>1.0819571931449381</v>
      </c>
      <c r="AG36">
        <f>Year_2040!AG39/Year_2032!AG39</f>
        <v>1.0680137398820595</v>
      </c>
      <c r="AH36">
        <f>Year_2040!AH39/Year_2032!AH39</f>
        <v>1.0997957675822492</v>
      </c>
      <c r="AI36">
        <f>Year_2040!AI39/Year_2032!AI39</f>
        <v>1.1245976417691841</v>
      </c>
      <c r="AJ36">
        <f>Year_2040!AJ39/Year_2032!AJ39</f>
        <v>0.98508745605761816</v>
      </c>
      <c r="AK36">
        <f>Year_2040!AK39/Year_2032!AK39</f>
        <v>0.97089630476683364</v>
      </c>
      <c r="AL36" t="e">
        <f>Year_2040!AL39/Year_2032!AL39</f>
        <v>#DIV/0!</v>
      </c>
      <c r="AM36" t="e">
        <f>Year_2040!AM39/Year_2032!AM39</f>
        <v>#DIV/0!</v>
      </c>
      <c r="AN36" t="e">
        <f>Year_2040!AN39/Year_2032!AN39</f>
        <v>#VALUE!</v>
      </c>
      <c r="AO36">
        <f>Year_2040!AO39/Year_2032!AO39</f>
        <v>1.1195718503937009</v>
      </c>
      <c r="AP36">
        <f>Year_2040!AP39/Year_2032!AP39</f>
        <v>1.110261354809539</v>
      </c>
      <c r="AQ36">
        <f>Year_2040!AQ39/Year_2032!AQ39</f>
        <v>1.1103010915170319</v>
      </c>
      <c r="AR36">
        <f>Year_2040!AR39/Year_2032!AR39</f>
        <v>1.1259844637707423</v>
      </c>
      <c r="AS36">
        <f>Year_2040!AS39/Year_2032!AS39</f>
        <v>1.1179457161191091</v>
      </c>
      <c r="AT36">
        <f>Year_2040!AT39/Year_2032!AT39</f>
        <v>1.1179744790132817</v>
      </c>
      <c r="AU36">
        <f>Year_2040!AU39/Year_2032!AU39</f>
        <v>1.1179781742958814</v>
      </c>
      <c r="AV36">
        <f>Year_2040!AV39/Year_2032!AV39</f>
        <v>1.1179767155537137</v>
      </c>
      <c r="AW36">
        <f>Year_2040!AW39/Year_2032!AW39</f>
        <v>1</v>
      </c>
      <c r="AX36">
        <f>Year_2040!AX39/Year_2032!AX39</f>
        <v>1</v>
      </c>
    </row>
    <row r="37" spans="2:50" x14ac:dyDescent="0.3">
      <c r="B37" t="str">
        <f>Year_2032!B40</f>
        <v>AM-Shoulder</v>
      </c>
      <c r="C37">
        <f>Year_2040!C40/Year_2032!C40</f>
        <v>1.3946030768768725</v>
      </c>
      <c r="D37">
        <f>Year_2040!D40/Year_2032!D40</f>
        <v>1.8787321971610385</v>
      </c>
      <c r="E37">
        <f>Year_2040!E40/Year_2032!E40</f>
        <v>2.0247584442002</v>
      </c>
      <c r="F37">
        <f>Year_2040!F40/Year_2032!F40</f>
        <v>1.3889343108539529</v>
      </c>
      <c r="G37">
        <f>Year_2040!G40/Year_2032!G40</f>
        <v>1.609875198347732</v>
      </c>
      <c r="H37">
        <f>Year_2040!H40/Year_2032!H40</f>
        <v>1.768832484410531</v>
      </c>
      <c r="I37">
        <f>Year_2040!I40/Year_2032!I40</f>
        <v>2.2506858116032182</v>
      </c>
      <c r="J37">
        <f>Year_2040!J40/Year_2032!J40</f>
        <v>1.9970067064172856</v>
      </c>
      <c r="K37">
        <f>Year_2040!K40/Year_2032!K40</f>
        <v>1.4556890525894632</v>
      </c>
      <c r="L37">
        <f>Year_2040!L40/Year_2032!L40</f>
        <v>1.4307129269704741</v>
      </c>
      <c r="M37" t="e">
        <f>Year_2040!M40/Year_2032!M40</f>
        <v>#DIV/0!</v>
      </c>
      <c r="N37" t="str">
        <f>Year_2040!N40</f>
        <v>AM-Shoulder</v>
      </c>
      <c r="O37">
        <f>Year_2040!O40/Year_2032!O40</f>
        <v>1.1953810245889456</v>
      </c>
      <c r="P37">
        <f>Year_2040!P40/Year_2032!P40</f>
        <v>1.6045830323460952</v>
      </c>
      <c r="Q37">
        <f>Year_2040!Q40/Year_2032!Q40</f>
        <v>1.3123905352694489</v>
      </c>
      <c r="R37">
        <f>Year_2040!R40/Year_2032!R40</f>
        <v>1.1905150165427922</v>
      </c>
      <c r="S37">
        <f>Year_2040!S40/Year_2032!S40</f>
        <v>0.9863255106913924</v>
      </c>
      <c r="T37">
        <f>Year_2040!T40/Year_2032!T40</f>
        <v>1.4564420124285069</v>
      </c>
      <c r="U37">
        <f>Year_2040!U40/Year_2032!U40</f>
        <v>1.0748327476050361</v>
      </c>
      <c r="V37">
        <f>Year_2040!V40/Year_2032!V40</f>
        <v>1.0945455501788344</v>
      </c>
      <c r="W37">
        <f>Year_2040!W40/Year_2032!W40</f>
        <v>0.99966213933373882</v>
      </c>
      <c r="X37">
        <f>Year_2040!X40/Year_2032!X40</f>
        <v>1.082471517365537</v>
      </c>
      <c r="Y37" t="e">
        <f>Year_2040!Y40/Year_2032!Y40</f>
        <v>#DIV/0!</v>
      </c>
      <c r="Z37" t="e">
        <f>Year_2040!Z40/Year_2032!Z40</f>
        <v>#DIV/0!</v>
      </c>
      <c r="AA37" t="e">
        <f>Year_2040!AA40/Year_2032!AA40</f>
        <v>#VALUE!</v>
      </c>
      <c r="AB37">
        <f>Year_2040!AB40/Year_2032!AB40</f>
        <v>0.98574519072159883</v>
      </c>
      <c r="AC37">
        <f>Year_2040!AC40/Year_2032!AC40</f>
        <v>1.0329437504322294</v>
      </c>
      <c r="AD37">
        <f>Year_2040!AD40/Year_2032!AD40</f>
        <v>1.0817879710909879</v>
      </c>
      <c r="AE37">
        <f>Year_2040!AE40/Year_2032!AE40</f>
        <v>0.9880993355817097</v>
      </c>
      <c r="AF37">
        <f>Year_2040!AF40/Year_2032!AF40</f>
        <v>1.0244450139738097</v>
      </c>
      <c r="AG37">
        <f>Year_2040!AG40/Year_2032!AG40</f>
        <v>1.0465029824565624</v>
      </c>
      <c r="AH37">
        <f>Year_2040!AH40/Year_2032!AH40</f>
        <v>1.1253388581646124</v>
      </c>
      <c r="AI37">
        <f>Year_2040!AI40/Year_2032!AI40</f>
        <v>1.1219298993062798</v>
      </c>
      <c r="AJ37">
        <f>Year_2040!AJ40/Year_2032!AJ40</f>
        <v>1.0000531456936044</v>
      </c>
      <c r="AK37">
        <f>Year_2040!AK40/Year_2032!AK40</f>
        <v>0.98670003666178541</v>
      </c>
      <c r="AL37" t="e">
        <f>Year_2040!AL40/Year_2032!AL40</f>
        <v>#DIV/0!</v>
      </c>
      <c r="AM37" t="e">
        <f>Year_2040!AM40/Year_2032!AM40</f>
        <v>#DIV/0!</v>
      </c>
      <c r="AN37" t="e">
        <f>Year_2040!AN40/Year_2032!AN40</f>
        <v>#VALUE!</v>
      </c>
      <c r="AO37">
        <f>Year_2040!AO40/Year_2032!AO40</f>
        <v>1.0190481701074448</v>
      </c>
      <c r="AP37">
        <f>Year_2040!AP40/Year_2032!AP40</f>
        <v>1.110367056751659</v>
      </c>
      <c r="AQ37">
        <f>Year_2040!AQ40/Year_2032!AQ40</f>
        <v>1.1102600994219054</v>
      </c>
      <c r="AR37">
        <f>Year_2040!AR40/Year_2032!AR40</f>
        <v>1.0190475013032825</v>
      </c>
      <c r="AS37">
        <f>Year_2040!AS40/Year_2032!AS40</f>
        <v>1.019047619047619</v>
      </c>
      <c r="AT37">
        <f>Year_2040!AT40/Year_2032!AT40</f>
        <v>1.1046643678635584</v>
      </c>
      <c r="AU37">
        <f>Year_2040!AU40/Year_2032!AU40</f>
        <v>1.1180063149384349</v>
      </c>
      <c r="AV37">
        <f>Year_2040!AV40/Year_2032!AV40</f>
        <v>1.1179993708713432</v>
      </c>
      <c r="AW37">
        <f>Year_2040!AW40/Year_2032!AW40</f>
        <v>1</v>
      </c>
      <c r="AX37">
        <f>Year_2040!AX40/Year_2032!AX40</f>
        <v>1</v>
      </c>
    </row>
    <row r="38" spans="2:50" x14ac:dyDescent="0.3">
      <c r="B38" t="str">
        <f>Year_2032!B41</f>
        <v>MD</v>
      </c>
      <c r="C38">
        <f>Year_2040!C41/Year_2032!C41</f>
        <v>1.4097908831506671</v>
      </c>
      <c r="D38">
        <f>Year_2040!D41/Year_2032!D41</f>
        <v>1.7012325419246694</v>
      </c>
      <c r="E38">
        <f>Year_2040!E41/Year_2032!E41</f>
        <v>1.5566506590657887</v>
      </c>
      <c r="F38">
        <f>Year_2040!F41/Year_2032!F41</f>
        <v>1.3976848589559838</v>
      </c>
      <c r="G38">
        <f>Year_2040!G41/Year_2032!G41</f>
        <v>1.9553978232889584</v>
      </c>
      <c r="H38">
        <f>Year_2040!H41/Year_2032!H41</f>
        <v>1.9677443779813735</v>
      </c>
      <c r="I38">
        <f>Year_2040!I41/Year_2032!I41</f>
        <v>1.9904967358836334</v>
      </c>
      <c r="J38">
        <f>Year_2040!J41/Year_2032!J41</f>
        <v>1.9978046339596849</v>
      </c>
      <c r="K38">
        <f>Year_2040!K41/Year_2032!K41</f>
        <v>1.3439845824981393</v>
      </c>
      <c r="L38">
        <f>Year_2040!L41/Year_2032!L41</f>
        <v>1.3575002657119097</v>
      </c>
      <c r="M38" t="e">
        <f>Year_2040!M41/Year_2032!M41</f>
        <v>#DIV/0!</v>
      </c>
      <c r="N38" t="str">
        <f>Year_2040!N41</f>
        <v>MD</v>
      </c>
      <c r="O38">
        <f>Year_2040!O41/Year_2032!O41</f>
        <v>1.2083928090156817</v>
      </c>
      <c r="P38">
        <f>Year_2040!P41/Year_2032!P41</f>
        <v>0.84591518316181002</v>
      </c>
      <c r="Q38">
        <f>Year_2040!Q41/Year_2032!Q41</f>
        <v>1.3342677748815555</v>
      </c>
      <c r="R38">
        <f>Year_2040!R41/Year_2032!R41</f>
        <v>1.1980130389574906</v>
      </c>
      <c r="S38">
        <f>Year_2040!S41/Year_2032!S41</f>
        <v>1.3927236526539664</v>
      </c>
      <c r="T38">
        <f>Year_2040!T41/Year_2032!T41</f>
        <v>1.3503702842076692</v>
      </c>
      <c r="U38">
        <f>Year_2040!U41/Year_2032!U41</f>
        <v>1.1025719761544244</v>
      </c>
      <c r="V38">
        <f>Year_2040!V41/Year_2032!V41</f>
        <v>1.0920465322671864</v>
      </c>
      <c r="W38">
        <f>Year_2040!W41/Year_2032!W41</f>
        <v>1.1519820583275553</v>
      </c>
      <c r="X38">
        <f>Year_2040!X41/Year_2032!X41</f>
        <v>1.1635681596518868</v>
      </c>
      <c r="Y38" t="e">
        <f>Year_2040!Y41/Year_2032!Y41</f>
        <v>#DIV/0!</v>
      </c>
      <c r="Z38" t="e">
        <f>Year_2040!Z41/Year_2032!Z41</f>
        <v>#DIV/0!</v>
      </c>
      <c r="AA38" t="e">
        <f>Year_2040!AA41/Year_2032!AA41</f>
        <v>#VALUE!</v>
      </c>
      <c r="AB38">
        <f>Year_2040!AB41/Year_2032!AB41</f>
        <v>0.97961389897175544</v>
      </c>
      <c r="AC38">
        <f>Year_2040!AC41/Year_2032!AC41</f>
        <v>1.0546199421301612</v>
      </c>
      <c r="AD38">
        <f>Year_2040!AD41/Year_2032!AD41</f>
        <v>1.0059926679885922</v>
      </c>
      <c r="AE38">
        <f>Year_2040!AE41/Year_2032!AE41</f>
        <v>0.98512058055920837</v>
      </c>
      <c r="AF38">
        <f>Year_2040!AF41/Year_2032!AF41</f>
        <v>1.0705415021308207</v>
      </c>
      <c r="AG38">
        <f>Year_2040!AG41/Year_2032!AG41</f>
        <v>1.0762867250978294</v>
      </c>
      <c r="AH38">
        <f>Year_2040!AH41/Year_2032!AH41</f>
        <v>1.1208372441215915</v>
      </c>
      <c r="AI38">
        <f>Year_2040!AI41/Year_2032!AI41</f>
        <v>1.1226931202865498</v>
      </c>
      <c r="AJ38">
        <f>Year_2040!AJ41/Year_2032!AJ41</f>
        <v>0.97357796472200686</v>
      </c>
      <c r="AK38">
        <f>Year_2040!AK41/Year_2032!AK41</f>
        <v>0.97912938851196174</v>
      </c>
      <c r="AL38" t="e">
        <f>Year_2040!AL41/Year_2032!AL41</f>
        <v>#DIV/0!</v>
      </c>
      <c r="AM38" t="e">
        <f>Year_2040!AM41/Year_2032!AM41</f>
        <v>#DIV/0!</v>
      </c>
      <c r="AN38" t="e">
        <f>Year_2040!AN41/Year_2032!AN41</f>
        <v>#VALUE!</v>
      </c>
      <c r="AO38">
        <f>Year_2040!AO41/Year_2032!AO41</f>
        <v>1.019046963583651</v>
      </c>
      <c r="AP38">
        <f>Year_2040!AP41/Year_2032!AP41</f>
        <v>1.0190485334503769</v>
      </c>
      <c r="AQ38">
        <f>Year_2040!AQ41/Year_2032!AQ41</f>
        <v>1.053152304467629</v>
      </c>
      <c r="AR38">
        <f>Year_2040!AR41/Year_2032!AR41</f>
        <v>1.0190478609405766</v>
      </c>
      <c r="AS38">
        <f>Year_2040!AS41/Year_2032!AS41</f>
        <v>1.1180125880093879</v>
      </c>
      <c r="AT38">
        <f>Year_2040!AT41/Year_2032!AT41</f>
        <v>1.1179507732930967</v>
      </c>
      <c r="AU38">
        <f>Year_2040!AU41/Year_2032!AU41</f>
        <v>1.1180820648788514</v>
      </c>
      <c r="AV38">
        <f>Year_2040!AV41/Year_2032!AV41</f>
        <v>1.1180474036166033</v>
      </c>
      <c r="AW38">
        <f>Year_2040!AW41/Year_2032!AW41</f>
        <v>1</v>
      </c>
      <c r="AX38">
        <f>Year_2040!AX41/Year_2032!AX41</f>
        <v>1.0106514611619799</v>
      </c>
    </row>
    <row r="39" spans="2:50" x14ac:dyDescent="0.3">
      <c r="B39" t="str">
        <f>Year_2032!B42</f>
        <v>PM-Shoulder</v>
      </c>
      <c r="C39">
        <f>Year_2040!C42/Year_2032!C42</f>
        <v>1.4086502332717539</v>
      </c>
      <c r="D39">
        <f>Year_2040!D42/Year_2032!D42</f>
        <v>1.6353011034264746</v>
      </c>
      <c r="E39">
        <f>Year_2040!E42/Year_2032!E42</f>
        <v>1.3941465758379885</v>
      </c>
      <c r="F39">
        <f>Year_2040!F42/Year_2032!F42</f>
        <v>1.4628912702008563</v>
      </c>
      <c r="G39">
        <f>Year_2040!G42/Year_2032!G42</f>
        <v>1.3768908175508237</v>
      </c>
      <c r="H39">
        <f>Year_2040!H42/Year_2032!H42</f>
        <v>1.7227610853393966</v>
      </c>
      <c r="I39">
        <f>Year_2040!I42/Year_2032!I42</f>
        <v>2.376462013674383</v>
      </c>
      <c r="J39">
        <f>Year_2040!J42/Year_2032!J42</f>
        <v>3.088458846944989</v>
      </c>
      <c r="K39">
        <f>Year_2040!K42/Year_2032!K42</f>
        <v>1.3163471612108735</v>
      </c>
      <c r="L39">
        <f>Year_2040!L42/Year_2032!L42</f>
        <v>1.4818656456665507</v>
      </c>
      <c r="M39" t="e">
        <f>Year_2040!M42/Year_2032!M42</f>
        <v>#DIV/0!</v>
      </c>
      <c r="N39" t="str">
        <f>Year_2040!N42</f>
        <v>PM-Shoulder</v>
      </c>
      <c r="O39">
        <f>Year_2040!O42/Year_2032!O42</f>
        <v>1.2074195198313673</v>
      </c>
      <c r="P39">
        <f>Year_2040!P42/Year_2032!P42</f>
        <v>0.98576467304422855</v>
      </c>
      <c r="Q39">
        <f>Year_2040!Q42/Year_2032!Q42</f>
        <v>1.194973750427138</v>
      </c>
      <c r="R39">
        <f>Year_2040!R42/Year_2032!R42</f>
        <v>1.1032320433420528</v>
      </c>
      <c r="S39">
        <f>Year_2040!S42/Year_2032!S42</f>
        <v>1.1652150138655626</v>
      </c>
      <c r="T39">
        <f>Year_2040!T42/Year_2032!T42</f>
        <v>0.95175402179553714</v>
      </c>
      <c r="U39">
        <f>Year_2040!U42/Year_2032!U42</f>
        <v>1.0600170594596046</v>
      </c>
      <c r="V39">
        <f>Year_2040!V42/Year_2032!V42</f>
        <v>0.93518536566349608</v>
      </c>
      <c r="W39">
        <f>Year_2040!W42/Year_2032!W42</f>
        <v>1.1282926732437422</v>
      </c>
      <c r="X39">
        <f>Year_2040!X42/Year_2032!X42</f>
        <v>1.2701648546927542</v>
      </c>
      <c r="Y39" t="e">
        <f>Year_2040!Y42/Year_2032!Y42</f>
        <v>#DIV/0!</v>
      </c>
      <c r="Z39" t="e">
        <f>Year_2040!Z42/Year_2032!Z42</f>
        <v>#DIV/0!</v>
      </c>
      <c r="AA39" t="e">
        <f>Year_2040!AA42/Year_2032!AA42</f>
        <v>#VALUE!</v>
      </c>
      <c r="AB39">
        <f>Year_2040!AB42/Year_2032!AB42</f>
        <v>0.98012391327671988</v>
      </c>
      <c r="AC39">
        <f>Year_2040!AC42/Year_2032!AC42</f>
        <v>1.0263126314293047</v>
      </c>
      <c r="AD39">
        <f>Year_2040!AD42/Year_2032!AD42</f>
        <v>0.98719749843933646</v>
      </c>
      <c r="AE39">
        <f>Year_2040!AE42/Year_2032!AE42</f>
        <v>1.0029280605805637</v>
      </c>
      <c r="AF39">
        <f>Year_2040!AF42/Year_2032!AF42</f>
        <v>0.98896390473357765</v>
      </c>
      <c r="AG39">
        <f>Year_2040!AG42/Year_2032!AG42</f>
        <v>1.0329755902653213</v>
      </c>
      <c r="AH39">
        <f>Year_2040!AH42/Year_2032!AH42</f>
        <v>1.1306550494956589</v>
      </c>
      <c r="AI39">
        <f>Year_2040!AI42/Year_2032!AI42</f>
        <v>1.14917517305888</v>
      </c>
      <c r="AJ39">
        <f>Year_2040!AJ42/Year_2032!AJ42</f>
        <v>0.97118886605475152</v>
      </c>
      <c r="AK39">
        <f>Year_2040!AK42/Year_2032!AK42</f>
        <v>0.98387144703802221</v>
      </c>
      <c r="AL39" t="e">
        <f>Year_2040!AL42/Year_2032!AL42</f>
        <v>#DIV/0!</v>
      </c>
      <c r="AM39" t="e">
        <f>Year_2040!AM42/Year_2032!AM42</f>
        <v>#DIV/0!</v>
      </c>
      <c r="AN39" t="e">
        <f>Year_2040!AN42/Year_2032!AN42</f>
        <v>#VALUE!</v>
      </c>
      <c r="AO39">
        <f>Year_2040!AO42/Year_2032!AO42</f>
        <v>1.0190469112471268</v>
      </c>
      <c r="AP39">
        <f>Year_2040!AP42/Year_2032!AP42</f>
        <v>1.0190477489437282</v>
      </c>
      <c r="AQ39">
        <f>Year_2040!AQ42/Year_2032!AQ42</f>
        <v>1.019047619047619</v>
      </c>
      <c r="AR39">
        <f>Year_2040!AR42/Year_2032!AR42</f>
        <v>1.0190476902588184</v>
      </c>
      <c r="AS39">
        <f>Year_2040!AS42/Year_2032!AS42</f>
        <v>1.019047619047619</v>
      </c>
      <c r="AT39">
        <f>Year_2040!AT42/Year_2032!AT42</f>
        <v>1.0190474156419471</v>
      </c>
      <c r="AU39">
        <f>Year_2040!AU42/Year_2032!AU42</f>
        <v>1.1179967985364738</v>
      </c>
      <c r="AV39">
        <f>Year_2040!AV42/Year_2032!AV42</f>
        <v>1.1140057998777877</v>
      </c>
      <c r="AW39">
        <f>Year_2040!AW42/Year_2032!AW42</f>
        <v>1</v>
      </c>
      <c r="AX39">
        <f>Year_2040!AX42/Year_2032!AX42</f>
        <v>1.0450451853856773</v>
      </c>
    </row>
    <row r="40" spans="2:50" x14ac:dyDescent="0.3">
      <c r="B40" t="str">
        <f>Year_2032!B43</f>
        <v>PM-Peak</v>
      </c>
      <c r="C40">
        <f>Year_2040!C43/Year_2032!C43</f>
        <v>3.2293807167411077</v>
      </c>
      <c r="D40">
        <f>Year_2040!D43/Year_2032!D43</f>
        <v>3.1845159064350055</v>
      </c>
      <c r="E40">
        <f>Year_2040!E43/Year_2032!E43</f>
        <v>1.6328359820049856</v>
      </c>
      <c r="F40">
        <f>Year_2040!F43/Year_2032!F43</f>
        <v>1.7263877243249888</v>
      </c>
      <c r="G40">
        <f>Year_2040!G43/Year_2032!G43</f>
        <v>2.4452309132515082</v>
      </c>
      <c r="H40">
        <f>Year_2040!H43/Year_2032!H43</f>
        <v>2.5300244556211142</v>
      </c>
      <c r="I40">
        <f>Year_2040!I43/Year_2032!I43</f>
        <v>2.2222194057501419</v>
      </c>
      <c r="J40">
        <f>Year_2040!J43/Year_2032!J43</f>
        <v>2.5691866416008491</v>
      </c>
      <c r="K40">
        <f>Year_2040!K43/Year_2032!K43</f>
        <v>1.3540763204700335</v>
      </c>
      <c r="L40">
        <f>Year_2040!L43/Year_2032!L43</f>
        <v>1.3110747130937157</v>
      </c>
      <c r="M40" t="e">
        <f>Year_2040!M43/Year_2032!M43</f>
        <v>#DIV/0!</v>
      </c>
      <c r="N40" t="str">
        <f>Year_2040!N43</f>
        <v>PM-Peak</v>
      </c>
      <c r="O40">
        <f>Year_2040!O43/Year_2032!O43</f>
        <v>0.9226773907709086</v>
      </c>
      <c r="P40">
        <f>Year_2040!P43/Year_2032!P43</f>
        <v>0.90986168560145242</v>
      </c>
      <c r="Q40">
        <f>Year_2040!Q43/Year_2032!Q43</f>
        <v>1.3995731455689673</v>
      </c>
      <c r="R40">
        <f>Year_2040!R43/Year_2032!R43</f>
        <v>1.3435599355656684</v>
      </c>
      <c r="S40">
        <f>Year_2040!S43/Year_2032!S43</f>
        <v>1.0440903502639636</v>
      </c>
      <c r="T40">
        <f>Year_2040!T43/Year_2032!T43</f>
        <v>1.0842978158807921</v>
      </c>
      <c r="U40">
        <f>Year_2040!U43/Year_2032!U43</f>
        <v>1.0546377928043595</v>
      </c>
      <c r="V40">
        <f>Year_2040!V43/Year_2032!V43</f>
        <v>1.0254759734670109</v>
      </c>
      <c r="W40">
        <f>Year_2040!W43/Year_2032!W43</f>
        <v>1.1606323854745588</v>
      </c>
      <c r="X40">
        <f>Year_2040!X43/Year_2032!X43</f>
        <v>1.2458408425614369</v>
      </c>
      <c r="Y40" t="e">
        <f>Year_2040!Y43/Year_2032!Y43</f>
        <v>#DIV/0!</v>
      </c>
      <c r="Z40" t="e">
        <f>Year_2040!Z43/Year_2032!Z43</f>
        <v>#DIV/0!</v>
      </c>
      <c r="AA40" t="e">
        <f>Year_2040!AA43/Year_2032!AA43</f>
        <v>#VALUE!</v>
      </c>
      <c r="AB40">
        <f>Year_2040!AB43/Year_2032!AB43</f>
        <v>1.1671601218444114</v>
      </c>
      <c r="AC40">
        <f>Year_2040!AC43/Year_2032!AC43</f>
        <v>1.1695496458713615</v>
      </c>
      <c r="AD40">
        <f>Year_2040!AD43/Year_2032!AD43</f>
        <v>1.0456562911547786</v>
      </c>
      <c r="AE40">
        <f>Year_2040!AE43/Year_2032!AE43</f>
        <v>1.067174343804504</v>
      </c>
      <c r="AF40">
        <f>Year_2040!AF43/Year_2032!AF43</f>
        <v>1.1331037479122537</v>
      </c>
      <c r="AG40">
        <f>Year_2040!AG43/Year_2032!AG43</f>
        <v>1.1257555007974895</v>
      </c>
      <c r="AH40">
        <f>Year_2040!AH43/Year_2032!AH43</f>
        <v>1.1312630213805814</v>
      </c>
      <c r="AI40">
        <f>Year_2040!AI43/Year_2032!AI43</f>
        <v>1.1378675494344033</v>
      </c>
      <c r="AJ40">
        <f>Year_2040!AJ43/Year_2032!AJ43</f>
        <v>0.96004134117204909</v>
      </c>
      <c r="AK40">
        <f>Year_2040!AK43/Year_2032!AK43</f>
        <v>0.94937216681290704</v>
      </c>
      <c r="AL40" t="e">
        <f>Year_2040!AL43/Year_2032!AL43</f>
        <v>#DIV/0!</v>
      </c>
      <c r="AM40" t="e">
        <f>Year_2040!AM43/Year_2032!AM43</f>
        <v>#DIV/0!</v>
      </c>
      <c r="AN40" t="e">
        <f>Year_2040!AN43/Year_2032!AN43</f>
        <v>#VALUE!</v>
      </c>
      <c r="AO40">
        <f>Year_2040!AO43/Year_2032!AO43</f>
        <v>1.1103011190642513</v>
      </c>
      <c r="AP40">
        <f>Year_2040!AP43/Year_2032!AP43</f>
        <v>1.1102407642903704</v>
      </c>
      <c r="AQ40">
        <f>Year_2040!AQ43/Year_2032!AQ43</f>
        <v>1.110355924111958</v>
      </c>
      <c r="AR40">
        <f>Year_2040!AR43/Year_2032!AR43</f>
        <v>1.1102342669020469</v>
      </c>
      <c r="AS40">
        <f>Year_2040!AS43/Year_2032!AS43</f>
        <v>1.1180065248586484</v>
      </c>
      <c r="AT40">
        <f>Year_2040!AT43/Year_2032!AT43</f>
        <v>1.1179969504947092</v>
      </c>
      <c r="AU40">
        <f>Year_2040!AU43/Year_2032!AU43</f>
        <v>1.1179415382783902</v>
      </c>
      <c r="AV40">
        <f>Year_2040!AV43/Year_2032!AV43</f>
        <v>1.1179684181861582</v>
      </c>
      <c r="AW40">
        <f>Year_2040!AW43/Year_2032!AW43</f>
        <v>1</v>
      </c>
      <c r="AX40">
        <f>Year_2040!AX43/Year_2032!AX43</f>
        <v>1</v>
      </c>
    </row>
    <row r="41" spans="2:50" x14ac:dyDescent="0.3">
      <c r="B41" t="str">
        <f>Year_2032!B44</f>
        <v>PM-Late</v>
      </c>
      <c r="C41">
        <f>Year_2040!C44/Year_2032!C44</f>
        <v>2.0038477982043612</v>
      </c>
      <c r="D41">
        <f>Year_2040!D44/Year_2032!D44</f>
        <v>2.0378973764391835</v>
      </c>
      <c r="E41">
        <f>Year_2040!E44/Year_2032!E44</f>
        <v>2.0466719273875067</v>
      </c>
      <c r="F41">
        <f>Year_2040!F44/Year_2032!F44</f>
        <v>1.8597055469420705</v>
      </c>
      <c r="G41">
        <f>Year_2040!G44/Year_2032!G44</f>
        <v>2.028739528390942</v>
      </c>
      <c r="H41">
        <f>Year_2040!H44/Year_2032!H44</f>
        <v>2.0342437874246984</v>
      </c>
      <c r="I41">
        <f>Year_2040!I44/Year_2032!I44</f>
        <v>1.9627104187644377</v>
      </c>
      <c r="J41">
        <f>Year_2040!J44/Year_2032!J44</f>
        <v>1.1180749932840541</v>
      </c>
      <c r="K41">
        <f>Year_2040!K44/Year_2032!K44</f>
        <v>1.4826910516002612</v>
      </c>
      <c r="L41">
        <f>Year_2040!L44/Year_2032!L44</f>
        <v>1.4866035349640643</v>
      </c>
      <c r="M41" t="e">
        <f>Year_2040!M44/Year_2032!M44</f>
        <v>#DIV/0!</v>
      </c>
      <c r="N41" t="str">
        <f>Year_2040!N44</f>
        <v>PM-Late</v>
      </c>
      <c r="O41">
        <f>Year_2040!O44/Year_2032!O44</f>
        <v>1.1058250734337487</v>
      </c>
      <c r="P41">
        <f>Year_2040!P44/Year_2032!P44</f>
        <v>1.0997131665792801</v>
      </c>
      <c r="Q41">
        <f>Year_2040!Q44/Year_2032!Q44</f>
        <v>1.109455938697318</v>
      </c>
      <c r="R41">
        <f>Year_2040!R44/Year_2032!R44</f>
        <v>1.1048655569782331</v>
      </c>
      <c r="S41">
        <f>Year_2040!S44/Year_2032!S44</f>
        <v>1.1924259293108892</v>
      </c>
      <c r="T41">
        <f>Year_2040!T44/Year_2032!T44</f>
        <v>1.1100823466754066</v>
      </c>
      <c r="U41">
        <f>Year_2040!U44/Year_2032!U44</f>
        <v>1.1165617312262854</v>
      </c>
      <c r="V41">
        <f>Year_2040!V44/Year_2032!V44</f>
        <v>1.1180149400660142</v>
      </c>
      <c r="W41">
        <f>Year_2040!W44/Year_2032!W44</f>
        <v>0.99986942139167778</v>
      </c>
      <c r="X41">
        <f>Year_2040!X44/Year_2032!X44</f>
        <v>1.2222818723317228</v>
      </c>
      <c r="Y41" t="e">
        <f>Year_2040!Y44/Year_2032!Y44</f>
        <v>#DIV/0!</v>
      </c>
      <c r="Z41" t="e">
        <f>Year_2040!Z44/Year_2032!Z44</f>
        <v>#DIV/0!</v>
      </c>
      <c r="AA41" t="e">
        <f>Year_2040!AA44/Year_2032!AA44</f>
        <v>#VALUE!</v>
      </c>
      <c r="AB41">
        <f>Year_2040!AB44/Year_2032!AB44</f>
        <v>1.1111307248263087</v>
      </c>
      <c r="AC41">
        <f>Year_2040!AC44/Year_2032!AC44</f>
        <v>1.1124643379444272</v>
      </c>
      <c r="AD41">
        <f>Year_2040!AD44/Year_2032!AD44</f>
        <v>1.1104709647919524</v>
      </c>
      <c r="AE41">
        <f>Year_2040!AE44/Year_2032!AE44</f>
        <v>1.1113532463225715</v>
      </c>
      <c r="AF41">
        <f>Year_2040!AF44/Year_2032!AF44</f>
        <v>1.1024686092356986</v>
      </c>
      <c r="AG41">
        <f>Year_2040!AG44/Year_2032!AG44</f>
        <v>1.1199199493257201</v>
      </c>
      <c r="AH41">
        <f>Year_2040!AH44/Year_2032!AH44</f>
        <v>1.1183481201303793</v>
      </c>
      <c r="AI41">
        <f>Year_2040!AI44/Year_2032!AI44</f>
        <v>1.1180943223198625</v>
      </c>
      <c r="AJ41">
        <f>Year_2040!AJ44/Year_2032!AJ44</f>
        <v>1.0000235247375684</v>
      </c>
      <c r="AK41">
        <f>Year_2040!AK44/Year_2032!AK44</f>
        <v>0.97898266800739053</v>
      </c>
      <c r="AL41" t="e">
        <f>Year_2040!AL44/Year_2032!AL44</f>
        <v>#DIV/0!</v>
      </c>
      <c r="AM41" t="e">
        <f>Year_2040!AM44/Year_2032!AM44</f>
        <v>#DIV/0!</v>
      </c>
      <c r="AN41" t="e">
        <f>Year_2040!AN44/Year_2032!AN44</f>
        <v>#VALUE!</v>
      </c>
      <c r="AO41">
        <f>Year_2040!AO44/Year_2032!AO44</f>
        <v>1.1102596287243178</v>
      </c>
      <c r="AP41">
        <f>Year_2040!AP44/Year_2032!AP44</f>
        <v>1.1102339549353522</v>
      </c>
      <c r="AQ41">
        <f>Year_2040!AQ44/Year_2032!AQ44</f>
        <v>1.1103266435684556</v>
      </c>
      <c r="AR41">
        <f>Year_2040!AR44/Year_2032!AR44</f>
        <v>1.1103404161752655</v>
      </c>
      <c r="AS41">
        <f>Year_2040!AS44/Year_2032!AS44</f>
        <v>1.1179997704842781</v>
      </c>
      <c r="AT41">
        <f>Year_2040!AT44/Year_2032!AT44</f>
        <v>1.1181190940452976</v>
      </c>
      <c r="AU41">
        <f>Year_2040!AU44/Year_2032!AU44</f>
        <v>1.1180392863579023</v>
      </c>
      <c r="AV41">
        <f>Year_2040!AV44/Year_2032!AV44</f>
        <v>1.1180904522613067</v>
      </c>
      <c r="AW41">
        <f>Year_2040!AW44/Year_2032!AW44</f>
        <v>1</v>
      </c>
      <c r="AX41">
        <f>Year_2040!AX44/Year_2032!AX44</f>
        <v>1.018473182350061</v>
      </c>
    </row>
    <row r="42" spans="2:50" x14ac:dyDescent="0.3">
      <c r="B42">
        <f>Year_2032!B45</f>
        <v>0</v>
      </c>
      <c r="C42" t="e">
        <f>Year_2040!C45/Year_2032!C45</f>
        <v>#DIV/0!</v>
      </c>
      <c r="D42" t="e">
        <f>Year_2040!D45/Year_2032!D45</f>
        <v>#DIV/0!</v>
      </c>
      <c r="E42" t="e">
        <f>Year_2040!E45/Year_2032!E45</f>
        <v>#DIV/0!</v>
      </c>
      <c r="F42" t="e">
        <f>Year_2040!F45/Year_2032!F45</f>
        <v>#DIV/0!</v>
      </c>
      <c r="G42" t="e">
        <f>Year_2040!G45/Year_2032!G45</f>
        <v>#DIV/0!</v>
      </c>
      <c r="H42" t="e">
        <f>Year_2040!H45/Year_2032!H45</f>
        <v>#DIV/0!</v>
      </c>
      <c r="I42" t="e">
        <f>Year_2040!I45/Year_2032!I45</f>
        <v>#DIV/0!</v>
      </c>
      <c r="J42" t="e">
        <f>Year_2040!J45/Year_2032!J45</f>
        <v>#DIV/0!</v>
      </c>
      <c r="K42" t="e">
        <f>Year_2040!K45/Year_2032!K45</f>
        <v>#DIV/0!</v>
      </c>
      <c r="L42" t="e">
        <f>Year_2040!L45/Year_2032!L45</f>
        <v>#DIV/0!</v>
      </c>
      <c r="M42" t="e">
        <f>Year_2040!M45/Year_2032!M45</f>
        <v>#DIV/0!</v>
      </c>
      <c r="N42">
        <f>Year_2040!N45</f>
        <v>0</v>
      </c>
      <c r="O42" t="e">
        <f>Year_2040!O45/Year_2032!O45</f>
        <v>#DIV/0!</v>
      </c>
      <c r="P42" t="e">
        <f>Year_2040!P45/Year_2032!P45</f>
        <v>#DIV/0!</v>
      </c>
      <c r="Q42" t="e">
        <f>Year_2040!Q45/Year_2032!Q45</f>
        <v>#DIV/0!</v>
      </c>
      <c r="R42" t="e">
        <f>Year_2040!R45/Year_2032!R45</f>
        <v>#DIV/0!</v>
      </c>
      <c r="S42" t="e">
        <f>Year_2040!S45/Year_2032!S45</f>
        <v>#DIV/0!</v>
      </c>
      <c r="T42" t="e">
        <f>Year_2040!T45/Year_2032!T45</f>
        <v>#DIV/0!</v>
      </c>
      <c r="U42" t="e">
        <f>Year_2040!U45/Year_2032!U45</f>
        <v>#DIV/0!</v>
      </c>
      <c r="V42" t="e">
        <f>Year_2040!V45/Year_2032!V45</f>
        <v>#DIV/0!</v>
      </c>
      <c r="W42" t="e">
        <f>Year_2040!W45/Year_2032!W45</f>
        <v>#DIV/0!</v>
      </c>
      <c r="X42" t="e">
        <f>Year_2040!X45/Year_2032!X45</f>
        <v>#DIV/0!</v>
      </c>
      <c r="Y42" t="e">
        <f>Year_2040!Y45/Year_2032!Y45</f>
        <v>#DIV/0!</v>
      </c>
      <c r="Z42" t="e">
        <f>Year_2040!Z45/Year_2032!Z45</f>
        <v>#DIV/0!</v>
      </c>
      <c r="AA42" t="e">
        <f>Year_2040!AA45/Year_2032!AA45</f>
        <v>#DIV/0!</v>
      </c>
      <c r="AB42" t="e">
        <f>Year_2040!AB45/Year_2032!AB45</f>
        <v>#DIV/0!</v>
      </c>
      <c r="AC42" t="e">
        <f>Year_2040!AC45/Year_2032!AC45</f>
        <v>#DIV/0!</v>
      </c>
      <c r="AD42" t="e">
        <f>Year_2040!AD45/Year_2032!AD45</f>
        <v>#DIV/0!</v>
      </c>
      <c r="AE42" t="e">
        <f>Year_2040!AE45/Year_2032!AE45</f>
        <v>#DIV/0!</v>
      </c>
      <c r="AF42" t="e">
        <f>Year_2040!AF45/Year_2032!AF45</f>
        <v>#DIV/0!</v>
      </c>
      <c r="AG42" t="e">
        <f>Year_2040!AG45/Year_2032!AG45</f>
        <v>#DIV/0!</v>
      </c>
      <c r="AH42" t="e">
        <f>Year_2040!AH45/Year_2032!AH45</f>
        <v>#DIV/0!</v>
      </c>
      <c r="AI42" t="e">
        <f>Year_2040!AI45/Year_2032!AI45</f>
        <v>#DIV/0!</v>
      </c>
      <c r="AJ42" t="e">
        <f>Year_2040!AJ45/Year_2032!AJ45</f>
        <v>#DIV/0!</v>
      </c>
      <c r="AK42" t="e">
        <f>Year_2040!AK45/Year_2032!AK45</f>
        <v>#DIV/0!</v>
      </c>
      <c r="AL42" t="e">
        <f>Year_2040!AL45/Year_2032!AL45</f>
        <v>#DIV/0!</v>
      </c>
      <c r="AM42" t="e">
        <f>Year_2040!AM45/Year_2032!AM45</f>
        <v>#DIV/0!</v>
      </c>
      <c r="AN42" t="e">
        <f>Year_2040!AN45/Year_2032!AN45</f>
        <v>#DIV/0!</v>
      </c>
      <c r="AO42" t="e">
        <f>Year_2040!AO45/Year_2032!AO45</f>
        <v>#DIV/0!</v>
      </c>
      <c r="AP42" t="e">
        <f>Year_2040!AP45/Year_2032!AP45</f>
        <v>#DIV/0!</v>
      </c>
      <c r="AQ42" t="e">
        <f>Year_2040!AQ45/Year_2032!AQ45</f>
        <v>#DIV/0!</v>
      </c>
      <c r="AR42" t="e">
        <f>Year_2040!AR45/Year_2032!AR45</f>
        <v>#DIV/0!</v>
      </c>
      <c r="AS42" t="e">
        <f>Year_2040!AS45/Year_2032!AS45</f>
        <v>#DIV/0!</v>
      </c>
      <c r="AT42" t="e">
        <f>Year_2040!AT45/Year_2032!AT45</f>
        <v>#DIV/0!</v>
      </c>
      <c r="AU42" t="e">
        <f>Year_2040!AU45/Year_2032!AU45</f>
        <v>#DIV/0!</v>
      </c>
      <c r="AV42" t="e">
        <f>Year_2040!AV45/Year_2032!AV45</f>
        <v>#DIV/0!</v>
      </c>
      <c r="AW42" t="e">
        <f>Year_2040!AW45/Year_2032!AW45</f>
        <v>#DIV/0!</v>
      </c>
      <c r="AX42" t="e">
        <f>Year_2040!AX45/Year_2032!AX45</f>
        <v>#DIV/0!</v>
      </c>
    </row>
    <row r="43" spans="2:50" x14ac:dyDescent="0.3">
      <c r="B43">
        <f>Year_2032!B46</f>
        <v>0</v>
      </c>
      <c r="C43" t="e">
        <f>Year_2040!C46/Year_2032!C46</f>
        <v>#DIV/0!</v>
      </c>
      <c r="D43" t="e">
        <f>Year_2040!D46/Year_2032!D46</f>
        <v>#DIV/0!</v>
      </c>
      <c r="E43" t="e">
        <f>Year_2040!E46/Year_2032!E46</f>
        <v>#DIV/0!</v>
      </c>
      <c r="F43" t="e">
        <f>Year_2040!F46/Year_2032!F46</f>
        <v>#DIV/0!</v>
      </c>
      <c r="G43" t="e">
        <f>Year_2040!G46/Year_2032!G46</f>
        <v>#DIV/0!</v>
      </c>
      <c r="H43" t="e">
        <f>Year_2040!H46/Year_2032!H46</f>
        <v>#DIV/0!</v>
      </c>
      <c r="I43" t="e">
        <f>Year_2040!I46/Year_2032!I46</f>
        <v>#DIV/0!</v>
      </c>
      <c r="J43" t="e">
        <f>Year_2040!J46/Year_2032!J46</f>
        <v>#DIV/0!</v>
      </c>
      <c r="K43" t="e">
        <f>Year_2040!K46/Year_2032!K46</f>
        <v>#DIV/0!</v>
      </c>
      <c r="L43" t="e">
        <f>Year_2040!L46/Year_2032!L46</f>
        <v>#DIV/0!</v>
      </c>
      <c r="M43" t="e">
        <f>Year_2040!M46/Year_2032!M46</f>
        <v>#DIV/0!</v>
      </c>
      <c r="N43">
        <f>Year_2040!N46</f>
        <v>0</v>
      </c>
      <c r="O43" t="e">
        <f>Year_2040!O46/Year_2032!O46</f>
        <v>#DIV/0!</v>
      </c>
      <c r="P43" t="e">
        <f>Year_2040!P46/Year_2032!P46</f>
        <v>#DIV/0!</v>
      </c>
      <c r="Q43" t="e">
        <f>Year_2040!Q46/Year_2032!Q46</f>
        <v>#DIV/0!</v>
      </c>
      <c r="R43" t="e">
        <f>Year_2040!R46/Year_2032!R46</f>
        <v>#DIV/0!</v>
      </c>
      <c r="S43" t="e">
        <f>Year_2040!S46/Year_2032!S46</f>
        <v>#DIV/0!</v>
      </c>
      <c r="T43" t="e">
        <f>Year_2040!T46/Year_2032!T46</f>
        <v>#DIV/0!</v>
      </c>
      <c r="U43" t="e">
        <f>Year_2040!U46/Year_2032!U46</f>
        <v>#DIV/0!</v>
      </c>
      <c r="V43" t="e">
        <f>Year_2040!V46/Year_2032!V46</f>
        <v>#DIV/0!</v>
      </c>
      <c r="W43" t="e">
        <f>Year_2040!W46/Year_2032!W46</f>
        <v>#DIV/0!</v>
      </c>
      <c r="X43" t="e">
        <f>Year_2040!X46/Year_2032!X46</f>
        <v>#DIV/0!</v>
      </c>
      <c r="Y43" t="e">
        <f>Year_2040!Y46/Year_2032!Y46</f>
        <v>#DIV/0!</v>
      </c>
      <c r="Z43" t="e">
        <f>Year_2040!Z46/Year_2032!Z46</f>
        <v>#DIV/0!</v>
      </c>
      <c r="AA43" t="e">
        <f>Year_2040!AA46/Year_2032!AA46</f>
        <v>#DIV/0!</v>
      </c>
      <c r="AB43" t="e">
        <f>Year_2040!AB46/Year_2032!AB46</f>
        <v>#DIV/0!</v>
      </c>
      <c r="AC43" t="e">
        <f>Year_2040!AC46/Year_2032!AC46</f>
        <v>#DIV/0!</v>
      </c>
      <c r="AD43" t="e">
        <f>Year_2040!AD46/Year_2032!AD46</f>
        <v>#DIV/0!</v>
      </c>
      <c r="AE43" t="e">
        <f>Year_2040!AE46/Year_2032!AE46</f>
        <v>#DIV/0!</v>
      </c>
      <c r="AF43" t="e">
        <f>Year_2040!AF46/Year_2032!AF46</f>
        <v>#DIV/0!</v>
      </c>
      <c r="AG43" t="e">
        <f>Year_2040!AG46/Year_2032!AG46</f>
        <v>#DIV/0!</v>
      </c>
      <c r="AH43" t="e">
        <f>Year_2040!AH46/Year_2032!AH46</f>
        <v>#DIV/0!</v>
      </c>
      <c r="AI43" t="e">
        <f>Year_2040!AI46/Year_2032!AI46</f>
        <v>#DIV/0!</v>
      </c>
      <c r="AJ43" t="e">
        <f>Year_2040!AJ46/Year_2032!AJ46</f>
        <v>#DIV/0!</v>
      </c>
      <c r="AK43" t="e">
        <f>Year_2040!AK46/Year_2032!AK46</f>
        <v>#DIV/0!</v>
      </c>
      <c r="AL43" t="e">
        <f>Year_2040!AL46/Year_2032!AL46</f>
        <v>#DIV/0!</v>
      </c>
      <c r="AM43" t="e">
        <f>Year_2040!AM46/Year_2032!AM46</f>
        <v>#DIV/0!</v>
      </c>
      <c r="AN43" t="e">
        <f>Year_2040!AN46/Year_2032!AN46</f>
        <v>#DIV/0!</v>
      </c>
      <c r="AO43" t="e">
        <f>Year_2040!AO46/Year_2032!AO46</f>
        <v>#DIV/0!</v>
      </c>
      <c r="AP43" t="e">
        <f>Year_2040!AP46/Year_2032!AP46</f>
        <v>#DIV/0!</v>
      </c>
      <c r="AQ43" t="e">
        <f>Year_2040!AQ46/Year_2032!AQ46</f>
        <v>#DIV/0!</v>
      </c>
      <c r="AR43" t="e">
        <f>Year_2040!AR46/Year_2032!AR46</f>
        <v>#DIV/0!</v>
      </c>
      <c r="AS43" t="e">
        <f>Year_2040!AS46/Year_2032!AS46</f>
        <v>#DIV/0!</v>
      </c>
      <c r="AT43" t="e">
        <f>Year_2040!AT46/Year_2032!AT46</f>
        <v>#DIV/0!</v>
      </c>
      <c r="AU43" t="e">
        <f>Year_2040!AU46/Year_2032!AU46</f>
        <v>#DIV/0!</v>
      </c>
      <c r="AV43" t="e">
        <f>Year_2040!AV46/Year_2032!AV46</f>
        <v>#DIV/0!</v>
      </c>
      <c r="AW43" t="e">
        <f>Year_2040!AW46/Year_2032!AW46</f>
        <v>#DIV/0!</v>
      </c>
      <c r="AX43" t="e">
        <f>Year_2040!AX46/Year_2032!AX46</f>
        <v>#DIV/0!</v>
      </c>
    </row>
    <row r="44" spans="2:50" x14ac:dyDescent="0.3">
      <c r="B44" t="str">
        <f>Year_2032!B47</f>
        <v>Revenue Per Period Lights</v>
      </c>
      <c r="C44" t="e">
        <f>Year_2040!C47/Year_2032!C47</f>
        <v>#DIV/0!</v>
      </c>
      <c r="D44" t="e">
        <f>Year_2040!D47/Year_2032!D47</f>
        <v>#DIV/0!</v>
      </c>
      <c r="E44" t="e">
        <f>Year_2040!E47/Year_2032!E47</f>
        <v>#DIV/0!</v>
      </c>
      <c r="F44" t="e">
        <f>Year_2040!F47/Year_2032!F47</f>
        <v>#DIV/0!</v>
      </c>
      <c r="G44" t="e">
        <f>Year_2040!G47/Year_2032!G47</f>
        <v>#DIV/0!</v>
      </c>
      <c r="H44" t="e">
        <f>Year_2040!H47/Year_2032!H47</f>
        <v>#DIV/0!</v>
      </c>
      <c r="I44" t="e">
        <f>Year_2040!I47/Year_2032!I47</f>
        <v>#DIV/0!</v>
      </c>
      <c r="J44" t="e">
        <f>Year_2040!J47/Year_2032!J47</f>
        <v>#DIV/0!</v>
      </c>
      <c r="K44" t="e">
        <f>Year_2040!K47/Year_2032!K47</f>
        <v>#DIV/0!</v>
      </c>
      <c r="L44" t="e">
        <f>Year_2040!L47/Year_2032!L47</f>
        <v>#DIV/0!</v>
      </c>
      <c r="M44" t="e">
        <f>Year_2040!M47/Year_2032!M47</f>
        <v>#DIV/0!</v>
      </c>
      <c r="N44" t="str">
        <f>Year_2040!N47</f>
        <v>ML V/C</v>
      </c>
      <c r="O44" t="e">
        <f>Year_2040!O47/Year_2032!O47</f>
        <v>#DIV/0!</v>
      </c>
      <c r="P44" t="e">
        <f>Year_2040!P47/Year_2032!P47</f>
        <v>#DIV/0!</v>
      </c>
      <c r="Q44" t="e">
        <f>Year_2040!Q47/Year_2032!Q47</f>
        <v>#DIV/0!</v>
      </c>
      <c r="R44" t="e">
        <f>Year_2040!R47/Year_2032!R47</f>
        <v>#DIV/0!</v>
      </c>
      <c r="S44" t="e">
        <f>Year_2040!S47/Year_2032!S47</f>
        <v>#DIV/0!</v>
      </c>
      <c r="T44" t="e">
        <f>Year_2040!T47/Year_2032!T47</f>
        <v>#DIV/0!</v>
      </c>
      <c r="U44" t="e">
        <f>Year_2040!U47/Year_2032!U47</f>
        <v>#DIV/0!</v>
      </c>
      <c r="V44" t="e">
        <f>Year_2040!V47/Year_2032!V47</f>
        <v>#DIV/0!</v>
      </c>
      <c r="W44" t="e">
        <f>Year_2040!W47/Year_2032!W47</f>
        <v>#DIV/0!</v>
      </c>
      <c r="X44" t="e">
        <f>Year_2040!X47/Year_2032!X47</f>
        <v>#DIV/0!</v>
      </c>
      <c r="Y44" t="e">
        <f>Year_2040!Y47/Year_2032!Y47</f>
        <v>#DIV/0!</v>
      </c>
      <c r="Z44" t="e">
        <f>Year_2040!Z47/Year_2032!Z47</f>
        <v>#DIV/0!</v>
      </c>
      <c r="AA44" t="e">
        <f>Year_2040!AA47/Year_2032!AA47</f>
        <v>#VALUE!</v>
      </c>
      <c r="AB44" t="e">
        <f>Year_2040!AB47/Year_2032!AB47</f>
        <v>#DIV/0!</v>
      </c>
      <c r="AC44" t="e">
        <f>Year_2040!AC47/Year_2032!AC47</f>
        <v>#DIV/0!</v>
      </c>
      <c r="AD44" t="e">
        <f>Year_2040!AD47/Year_2032!AD47</f>
        <v>#DIV/0!</v>
      </c>
      <c r="AE44" t="e">
        <f>Year_2040!AE47/Year_2032!AE47</f>
        <v>#DIV/0!</v>
      </c>
      <c r="AF44" t="e">
        <f>Year_2040!AF47/Year_2032!AF47</f>
        <v>#DIV/0!</v>
      </c>
      <c r="AG44" t="e">
        <f>Year_2040!AG47/Year_2032!AG47</f>
        <v>#DIV/0!</v>
      </c>
      <c r="AH44" t="e">
        <f>Year_2040!AH47/Year_2032!AH47</f>
        <v>#DIV/0!</v>
      </c>
      <c r="AI44" t="e">
        <f>Year_2040!AI47/Year_2032!AI47</f>
        <v>#DIV/0!</v>
      </c>
      <c r="AJ44" t="e">
        <f>Year_2040!AJ47/Year_2032!AJ47</f>
        <v>#DIV/0!</v>
      </c>
      <c r="AK44" t="e">
        <f>Year_2040!AK47/Year_2032!AK47</f>
        <v>#DIV/0!</v>
      </c>
      <c r="AL44" t="e">
        <f>Year_2040!AL47/Year_2032!AL47</f>
        <v>#DIV/0!</v>
      </c>
      <c r="AM44" t="e">
        <f>Year_2040!AM47/Year_2032!AM47</f>
        <v>#DIV/0!</v>
      </c>
      <c r="AN44" t="e">
        <f>Year_2040!AN47/Year_2032!AN47</f>
        <v>#VALUE!</v>
      </c>
      <c r="AO44" t="e">
        <f>Year_2040!AO47/Year_2032!AO47</f>
        <v>#DIV/0!</v>
      </c>
      <c r="AP44" t="e">
        <f>Year_2040!AP47/Year_2032!AP47</f>
        <v>#DIV/0!</v>
      </c>
      <c r="AQ44" t="e">
        <f>Year_2040!AQ47/Year_2032!AQ47</f>
        <v>#DIV/0!</v>
      </c>
      <c r="AR44" t="e">
        <f>Year_2040!AR47/Year_2032!AR47</f>
        <v>#DIV/0!</v>
      </c>
      <c r="AS44" t="e">
        <f>Year_2040!AS47/Year_2032!AS47</f>
        <v>#DIV/0!</v>
      </c>
      <c r="AT44" t="e">
        <f>Year_2040!AT47/Year_2032!AT47</f>
        <v>#DIV/0!</v>
      </c>
      <c r="AU44" t="e">
        <f>Year_2040!AU47/Year_2032!AU47</f>
        <v>#DIV/0!</v>
      </c>
      <c r="AV44" t="e">
        <f>Year_2040!AV47/Year_2032!AV47</f>
        <v>#DIV/0!</v>
      </c>
      <c r="AW44" t="e">
        <f>Year_2040!AW47/Year_2032!AW47</f>
        <v>#DIV/0!</v>
      </c>
      <c r="AX44" t="e">
        <f>Year_2040!AX47/Year_2032!AX47</f>
        <v>#DIV/0!</v>
      </c>
    </row>
    <row r="45" spans="2:50" x14ac:dyDescent="0.3">
      <c r="B45" t="str">
        <f>Year_2032!B48</f>
        <v>Direction</v>
      </c>
      <c r="C45" t="e">
        <f>Year_2040!C48/Year_2032!C48</f>
        <v>#VALUE!</v>
      </c>
      <c r="D45" t="e">
        <f>Year_2040!D48/Year_2032!D48</f>
        <v>#VALUE!</v>
      </c>
      <c r="E45" t="e">
        <f>Year_2040!E48/Year_2032!E48</f>
        <v>#VALUE!</v>
      </c>
      <c r="F45" t="e">
        <f>Year_2040!F48/Year_2032!F48</f>
        <v>#VALUE!</v>
      </c>
      <c r="G45" t="e">
        <f>Year_2040!G48/Year_2032!G48</f>
        <v>#VALUE!</v>
      </c>
      <c r="H45" t="e">
        <f>Year_2040!H48/Year_2032!H48</f>
        <v>#VALUE!</v>
      </c>
      <c r="I45" t="e">
        <f>Year_2040!I48/Year_2032!I48</f>
        <v>#VALUE!</v>
      </c>
      <c r="J45" t="e">
        <f>Year_2040!J48/Year_2032!J48</f>
        <v>#VALUE!</v>
      </c>
      <c r="K45" t="e">
        <f>Year_2040!K48/Year_2032!K48</f>
        <v>#VALUE!</v>
      </c>
      <c r="L45" t="e">
        <f>Year_2040!L48/Year_2032!L48</f>
        <v>#VALUE!</v>
      </c>
      <c r="M45" t="e">
        <f>Year_2040!M48/Year_2032!M48</f>
        <v>#DIV/0!</v>
      </c>
      <c r="N45" t="str">
        <f>Year_2040!N48</f>
        <v>Direction</v>
      </c>
      <c r="O45" t="str">
        <f>Year_2040!O48</f>
        <v>NB</v>
      </c>
      <c r="P45" t="str">
        <f>Year_2040!P48</f>
        <v>SB</v>
      </c>
      <c r="Q45" t="str">
        <f>Year_2040!Q48</f>
        <v>NB</v>
      </c>
      <c r="R45" t="str">
        <f>Year_2040!R48</f>
        <v>SB</v>
      </c>
      <c r="S45" t="str">
        <f>Year_2040!S48</f>
        <v>NB</v>
      </c>
      <c r="T45" t="str">
        <f>Year_2040!T48</f>
        <v>SB</v>
      </c>
      <c r="U45" t="str">
        <f>Year_2040!U48</f>
        <v>NB</v>
      </c>
      <c r="V45" t="str">
        <f>Year_2040!V48</f>
        <v>SB</v>
      </c>
      <c r="W45" t="str">
        <f>Year_2040!W48</f>
        <v>NB</v>
      </c>
      <c r="X45" t="str">
        <f>Year_2040!X48</f>
        <v>SB</v>
      </c>
      <c r="Y45" t="e">
        <f>Year_2040!Y48/Year_2032!Y48</f>
        <v>#DIV/0!</v>
      </c>
      <c r="Z45" t="e">
        <f>Year_2040!Z48/Year_2032!Z48</f>
        <v>#DIV/0!</v>
      </c>
      <c r="AA45" t="e">
        <f>Year_2040!AA48/Year_2032!AA48</f>
        <v>#VALUE!</v>
      </c>
      <c r="AB45" t="e">
        <f>Year_2040!AB48/Year_2032!AB48</f>
        <v>#VALUE!</v>
      </c>
      <c r="AC45" t="e">
        <f>Year_2040!AC48/Year_2032!AC48</f>
        <v>#VALUE!</v>
      </c>
      <c r="AD45" t="e">
        <f>Year_2040!AD48/Year_2032!AD48</f>
        <v>#VALUE!</v>
      </c>
      <c r="AE45" t="e">
        <f>Year_2040!AE48/Year_2032!AE48</f>
        <v>#VALUE!</v>
      </c>
      <c r="AF45" t="e">
        <f>Year_2040!AF48/Year_2032!AF48</f>
        <v>#VALUE!</v>
      </c>
      <c r="AG45" t="e">
        <f>Year_2040!AG48/Year_2032!AG48</f>
        <v>#VALUE!</v>
      </c>
      <c r="AH45" t="e">
        <f>Year_2040!AH48/Year_2032!AH48</f>
        <v>#VALUE!</v>
      </c>
      <c r="AI45" t="e">
        <f>Year_2040!AI48/Year_2032!AI48</f>
        <v>#VALUE!</v>
      </c>
      <c r="AJ45" t="e">
        <f>Year_2040!AJ48/Year_2032!AJ48</f>
        <v>#VALUE!</v>
      </c>
      <c r="AK45" t="e">
        <f>Year_2040!AK48/Year_2032!AK48</f>
        <v>#VALUE!</v>
      </c>
      <c r="AL45" t="e">
        <f>Year_2040!AL48/Year_2032!AL48</f>
        <v>#DIV/0!</v>
      </c>
      <c r="AM45" t="e">
        <f>Year_2040!AM48/Year_2032!AM48</f>
        <v>#DIV/0!</v>
      </c>
      <c r="AN45" t="e">
        <f>Year_2040!AN48/Year_2032!AN48</f>
        <v>#VALUE!</v>
      </c>
      <c r="AO45" t="e">
        <f>Year_2040!AO48/Year_2032!AO48</f>
        <v>#VALUE!</v>
      </c>
      <c r="AP45" t="e">
        <f>Year_2040!AP48/Year_2032!AP48</f>
        <v>#VALUE!</v>
      </c>
      <c r="AQ45" t="e">
        <f>Year_2040!AQ48/Year_2032!AQ48</f>
        <v>#VALUE!</v>
      </c>
      <c r="AR45" t="e">
        <f>Year_2040!AR48/Year_2032!AR48</f>
        <v>#VALUE!</v>
      </c>
      <c r="AS45" t="e">
        <f>Year_2040!AS48/Year_2032!AS48</f>
        <v>#VALUE!</v>
      </c>
      <c r="AT45" t="e">
        <f>Year_2040!AT48/Year_2032!AT48</f>
        <v>#VALUE!</v>
      </c>
      <c r="AU45" t="e">
        <f>Year_2040!AU48/Year_2032!AU48</f>
        <v>#VALUE!</v>
      </c>
      <c r="AV45" t="e">
        <f>Year_2040!AV48/Year_2032!AV48</f>
        <v>#VALUE!</v>
      </c>
      <c r="AW45" t="e">
        <f>Year_2040!AW48/Year_2032!AW48</f>
        <v>#VALUE!</v>
      </c>
      <c r="AX45" t="e">
        <f>Year_2040!AX48/Year_2032!AX48</f>
        <v>#VALUE!</v>
      </c>
    </row>
    <row r="46" spans="2:50" x14ac:dyDescent="0.3">
      <c r="B46" t="str">
        <f>Year_2032!B49</f>
        <v>Segment</v>
      </c>
      <c r="C46">
        <f>Year_2040!C49/Year_2032!C49</f>
        <v>1</v>
      </c>
      <c r="D46">
        <f>Year_2040!D49/Year_2032!D49</f>
        <v>1</v>
      </c>
      <c r="E46">
        <f>Year_2040!E49/Year_2032!E49</f>
        <v>1</v>
      </c>
      <c r="F46">
        <f>Year_2040!F49/Year_2032!F49</f>
        <v>1</v>
      </c>
      <c r="G46">
        <f>Year_2040!G49/Year_2032!G49</f>
        <v>1</v>
      </c>
      <c r="H46">
        <f>Year_2040!H49/Year_2032!H49</f>
        <v>1</v>
      </c>
      <c r="I46">
        <f>Year_2040!I49/Year_2032!I49</f>
        <v>1</v>
      </c>
      <c r="J46">
        <f>Year_2040!J49/Year_2032!J49</f>
        <v>1</v>
      </c>
      <c r="K46">
        <f>Year_2040!K49/Year_2032!K49</f>
        <v>1</v>
      </c>
      <c r="L46">
        <f>Year_2040!L49/Year_2032!L49</f>
        <v>1</v>
      </c>
      <c r="M46" t="e">
        <f>Year_2040!M49/Year_2032!M49</f>
        <v>#DIV/0!</v>
      </c>
      <c r="N46" t="str">
        <f>Year_2040!N49</f>
        <v>Segment</v>
      </c>
      <c r="O46" t="str">
        <f>Year_2040!O49</f>
        <v>11</v>
      </c>
      <c r="P46" t="str">
        <f>Year_2040!P49</f>
        <v>11</v>
      </c>
      <c r="Q46" t="str">
        <f>Year_2040!Q49</f>
        <v>12</v>
      </c>
      <c r="R46" t="str">
        <f>Year_2040!R49</f>
        <v>12</v>
      </c>
      <c r="S46" t="str">
        <f>Year_2040!S49</f>
        <v>13</v>
      </c>
      <c r="T46" t="str">
        <f>Year_2040!T49</f>
        <v>13</v>
      </c>
      <c r="U46" t="str">
        <f>Year_2040!U49</f>
        <v>14</v>
      </c>
      <c r="V46" t="str">
        <f>Year_2040!V49</f>
        <v>14</v>
      </c>
      <c r="W46" t="str">
        <f>Year_2040!W49</f>
        <v>18</v>
      </c>
      <c r="X46" t="str">
        <f>Year_2040!X49</f>
        <v>18</v>
      </c>
      <c r="Y46" t="e">
        <f>Year_2040!Y49/Year_2032!Y49</f>
        <v>#DIV/0!</v>
      </c>
      <c r="Z46" t="e">
        <f>Year_2040!Z49/Year_2032!Z49</f>
        <v>#DIV/0!</v>
      </c>
      <c r="AA46" t="e">
        <f>Year_2040!AA49/Year_2032!AA49</f>
        <v>#VALUE!</v>
      </c>
      <c r="AB46">
        <f>Year_2040!AB49/Year_2032!AB49</f>
        <v>1</v>
      </c>
      <c r="AC46">
        <f>Year_2040!AC49/Year_2032!AC49</f>
        <v>1</v>
      </c>
      <c r="AD46">
        <f>Year_2040!AD49/Year_2032!AD49</f>
        <v>1</v>
      </c>
      <c r="AE46">
        <f>Year_2040!AE49/Year_2032!AE49</f>
        <v>1</v>
      </c>
      <c r="AF46">
        <f>Year_2040!AF49/Year_2032!AF49</f>
        <v>1</v>
      </c>
      <c r="AG46">
        <f>Year_2040!AG49/Year_2032!AG49</f>
        <v>1</v>
      </c>
      <c r="AH46">
        <f>Year_2040!AH49/Year_2032!AH49</f>
        <v>1</v>
      </c>
      <c r="AI46">
        <f>Year_2040!AI49/Year_2032!AI49</f>
        <v>1</v>
      </c>
      <c r="AJ46">
        <f>Year_2040!AJ49/Year_2032!AJ49</f>
        <v>1</v>
      </c>
      <c r="AK46">
        <f>Year_2040!AK49/Year_2032!AK49</f>
        <v>1</v>
      </c>
      <c r="AL46" t="e">
        <f>Year_2040!AL49/Year_2032!AL49</f>
        <v>#DIV/0!</v>
      </c>
      <c r="AM46" t="e">
        <f>Year_2040!AM49/Year_2032!AM49</f>
        <v>#DIV/0!</v>
      </c>
      <c r="AN46" t="e">
        <f>Year_2040!AN49/Year_2032!AN49</f>
        <v>#VALUE!</v>
      </c>
      <c r="AO46">
        <f>Year_2040!AO49/Year_2032!AO49</f>
        <v>1</v>
      </c>
      <c r="AP46">
        <f>Year_2040!AP49/Year_2032!AP49</f>
        <v>1</v>
      </c>
      <c r="AQ46">
        <f>Year_2040!AQ49/Year_2032!AQ49</f>
        <v>1</v>
      </c>
      <c r="AR46">
        <f>Year_2040!AR49/Year_2032!AR49</f>
        <v>1</v>
      </c>
      <c r="AS46">
        <f>Year_2040!AS49/Year_2032!AS49</f>
        <v>1</v>
      </c>
      <c r="AT46">
        <f>Year_2040!AT49/Year_2032!AT49</f>
        <v>1</v>
      </c>
      <c r="AU46">
        <f>Year_2040!AU49/Year_2032!AU49</f>
        <v>1</v>
      </c>
      <c r="AV46">
        <f>Year_2040!AV49/Year_2032!AV49</f>
        <v>1</v>
      </c>
      <c r="AW46">
        <f>Year_2040!AW49/Year_2032!AW49</f>
        <v>1</v>
      </c>
      <c r="AX46">
        <f>Year_2040!AX49/Year_2032!AX49</f>
        <v>1</v>
      </c>
    </row>
    <row r="47" spans="2:50" x14ac:dyDescent="0.3">
      <c r="B47" t="str">
        <f>Year_2032!B50</f>
        <v>Period</v>
      </c>
      <c r="C47" t="e">
        <f>Year_2040!C50/Year_2032!C50</f>
        <v>#DIV/0!</v>
      </c>
      <c r="D47" t="e">
        <f>Year_2040!D50/Year_2032!D50</f>
        <v>#DIV/0!</v>
      </c>
      <c r="E47" t="e">
        <f>Year_2040!E50/Year_2032!E50</f>
        <v>#DIV/0!</v>
      </c>
      <c r="F47" t="e">
        <f>Year_2040!F50/Year_2032!F50</f>
        <v>#DIV/0!</v>
      </c>
      <c r="G47" t="e">
        <f>Year_2040!G50/Year_2032!G50</f>
        <v>#DIV/0!</v>
      </c>
      <c r="H47" t="e">
        <f>Year_2040!H50/Year_2032!H50</f>
        <v>#DIV/0!</v>
      </c>
      <c r="I47" t="e">
        <f>Year_2040!I50/Year_2032!I50</f>
        <v>#DIV/0!</v>
      </c>
      <c r="J47" t="e">
        <f>Year_2040!J50/Year_2032!J50</f>
        <v>#DIV/0!</v>
      </c>
      <c r="K47" t="e">
        <f>Year_2040!K50/Year_2032!K50</f>
        <v>#DIV/0!</v>
      </c>
      <c r="L47" t="e">
        <f>Year_2040!L50/Year_2032!L50</f>
        <v>#DIV/0!</v>
      </c>
      <c r="M47" t="e">
        <f>Year_2040!M50/Year_2032!M50</f>
        <v>#DIV/0!</v>
      </c>
      <c r="N47" t="str">
        <f>Year_2040!N50</f>
        <v>Period</v>
      </c>
      <c r="P47" t="e">
        <f>Year_2040!P50/Year_2032!P50</f>
        <v>#DIV/0!</v>
      </c>
      <c r="Q47" t="e">
        <f>Year_2040!Q50/Year_2032!Q50</f>
        <v>#DIV/0!</v>
      </c>
      <c r="R47" t="e">
        <f>Year_2040!R50/Year_2032!R50</f>
        <v>#DIV/0!</v>
      </c>
      <c r="S47" t="e">
        <f>Year_2040!S50/Year_2032!S50</f>
        <v>#DIV/0!</v>
      </c>
      <c r="T47" t="e">
        <f>Year_2040!T50/Year_2032!T50</f>
        <v>#DIV/0!</v>
      </c>
      <c r="U47" t="e">
        <f>Year_2040!U50/Year_2032!U50</f>
        <v>#DIV/0!</v>
      </c>
      <c r="V47" t="e">
        <f>Year_2040!V50/Year_2032!V50</f>
        <v>#DIV/0!</v>
      </c>
      <c r="W47" t="e">
        <f>Year_2040!W50/Year_2032!W50</f>
        <v>#DIV/0!</v>
      </c>
      <c r="X47" t="e">
        <f>Year_2040!X50/Year_2032!X50</f>
        <v>#DIV/0!</v>
      </c>
      <c r="Y47" t="e">
        <f>Year_2040!Y50/Year_2032!Y50</f>
        <v>#DIV/0!</v>
      </c>
      <c r="Z47" t="e">
        <f>Year_2040!Z50/Year_2032!Z50</f>
        <v>#DIV/0!</v>
      </c>
      <c r="AA47" t="e">
        <f>Year_2040!AA50/Year_2032!AA50</f>
        <v>#VALUE!</v>
      </c>
      <c r="AB47" t="e">
        <f>Year_2040!AB50/Year_2032!AB50</f>
        <v>#DIV/0!</v>
      </c>
      <c r="AC47" t="e">
        <f>Year_2040!AC50/Year_2032!AC50</f>
        <v>#DIV/0!</v>
      </c>
      <c r="AD47" t="e">
        <f>Year_2040!AD50/Year_2032!AD50</f>
        <v>#DIV/0!</v>
      </c>
      <c r="AE47" t="e">
        <f>Year_2040!AE50/Year_2032!AE50</f>
        <v>#DIV/0!</v>
      </c>
      <c r="AF47" t="e">
        <f>Year_2040!AF50/Year_2032!AF50</f>
        <v>#DIV/0!</v>
      </c>
      <c r="AG47" t="e">
        <f>Year_2040!AG50/Year_2032!AG50</f>
        <v>#DIV/0!</v>
      </c>
      <c r="AH47" t="e">
        <f>Year_2040!AH50/Year_2032!AH50</f>
        <v>#DIV/0!</v>
      </c>
      <c r="AI47" t="e">
        <f>Year_2040!AI50/Year_2032!AI50</f>
        <v>#DIV/0!</v>
      </c>
      <c r="AJ47" t="e">
        <f>Year_2040!AJ50/Year_2032!AJ50</f>
        <v>#DIV/0!</v>
      </c>
      <c r="AK47" t="e">
        <f>Year_2040!AK50/Year_2032!AK50</f>
        <v>#DIV/0!</v>
      </c>
      <c r="AL47" t="e">
        <f>Year_2040!AL50/Year_2032!AL50</f>
        <v>#DIV/0!</v>
      </c>
      <c r="AM47" t="e">
        <f>Year_2040!AM50/Year_2032!AM50</f>
        <v>#DIV/0!</v>
      </c>
      <c r="AN47" t="e">
        <f>Year_2040!AN50/Year_2032!AN50</f>
        <v>#VALUE!</v>
      </c>
      <c r="AO47" t="e">
        <f>Year_2040!AO50/Year_2032!AO50</f>
        <v>#DIV/0!</v>
      </c>
      <c r="AP47" t="e">
        <f>Year_2040!AP50/Year_2032!AP50</f>
        <v>#DIV/0!</v>
      </c>
      <c r="AQ47" t="e">
        <f>Year_2040!AQ50/Year_2032!AQ50</f>
        <v>#DIV/0!</v>
      </c>
      <c r="AR47" t="e">
        <f>Year_2040!AR50/Year_2032!AR50</f>
        <v>#DIV/0!</v>
      </c>
      <c r="AS47" t="e">
        <f>Year_2040!AS50/Year_2032!AS50</f>
        <v>#DIV/0!</v>
      </c>
      <c r="AT47" t="e">
        <f>Year_2040!AT50/Year_2032!AT50</f>
        <v>#DIV/0!</v>
      </c>
      <c r="AU47" t="e">
        <f>Year_2040!AU50/Year_2032!AU50</f>
        <v>#DIV/0!</v>
      </c>
      <c r="AV47" t="e">
        <f>Year_2040!AV50/Year_2032!AV50</f>
        <v>#DIV/0!</v>
      </c>
      <c r="AW47" t="e">
        <f>Year_2040!AW50/Year_2032!AW50</f>
        <v>#DIV/0!</v>
      </c>
      <c r="AX47" t="e">
        <f>Year_2040!AX50/Year_2032!AX50</f>
        <v>#DIV/0!</v>
      </c>
    </row>
    <row r="48" spans="2:50" x14ac:dyDescent="0.3">
      <c r="B48" t="str">
        <f>Year_2032!B51</f>
        <v>Night</v>
      </c>
      <c r="C48">
        <f>Year_2040!C51/Year_2032!C51</f>
        <v>1.1034910062539933</v>
      </c>
      <c r="D48">
        <f>Year_2040!D51/Year_2032!D51</f>
        <v>1.1078606965174129</v>
      </c>
      <c r="E48">
        <f>Year_2040!E51/Year_2032!E51</f>
        <v>1.1035131545661523</v>
      </c>
      <c r="F48">
        <f>Year_2040!F51/Year_2032!F51</f>
        <v>1.1102181896737957</v>
      </c>
      <c r="G48">
        <f>Year_2040!G51/Year_2032!G51</f>
        <v>1.8989937401275376</v>
      </c>
      <c r="H48">
        <f>Year_2040!H51/Year_2032!H51</f>
        <v>1.8791738979520998</v>
      </c>
      <c r="I48">
        <f>Year_2040!I51/Year_2032!I51</f>
        <v>1.1180423060970552</v>
      </c>
      <c r="J48">
        <f>Year_2040!J51/Year_2032!J51</f>
        <v>1.1180424474011326</v>
      </c>
      <c r="K48">
        <f>Year_2040!K51/Year_2032!K51</f>
        <v>1.0051851463887287</v>
      </c>
      <c r="L48">
        <f>Year_2040!L51/Year_2032!L51</f>
        <v>0.99645018152480835</v>
      </c>
      <c r="M48" t="e">
        <f>Year_2040!M51/Year_2032!M51</f>
        <v>#DIV/0!</v>
      </c>
      <c r="N48" t="str">
        <f>Year_2040!N51</f>
        <v>Night</v>
      </c>
      <c r="O48">
        <f>Year_2040!O51/Year_2032!O51</f>
        <v>1</v>
      </c>
      <c r="P48">
        <f>Year_2040!P51/Year_2032!P51</f>
        <v>1.1428571428571428</v>
      </c>
      <c r="Q48">
        <f>Year_2040!Q51/Year_2032!Q51</f>
        <v>1.1111111111111112</v>
      </c>
      <c r="R48">
        <f>Year_2040!R51/Year_2032!R51</f>
        <v>1.25</v>
      </c>
      <c r="S48">
        <f>Year_2040!S51/Year_2032!S51</f>
        <v>2</v>
      </c>
      <c r="T48">
        <f>Year_2040!T51/Year_2032!T51</f>
        <v>1.6666666666666667</v>
      </c>
      <c r="U48">
        <f>Year_2040!U51/Year_2032!U51</f>
        <v>1.3333333333333335</v>
      </c>
      <c r="V48">
        <f>Year_2040!V51/Year_2032!V51</f>
        <v>1</v>
      </c>
      <c r="W48">
        <f>Year_2040!W51/Year_2032!W51</f>
        <v>1</v>
      </c>
      <c r="X48">
        <f>Year_2040!X51/Year_2032!X51</f>
        <v>1</v>
      </c>
      <c r="Y48" t="e">
        <f>Year_2040!Y51/Year_2032!Y51</f>
        <v>#DIV/0!</v>
      </c>
      <c r="Z48" t="e">
        <f>Year_2040!Z51/Year_2032!Z51</f>
        <v>#DIV/0!</v>
      </c>
      <c r="AA48" t="e">
        <f>Year_2040!AA51/Year_2032!AA51</f>
        <v>#VALUE!</v>
      </c>
      <c r="AB48">
        <f>Year_2040!AB51/Year_2032!AB51</f>
        <v>1.125</v>
      </c>
      <c r="AC48">
        <f>Year_2040!AC51/Year_2032!AC51</f>
        <v>1.125</v>
      </c>
      <c r="AD48">
        <f>Year_2040!AD51/Year_2032!AD51</f>
        <v>1.1333333333333335</v>
      </c>
      <c r="AE48">
        <f>Year_2040!AE51/Year_2032!AE51</f>
        <v>1.1250000000000002</v>
      </c>
      <c r="AF48">
        <f>Year_2040!AF51/Year_2032!AF51</f>
        <v>1.0999999999999999</v>
      </c>
      <c r="AG48">
        <f>Year_2040!AG51/Year_2032!AG51</f>
        <v>1.0555555555555556</v>
      </c>
      <c r="AH48">
        <f>Year_2040!AH51/Year_2032!AH51</f>
        <v>1.1111111111111112</v>
      </c>
      <c r="AI48">
        <f>Year_2040!AI51/Year_2032!AI51</f>
        <v>1.1333333333333335</v>
      </c>
      <c r="AJ48">
        <f>Year_2040!AJ51/Year_2032!AJ51</f>
        <v>1</v>
      </c>
      <c r="AK48">
        <f>Year_2040!AK51/Year_2032!AK51</f>
        <v>1</v>
      </c>
      <c r="AL48" t="e">
        <f>Year_2040!AL51/Year_2032!AL51</f>
        <v>#DIV/0!</v>
      </c>
      <c r="AM48" t="e">
        <f>Year_2040!AM51/Year_2032!AM51</f>
        <v>#DIV/0!</v>
      </c>
      <c r="AN48" t="e">
        <f>Year_2040!AN51/Year_2032!AN51</f>
        <v>#VALUE!</v>
      </c>
      <c r="AO48">
        <f>Year_2040!AO51/Year_2032!AO51</f>
        <v>1.1111111111111112</v>
      </c>
      <c r="AP48">
        <f>Year_2040!AP51/Year_2032!AP51</f>
        <v>1.1142857142857143</v>
      </c>
      <c r="AQ48">
        <f>Year_2040!AQ51/Year_2032!AQ51</f>
        <v>1.088235294117647</v>
      </c>
      <c r="AR48">
        <f>Year_2040!AR51/Year_2032!AR51</f>
        <v>1.1153846153846152</v>
      </c>
      <c r="AS48">
        <f>Year_2040!AS51/Year_2032!AS51</f>
        <v>1.1428571428571428</v>
      </c>
      <c r="AT48">
        <f>Year_2040!AT51/Year_2032!AT51</f>
        <v>1.1052631578947367</v>
      </c>
      <c r="AU48">
        <f>Year_2040!AU51/Year_2032!AU51</f>
        <v>1.1052631578947367</v>
      </c>
      <c r="AV48">
        <f>Year_2040!AV51/Year_2032!AV51</f>
        <v>1.125</v>
      </c>
      <c r="AW48">
        <f>Year_2040!AW51/Year_2032!AW51</f>
        <v>1</v>
      </c>
      <c r="AX48">
        <f>Year_2040!AX51/Year_2032!AX51</f>
        <v>1</v>
      </c>
    </row>
    <row r="49" spans="2:50" x14ac:dyDescent="0.3">
      <c r="B49" t="str">
        <f>Year_2032!B52</f>
        <v>AM-Early</v>
      </c>
      <c r="C49">
        <f>Year_2040!C52/Year_2032!C52</f>
        <v>1.5092823301480653</v>
      </c>
      <c r="D49">
        <f>Year_2040!D52/Year_2032!D52</f>
        <v>1.9526926632767616</v>
      </c>
      <c r="E49">
        <f>Year_2040!E52/Year_2032!E52</f>
        <v>2.1609966785907675</v>
      </c>
      <c r="F49">
        <f>Year_2040!F52/Year_2032!F52</f>
        <v>1.5259923118183443</v>
      </c>
      <c r="G49">
        <f>Year_2040!G52/Year_2032!G52</f>
        <v>1.784728433039473</v>
      </c>
      <c r="H49">
        <f>Year_2040!H52/Year_2032!H52</f>
        <v>1.9656333505086696</v>
      </c>
      <c r="I49">
        <f>Year_2040!I52/Year_2032!I52</f>
        <v>1.4982278812441787</v>
      </c>
      <c r="J49">
        <f>Year_2040!J52/Year_2032!J52</f>
        <v>2.0664419335372579</v>
      </c>
      <c r="K49">
        <f>Year_2040!K52/Year_2032!K52</f>
        <v>1.4291831483543915</v>
      </c>
      <c r="L49">
        <f>Year_2040!L52/Year_2032!L52</f>
        <v>1.456011928968415</v>
      </c>
      <c r="M49" t="e">
        <f>Year_2040!M52/Year_2032!M52</f>
        <v>#DIV/0!</v>
      </c>
      <c r="N49" t="str">
        <f>Year_2040!N52</f>
        <v>AM-Early</v>
      </c>
      <c r="O49">
        <f>Year_2040!O52/Year_2032!O52</f>
        <v>1.2941176470588234</v>
      </c>
      <c r="P49">
        <f>Year_2040!P52/Year_2032!P52</f>
        <v>1.1428571428571428</v>
      </c>
      <c r="Q49">
        <f>Year_2040!Q52/Year_2032!Q52</f>
        <v>1.0789473684210527</v>
      </c>
      <c r="R49">
        <f>Year_2040!R52/Year_2032!R52</f>
        <v>1.3636363636363635</v>
      </c>
      <c r="S49">
        <f>Year_2040!S52/Year_2032!S52</f>
        <v>1.4146341463414633</v>
      </c>
      <c r="T49">
        <f>Year_2040!T52/Year_2032!T52</f>
        <v>1.3333333333333335</v>
      </c>
      <c r="U49">
        <f>Year_2040!U52/Year_2032!U52</f>
        <v>1.2894736842105263</v>
      </c>
      <c r="V49">
        <f>Year_2040!V52/Year_2032!V52</f>
        <v>2</v>
      </c>
      <c r="W49">
        <f>Year_2040!W52/Year_2032!W52</f>
        <v>1.2222222222222223</v>
      </c>
      <c r="X49">
        <f>Year_2040!X52/Year_2032!X52</f>
        <v>1</v>
      </c>
      <c r="Y49" t="e">
        <f>Year_2040!Y52/Year_2032!Y52</f>
        <v>#DIV/0!</v>
      </c>
      <c r="Z49" t="e">
        <f>Year_2040!Z52/Year_2032!Z52</f>
        <v>#DIV/0!</v>
      </c>
      <c r="AA49" t="e">
        <f>Year_2040!AA52/Year_2032!AA52</f>
        <v>#VALUE!</v>
      </c>
      <c r="AB49">
        <f>Year_2040!AB52/Year_2032!AB52</f>
        <v>1.0116279069767442</v>
      </c>
      <c r="AC49">
        <f>Year_2040!AC52/Year_2032!AC52</f>
        <v>1.1129032258064515</v>
      </c>
      <c r="AD49">
        <f>Year_2040!AD52/Year_2032!AD52</f>
        <v>1.1159420289855073</v>
      </c>
      <c r="AE49">
        <f>Year_2040!AE52/Year_2032!AE52</f>
        <v>1</v>
      </c>
      <c r="AF49">
        <f>Year_2040!AF52/Year_2032!AF52</f>
        <v>1.0481927710843375</v>
      </c>
      <c r="AG49">
        <f>Year_2040!AG52/Year_2032!AG52</f>
        <v>1.0684931506849316</v>
      </c>
      <c r="AH49">
        <f>Year_2040!AH52/Year_2032!AH52</f>
        <v>1</v>
      </c>
      <c r="AI49">
        <f>Year_2040!AI52/Year_2032!AI52</f>
        <v>1.088235294117647</v>
      </c>
      <c r="AJ49">
        <f>Year_2040!AJ52/Year_2032!AJ52</f>
        <v>1</v>
      </c>
      <c r="AK49">
        <f>Year_2040!AK52/Year_2032!AK52</f>
        <v>1</v>
      </c>
      <c r="AL49" t="e">
        <f>Year_2040!AL52/Year_2032!AL52</f>
        <v>#DIV/0!</v>
      </c>
      <c r="AM49" t="e">
        <f>Year_2040!AM52/Year_2032!AM52</f>
        <v>#DIV/0!</v>
      </c>
      <c r="AN49" t="e">
        <f>Year_2040!AN52/Year_2032!AN52</f>
        <v>#VALUE!</v>
      </c>
      <c r="AO49">
        <f>Year_2040!AO52/Year_2032!AO52</f>
        <v>1.0485436893203883</v>
      </c>
      <c r="AP49">
        <f>Year_2040!AP52/Year_2032!AP52</f>
        <v>1.1111111111111112</v>
      </c>
      <c r="AQ49">
        <f>Year_2040!AQ52/Year_2032!AQ52</f>
        <v>1.1125</v>
      </c>
      <c r="AR49">
        <f>Year_2040!AR52/Year_2032!AR52</f>
        <v>1.0485436893203883</v>
      </c>
      <c r="AS49">
        <f>Year_2040!AS52/Year_2032!AS52</f>
        <v>1.1020408163265307</v>
      </c>
      <c r="AT49">
        <f>Year_2040!AT52/Year_2032!AT52</f>
        <v>1.1162790697674418</v>
      </c>
      <c r="AU49">
        <f>Year_2040!AU52/Year_2032!AU52</f>
        <v>1.0485436893203883</v>
      </c>
      <c r="AV49">
        <f>Year_2040!AV52/Year_2032!AV52</f>
        <v>1.1111111111111112</v>
      </c>
      <c r="AW49">
        <f>Year_2040!AW52/Year_2032!AW52</f>
        <v>1.029126213592233</v>
      </c>
      <c r="AX49">
        <f>Year_2040!AX52/Year_2032!AX52</f>
        <v>1</v>
      </c>
    </row>
    <row r="50" spans="2:50" x14ac:dyDescent="0.3">
      <c r="B50" t="str">
        <f>Year_2032!B53</f>
        <v>AM-Peak</v>
      </c>
      <c r="C50">
        <f>Year_2040!C53/Year_2032!C53</f>
        <v>2.1050364499186847</v>
      </c>
      <c r="D50">
        <f>Year_2040!D53/Year_2032!D53</f>
        <v>1.6370386601601365</v>
      </c>
      <c r="E50">
        <f>Year_2040!E53/Year_2032!E53</f>
        <v>2.3522009123907366</v>
      </c>
      <c r="F50">
        <f>Year_2040!F53/Year_2032!F53</f>
        <v>3.6901826060838521</v>
      </c>
      <c r="G50">
        <f>Year_2040!G53/Year_2032!G53</f>
        <v>2.1895634397365282</v>
      </c>
      <c r="H50">
        <f>Year_2040!H53/Year_2032!H53</f>
        <v>1.704746700304183</v>
      </c>
      <c r="I50">
        <f>Year_2040!I53/Year_2032!I53</f>
        <v>2.3410135345066179</v>
      </c>
      <c r="J50">
        <f>Year_2040!J53/Year_2032!J53</f>
        <v>1.9965998918859633</v>
      </c>
      <c r="K50">
        <f>Year_2040!K53/Year_2032!K53</f>
        <v>1.413601017625618</v>
      </c>
      <c r="L50">
        <f>Year_2040!L53/Year_2032!L53</f>
        <v>1.3052689357887792</v>
      </c>
      <c r="M50" t="e">
        <f>Year_2040!M53/Year_2032!M53</f>
        <v>#DIV/0!</v>
      </c>
      <c r="N50" t="str">
        <f>Year_2040!N53</f>
        <v>AM-Peak</v>
      </c>
      <c r="O50">
        <f>Year_2040!O53/Year_2032!O53</f>
        <v>1.3333333333333335</v>
      </c>
      <c r="P50">
        <f>Year_2040!P53/Year_2032!P53</f>
        <v>1.44</v>
      </c>
      <c r="Q50">
        <f>Year_2040!Q53/Year_2032!Q53</f>
        <v>1.0217391304347825</v>
      </c>
      <c r="R50">
        <f>Year_2040!R53/Year_2032!R53</f>
        <v>0.94230769230769229</v>
      </c>
      <c r="S50">
        <f>Year_2040!S53/Year_2032!S53</f>
        <v>1.2982456140350878</v>
      </c>
      <c r="T50">
        <f>Year_2040!T53/Year_2032!T53</f>
        <v>1.4166666666666667</v>
      </c>
      <c r="U50">
        <f>Year_2040!U53/Year_2032!U53</f>
        <v>1.2380952380952381</v>
      </c>
      <c r="V50">
        <f>Year_2040!V53/Year_2032!V53</f>
        <v>1.0606060606060606</v>
      </c>
      <c r="W50">
        <f>Year_2040!W53/Year_2032!W53</f>
        <v>1.0869565217391304</v>
      </c>
      <c r="X50">
        <f>Year_2040!X53/Year_2032!X53</f>
        <v>1.1176470588235294</v>
      </c>
      <c r="Y50" t="e">
        <f>Year_2040!Y53/Year_2032!Y53</f>
        <v>#DIV/0!</v>
      </c>
      <c r="Z50" t="e">
        <f>Year_2040!Z53/Year_2032!Z53</f>
        <v>#DIV/0!</v>
      </c>
      <c r="AA50" t="e">
        <f>Year_2040!AA53/Year_2032!AA53</f>
        <v>#VALUE!</v>
      </c>
      <c r="AB50">
        <f>Year_2040!AB53/Year_2032!AB53</f>
        <v>1.0769230769230771</v>
      </c>
      <c r="AC50">
        <f>Year_2040!AC53/Year_2032!AC53</f>
        <v>1.0410958904109588</v>
      </c>
      <c r="AD50">
        <f>Year_2040!AD53/Year_2032!AD53</f>
        <v>1.1204819277108435</v>
      </c>
      <c r="AE50">
        <f>Year_2040!AE53/Year_2032!AE53</f>
        <v>1.1808510638297873</v>
      </c>
      <c r="AF50">
        <f>Year_2040!AF53/Year_2032!AF53</f>
        <v>1.0784313725490198</v>
      </c>
      <c r="AG50">
        <f>Year_2040!AG53/Year_2032!AG53</f>
        <v>1.0657894736842106</v>
      </c>
      <c r="AH50">
        <f>Year_2040!AH53/Year_2032!AH53</f>
        <v>1.1052631578947369</v>
      </c>
      <c r="AI50">
        <f>Year_2040!AI53/Year_2032!AI53</f>
        <v>1.1296296296296295</v>
      </c>
      <c r="AJ50">
        <f>Year_2040!AJ53/Year_2032!AJ53</f>
        <v>0.98550724637681175</v>
      </c>
      <c r="AK50">
        <f>Year_2040!AK53/Year_2032!AK53</f>
        <v>0.97560975609756106</v>
      </c>
      <c r="AL50" t="e">
        <f>Year_2040!AL53/Year_2032!AL53</f>
        <v>#DIV/0!</v>
      </c>
      <c r="AM50" t="e">
        <f>Year_2040!AM53/Year_2032!AM53</f>
        <v>#DIV/0!</v>
      </c>
      <c r="AN50" t="e">
        <f>Year_2040!AN53/Year_2032!AN53</f>
        <v>#VALUE!</v>
      </c>
      <c r="AO50">
        <f>Year_2040!AO53/Year_2032!AO53</f>
        <v>1.1181102362204725</v>
      </c>
      <c r="AP50">
        <f>Year_2040!AP53/Year_2032!AP53</f>
        <v>1.1136363636363635</v>
      </c>
      <c r="AQ50">
        <f>Year_2040!AQ53/Year_2032!AQ53</f>
        <v>1.1041666666666667</v>
      </c>
      <c r="AR50">
        <f>Year_2040!AR53/Year_2032!AR53</f>
        <v>1.1259842519685039</v>
      </c>
      <c r="AS50">
        <f>Year_2040!AS53/Year_2032!AS53</f>
        <v>1.1229508196721312</v>
      </c>
      <c r="AT50">
        <f>Year_2040!AT53/Year_2032!AT53</f>
        <v>1.1123595505617978</v>
      </c>
      <c r="AU50">
        <f>Year_2040!AU53/Year_2032!AU53</f>
        <v>1.1181818181818182</v>
      </c>
      <c r="AV50">
        <f>Year_2040!AV53/Year_2032!AV53</f>
        <v>1.126984126984127</v>
      </c>
      <c r="AW50">
        <f>Year_2040!AW53/Year_2032!AW53</f>
        <v>1</v>
      </c>
      <c r="AX50">
        <f>Year_2040!AX53/Year_2032!AX53</f>
        <v>1</v>
      </c>
    </row>
    <row r="51" spans="2:50" x14ac:dyDescent="0.3">
      <c r="B51" t="str">
        <f>Year_2032!B54</f>
        <v>AM-Shoulder</v>
      </c>
      <c r="C51">
        <f>Year_2040!C54/Year_2032!C54</f>
        <v>1.386530965267246</v>
      </c>
      <c r="D51">
        <f>Year_2040!D54/Year_2032!D54</f>
        <v>1.8512251607790946</v>
      </c>
      <c r="E51">
        <f>Year_2040!E54/Year_2032!E54</f>
        <v>2.0193400126112242</v>
      </c>
      <c r="F51">
        <f>Year_2040!F54/Year_2032!F54</f>
        <v>1.3789403127323761</v>
      </c>
      <c r="G51">
        <f>Year_2040!G54/Year_2032!G54</f>
        <v>1.6050383886408173</v>
      </c>
      <c r="H51">
        <f>Year_2040!H54/Year_2032!H54</f>
        <v>1.7621594703849084</v>
      </c>
      <c r="I51">
        <f>Year_2040!I54/Year_2032!I54</f>
        <v>2.2430088985049861</v>
      </c>
      <c r="J51">
        <f>Year_2040!J54/Year_2032!J54</f>
        <v>1.9928650669422368</v>
      </c>
      <c r="K51">
        <f>Year_2040!K54/Year_2032!K54</f>
        <v>1.45557583325329</v>
      </c>
      <c r="L51">
        <f>Year_2040!L54/Year_2032!L54</f>
        <v>1.4263561431016873</v>
      </c>
      <c r="M51" t="e">
        <f>Year_2040!M54/Year_2032!M54</f>
        <v>#DIV/0!</v>
      </c>
      <c r="N51" t="str">
        <f>Year_2040!N54</f>
        <v>AM-Shoulder</v>
      </c>
      <c r="O51">
        <f>Year_2040!O54/Year_2032!O54</f>
        <v>1.2162162162162162</v>
      </c>
      <c r="P51">
        <f>Year_2040!P54/Year_2032!P54</f>
        <v>1.5714285714285716</v>
      </c>
      <c r="Q51">
        <f>Year_2040!Q54/Year_2032!Q54</f>
        <v>1.3</v>
      </c>
      <c r="R51">
        <f>Year_2040!R54/Year_2032!R54</f>
        <v>1.1951219512195121</v>
      </c>
      <c r="S51">
        <f>Year_2040!S54/Year_2032!S54</f>
        <v>1</v>
      </c>
      <c r="T51">
        <f>Year_2040!T54/Year_2032!T54</f>
        <v>1.4736842105263159</v>
      </c>
      <c r="U51">
        <f>Year_2040!U54/Year_2032!U54</f>
        <v>1.0810810810810811</v>
      </c>
      <c r="V51">
        <f>Year_2040!V54/Year_2032!V54</f>
        <v>1.09375</v>
      </c>
      <c r="W51">
        <f>Year_2040!W54/Year_2032!W54</f>
        <v>1</v>
      </c>
      <c r="X51">
        <f>Year_2040!X54/Year_2032!X54</f>
        <v>1.0952380952380953</v>
      </c>
      <c r="Y51" t="e">
        <f>Year_2040!Y54/Year_2032!Y54</f>
        <v>#DIV/0!</v>
      </c>
      <c r="Z51" t="e">
        <f>Year_2040!Z54/Year_2032!Z54</f>
        <v>#DIV/0!</v>
      </c>
      <c r="AA51" t="e">
        <f>Year_2040!AA54/Year_2032!AA54</f>
        <v>#VALUE!</v>
      </c>
      <c r="AB51">
        <f>Year_2040!AB54/Year_2032!AB54</f>
        <v>0.98863636363636365</v>
      </c>
      <c r="AC51">
        <f>Year_2040!AC54/Year_2032!AC54</f>
        <v>1.0365853658536586</v>
      </c>
      <c r="AD51">
        <f>Year_2040!AD54/Year_2032!AD54</f>
        <v>1.074074074074074</v>
      </c>
      <c r="AE51">
        <f>Year_2040!AE54/Year_2032!AE54</f>
        <v>0.9887640449438202</v>
      </c>
      <c r="AF51">
        <f>Year_2040!AF54/Year_2032!AF54</f>
        <v>1.0222222222222221</v>
      </c>
      <c r="AG51">
        <f>Year_2040!AG54/Year_2032!AG54</f>
        <v>1.0481927710843375</v>
      </c>
      <c r="AH51">
        <f>Year_2040!AH54/Year_2032!AH54</f>
        <v>1.1285714285714288</v>
      </c>
      <c r="AI51">
        <f>Year_2040!AI54/Year_2032!AI54</f>
        <v>1.1346153846153846</v>
      </c>
      <c r="AJ51">
        <f>Year_2040!AJ54/Year_2032!AJ54</f>
        <v>1</v>
      </c>
      <c r="AK51">
        <f>Year_2040!AK54/Year_2032!AK54</f>
        <v>0.98734177215189878</v>
      </c>
      <c r="AL51" t="e">
        <f>Year_2040!AL54/Year_2032!AL54</f>
        <v>#DIV/0!</v>
      </c>
      <c r="AM51" t="e">
        <f>Year_2040!AM54/Year_2032!AM54</f>
        <v>#DIV/0!</v>
      </c>
      <c r="AN51" t="e">
        <f>Year_2040!AN54/Year_2032!AN54</f>
        <v>#VALUE!</v>
      </c>
      <c r="AO51">
        <f>Year_2040!AO54/Year_2032!AO54</f>
        <v>1.019047619047619</v>
      </c>
      <c r="AP51">
        <f>Year_2040!AP54/Year_2032!AP54</f>
        <v>1.1052631578947369</v>
      </c>
      <c r="AQ51">
        <f>Year_2040!AQ54/Year_2032!AQ54</f>
        <v>1.1086956521739131</v>
      </c>
      <c r="AR51">
        <f>Year_2040!AR54/Year_2032!AR54</f>
        <v>1.019047619047619</v>
      </c>
      <c r="AS51">
        <f>Year_2040!AS54/Year_2032!AS54</f>
        <v>1.019047619047619</v>
      </c>
      <c r="AT51">
        <f>Year_2040!AT54/Year_2032!AT54</f>
        <v>1.1030927835051547</v>
      </c>
      <c r="AU51">
        <f>Year_2040!AU54/Year_2032!AU54</f>
        <v>1.1219512195121952</v>
      </c>
      <c r="AV51">
        <f>Year_2040!AV54/Year_2032!AV54</f>
        <v>1.1147540983606559</v>
      </c>
      <c r="AW51">
        <f>Year_2040!AW54/Year_2032!AW54</f>
        <v>1</v>
      </c>
      <c r="AX51">
        <f>Year_2040!AX54/Year_2032!AX54</f>
        <v>1</v>
      </c>
    </row>
    <row r="52" spans="2:50" x14ac:dyDescent="0.3">
      <c r="B52" t="str">
        <f>Year_2032!B55</f>
        <v>MD</v>
      </c>
      <c r="C52">
        <f>Year_2040!C55/Year_2032!C55</f>
        <v>1.4015399427291979</v>
      </c>
      <c r="D52">
        <f>Year_2040!D55/Year_2032!D55</f>
        <v>1.7056894476039917</v>
      </c>
      <c r="E52">
        <f>Year_2040!E55/Year_2032!E55</f>
        <v>1.5394948555498624</v>
      </c>
      <c r="F52">
        <f>Year_2040!F55/Year_2032!F55</f>
        <v>1.3876868821715493</v>
      </c>
      <c r="G52">
        <f>Year_2040!G55/Year_2032!G55</f>
        <v>1.9485615453005884</v>
      </c>
      <c r="H52">
        <f>Year_2040!H55/Year_2032!H55</f>
        <v>1.9650481941856326</v>
      </c>
      <c r="I52">
        <f>Year_2040!I55/Year_2032!I55</f>
        <v>1.9882441555229535</v>
      </c>
      <c r="J52">
        <f>Year_2040!J55/Year_2032!J55</f>
        <v>1.9946537205705446</v>
      </c>
      <c r="K52">
        <f>Year_2040!K55/Year_2032!K55</f>
        <v>1.3356427073065937</v>
      </c>
      <c r="L52">
        <f>Year_2040!L55/Year_2032!L55</f>
        <v>1.3489851452267383</v>
      </c>
      <c r="M52" t="e">
        <f>Year_2040!M55/Year_2032!M55</f>
        <v>#DIV/0!</v>
      </c>
      <c r="N52" t="str">
        <f>Year_2040!N55</f>
        <v>MD</v>
      </c>
      <c r="O52">
        <f>Year_2040!O55/Year_2032!O55</f>
        <v>1.2142857142857142</v>
      </c>
      <c r="P52">
        <f>Year_2040!P55/Year_2032!P55</f>
        <v>0.83870967741935487</v>
      </c>
      <c r="Q52">
        <f>Year_2040!Q55/Year_2032!Q55</f>
        <v>1.3235294117647058</v>
      </c>
      <c r="R52">
        <f>Year_2040!R55/Year_2032!R55</f>
        <v>1.1891891891891893</v>
      </c>
      <c r="S52">
        <f>Year_2040!S55/Year_2032!S55</f>
        <v>1.3870967741935483</v>
      </c>
      <c r="T52">
        <f>Year_2040!T55/Year_2032!T55</f>
        <v>1.3333333333333333</v>
      </c>
      <c r="U52">
        <f>Year_2040!U55/Year_2032!U55</f>
        <v>1.1153846153846152</v>
      </c>
      <c r="V52">
        <f>Year_2040!V55/Year_2032!V55</f>
        <v>1.09375</v>
      </c>
      <c r="W52">
        <f>Year_2040!W55/Year_2032!W55</f>
        <v>1.15625</v>
      </c>
      <c r="X52">
        <f>Year_2040!X55/Year_2032!X55</f>
        <v>1.1621621621621621</v>
      </c>
      <c r="Y52" t="e">
        <f>Year_2040!Y55/Year_2032!Y55</f>
        <v>#DIV/0!</v>
      </c>
      <c r="Z52" t="e">
        <f>Year_2040!Z55/Year_2032!Z55</f>
        <v>#DIV/0!</v>
      </c>
      <c r="AA52" t="e">
        <f>Year_2040!AA55/Year_2032!AA55</f>
        <v>#VALUE!</v>
      </c>
      <c r="AB52">
        <f>Year_2040!AB55/Year_2032!AB55</f>
        <v>0.97701149425287359</v>
      </c>
      <c r="AC52">
        <f>Year_2040!AC55/Year_2032!AC55</f>
        <v>1.0574712643678161</v>
      </c>
      <c r="AD52">
        <f>Year_2040!AD55/Year_2032!AD55</f>
        <v>1.0114942528735633</v>
      </c>
      <c r="AE52">
        <f>Year_2040!AE55/Year_2032!AE55</f>
        <v>0.98863636363636365</v>
      </c>
      <c r="AF52">
        <f>Year_2040!AF55/Year_2032!AF55</f>
        <v>1.0641025641025641</v>
      </c>
      <c r="AG52">
        <f>Year_2040!AG55/Year_2032!AG55</f>
        <v>1.0769230769230769</v>
      </c>
      <c r="AH52">
        <f>Year_2040!AH55/Year_2032!AH55</f>
        <v>1.1206896551724139</v>
      </c>
      <c r="AI52">
        <f>Year_2040!AI55/Year_2032!AI55</f>
        <v>1.142857142857143</v>
      </c>
      <c r="AJ52">
        <f>Year_2040!AJ55/Year_2032!AJ55</f>
        <v>0.97674418604651159</v>
      </c>
      <c r="AK52">
        <f>Year_2040!AK55/Year_2032!AK55</f>
        <v>0.97752808988764039</v>
      </c>
      <c r="AL52" t="e">
        <f>Year_2040!AL55/Year_2032!AL55</f>
        <v>#DIV/0!</v>
      </c>
      <c r="AM52" t="e">
        <f>Year_2040!AM55/Year_2032!AM55</f>
        <v>#DIV/0!</v>
      </c>
      <c r="AN52" t="e">
        <f>Year_2040!AN55/Year_2032!AN55</f>
        <v>#VALUE!</v>
      </c>
      <c r="AO52">
        <f>Year_2040!AO55/Year_2032!AO55</f>
        <v>1.019047619047619</v>
      </c>
      <c r="AP52">
        <f>Year_2040!AP55/Year_2032!AP55</f>
        <v>1.019047619047619</v>
      </c>
      <c r="AQ52">
        <f>Year_2040!AQ55/Year_2032!AQ55</f>
        <v>1.0490196078431373</v>
      </c>
      <c r="AR52">
        <f>Year_2040!AR55/Year_2032!AR55</f>
        <v>1.019047619047619</v>
      </c>
      <c r="AS52">
        <f>Year_2040!AS55/Year_2032!AS55</f>
        <v>1.1208791208791209</v>
      </c>
      <c r="AT52">
        <f>Year_2040!AT55/Year_2032!AT55</f>
        <v>1.1195652173913044</v>
      </c>
      <c r="AU52">
        <f>Year_2040!AU55/Year_2032!AU55</f>
        <v>1.1159420289855073</v>
      </c>
      <c r="AV52">
        <f>Year_2040!AV55/Year_2032!AV55</f>
        <v>1.1206896551724139</v>
      </c>
      <c r="AW52">
        <f>Year_2040!AW55/Year_2032!AW55</f>
        <v>1</v>
      </c>
      <c r="AX52">
        <f>Year_2040!AX55/Year_2032!AX55</f>
        <v>1.0093457943925235</v>
      </c>
    </row>
    <row r="53" spans="2:50" x14ac:dyDescent="0.3">
      <c r="B53" t="str">
        <f>Year_2032!B56</f>
        <v>PM-Shoulder</v>
      </c>
      <c r="C53">
        <f>Year_2040!C56/Year_2032!C56</f>
        <v>1.4016232711276326</v>
      </c>
      <c r="D53">
        <f>Year_2040!D56/Year_2032!D56</f>
        <v>1.6319789782319398</v>
      </c>
      <c r="E53">
        <f>Year_2040!E56/Year_2032!E56</f>
        <v>1.3894219208794634</v>
      </c>
      <c r="F53">
        <f>Year_2040!F56/Year_2032!F56</f>
        <v>1.4706007473325178</v>
      </c>
      <c r="G53">
        <f>Year_2040!G56/Year_2032!G56</f>
        <v>1.3809249529739898</v>
      </c>
      <c r="H53">
        <f>Year_2040!H56/Year_2032!H56</f>
        <v>1.7175790284344481</v>
      </c>
      <c r="I53">
        <f>Year_2040!I56/Year_2032!I56</f>
        <v>2.3701194094298574</v>
      </c>
      <c r="J53">
        <f>Year_2040!J56/Year_2032!J56</f>
        <v>3.0670083031701036</v>
      </c>
      <c r="K53">
        <f>Year_2040!K56/Year_2032!K56</f>
        <v>1.3087843132833068</v>
      </c>
      <c r="L53">
        <f>Year_2040!L56/Year_2032!L56</f>
        <v>1.4718810884175038</v>
      </c>
      <c r="M53" t="e">
        <f>Year_2040!M56/Year_2032!M56</f>
        <v>#DIV/0!</v>
      </c>
      <c r="N53" t="str">
        <f>Year_2040!N56</f>
        <v>PM-Shoulder</v>
      </c>
      <c r="O53">
        <f>Year_2040!O56/Year_2032!O56</f>
        <v>1.1944444444444444</v>
      </c>
      <c r="P53">
        <f>Year_2040!P56/Year_2032!P56</f>
        <v>0.96969696969696972</v>
      </c>
      <c r="Q53">
        <f>Year_2040!Q56/Year_2032!Q56</f>
        <v>1.1777777777777778</v>
      </c>
      <c r="R53">
        <f>Year_2040!R56/Year_2032!R56</f>
        <v>1.0925925925925926</v>
      </c>
      <c r="S53">
        <f>Year_2040!S56/Year_2032!S56</f>
        <v>1.1599999999999999</v>
      </c>
      <c r="T53">
        <f>Year_2040!T56/Year_2032!T56</f>
        <v>0.94444444444444442</v>
      </c>
      <c r="U53">
        <f>Year_2040!U56/Year_2032!U56</f>
        <v>1.0731707317073171</v>
      </c>
      <c r="V53">
        <f>Year_2040!V56/Year_2032!V56</f>
        <v>0.92982456140350889</v>
      </c>
      <c r="W53">
        <f>Year_2040!W56/Year_2032!W56</f>
        <v>1.1190476190476191</v>
      </c>
      <c r="X53">
        <f>Year_2040!X56/Year_2032!X56</f>
        <v>1.3</v>
      </c>
      <c r="Y53" t="e">
        <f>Year_2040!Y56/Year_2032!Y56</f>
        <v>#DIV/0!</v>
      </c>
      <c r="Z53" t="e">
        <f>Year_2040!Z56/Year_2032!Z56</f>
        <v>#DIV/0!</v>
      </c>
      <c r="AA53" t="e">
        <f>Year_2040!AA56/Year_2032!AA56</f>
        <v>#VALUE!</v>
      </c>
      <c r="AB53">
        <f>Year_2040!AB56/Year_2032!AB56</f>
        <v>0.97701149425287359</v>
      </c>
      <c r="AC53">
        <f>Year_2040!AC56/Year_2032!AC56</f>
        <v>1.0232558139534884</v>
      </c>
      <c r="AD53">
        <f>Year_2040!AD56/Year_2032!AD56</f>
        <v>0.9887640449438202</v>
      </c>
      <c r="AE53">
        <f>Year_2040!AE56/Year_2032!AE56</f>
        <v>1</v>
      </c>
      <c r="AF53">
        <f>Year_2040!AF56/Year_2032!AF56</f>
        <v>0.9885057471264368</v>
      </c>
      <c r="AG53">
        <f>Year_2040!AG56/Year_2032!AG56</f>
        <v>1.0344827586206897</v>
      </c>
      <c r="AH53">
        <f>Year_2040!AH56/Year_2032!AH56</f>
        <v>1.1323529411764706</v>
      </c>
      <c r="AI53">
        <f>Year_2040!AI56/Year_2032!AI56</f>
        <v>1.1499999999999999</v>
      </c>
      <c r="AJ53">
        <f>Year_2040!AJ56/Year_2032!AJ56</f>
        <v>0.97752808988764039</v>
      </c>
      <c r="AK53">
        <f>Year_2040!AK56/Year_2032!AK56</f>
        <v>0.9885057471264368</v>
      </c>
      <c r="AL53" t="e">
        <f>Year_2040!AL56/Year_2032!AL56</f>
        <v>#DIV/0!</v>
      </c>
      <c r="AM53" t="e">
        <f>Year_2040!AM56/Year_2032!AM56</f>
        <v>#DIV/0!</v>
      </c>
      <c r="AN53" t="e">
        <f>Year_2040!AN56/Year_2032!AN56</f>
        <v>#VALUE!</v>
      </c>
      <c r="AO53">
        <f>Year_2040!AO56/Year_2032!AO56</f>
        <v>1.019047619047619</v>
      </c>
      <c r="AP53">
        <f>Year_2040!AP56/Year_2032!AP56</f>
        <v>1.019047619047619</v>
      </c>
      <c r="AQ53">
        <f>Year_2040!AQ56/Year_2032!AQ56</f>
        <v>1.019047619047619</v>
      </c>
      <c r="AR53">
        <f>Year_2040!AR56/Year_2032!AR56</f>
        <v>1.019047619047619</v>
      </c>
      <c r="AS53">
        <f>Year_2040!AS56/Year_2032!AS56</f>
        <v>1.019047619047619</v>
      </c>
      <c r="AT53">
        <f>Year_2040!AT56/Year_2032!AT56</f>
        <v>1.019047619047619</v>
      </c>
      <c r="AU53">
        <f>Year_2040!AU56/Year_2032!AU56</f>
        <v>1.1204819277108435</v>
      </c>
      <c r="AV53">
        <f>Year_2040!AV56/Year_2032!AV56</f>
        <v>1.1145833333333335</v>
      </c>
      <c r="AW53">
        <f>Year_2040!AW56/Year_2032!AW56</f>
        <v>1</v>
      </c>
      <c r="AX53">
        <f>Year_2040!AX56/Year_2032!AX56</f>
        <v>1.0450450450450448</v>
      </c>
    </row>
    <row r="54" spans="2:50" x14ac:dyDescent="0.3">
      <c r="B54" t="str">
        <f>Year_2032!B57</f>
        <v>PM-Peak</v>
      </c>
      <c r="C54">
        <f>Year_2040!C57/Year_2032!C57</f>
        <v>3.242678973398506</v>
      </c>
      <c r="D54">
        <f>Year_2040!D57/Year_2032!D57</f>
        <v>3.1991036675362698</v>
      </c>
      <c r="E54">
        <f>Year_2040!E57/Year_2032!E57</f>
        <v>1.6148869190435602</v>
      </c>
      <c r="F54">
        <f>Year_2040!F57/Year_2032!F57</f>
        <v>1.7267656110144223</v>
      </c>
      <c r="G54">
        <f>Year_2040!G57/Year_2032!G57</f>
        <v>2.4358938476581904</v>
      </c>
      <c r="H54">
        <f>Year_2040!H57/Year_2032!H57</f>
        <v>2.5258796720587826</v>
      </c>
      <c r="I54">
        <f>Year_2040!I57/Year_2032!I57</f>
        <v>2.2151835968029001</v>
      </c>
      <c r="J54">
        <f>Year_2040!J57/Year_2032!J57</f>
        <v>2.561283653055805</v>
      </c>
      <c r="K54">
        <f>Year_2040!K57/Year_2032!K57</f>
        <v>1.3440995043797617</v>
      </c>
      <c r="L54">
        <f>Year_2040!L57/Year_2032!L57</f>
        <v>1.2995291450826467</v>
      </c>
      <c r="M54" t="e">
        <f>Year_2040!M57/Year_2032!M57</f>
        <v>#DIV/0!</v>
      </c>
      <c r="N54" t="str">
        <f>Year_2040!N57</f>
        <v>PM-Peak</v>
      </c>
      <c r="O54">
        <f>Year_2040!O57/Year_2032!O57</f>
        <v>0.91803278688524603</v>
      </c>
      <c r="P54">
        <f>Year_2040!P57/Year_2032!P57</f>
        <v>0.91525423728813571</v>
      </c>
      <c r="Q54">
        <f>Year_2040!Q57/Year_2032!Q57</f>
        <v>1.3953488372093024</v>
      </c>
      <c r="R54">
        <f>Year_2040!R57/Year_2032!R57</f>
        <v>1.3555555555555554</v>
      </c>
      <c r="S54">
        <f>Year_2040!S57/Year_2032!S57</f>
        <v>1.0434782608695652</v>
      </c>
      <c r="T54">
        <f>Year_2040!T57/Year_2032!T57</f>
        <v>1.0925925925925926</v>
      </c>
      <c r="U54">
        <f>Year_2040!U57/Year_2032!U57</f>
        <v>1.0512820512820511</v>
      </c>
      <c r="V54">
        <f>Year_2040!V57/Year_2032!V57</f>
        <v>1.0227272727272727</v>
      </c>
      <c r="W54">
        <f>Year_2040!W57/Year_2032!W57</f>
        <v>1.1538461538461537</v>
      </c>
      <c r="X54">
        <f>Year_2040!X57/Year_2032!X57</f>
        <v>1.2222222222222221</v>
      </c>
      <c r="Y54" t="e">
        <f>Year_2040!Y57/Year_2032!Y57</f>
        <v>#DIV/0!</v>
      </c>
      <c r="Z54" t="e">
        <f>Year_2040!Z57/Year_2032!Z57</f>
        <v>#DIV/0!</v>
      </c>
      <c r="AA54" t="e">
        <f>Year_2040!AA57/Year_2032!AA57</f>
        <v>#VALUE!</v>
      </c>
      <c r="AB54">
        <f>Year_2040!AB57/Year_2032!AB57</f>
        <v>1.1648351648351649</v>
      </c>
      <c r="AC54">
        <f>Year_2040!AC57/Year_2032!AC57</f>
        <v>1.1666666666666667</v>
      </c>
      <c r="AD54">
        <f>Year_2040!AD57/Year_2032!AD57</f>
        <v>1.0476190476190477</v>
      </c>
      <c r="AE54">
        <f>Year_2040!AE57/Year_2032!AE57</f>
        <v>1.074074074074074</v>
      </c>
      <c r="AF54">
        <f>Year_2040!AF57/Year_2032!AF57</f>
        <v>1.1358024691358024</v>
      </c>
      <c r="AG54">
        <f>Year_2040!AG57/Year_2032!AG57</f>
        <v>1.1294117647058823</v>
      </c>
      <c r="AH54">
        <f>Year_2040!AH57/Year_2032!AH57</f>
        <v>1.1194029850746268</v>
      </c>
      <c r="AI54">
        <f>Year_2040!AI57/Year_2032!AI57</f>
        <v>1.1428571428571428</v>
      </c>
      <c r="AJ54">
        <f>Year_2040!AJ57/Year_2032!AJ57</f>
        <v>0.94871794871794868</v>
      </c>
      <c r="AK54">
        <f>Year_2040!AK57/Year_2032!AK57</f>
        <v>0.94936708860759489</v>
      </c>
      <c r="AL54" t="e">
        <f>Year_2040!AL57/Year_2032!AL57</f>
        <v>#DIV/0!</v>
      </c>
      <c r="AM54" t="e">
        <f>Year_2040!AM57/Year_2032!AM57</f>
        <v>#DIV/0!</v>
      </c>
      <c r="AN54" t="e">
        <f>Year_2040!AN57/Year_2032!AN57</f>
        <v>#VALUE!</v>
      </c>
      <c r="AO54">
        <f>Year_2040!AO57/Year_2032!AO57</f>
        <v>1.1101694915254239</v>
      </c>
      <c r="AP54">
        <f>Year_2040!AP57/Year_2032!AP57</f>
        <v>1.1120689655172415</v>
      </c>
      <c r="AQ54">
        <f>Year_2040!AQ57/Year_2032!AQ57</f>
        <v>1.116504854368932</v>
      </c>
      <c r="AR54">
        <f>Year_2040!AR57/Year_2032!AR57</f>
        <v>1.1145833333333335</v>
      </c>
      <c r="AS54">
        <f>Year_2040!AS57/Year_2032!AS57</f>
        <v>1.1122448979591837</v>
      </c>
      <c r="AT54">
        <f>Year_2040!AT57/Year_2032!AT57</f>
        <v>1.1142857142857141</v>
      </c>
      <c r="AU54">
        <f>Year_2040!AU57/Year_2032!AU57</f>
        <v>1.1111111111111112</v>
      </c>
      <c r="AV54">
        <f>Year_2040!AV57/Year_2032!AV57</f>
        <v>1.1159420289855073</v>
      </c>
      <c r="AW54">
        <f>Year_2040!AW57/Year_2032!AW57</f>
        <v>1</v>
      </c>
      <c r="AX54">
        <f>Year_2040!AX57/Year_2032!AX57</f>
        <v>1</v>
      </c>
    </row>
    <row r="55" spans="2:50" x14ac:dyDescent="0.3">
      <c r="B55" t="str">
        <f>Year_2032!B58</f>
        <v>PM-Late</v>
      </c>
      <c r="C55">
        <f>Year_2040!C58/Year_2032!C58</f>
        <v>2.0030753230208829</v>
      </c>
      <c r="D55">
        <f>Year_2040!D58/Year_2032!D58</f>
        <v>2.0366567088554151</v>
      </c>
      <c r="E55">
        <f>Year_2040!E58/Year_2032!E58</f>
        <v>2.0461300598451224</v>
      </c>
      <c r="F55">
        <f>Year_2040!F58/Year_2032!F58</f>
        <v>1.8585662265710519</v>
      </c>
      <c r="G55">
        <f>Year_2040!G58/Year_2032!G58</f>
        <v>2.0249459339836848</v>
      </c>
      <c r="H55">
        <f>Year_2040!H58/Year_2032!H58</f>
        <v>2.0332692849215679</v>
      </c>
      <c r="I55">
        <f>Year_2040!I58/Year_2032!I58</f>
        <v>1.9623232994516624</v>
      </c>
      <c r="J55">
        <f>Year_2040!J58/Year_2032!J58</f>
        <v>1.1179934625382852</v>
      </c>
      <c r="K55">
        <f>Year_2040!K58/Year_2032!K58</f>
        <v>1.4826490184813508</v>
      </c>
      <c r="L55">
        <f>Year_2040!L58/Year_2032!L58</f>
        <v>1.4727350948266589</v>
      </c>
      <c r="M55" t="e">
        <f>Year_2040!M58/Year_2032!M58</f>
        <v>#DIV/0!</v>
      </c>
      <c r="N55" t="str">
        <f>Year_2040!N58</f>
        <v>PM-Late</v>
      </c>
      <c r="O55">
        <f>Year_2040!O58/Year_2032!O58</f>
        <v>1.0952380952380953</v>
      </c>
      <c r="P55">
        <f>Year_2040!P58/Year_2032!P58</f>
        <v>1.1111111111111109</v>
      </c>
      <c r="Q55">
        <f>Year_2040!Q58/Year_2032!Q58</f>
        <v>1.1111111111111112</v>
      </c>
      <c r="R55">
        <f>Year_2040!R58/Year_2032!R58</f>
        <v>1.0909090909090908</v>
      </c>
      <c r="S55">
        <f>Year_2040!S58/Year_2032!S58</f>
        <v>1.1764705882352942</v>
      </c>
      <c r="T55">
        <f>Year_2040!T58/Year_2032!T58</f>
        <v>1.1499999999999999</v>
      </c>
      <c r="U55">
        <f>Year_2040!U58/Year_2032!U58</f>
        <v>1.1538461538461537</v>
      </c>
      <c r="V55">
        <f>Year_2040!V58/Year_2032!V58</f>
        <v>1</v>
      </c>
      <c r="W55">
        <f>Year_2040!W58/Year_2032!W58</f>
        <v>1</v>
      </c>
      <c r="X55">
        <f>Year_2040!X58/Year_2032!X58</f>
        <v>1.2272727272727273</v>
      </c>
      <c r="Y55" t="e">
        <f>Year_2040!Y58/Year_2032!Y58</f>
        <v>#DIV/0!</v>
      </c>
      <c r="Z55" t="e">
        <f>Year_2040!Z58/Year_2032!Z58</f>
        <v>#DIV/0!</v>
      </c>
      <c r="AA55" t="e">
        <f>Year_2040!AA58/Year_2032!AA58</f>
        <v>#VALUE!</v>
      </c>
      <c r="AB55">
        <f>Year_2040!AB58/Year_2032!AB58</f>
        <v>1.1111111111111109</v>
      </c>
      <c r="AC55">
        <f>Year_2040!AC58/Year_2032!AC58</f>
        <v>1.126984126984127</v>
      </c>
      <c r="AD55">
        <f>Year_2040!AD58/Year_2032!AD58</f>
        <v>1.1176470588235294</v>
      </c>
      <c r="AE55">
        <f>Year_2040!AE58/Year_2032!AE58</f>
        <v>1.1111111111111112</v>
      </c>
      <c r="AF55">
        <f>Year_2040!AF58/Year_2032!AF58</f>
        <v>1.1044776119402984</v>
      </c>
      <c r="AG55">
        <f>Year_2040!AG58/Year_2032!AG58</f>
        <v>1.125</v>
      </c>
      <c r="AH55">
        <f>Year_2040!AH58/Year_2032!AH58</f>
        <v>1.1228070175438598</v>
      </c>
      <c r="AI55">
        <f>Year_2040!AI58/Year_2032!AI58</f>
        <v>1.1111111111111109</v>
      </c>
      <c r="AJ55">
        <f>Year_2040!AJ58/Year_2032!AJ58</f>
        <v>1</v>
      </c>
      <c r="AK55">
        <f>Year_2040!AK58/Year_2032!AK58</f>
        <v>0.97560975609756106</v>
      </c>
      <c r="AL55" t="e">
        <f>Year_2040!AL58/Year_2032!AL58</f>
        <v>#DIV/0!</v>
      </c>
      <c r="AM55" t="e">
        <f>Year_2040!AM58/Year_2032!AM58</f>
        <v>#DIV/0!</v>
      </c>
      <c r="AN55" t="e">
        <f>Year_2040!AN58/Year_2032!AN58</f>
        <v>#VALUE!</v>
      </c>
      <c r="AO55">
        <f>Year_2040!AO58/Year_2032!AO58</f>
        <v>1.1052631578947367</v>
      </c>
      <c r="AP55">
        <f>Year_2040!AP58/Year_2032!AP58</f>
        <v>1.1038961038961039</v>
      </c>
      <c r="AQ55">
        <f>Year_2040!AQ58/Year_2032!AQ58</f>
        <v>1.1139240506329113</v>
      </c>
      <c r="AR55">
        <f>Year_2040!AR58/Year_2032!AR58</f>
        <v>1.1190476190476191</v>
      </c>
      <c r="AS55">
        <f>Year_2040!AS58/Year_2032!AS58</f>
        <v>1.1234567901234567</v>
      </c>
      <c r="AT55">
        <f>Year_2040!AT58/Year_2032!AT58</f>
        <v>1.1139240506329113</v>
      </c>
      <c r="AU55">
        <f>Year_2040!AU58/Year_2032!AU58</f>
        <v>1.1304347826086958</v>
      </c>
      <c r="AV55">
        <f>Year_2040!AV58/Year_2032!AV58</f>
        <v>1.1428571428571428</v>
      </c>
      <c r="AW55">
        <f>Year_2040!AW58/Year_2032!AW58</f>
        <v>1</v>
      </c>
      <c r="AX55">
        <f>Year_2040!AX58/Year_2032!AX58</f>
        <v>1.0204081632653061</v>
      </c>
    </row>
    <row r="56" spans="2:50" x14ac:dyDescent="0.3">
      <c r="B56">
        <f>Year_2032!B59</f>
        <v>0</v>
      </c>
      <c r="C56" t="e">
        <f>Year_2040!C59/Year_2032!C59</f>
        <v>#DIV/0!</v>
      </c>
      <c r="D56" t="e">
        <f>Year_2040!D59/Year_2032!D59</f>
        <v>#DIV/0!</v>
      </c>
      <c r="E56" t="e">
        <f>Year_2040!E59/Year_2032!E59</f>
        <v>#DIV/0!</v>
      </c>
      <c r="F56" t="e">
        <f>Year_2040!F59/Year_2032!F59</f>
        <v>#DIV/0!</v>
      </c>
      <c r="G56" t="e">
        <f>Year_2040!G59/Year_2032!G59</f>
        <v>#DIV/0!</v>
      </c>
      <c r="H56" t="e">
        <f>Year_2040!H59/Year_2032!H59</f>
        <v>#DIV/0!</v>
      </c>
      <c r="I56" t="e">
        <f>Year_2040!I59/Year_2032!I59</f>
        <v>#DIV/0!</v>
      </c>
      <c r="J56" t="e">
        <f>Year_2040!J59/Year_2032!J59</f>
        <v>#DIV/0!</v>
      </c>
      <c r="K56" t="e">
        <f>Year_2040!K59/Year_2032!K59</f>
        <v>#DIV/0!</v>
      </c>
      <c r="L56" t="e">
        <f>Year_2040!L59/Year_2032!L59</f>
        <v>#DIV/0!</v>
      </c>
      <c r="M56" t="e">
        <f>Year_2040!M59/Year_2032!M59</f>
        <v>#DIV/0!</v>
      </c>
      <c r="N56">
        <f>Year_2040!N59</f>
        <v>0</v>
      </c>
      <c r="O56" t="e">
        <f>Year_2040!O59/Year_2032!O59</f>
        <v>#DIV/0!</v>
      </c>
      <c r="P56" t="e">
        <f>Year_2040!P59/Year_2032!P59</f>
        <v>#DIV/0!</v>
      </c>
      <c r="Q56" t="e">
        <f>Year_2040!Q59/Year_2032!Q59</f>
        <v>#DIV/0!</v>
      </c>
      <c r="R56" t="e">
        <f>Year_2040!R59/Year_2032!R59</f>
        <v>#DIV/0!</v>
      </c>
      <c r="S56" t="e">
        <f>Year_2040!S59/Year_2032!S59</f>
        <v>#DIV/0!</v>
      </c>
      <c r="T56" t="e">
        <f>Year_2040!T59/Year_2032!T59</f>
        <v>#DIV/0!</v>
      </c>
      <c r="U56" t="e">
        <f>Year_2040!U59/Year_2032!U59</f>
        <v>#DIV/0!</v>
      </c>
      <c r="V56" t="e">
        <f>Year_2040!V59/Year_2032!V59</f>
        <v>#DIV/0!</v>
      </c>
      <c r="W56" t="e">
        <f>Year_2040!W59/Year_2032!W59</f>
        <v>#DIV/0!</v>
      </c>
      <c r="X56" t="e">
        <f>Year_2040!X59/Year_2032!X59</f>
        <v>#DIV/0!</v>
      </c>
      <c r="Y56" t="e">
        <f>Year_2040!Y59/Year_2032!Y59</f>
        <v>#DIV/0!</v>
      </c>
      <c r="Z56" t="e">
        <f>Year_2040!Z59/Year_2032!Z59</f>
        <v>#DIV/0!</v>
      </c>
      <c r="AA56" t="e">
        <f>Year_2040!AA59/Year_2032!AA59</f>
        <v>#DIV/0!</v>
      </c>
      <c r="AB56" t="e">
        <f>Year_2040!AB59/Year_2032!AB59</f>
        <v>#DIV/0!</v>
      </c>
      <c r="AC56" t="e">
        <f>Year_2040!AC59/Year_2032!AC59</f>
        <v>#DIV/0!</v>
      </c>
      <c r="AD56" t="e">
        <f>Year_2040!AD59/Year_2032!AD59</f>
        <v>#DIV/0!</v>
      </c>
      <c r="AE56" t="e">
        <f>Year_2040!AE59/Year_2032!AE59</f>
        <v>#DIV/0!</v>
      </c>
      <c r="AF56" t="e">
        <f>Year_2040!AF59/Year_2032!AF59</f>
        <v>#DIV/0!</v>
      </c>
      <c r="AG56" t="e">
        <f>Year_2040!AG59/Year_2032!AG59</f>
        <v>#DIV/0!</v>
      </c>
      <c r="AH56" t="e">
        <f>Year_2040!AH59/Year_2032!AH59</f>
        <v>#DIV/0!</v>
      </c>
      <c r="AI56" t="e">
        <f>Year_2040!AI59/Year_2032!AI59</f>
        <v>#DIV/0!</v>
      </c>
      <c r="AJ56" t="e">
        <f>Year_2040!AJ59/Year_2032!AJ59</f>
        <v>#DIV/0!</v>
      </c>
      <c r="AK56" t="e">
        <f>Year_2040!AK59/Year_2032!AK59</f>
        <v>#DIV/0!</v>
      </c>
      <c r="AL56" t="e">
        <f>Year_2040!AL59/Year_2032!AL59</f>
        <v>#DIV/0!</v>
      </c>
      <c r="AM56" t="e">
        <f>Year_2040!AM59/Year_2032!AM59</f>
        <v>#DIV/0!</v>
      </c>
      <c r="AN56" t="e">
        <f>Year_2040!AN59/Year_2032!AN59</f>
        <v>#DIV/0!</v>
      </c>
      <c r="AO56" t="e">
        <f>Year_2040!AO59/Year_2032!AO59</f>
        <v>#DIV/0!</v>
      </c>
      <c r="AP56" t="e">
        <f>Year_2040!AP59/Year_2032!AP59</f>
        <v>#DIV/0!</v>
      </c>
      <c r="AQ56" t="e">
        <f>Year_2040!AQ59/Year_2032!AQ59</f>
        <v>#DIV/0!</v>
      </c>
      <c r="AR56" t="e">
        <f>Year_2040!AR59/Year_2032!AR59</f>
        <v>#DIV/0!</v>
      </c>
      <c r="AS56" t="e">
        <f>Year_2040!AS59/Year_2032!AS59</f>
        <v>#DIV/0!</v>
      </c>
      <c r="AT56" t="e">
        <f>Year_2040!AT59/Year_2032!AT59</f>
        <v>#DIV/0!</v>
      </c>
      <c r="AU56" t="e">
        <f>Year_2040!AU59/Year_2032!AU59</f>
        <v>#DIV/0!</v>
      </c>
      <c r="AV56" t="e">
        <f>Year_2040!AV59/Year_2032!AV59</f>
        <v>#DIV/0!</v>
      </c>
      <c r="AW56" t="e">
        <f>Year_2040!AW59/Year_2032!AW59</f>
        <v>#DIV/0!</v>
      </c>
      <c r="AX56" t="e">
        <f>Year_2040!AX59/Year_2032!AX59</f>
        <v>#DIV/0!</v>
      </c>
    </row>
    <row r="57" spans="2:50" x14ac:dyDescent="0.3">
      <c r="B57">
        <f>Year_2032!B60</f>
        <v>0</v>
      </c>
      <c r="C57" t="e">
        <f>Year_2040!C60/Year_2032!C60</f>
        <v>#DIV/0!</v>
      </c>
      <c r="D57" t="e">
        <f>Year_2040!D60/Year_2032!D60</f>
        <v>#DIV/0!</v>
      </c>
      <c r="E57" t="e">
        <f>Year_2040!E60/Year_2032!E60</f>
        <v>#DIV/0!</v>
      </c>
      <c r="F57" t="e">
        <f>Year_2040!F60/Year_2032!F60</f>
        <v>#DIV/0!</v>
      </c>
      <c r="G57" t="e">
        <f>Year_2040!G60/Year_2032!G60</f>
        <v>#DIV/0!</v>
      </c>
      <c r="H57" t="e">
        <f>Year_2040!H60/Year_2032!H60</f>
        <v>#DIV/0!</v>
      </c>
      <c r="I57" t="e">
        <f>Year_2040!I60/Year_2032!I60</f>
        <v>#DIV/0!</v>
      </c>
      <c r="J57" t="e">
        <f>Year_2040!J60/Year_2032!J60</f>
        <v>#DIV/0!</v>
      </c>
      <c r="K57" t="e">
        <f>Year_2040!K60/Year_2032!K60</f>
        <v>#DIV/0!</v>
      </c>
      <c r="L57" t="e">
        <f>Year_2040!L60/Year_2032!L60</f>
        <v>#DIV/0!</v>
      </c>
      <c r="M57" t="e">
        <f>Year_2040!M60/Year_2032!M60</f>
        <v>#DIV/0!</v>
      </c>
      <c r="N57">
        <f>Year_2040!N60</f>
        <v>0</v>
      </c>
      <c r="O57" t="e">
        <f>Year_2040!O60/Year_2032!O60</f>
        <v>#DIV/0!</v>
      </c>
      <c r="P57" t="e">
        <f>Year_2040!P60/Year_2032!P60</f>
        <v>#DIV/0!</v>
      </c>
      <c r="Q57" t="e">
        <f>Year_2040!Q60/Year_2032!Q60</f>
        <v>#DIV/0!</v>
      </c>
      <c r="R57" t="e">
        <f>Year_2040!R60/Year_2032!R60</f>
        <v>#DIV/0!</v>
      </c>
      <c r="S57" t="e">
        <f>Year_2040!S60/Year_2032!S60</f>
        <v>#DIV/0!</v>
      </c>
      <c r="T57" t="e">
        <f>Year_2040!T60/Year_2032!T60</f>
        <v>#DIV/0!</v>
      </c>
      <c r="U57" t="e">
        <f>Year_2040!U60/Year_2032!U60</f>
        <v>#DIV/0!</v>
      </c>
      <c r="V57" t="e">
        <f>Year_2040!V60/Year_2032!V60</f>
        <v>#DIV/0!</v>
      </c>
      <c r="W57" t="e">
        <f>Year_2040!W60/Year_2032!W60</f>
        <v>#DIV/0!</v>
      </c>
      <c r="X57" t="e">
        <f>Year_2040!X60/Year_2032!X60</f>
        <v>#DIV/0!</v>
      </c>
      <c r="Y57" t="e">
        <f>Year_2040!Y60/Year_2032!Y60</f>
        <v>#DIV/0!</v>
      </c>
      <c r="Z57" t="e">
        <f>Year_2040!Z60/Year_2032!Z60</f>
        <v>#DIV/0!</v>
      </c>
      <c r="AA57" t="e">
        <f>Year_2040!AA60/Year_2032!AA60</f>
        <v>#DIV/0!</v>
      </c>
      <c r="AB57" t="e">
        <f>Year_2040!AB60/Year_2032!AB60</f>
        <v>#DIV/0!</v>
      </c>
      <c r="AC57" t="e">
        <f>Year_2040!AC60/Year_2032!AC60</f>
        <v>#DIV/0!</v>
      </c>
      <c r="AD57" t="e">
        <f>Year_2040!AD60/Year_2032!AD60</f>
        <v>#DIV/0!</v>
      </c>
      <c r="AE57" t="e">
        <f>Year_2040!AE60/Year_2032!AE60</f>
        <v>#DIV/0!</v>
      </c>
      <c r="AF57" t="e">
        <f>Year_2040!AF60/Year_2032!AF60</f>
        <v>#DIV/0!</v>
      </c>
      <c r="AG57" t="e">
        <f>Year_2040!AG60/Year_2032!AG60</f>
        <v>#DIV/0!</v>
      </c>
      <c r="AH57" t="e">
        <f>Year_2040!AH60/Year_2032!AH60</f>
        <v>#DIV/0!</v>
      </c>
      <c r="AI57" t="e">
        <f>Year_2040!AI60/Year_2032!AI60</f>
        <v>#DIV/0!</v>
      </c>
      <c r="AJ57" t="e">
        <f>Year_2040!AJ60/Year_2032!AJ60</f>
        <v>#DIV/0!</v>
      </c>
      <c r="AK57" t="e">
        <f>Year_2040!AK60/Year_2032!AK60</f>
        <v>#DIV/0!</v>
      </c>
      <c r="AL57" t="e">
        <f>Year_2040!AL60/Year_2032!AL60</f>
        <v>#DIV/0!</v>
      </c>
      <c r="AM57" t="e">
        <f>Year_2040!AM60/Year_2032!AM60</f>
        <v>#DIV/0!</v>
      </c>
      <c r="AN57" t="e">
        <f>Year_2040!AN60/Year_2032!AN60</f>
        <v>#DIV/0!</v>
      </c>
      <c r="AO57" t="e">
        <f>Year_2040!AO60/Year_2032!AO60</f>
        <v>#DIV/0!</v>
      </c>
      <c r="AP57" t="e">
        <f>Year_2040!AP60/Year_2032!AP60</f>
        <v>#DIV/0!</v>
      </c>
      <c r="AQ57" t="e">
        <f>Year_2040!AQ60/Year_2032!AQ60</f>
        <v>#DIV/0!</v>
      </c>
      <c r="AR57" t="e">
        <f>Year_2040!AR60/Year_2032!AR60</f>
        <v>#DIV/0!</v>
      </c>
      <c r="AS57" t="e">
        <f>Year_2040!AS60/Year_2032!AS60</f>
        <v>#DIV/0!</v>
      </c>
      <c r="AT57" t="e">
        <f>Year_2040!AT60/Year_2032!AT60</f>
        <v>#DIV/0!</v>
      </c>
      <c r="AU57" t="e">
        <f>Year_2040!AU60/Year_2032!AU60</f>
        <v>#DIV/0!</v>
      </c>
      <c r="AV57" t="e">
        <f>Year_2040!AV60/Year_2032!AV60</f>
        <v>#DIV/0!</v>
      </c>
      <c r="AW57" t="e">
        <f>Year_2040!AW60/Year_2032!AW60</f>
        <v>#DIV/0!</v>
      </c>
      <c r="AX57" t="e">
        <f>Year_2040!AX60/Year_2032!AX60</f>
        <v>#DIV/0!</v>
      </c>
    </row>
    <row r="58" spans="2:50" x14ac:dyDescent="0.3">
      <c r="B58" t="str">
        <f>Year_2032!B61</f>
        <v>Revenue Per Period Medium A</v>
      </c>
      <c r="C58" t="e">
        <f>Year_2040!C61/Year_2032!C61</f>
        <v>#DIV/0!</v>
      </c>
      <c r="D58" t="e">
        <f>Year_2040!D61/Year_2032!D61</f>
        <v>#DIV/0!</v>
      </c>
      <c r="E58" t="e">
        <f>Year_2040!E61/Year_2032!E61</f>
        <v>#DIV/0!</v>
      </c>
      <c r="F58" t="e">
        <f>Year_2040!F61/Year_2032!F61</f>
        <v>#DIV/0!</v>
      </c>
      <c r="G58" t="e">
        <f>Year_2040!G61/Year_2032!G61</f>
        <v>#DIV/0!</v>
      </c>
      <c r="H58" t="e">
        <f>Year_2040!H61/Year_2032!H61</f>
        <v>#DIV/0!</v>
      </c>
      <c r="I58" t="e">
        <f>Year_2040!I61/Year_2032!I61</f>
        <v>#DIV/0!</v>
      </c>
      <c r="J58" t="e">
        <f>Year_2040!J61/Year_2032!J61</f>
        <v>#DIV/0!</v>
      </c>
      <c r="K58" t="e">
        <f>Year_2040!K61/Year_2032!K61</f>
        <v>#DIV/0!</v>
      </c>
      <c r="L58" t="e">
        <f>Year_2040!L61/Year_2032!L61</f>
        <v>#DIV/0!</v>
      </c>
      <c r="M58" t="e">
        <f>Year_2040!M61/Year_2032!M61</f>
        <v>#DIV/0!</v>
      </c>
      <c r="N58" t="str">
        <f>Year_2040!N61</f>
        <v>ML Speed</v>
      </c>
      <c r="O58" t="e">
        <f>Year_2040!O61/Year_2032!O61</f>
        <v>#DIV/0!</v>
      </c>
      <c r="P58" t="e">
        <f>Year_2040!P61/Year_2032!P61</f>
        <v>#DIV/0!</v>
      </c>
      <c r="Q58" t="e">
        <f>Year_2040!Q61/Year_2032!Q61</f>
        <v>#DIV/0!</v>
      </c>
      <c r="R58" t="e">
        <f>Year_2040!R61/Year_2032!R61</f>
        <v>#DIV/0!</v>
      </c>
      <c r="S58" t="e">
        <f>Year_2040!S61/Year_2032!S61</f>
        <v>#DIV/0!</v>
      </c>
      <c r="T58" t="e">
        <f>Year_2040!T61/Year_2032!T61</f>
        <v>#DIV/0!</v>
      </c>
      <c r="U58" t="e">
        <f>Year_2040!U61/Year_2032!U61</f>
        <v>#DIV/0!</v>
      </c>
      <c r="V58" t="e">
        <f>Year_2040!V61/Year_2032!V61</f>
        <v>#DIV/0!</v>
      </c>
      <c r="W58" t="e">
        <f>Year_2040!W61/Year_2032!W61</f>
        <v>#DIV/0!</v>
      </c>
      <c r="X58" t="e">
        <f>Year_2040!X61/Year_2032!X61</f>
        <v>#DIV/0!</v>
      </c>
      <c r="Y58" t="e">
        <f>Year_2040!Y61/Year_2032!Y61</f>
        <v>#DIV/0!</v>
      </c>
      <c r="Z58" t="e">
        <f>Year_2040!Z61/Year_2032!Z61</f>
        <v>#DIV/0!</v>
      </c>
      <c r="AA58" t="e">
        <f>Year_2040!AA61/Year_2032!AA61</f>
        <v>#VALUE!</v>
      </c>
      <c r="AB58" t="e">
        <f>Year_2040!AB61/Year_2032!AB61</f>
        <v>#DIV/0!</v>
      </c>
      <c r="AC58" t="e">
        <f>Year_2040!AC61/Year_2032!AC61</f>
        <v>#DIV/0!</v>
      </c>
      <c r="AD58" t="e">
        <f>Year_2040!AD61/Year_2032!AD61</f>
        <v>#DIV/0!</v>
      </c>
      <c r="AE58" t="e">
        <f>Year_2040!AE61/Year_2032!AE61</f>
        <v>#DIV/0!</v>
      </c>
      <c r="AF58" t="e">
        <f>Year_2040!AF61/Year_2032!AF61</f>
        <v>#DIV/0!</v>
      </c>
      <c r="AG58" t="e">
        <f>Year_2040!AG61/Year_2032!AG61</f>
        <v>#DIV/0!</v>
      </c>
      <c r="AH58" t="e">
        <f>Year_2040!AH61/Year_2032!AH61</f>
        <v>#DIV/0!</v>
      </c>
      <c r="AI58" t="e">
        <f>Year_2040!AI61/Year_2032!AI61</f>
        <v>#DIV/0!</v>
      </c>
      <c r="AJ58" t="e">
        <f>Year_2040!AJ61/Year_2032!AJ61</f>
        <v>#DIV/0!</v>
      </c>
      <c r="AK58" t="e">
        <f>Year_2040!AK61/Year_2032!AK61</f>
        <v>#DIV/0!</v>
      </c>
      <c r="AL58" t="e">
        <f>Year_2040!AL61/Year_2032!AL61</f>
        <v>#DIV/0!</v>
      </c>
      <c r="AM58" t="e">
        <f>Year_2040!AM61/Year_2032!AM61</f>
        <v>#DIV/0!</v>
      </c>
      <c r="AN58" t="e">
        <f>Year_2040!AN61/Year_2032!AN61</f>
        <v>#VALUE!</v>
      </c>
      <c r="AO58" t="e">
        <f>Year_2040!AO61/Year_2032!AO61</f>
        <v>#DIV/0!</v>
      </c>
      <c r="AP58" t="e">
        <f>Year_2040!AP61/Year_2032!AP61</f>
        <v>#DIV/0!</v>
      </c>
      <c r="AQ58" t="e">
        <f>Year_2040!AQ61/Year_2032!AQ61</f>
        <v>#DIV/0!</v>
      </c>
      <c r="AR58" t="e">
        <f>Year_2040!AR61/Year_2032!AR61</f>
        <v>#DIV/0!</v>
      </c>
      <c r="AS58" t="e">
        <f>Year_2040!AS61/Year_2032!AS61</f>
        <v>#DIV/0!</v>
      </c>
      <c r="AT58" t="e">
        <f>Year_2040!AT61/Year_2032!AT61</f>
        <v>#DIV/0!</v>
      </c>
      <c r="AU58" t="e">
        <f>Year_2040!AU61/Year_2032!AU61</f>
        <v>#DIV/0!</v>
      </c>
      <c r="AV58" t="e">
        <f>Year_2040!AV61/Year_2032!AV61</f>
        <v>#DIV/0!</v>
      </c>
      <c r="AW58" t="e">
        <f>Year_2040!AW61/Year_2032!AW61</f>
        <v>#DIV/0!</v>
      </c>
      <c r="AX58" t="e">
        <f>Year_2040!AX61/Year_2032!AX61</f>
        <v>#DIV/0!</v>
      </c>
    </row>
    <row r="59" spans="2:50" x14ac:dyDescent="0.3">
      <c r="B59" t="str">
        <f>Year_2032!B62</f>
        <v>Direction</v>
      </c>
      <c r="C59" t="e">
        <f>Year_2040!C62/Year_2032!C62</f>
        <v>#VALUE!</v>
      </c>
      <c r="D59" t="e">
        <f>Year_2040!D62/Year_2032!D62</f>
        <v>#VALUE!</v>
      </c>
      <c r="E59" t="e">
        <f>Year_2040!E62/Year_2032!E62</f>
        <v>#VALUE!</v>
      </c>
      <c r="F59" t="e">
        <f>Year_2040!F62/Year_2032!F62</f>
        <v>#VALUE!</v>
      </c>
      <c r="G59" t="e">
        <f>Year_2040!G62/Year_2032!G62</f>
        <v>#VALUE!</v>
      </c>
      <c r="H59" t="e">
        <f>Year_2040!H62/Year_2032!H62</f>
        <v>#VALUE!</v>
      </c>
      <c r="I59" t="e">
        <f>Year_2040!I62/Year_2032!I62</f>
        <v>#VALUE!</v>
      </c>
      <c r="J59" t="e">
        <f>Year_2040!J62/Year_2032!J62</f>
        <v>#VALUE!</v>
      </c>
      <c r="K59" t="e">
        <f>Year_2040!K62/Year_2032!K62</f>
        <v>#VALUE!</v>
      </c>
      <c r="L59" t="e">
        <f>Year_2040!L62/Year_2032!L62</f>
        <v>#VALUE!</v>
      </c>
      <c r="M59" t="e">
        <f>Year_2040!M62/Year_2032!M62</f>
        <v>#DIV/0!</v>
      </c>
      <c r="N59" t="str">
        <f>Year_2040!N62</f>
        <v>Direction</v>
      </c>
      <c r="O59" t="e">
        <f>Year_2040!O62/Year_2032!O62</f>
        <v>#VALUE!</v>
      </c>
      <c r="P59" t="e">
        <f>Year_2040!P62/Year_2032!P62</f>
        <v>#VALUE!</v>
      </c>
      <c r="Q59" t="e">
        <f>Year_2040!Q62/Year_2032!Q62</f>
        <v>#VALUE!</v>
      </c>
      <c r="R59" t="e">
        <f>Year_2040!R62/Year_2032!R62</f>
        <v>#VALUE!</v>
      </c>
      <c r="S59" t="e">
        <f>Year_2040!S62/Year_2032!S62</f>
        <v>#VALUE!</v>
      </c>
      <c r="T59" t="e">
        <f>Year_2040!T62/Year_2032!T62</f>
        <v>#VALUE!</v>
      </c>
      <c r="U59" t="e">
        <f>Year_2040!U62/Year_2032!U62</f>
        <v>#VALUE!</v>
      </c>
      <c r="V59" t="e">
        <f>Year_2040!V62/Year_2032!V62</f>
        <v>#VALUE!</v>
      </c>
      <c r="W59" t="e">
        <f>Year_2040!W62/Year_2032!W62</f>
        <v>#VALUE!</v>
      </c>
      <c r="X59" t="e">
        <f>Year_2040!X62/Year_2032!X62</f>
        <v>#VALUE!</v>
      </c>
      <c r="Y59" t="e">
        <f>Year_2040!Y62/Year_2032!Y62</f>
        <v>#DIV/0!</v>
      </c>
      <c r="Z59" t="e">
        <f>Year_2040!Z62/Year_2032!Z62</f>
        <v>#DIV/0!</v>
      </c>
      <c r="AA59" t="e">
        <f>Year_2040!AA62/Year_2032!AA62</f>
        <v>#VALUE!</v>
      </c>
      <c r="AB59" t="e">
        <f>Year_2040!AB62/Year_2032!AB62</f>
        <v>#VALUE!</v>
      </c>
      <c r="AC59" t="e">
        <f>Year_2040!AC62/Year_2032!AC62</f>
        <v>#VALUE!</v>
      </c>
      <c r="AD59" t="e">
        <f>Year_2040!AD62/Year_2032!AD62</f>
        <v>#VALUE!</v>
      </c>
      <c r="AE59" t="e">
        <f>Year_2040!AE62/Year_2032!AE62</f>
        <v>#VALUE!</v>
      </c>
      <c r="AF59" t="e">
        <f>Year_2040!AF62/Year_2032!AF62</f>
        <v>#VALUE!</v>
      </c>
      <c r="AG59" t="e">
        <f>Year_2040!AG62/Year_2032!AG62</f>
        <v>#VALUE!</v>
      </c>
      <c r="AH59" t="e">
        <f>Year_2040!AH62/Year_2032!AH62</f>
        <v>#VALUE!</v>
      </c>
      <c r="AI59" t="e">
        <f>Year_2040!AI62/Year_2032!AI62</f>
        <v>#VALUE!</v>
      </c>
      <c r="AJ59" t="e">
        <f>Year_2040!AJ62/Year_2032!AJ62</f>
        <v>#VALUE!</v>
      </c>
      <c r="AK59" t="e">
        <f>Year_2040!AK62/Year_2032!AK62</f>
        <v>#VALUE!</v>
      </c>
      <c r="AL59" t="e">
        <f>Year_2040!AL62/Year_2032!AL62</f>
        <v>#DIV/0!</v>
      </c>
      <c r="AM59" t="e">
        <f>Year_2040!AM62/Year_2032!AM62</f>
        <v>#DIV/0!</v>
      </c>
      <c r="AN59" t="e">
        <f>Year_2040!AN62/Year_2032!AN62</f>
        <v>#VALUE!</v>
      </c>
      <c r="AO59" t="e">
        <f>Year_2040!AO62/Year_2032!AO62</f>
        <v>#VALUE!</v>
      </c>
      <c r="AP59" t="e">
        <f>Year_2040!AP62/Year_2032!AP62</f>
        <v>#VALUE!</v>
      </c>
      <c r="AQ59" t="e">
        <f>Year_2040!AQ62/Year_2032!AQ62</f>
        <v>#VALUE!</v>
      </c>
      <c r="AR59" t="e">
        <f>Year_2040!AR62/Year_2032!AR62</f>
        <v>#VALUE!</v>
      </c>
      <c r="AS59" t="e">
        <f>Year_2040!AS62/Year_2032!AS62</f>
        <v>#VALUE!</v>
      </c>
      <c r="AT59" t="e">
        <f>Year_2040!AT62/Year_2032!AT62</f>
        <v>#VALUE!</v>
      </c>
      <c r="AU59" t="e">
        <f>Year_2040!AU62/Year_2032!AU62</f>
        <v>#VALUE!</v>
      </c>
      <c r="AV59" t="e">
        <f>Year_2040!AV62/Year_2032!AV62</f>
        <v>#VALUE!</v>
      </c>
      <c r="AW59" t="e">
        <f>Year_2040!AW62/Year_2032!AW62</f>
        <v>#VALUE!</v>
      </c>
      <c r="AX59" t="e">
        <f>Year_2040!AX62/Year_2032!AX62</f>
        <v>#VALUE!</v>
      </c>
    </row>
    <row r="60" spans="2:50" x14ac:dyDescent="0.3">
      <c r="B60" t="str">
        <f>Year_2032!B63</f>
        <v>Segment</v>
      </c>
      <c r="C60">
        <f>Year_2040!C63/Year_2032!C63</f>
        <v>1</v>
      </c>
      <c r="D60">
        <f>Year_2040!D63/Year_2032!D63</f>
        <v>1</v>
      </c>
      <c r="E60">
        <f>Year_2040!E63/Year_2032!E63</f>
        <v>1</v>
      </c>
      <c r="F60">
        <f>Year_2040!F63/Year_2032!F63</f>
        <v>1</v>
      </c>
      <c r="G60">
        <f>Year_2040!G63/Year_2032!G63</f>
        <v>1</v>
      </c>
      <c r="H60">
        <f>Year_2040!H63/Year_2032!H63</f>
        <v>1</v>
      </c>
      <c r="I60">
        <f>Year_2040!I63/Year_2032!I63</f>
        <v>1</v>
      </c>
      <c r="J60">
        <f>Year_2040!J63/Year_2032!J63</f>
        <v>1</v>
      </c>
      <c r="K60">
        <f>Year_2040!K63/Year_2032!K63</f>
        <v>1</v>
      </c>
      <c r="L60">
        <f>Year_2040!L63/Year_2032!L63</f>
        <v>1</v>
      </c>
      <c r="M60" t="e">
        <f>Year_2040!M63/Year_2032!M63</f>
        <v>#DIV/0!</v>
      </c>
      <c r="N60" t="str">
        <f>Year_2040!N63</f>
        <v>Segment</v>
      </c>
      <c r="O60">
        <f>Year_2040!O63/Year_2032!O63</f>
        <v>1</v>
      </c>
      <c r="P60">
        <f>Year_2040!P63/Year_2032!P63</f>
        <v>1</v>
      </c>
      <c r="Q60">
        <f>Year_2040!Q63/Year_2032!Q63</f>
        <v>1</v>
      </c>
      <c r="R60">
        <f>Year_2040!R63/Year_2032!R63</f>
        <v>1</v>
      </c>
      <c r="S60">
        <f>Year_2040!S63/Year_2032!S63</f>
        <v>1</v>
      </c>
      <c r="T60">
        <f>Year_2040!T63/Year_2032!T63</f>
        <v>1</v>
      </c>
      <c r="U60">
        <f>Year_2040!U63/Year_2032!U63</f>
        <v>1</v>
      </c>
      <c r="V60">
        <f>Year_2040!V63/Year_2032!V63</f>
        <v>1</v>
      </c>
      <c r="W60">
        <f>Year_2040!W63/Year_2032!W63</f>
        <v>1</v>
      </c>
      <c r="X60">
        <f>Year_2040!X63/Year_2032!X63</f>
        <v>1</v>
      </c>
      <c r="Y60" t="e">
        <f>Year_2040!Y63/Year_2032!Y63</f>
        <v>#DIV/0!</v>
      </c>
      <c r="Z60" t="e">
        <f>Year_2040!Z63/Year_2032!Z63</f>
        <v>#DIV/0!</v>
      </c>
      <c r="AA60" t="e">
        <f>Year_2040!AA63/Year_2032!AA63</f>
        <v>#VALUE!</v>
      </c>
      <c r="AB60">
        <f>Year_2040!AB63/Year_2032!AB63</f>
        <v>1</v>
      </c>
      <c r="AC60">
        <f>Year_2040!AC63/Year_2032!AC63</f>
        <v>1</v>
      </c>
      <c r="AD60">
        <f>Year_2040!AD63/Year_2032!AD63</f>
        <v>1</v>
      </c>
      <c r="AE60">
        <f>Year_2040!AE63/Year_2032!AE63</f>
        <v>1</v>
      </c>
      <c r="AF60">
        <f>Year_2040!AF63/Year_2032!AF63</f>
        <v>1</v>
      </c>
      <c r="AG60">
        <f>Year_2040!AG63/Year_2032!AG63</f>
        <v>1</v>
      </c>
      <c r="AH60">
        <f>Year_2040!AH63/Year_2032!AH63</f>
        <v>1</v>
      </c>
      <c r="AI60">
        <f>Year_2040!AI63/Year_2032!AI63</f>
        <v>1</v>
      </c>
      <c r="AJ60">
        <f>Year_2040!AJ63/Year_2032!AJ63</f>
        <v>1</v>
      </c>
      <c r="AK60">
        <f>Year_2040!AK63/Year_2032!AK63</f>
        <v>1</v>
      </c>
      <c r="AL60" t="e">
        <f>Year_2040!AL63/Year_2032!AL63</f>
        <v>#DIV/0!</v>
      </c>
      <c r="AM60" t="e">
        <f>Year_2040!AM63/Year_2032!AM63</f>
        <v>#DIV/0!</v>
      </c>
      <c r="AN60" t="e">
        <f>Year_2040!AN63/Year_2032!AN63</f>
        <v>#VALUE!</v>
      </c>
      <c r="AO60">
        <f>Year_2040!AO63/Year_2032!AO63</f>
        <v>1</v>
      </c>
      <c r="AP60">
        <f>Year_2040!AP63/Year_2032!AP63</f>
        <v>1</v>
      </c>
      <c r="AQ60">
        <f>Year_2040!AQ63/Year_2032!AQ63</f>
        <v>1</v>
      </c>
      <c r="AR60">
        <f>Year_2040!AR63/Year_2032!AR63</f>
        <v>1</v>
      </c>
      <c r="AS60">
        <f>Year_2040!AS63/Year_2032!AS63</f>
        <v>1</v>
      </c>
      <c r="AT60">
        <f>Year_2040!AT63/Year_2032!AT63</f>
        <v>1</v>
      </c>
      <c r="AU60">
        <f>Year_2040!AU63/Year_2032!AU63</f>
        <v>1</v>
      </c>
      <c r="AV60">
        <f>Year_2040!AV63/Year_2032!AV63</f>
        <v>1</v>
      </c>
      <c r="AW60">
        <f>Year_2040!AW63/Year_2032!AW63</f>
        <v>1</v>
      </c>
      <c r="AX60">
        <f>Year_2040!AX63/Year_2032!AX63</f>
        <v>1</v>
      </c>
    </row>
    <row r="61" spans="2:50" x14ac:dyDescent="0.3">
      <c r="B61" t="str">
        <f>Year_2032!B64</f>
        <v>Period</v>
      </c>
      <c r="C61" t="e">
        <f>Year_2040!C64/Year_2032!C64</f>
        <v>#DIV/0!</v>
      </c>
      <c r="D61" t="e">
        <f>Year_2040!D64/Year_2032!D64</f>
        <v>#DIV/0!</v>
      </c>
      <c r="E61" t="e">
        <f>Year_2040!E64/Year_2032!E64</f>
        <v>#DIV/0!</v>
      </c>
      <c r="F61" t="e">
        <f>Year_2040!F64/Year_2032!F64</f>
        <v>#DIV/0!</v>
      </c>
      <c r="G61" t="e">
        <f>Year_2040!G64/Year_2032!G64</f>
        <v>#DIV/0!</v>
      </c>
      <c r="H61" t="e">
        <f>Year_2040!H64/Year_2032!H64</f>
        <v>#DIV/0!</v>
      </c>
      <c r="I61" t="e">
        <f>Year_2040!I64/Year_2032!I64</f>
        <v>#DIV/0!</v>
      </c>
      <c r="J61" t="e">
        <f>Year_2040!J64/Year_2032!J64</f>
        <v>#DIV/0!</v>
      </c>
      <c r="K61" t="e">
        <f>Year_2040!K64/Year_2032!K64</f>
        <v>#DIV/0!</v>
      </c>
      <c r="L61" t="e">
        <f>Year_2040!L64/Year_2032!L64</f>
        <v>#DIV/0!</v>
      </c>
      <c r="M61" t="e">
        <f>Year_2040!M64/Year_2032!M64</f>
        <v>#DIV/0!</v>
      </c>
      <c r="N61" t="str">
        <f>Year_2040!N64</f>
        <v>Period</v>
      </c>
      <c r="O61" t="e">
        <f>Year_2040!O64/Year_2032!O64</f>
        <v>#DIV/0!</v>
      </c>
      <c r="P61" t="e">
        <f>Year_2040!P64/Year_2032!P64</f>
        <v>#DIV/0!</v>
      </c>
      <c r="Q61" t="e">
        <f>Year_2040!Q64/Year_2032!Q64</f>
        <v>#DIV/0!</v>
      </c>
      <c r="R61" t="e">
        <f>Year_2040!R64/Year_2032!R64</f>
        <v>#DIV/0!</v>
      </c>
      <c r="S61" t="e">
        <f>Year_2040!S64/Year_2032!S64</f>
        <v>#DIV/0!</v>
      </c>
      <c r="T61" t="e">
        <f>Year_2040!T64/Year_2032!T64</f>
        <v>#DIV/0!</v>
      </c>
      <c r="U61" t="e">
        <f>Year_2040!U64/Year_2032!U64</f>
        <v>#DIV/0!</v>
      </c>
      <c r="V61" t="e">
        <f>Year_2040!V64/Year_2032!V64</f>
        <v>#DIV/0!</v>
      </c>
      <c r="W61" t="e">
        <f>Year_2040!W64/Year_2032!W64</f>
        <v>#DIV/0!</v>
      </c>
      <c r="X61" t="e">
        <f>Year_2040!X64/Year_2032!X64</f>
        <v>#DIV/0!</v>
      </c>
      <c r="Y61" t="e">
        <f>Year_2040!Y64/Year_2032!Y64</f>
        <v>#DIV/0!</v>
      </c>
      <c r="Z61" t="e">
        <f>Year_2040!Z64/Year_2032!Z64</f>
        <v>#DIV/0!</v>
      </c>
      <c r="AA61" t="e">
        <f>Year_2040!AA64/Year_2032!AA64</f>
        <v>#VALUE!</v>
      </c>
      <c r="AB61" t="e">
        <f>Year_2040!AB64/Year_2032!AB64</f>
        <v>#DIV/0!</v>
      </c>
      <c r="AC61" t="e">
        <f>Year_2040!AC64/Year_2032!AC64</f>
        <v>#DIV/0!</v>
      </c>
      <c r="AD61" t="e">
        <f>Year_2040!AD64/Year_2032!AD64</f>
        <v>#DIV/0!</v>
      </c>
      <c r="AE61" t="e">
        <f>Year_2040!AE64/Year_2032!AE64</f>
        <v>#DIV/0!</v>
      </c>
      <c r="AF61" t="e">
        <f>Year_2040!AF64/Year_2032!AF64</f>
        <v>#DIV/0!</v>
      </c>
      <c r="AG61" t="e">
        <f>Year_2040!AG64/Year_2032!AG64</f>
        <v>#DIV/0!</v>
      </c>
      <c r="AH61" t="e">
        <f>Year_2040!AH64/Year_2032!AH64</f>
        <v>#DIV/0!</v>
      </c>
      <c r="AI61" t="e">
        <f>Year_2040!AI64/Year_2032!AI64</f>
        <v>#DIV/0!</v>
      </c>
      <c r="AJ61" t="e">
        <f>Year_2040!AJ64/Year_2032!AJ64</f>
        <v>#DIV/0!</v>
      </c>
      <c r="AK61" t="e">
        <f>Year_2040!AK64/Year_2032!AK64</f>
        <v>#DIV/0!</v>
      </c>
      <c r="AL61" t="e">
        <f>Year_2040!AL64/Year_2032!AL64</f>
        <v>#DIV/0!</v>
      </c>
      <c r="AM61" t="e">
        <f>Year_2040!AM64/Year_2032!AM64</f>
        <v>#DIV/0!</v>
      </c>
      <c r="AN61" t="e">
        <f>Year_2040!AN64/Year_2032!AN64</f>
        <v>#VALUE!</v>
      </c>
      <c r="AO61" t="e">
        <f>Year_2040!AO64/Year_2032!AO64</f>
        <v>#DIV/0!</v>
      </c>
      <c r="AP61" t="e">
        <f>Year_2040!AP64/Year_2032!AP64</f>
        <v>#DIV/0!</v>
      </c>
      <c r="AQ61" t="e">
        <f>Year_2040!AQ64/Year_2032!AQ64</f>
        <v>#DIV/0!</v>
      </c>
      <c r="AR61" t="e">
        <f>Year_2040!AR64/Year_2032!AR64</f>
        <v>#DIV/0!</v>
      </c>
      <c r="AS61" t="e">
        <f>Year_2040!AS64/Year_2032!AS64</f>
        <v>#DIV/0!</v>
      </c>
      <c r="AT61" t="e">
        <f>Year_2040!AT64/Year_2032!AT64</f>
        <v>#DIV/0!</v>
      </c>
      <c r="AU61" t="e">
        <f>Year_2040!AU64/Year_2032!AU64</f>
        <v>#DIV/0!</v>
      </c>
      <c r="AV61" t="e">
        <f>Year_2040!AV64/Year_2032!AV64</f>
        <v>#DIV/0!</v>
      </c>
      <c r="AW61" t="e">
        <f>Year_2040!AW64/Year_2032!AW64</f>
        <v>#DIV/0!</v>
      </c>
      <c r="AX61" t="e">
        <f>Year_2040!AX64/Year_2032!AX64</f>
        <v>#DIV/0!</v>
      </c>
    </row>
    <row r="62" spans="2:50" x14ac:dyDescent="0.3">
      <c r="B62" t="str">
        <f>Year_2032!B65</f>
        <v>Night</v>
      </c>
      <c r="C62">
        <f>Year_2040!C65/Year_2032!C65</f>
        <v>1.0964092474176095</v>
      </c>
      <c r="D62">
        <f>Year_2040!D65/Year_2032!D65</f>
        <v>1.2935606060606062</v>
      </c>
      <c r="E62">
        <f>Year_2040!E65/Year_2032!E65</f>
        <v>1.4136312849162012</v>
      </c>
      <c r="F62">
        <f>Year_2040!F65/Year_2032!F65</f>
        <v>1.110443275732532</v>
      </c>
      <c r="G62">
        <f>Year_2040!G65/Year_2032!G65</f>
        <v>1.9</v>
      </c>
      <c r="H62">
        <f>Year_2040!H65/Year_2032!H65</f>
        <v>1.8804433887569278</v>
      </c>
      <c r="I62">
        <f>Year_2040!I65/Year_2032!I65</f>
        <v>1.1169519152404239</v>
      </c>
      <c r="J62">
        <f>Year_2040!J65/Year_2032!J65</f>
        <v>1.1159737417943107</v>
      </c>
      <c r="K62">
        <f>Year_2040!K65/Year_2032!K65</f>
        <v>1.0161569532602424</v>
      </c>
      <c r="L62">
        <f>Year_2040!L65/Year_2032!L65</f>
        <v>0.99205236091631599</v>
      </c>
      <c r="M62" t="e">
        <f>Year_2040!M65/Year_2032!M65</f>
        <v>#DIV/0!</v>
      </c>
      <c r="N62" t="str">
        <f>Year_2040!N65</f>
        <v>Night</v>
      </c>
      <c r="O62">
        <f>Year_2040!O65/Year_2032!O65</f>
        <v>1</v>
      </c>
      <c r="P62">
        <f>Year_2040!P65/Year_2032!P65</f>
        <v>1</v>
      </c>
      <c r="Q62">
        <f>Year_2040!Q65/Year_2032!Q65</f>
        <v>1</v>
      </c>
      <c r="R62">
        <f>Year_2040!R65/Year_2032!R65</f>
        <v>1</v>
      </c>
      <c r="S62">
        <f>Year_2040!S65/Year_2032!S65</f>
        <v>1</v>
      </c>
      <c r="T62">
        <f>Year_2040!T65/Year_2032!T65</f>
        <v>1</v>
      </c>
      <c r="U62">
        <f>Year_2040!U65/Year_2032!U65</f>
        <v>1</v>
      </c>
      <c r="V62">
        <f>Year_2040!V65/Year_2032!V65</f>
        <v>1</v>
      </c>
      <c r="W62">
        <f>Year_2040!W65/Year_2032!W65</f>
        <v>1</v>
      </c>
      <c r="X62">
        <f>Year_2040!X65/Year_2032!X65</f>
        <v>1</v>
      </c>
      <c r="Y62" t="e">
        <f>Year_2040!Y65/Year_2032!Y65</f>
        <v>#DIV/0!</v>
      </c>
      <c r="Z62" t="e">
        <f>Year_2040!Z65/Year_2032!Z65</f>
        <v>#DIV/0!</v>
      </c>
      <c r="AA62" t="e">
        <f>Year_2040!AA65/Year_2032!AA65</f>
        <v>#VALUE!</v>
      </c>
      <c r="AB62">
        <f>Year_2040!AB65/Year_2032!AB65</f>
        <v>0.99899883197063233</v>
      </c>
      <c r="AC62">
        <f>Year_2040!AC65/Year_2032!AC65</f>
        <v>0.99899899899899913</v>
      </c>
      <c r="AD62">
        <f>Year_2040!AD65/Year_2032!AD65</f>
        <v>0.9993327773144286</v>
      </c>
      <c r="AE62">
        <f>Year_2040!AE65/Year_2032!AE65</f>
        <v>0.99983330555092509</v>
      </c>
      <c r="AF62">
        <f>Year_2040!AF65/Year_2032!AF65</f>
        <v>0.99981818181818183</v>
      </c>
      <c r="AG62">
        <f>Year_2040!AG65/Year_2032!AG65</f>
        <v>1</v>
      </c>
      <c r="AH62">
        <f>Year_2040!AH65/Year_2032!AH65</f>
        <v>1</v>
      </c>
      <c r="AI62">
        <f>Year_2040!AI65/Year_2032!AI65</f>
        <v>1</v>
      </c>
      <c r="AJ62">
        <f>Year_2040!AJ65/Year_2032!AJ65</f>
        <v>1</v>
      </c>
      <c r="AK62">
        <f>Year_2040!AK65/Year_2032!AK65</f>
        <v>1</v>
      </c>
      <c r="AL62" t="e">
        <f>Year_2040!AL65/Year_2032!AL65</f>
        <v>#DIV/0!</v>
      </c>
      <c r="AM62" t="e">
        <f>Year_2040!AM65/Year_2032!AM65</f>
        <v>#DIV/0!</v>
      </c>
      <c r="AN62" t="e">
        <f>Year_2040!AN65/Year_2032!AN65</f>
        <v>#VALUE!</v>
      </c>
      <c r="AO62" t="e">
        <f>Year_2040!AO65/Year_2032!AO65</f>
        <v>#DIV/0!</v>
      </c>
      <c r="AP62" t="e">
        <f>Year_2040!AP65/Year_2032!AP65</f>
        <v>#DIV/0!</v>
      </c>
      <c r="AQ62" t="e">
        <f>Year_2040!AQ65/Year_2032!AQ65</f>
        <v>#DIV/0!</v>
      </c>
      <c r="AR62" t="e">
        <f>Year_2040!AR65/Year_2032!AR65</f>
        <v>#DIV/0!</v>
      </c>
      <c r="AS62">
        <f>Year_2040!AS65/Year_2032!AS65</f>
        <v>1</v>
      </c>
      <c r="AT62">
        <f>Year_2040!AT65/Year_2032!AT65</f>
        <v>1</v>
      </c>
      <c r="AU62" t="e">
        <f>Year_2040!AU65/Year_2032!AU65</f>
        <v>#DIV/0!</v>
      </c>
      <c r="AV62" t="e">
        <f>Year_2040!AV65/Year_2032!AV65</f>
        <v>#DIV/0!</v>
      </c>
      <c r="AW62">
        <f>Year_2040!AW65/Year_2032!AW65</f>
        <v>1</v>
      </c>
      <c r="AX62" t="e">
        <f>Year_2040!AX65/Year_2032!AX65</f>
        <v>#DIV/0!</v>
      </c>
    </row>
    <row r="63" spans="2:50" x14ac:dyDescent="0.3">
      <c r="B63" t="str">
        <f>Year_2032!B66</f>
        <v>AM-Early</v>
      </c>
      <c r="C63">
        <f>Year_2040!C66/Year_2032!C66</f>
        <v>1.5104149026248941</v>
      </c>
      <c r="D63">
        <f>Year_2040!D66/Year_2032!D66</f>
        <v>1.9558596491228069</v>
      </c>
      <c r="E63">
        <f>Year_2040!E66/Year_2032!E66</f>
        <v>2.1739496584635538</v>
      </c>
      <c r="F63">
        <f>Year_2040!F66/Year_2032!F66</f>
        <v>1.5260569403714563</v>
      </c>
      <c r="G63">
        <f>Year_2040!G66/Year_2032!G66</f>
        <v>1.7796549566461071</v>
      </c>
      <c r="H63">
        <f>Year_2040!H66/Year_2032!H66</f>
        <v>1.9679878612930684</v>
      </c>
      <c r="I63">
        <f>Year_2040!I66/Year_2032!I66</f>
        <v>1.4988185740702693</v>
      </c>
      <c r="J63">
        <f>Year_2040!J66/Year_2032!J66</f>
        <v>2.1592415316642124</v>
      </c>
      <c r="K63">
        <f>Year_2040!K66/Year_2032!K66</f>
        <v>1.4293267536129715</v>
      </c>
      <c r="L63">
        <f>Year_2040!L66/Year_2032!L66</f>
        <v>1.4565873281930941</v>
      </c>
      <c r="M63" t="e">
        <f>Year_2040!M66/Year_2032!M66</f>
        <v>#DIV/0!</v>
      </c>
      <c r="N63" t="str">
        <f>Year_2040!N66</f>
        <v>AM-Early</v>
      </c>
      <c r="O63">
        <f>Year_2040!O66/Year_2032!O66</f>
        <v>0.99265442404006676</v>
      </c>
      <c r="P63">
        <f>Year_2040!P66/Year_2032!P66</f>
        <v>1</v>
      </c>
      <c r="Q63">
        <f>Year_2040!Q66/Year_2032!Q66</f>
        <v>0.99799297541394882</v>
      </c>
      <c r="R63">
        <f>Year_2040!R66/Year_2032!R66</f>
        <v>0.99933322220370058</v>
      </c>
      <c r="S63">
        <f>Year_2040!S66/Year_2032!S66</f>
        <v>0.95709017767348314</v>
      </c>
      <c r="T63">
        <f>Year_2040!T66/Year_2032!T66</f>
        <v>0.99966661110185029</v>
      </c>
      <c r="U63">
        <f>Year_2040!U66/Year_2032!U66</f>
        <v>0.98544420277731293</v>
      </c>
      <c r="V63">
        <f>Year_2040!V66/Year_2032!V66</f>
        <v>1</v>
      </c>
      <c r="W63">
        <f>Year_2040!W66/Year_2032!W66</f>
        <v>0.99348370927318297</v>
      </c>
      <c r="X63">
        <f>Year_2040!X66/Year_2032!X66</f>
        <v>1</v>
      </c>
      <c r="Y63" t="e">
        <f>Year_2040!Y66/Year_2032!Y66</f>
        <v>#DIV/0!</v>
      </c>
      <c r="Z63" t="e">
        <f>Year_2040!Z66/Year_2032!Z66</f>
        <v>#DIV/0!</v>
      </c>
      <c r="AA63" t="e">
        <f>Year_2040!AA66/Year_2032!AA66</f>
        <v>#VALUE!</v>
      </c>
      <c r="AB63">
        <f>Year_2040!AB66/Year_2032!AB66</f>
        <v>0.9985812248758571</v>
      </c>
      <c r="AC63">
        <f>Year_2040!AC66/Year_2032!AC66</f>
        <v>0.95548909218859956</v>
      </c>
      <c r="AD63">
        <f>Year_2040!AD66/Year_2032!AD66</f>
        <v>0.91814159292035391</v>
      </c>
      <c r="AE63">
        <f>Year_2040!AE66/Year_2032!AE66</f>
        <v>1.012924071082391</v>
      </c>
      <c r="AF63">
        <f>Year_2040!AF66/Year_2032!AF66</f>
        <v>0.91874999999999996</v>
      </c>
      <c r="AG63">
        <f>Year_2040!AG66/Year_2032!AG66</f>
        <v>0.93362554790231689</v>
      </c>
      <c r="AH63">
        <f>Year_2040!AH66/Year_2032!AH66</f>
        <v>0.99287241625089084</v>
      </c>
      <c r="AI63">
        <f>Year_2040!AI66/Year_2032!AI66</f>
        <v>0.99916541478885001</v>
      </c>
      <c r="AJ63">
        <f>Year_2040!AJ66/Year_2032!AJ66</f>
        <v>1.0160756501182033</v>
      </c>
      <c r="AK63">
        <f>Year_2040!AK66/Year_2032!AK66</f>
        <v>0.99960684096717134</v>
      </c>
      <c r="AL63" t="e">
        <f>Year_2040!AL66/Year_2032!AL66</f>
        <v>#DIV/0!</v>
      </c>
      <c r="AM63" t="e">
        <f>Year_2040!AM66/Year_2032!AM66</f>
        <v>#DIV/0!</v>
      </c>
      <c r="AN63" t="e">
        <f>Year_2040!AN66/Year_2032!AN66</f>
        <v>#VALUE!</v>
      </c>
      <c r="AO63">
        <f>Year_2040!AO66/Year_2032!AO66</f>
        <v>0.98913043478260865</v>
      </c>
      <c r="AP63">
        <f>Year_2040!AP66/Year_2032!AP66</f>
        <v>1.9166666666666667</v>
      </c>
      <c r="AQ63">
        <f>Year_2040!AQ66/Year_2032!AQ66</f>
        <v>1.9230769230769229</v>
      </c>
      <c r="AR63">
        <f>Year_2040!AR66/Year_2032!AR66</f>
        <v>0.95833333333333337</v>
      </c>
      <c r="AS63">
        <f>Year_2040!AS66/Year_2032!AS66</f>
        <v>1.1885245901639345</v>
      </c>
      <c r="AT63">
        <f>Year_2040!AT66/Year_2032!AT66</f>
        <v>1.3380281690140845</v>
      </c>
      <c r="AU63">
        <f>Year_2040!AU66/Year_2032!AU66</f>
        <v>0.9928057553956835</v>
      </c>
      <c r="AV63">
        <f>Year_2040!AV66/Year_2032!AV66</f>
        <v>1</v>
      </c>
      <c r="AW63">
        <f>Year_2040!AW66/Year_2032!AW66</f>
        <v>0.93939393939393934</v>
      </c>
      <c r="AX63">
        <f>Year_2040!AX66/Year_2032!AX66</f>
        <v>1</v>
      </c>
    </row>
    <row r="64" spans="2:50" x14ac:dyDescent="0.3">
      <c r="B64" t="str">
        <f>Year_2032!B67</f>
        <v>AM-Peak</v>
      </c>
      <c r="C64">
        <f>Year_2040!C67/Year_2032!C67</f>
        <v>2.1130915213656074</v>
      </c>
      <c r="D64">
        <f>Year_2040!D67/Year_2032!D67</f>
        <v>1.6369452219112355</v>
      </c>
      <c r="E64">
        <f>Year_2040!E67/Year_2032!E67</f>
        <v>2.3990913088084422</v>
      </c>
      <c r="F64">
        <f>Year_2040!F67/Year_2032!F67</f>
        <v>3.7173676410801169</v>
      </c>
      <c r="G64">
        <f>Year_2040!G67/Year_2032!G67</f>
        <v>2.2081544546813952</v>
      </c>
      <c r="H64">
        <f>Year_2040!H67/Year_2032!H67</f>
        <v>1.7010111006339219</v>
      </c>
      <c r="I64">
        <f>Year_2040!I67/Year_2032!I67</f>
        <v>2.349422406126596</v>
      </c>
      <c r="J64">
        <f>Year_2040!J67/Year_2032!J67</f>
        <v>2.0082915305920772</v>
      </c>
      <c r="K64">
        <f>Year_2040!K67/Year_2032!K67</f>
        <v>1.4135901551631889</v>
      </c>
      <c r="L64">
        <f>Year_2040!L67/Year_2032!L67</f>
        <v>1.3053839364518975</v>
      </c>
      <c r="M64" t="e">
        <f>Year_2040!M67/Year_2032!M67</f>
        <v>#DIV/0!</v>
      </c>
      <c r="N64" t="str">
        <f>Year_2040!N67</f>
        <v>AM-Peak</v>
      </c>
      <c r="O64">
        <f>Year_2040!O67/Year_2032!O67</f>
        <v>0.89834555688214224</v>
      </c>
      <c r="P64">
        <f>Year_2040!P67/Year_2032!P67</f>
        <v>0.99783261087029018</v>
      </c>
      <c r="Q64">
        <f>Year_2040!Q67/Year_2032!Q67</f>
        <v>0.99865069994940125</v>
      </c>
      <c r="R64">
        <f>Year_2040!R67/Year_2032!R67</f>
        <v>1.005978817902289</v>
      </c>
      <c r="S64">
        <f>Year_2040!S67/Year_2032!S67</f>
        <v>0.84365730239050774</v>
      </c>
      <c r="T64">
        <f>Year_2040!T67/Year_2032!T67</f>
        <v>0.97977941176470584</v>
      </c>
      <c r="U64">
        <f>Year_2040!U67/Year_2032!U67</f>
        <v>0.98187919463087248</v>
      </c>
      <c r="V64">
        <f>Year_2040!V67/Year_2032!V67</f>
        <v>0.99916541478885001</v>
      </c>
      <c r="W64">
        <f>Year_2040!W67/Year_2032!W67</f>
        <v>1</v>
      </c>
      <c r="X64">
        <f>Year_2040!X67/Year_2032!X67</f>
        <v>0.99799632659876447</v>
      </c>
      <c r="Y64" t="e">
        <f>Year_2040!Y67/Year_2032!Y67</f>
        <v>#DIV/0!</v>
      </c>
      <c r="Z64" t="e">
        <f>Year_2040!Z67/Year_2032!Z67</f>
        <v>#DIV/0!</v>
      </c>
      <c r="AA64" t="e">
        <f>Year_2040!AA67/Year_2032!AA67</f>
        <v>#VALUE!</v>
      </c>
      <c r="AB64">
        <f>Year_2040!AB67/Year_2032!AB67</f>
        <v>0.77123442808607023</v>
      </c>
      <c r="AC64">
        <f>Year_2040!AC67/Year_2032!AC67</f>
        <v>0.96297003244894064</v>
      </c>
      <c r="AD64">
        <f>Year_2040!AD67/Year_2032!AD67</f>
        <v>0.79907161803713522</v>
      </c>
      <c r="AE64">
        <f>Year_2040!AE67/Year_2032!AE67</f>
        <v>0.58245125348189419</v>
      </c>
      <c r="AF64">
        <f>Year_2040!AF67/Year_2032!AF67</f>
        <v>0.75780948708060158</v>
      </c>
      <c r="AG64">
        <f>Year_2040!AG67/Year_2032!AG67</f>
        <v>0.92949547218628714</v>
      </c>
      <c r="AH64">
        <f>Year_2040!AH67/Year_2032!AH67</f>
        <v>0.75203962703962701</v>
      </c>
      <c r="AI64">
        <f>Year_2040!AI67/Year_2032!AI67</f>
        <v>0.97522214627477777</v>
      </c>
      <c r="AJ64">
        <f>Year_2040!AJ67/Year_2032!AJ67</f>
        <v>1.0084933530280651</v>
      </c>
      <c r="AK64">
        <f>Year_2040!AK67/Year_2032!AK67</f>
        <v>1.0396860008722197</v>
      </c>
      <c r="AL64" t="e">
        <f>Year_2040!AL67/Year_2032!AL67</f>
        <v>#DIV/0!</v>
      </c>
      <c r="AM64" t="e">
        <f>Year_2040!AM67/Year_2032!AM67</f>
        <v>#DIV/0!</v>
      </c>
      <c r="AN64" t="e">
        <f>Year_2040!AN67/Year_2032!AN67</f>
        <v>#VALUE!</v>
      </c>
      <c r="AO64">
        <f>Year_2040!AO67/Year_2032!AO67</f>
        <v>1.4468864468864469</v>
      </c>
      <c r="AP64">
        <f>Year_2040!AP67/Year_2032!AP67</f>
        <v>1.28125</v>
      </c>
      <c r="AQ64">
        <f>Year_2040!AQ67/Year_2032!AQ67</f>
        <v>2.0506329113924049</v>
      </c>
      <c r="AR64">
        <f>Year_2040!AR67/Year_2032!AR67</f>
        <v>2.8580246913580245</v>
      </c>
      <c r="AS64">
        <f>Year_2040!AS67/Year_2032!AS67</f>
        <v>1.4281690140845071</v>
      </c>
      <c r="AT64">
        <f>Year_2040!AT67/Year_2032!AT67</f>
        <v>1.2716049382716048</v>
      </c>
      <c r="AU64">
        <f>Year_2040!AU67/Year_2032!AU67</f>
        <v>1.7510204081632652</v>
      </c>
      <c r="AV64">
        <f>Year_2040!AV67/Year_2032!AV67</f>
        <v>2</v>
      </c>
      <c r="AW64">
        <f>Year_2040!AW67/Year_2032!AW67</f>
        <v>0.88888888888888895</v>
      </c>
      <c r="AX64">
        <f>Year_2040!AX67/Year_2032!AX67</f>
        <v>0.8</v>
      </c>
    </row>
    <row r="65" spans="2:50" x14ac:dyDescent="0.3">
      <c r="B65" t="str">
        <f>Year_2032!B68</f>
        <v>AM-Shoulder</v>
      </c>
      <c r="C65">
        <f>Year_2040!C68/Year_2032!C68</f>
        <v>1.3869819933148833</v>
      </c>
      <c r="D65">
        <f>Year_2040!D68/Year_2032!D68</f>
        <v>1.8516447843024095</v>
      </c>
      <c r="E65">
        <f>Year_2040!E68/Year_2032!E68</f>
        <v>2.0191790708164188</v>
      </c>
      <c r="F65">
        <f>Year_2040!F68/Year_2032!F68</f>
        <v>1.3795761825436794</v>
      </c>
      <c r="G65">
        <f>Year_2040!G68/Year_2032!G68</f>
        <v>1.6186735087759132</v>
      </c>
      <c r="H65">
        <f>Year_2040!H68/Year_2032!H68</f>
        <v>1.7594565653861598</v>
      </c>
      <c r="I65">
        <f>Year_2040!I68/Year_2032!I68</f>
        <v>2.2598631880369076</v>
      </c>
      <c r="J65">
        <f>Year_2040!J68/Year_2032!J68</f>
        <v>1.9998153959756324</v>
      </c>
      <c r="K65">
        <f>Year_2040!K68/Year_2032!K68</f>
        <v>1.4559784299491858</v>
      </c>
      <c r="L65">
        <f>Year_2040!L68/Year_2032!L68</f>
        <v>1.4264823185323052</v>
      </c>
      <c r="M65" t="e">
        <f>Year_2040!M68/Year_2032!M68</f>
        <v>#DIV/0!</v>
      </c>
      <c r="N65" t="str">
        <f>Year_2040!N68</f>
        <v>AM-Shoulder</v>
      </c>
      <c r="O65">
        <f>Year_2040!O68/Year_2032!O68</f>
        <v>0.9933121551580002</v>
      </c>
      <c r="P65">
        <f>Year_2040!P68/Year_2032!P68</f>
        <v>0.99849999999999994</v>
      </c>
      <c r="Q65">
        <f>Year_2040!Q68/Year_2032!Q68</f>
        <v>0.97873053089934681</v>
      </c>
      <c r="R65">
        <f>Year_2040!R68/Year_2032!R68</f>
        <v>0.98826291079812201</v>
      </c>
      <c r="S65">
        <f>Year_2040!S68/Year_2032!S68</f>
        <v>1.0005030181086518</v>
      </c>
      <c r="T65">
        <f>Year_2040!T68/Year_2032!T68</f>
        <v>0.96537303445968548</v>
      </c>
      <c r="U65">
        <f>Year_2040!U68/Year_2032!U68</f>
        <v>0.9983283182881979</v>
      </c>
      <c r="V65">
        <f>Year_2040!V68/Year_2032!V68</f>
        <v>0.9991656933088604</v>
      </c>
      <c r="W65">
        <f>Year_2040!W68/Year_2032!W68</f>
        <v>1</v>
      </c>
      <c r="X65">
        <f>Year_2040!X68/Year_2032!X68</f>
        <v>1</v>
      </c>
      <c r="Y65" t="e">
        <f>Year_2040!Y68/Year_2032!Y68</f>
        <v>#DIV/0!</v>
      </c>
      <c r="Z65" t="e">
        <f>Year_2040!Z68/Year_2032!Z68</f>
        <v>#DIV/0!</v>
      </c>
      <c r="AA65" t="e">
        <f>Year_2040!AA68/Year_2032!AA68</f>
        <v>#VALUE!</v>
      </c>
      <c r="AB65">
        <f>Year_2040!AB68/Year_2032!AB68</f>
        <v>1.0272794298353403</v>
      </c>
      <c r="AC65">
        <f>Year_2040!AC68/Year_2032!AC68</f>
        <v>0.95247395833333337</v>
      </c>
      <c r="AD65">
        <f>Year_2040!AD68/Year_2032!AD68</f>
        <v>0.88423068738029353</v>
      </c>
      <c r="AE65">
        <f>Year_2040!AE68/Year_2032!AE68</f>
        <v>1.0234238724146523</v>
      </c>
      <c r="AF65">
        <f>Year_2040!AF68/Year_2032!AF68</f>
        <v>0.94860335195530732</v>
      </c>
      <c r="AG65">
        <f>Year_2040!AG68/Year_2032!AG68</f>
        <v>0.92794970986460357</v>
      </c>
      <c r="AH65">
        <f>Year_2040!AH68/Year_2032!AH68</f>
        <v>0.90074626865671636</v>
      </c>
      <c r="AI65">
        <f>Year_2040!AI68/Year_2032!AI68</f>
        <v>0.98026875318931794</v>
      </c>
      <c r="AJ65">
        <f>Year_2040!AJ68/Year_2032!AJ68</f>
        <v>1</v>
      </c>
      <c r="AK65">
        <f>Year_2040!AK68/Year_2032!AK68</f>
        <v>1.0150453421269579</v>
      </c>
      <c r="AL65" t="e">
        <f>Year_2040!AL68/Year_2032!AL68</f>
        <v>#DIV/0!</v>
      </c>
      <c r="AM65" t="e">
        <f>Year_2040!AM68/Year_2032!AM68</f>
        <v>#DIV/0!</v>
      </c>
      <c r="AN65" t="e">
        <f>Year_2040!AN68/Year_2032!AN68</f>
        <v>#VALUE!</v>
      </c>
      <c r="AO65">
        <f>Year_2040!AO68/Year_2032!AO68</f>
        <v>0.90384615384615374</v>
      </c>
      <c r="AP65">
        <f>Year_2040!AP68/Year_2032!AP68</f>
        <v>1.2121212121212122</v>
      </c>
      <c r="AQ65">
        <f>Year_2040!AQ68/Year_2032!AQ68</f>
        <v>1.5294117647058822</v>
      </c>
      <c r="AR65">
        <f>Year_2040!AR68/Year_2032!AR68</f>
        <v>0.90983606557377061</v>
      </c>
      <c r="AS65">
        <f>Year_2040!AS68/Year_2032!AS68</f>
        <v>1.1329787234042554</v>
      </c>
      <c r="AT65">
        <f>Year_2040!AT68/Year_2032!AT68</f>
        <v>1.1759999999999999</v>
      </c>
      <c r="AU65">
        <f>Year_2040!AU68/Year_2032!AU68</f>
        <v>2.0789473684210527</v>
      </c>
      <c r="AV65">
        <f>Year_2040!AV68/Year_2032!AV68</f>
        <v>2.166666666666667</v>
      </c>
      <c r="AW65">
        <f>Year_2040!AW68/Year_2032!AW68</f>
        <v>1</v>
      </c>
      <c r="AX65">
        <f>Year_2040!AX68/Year_2032!AX68</f>
        <v>0.89473684210526316</v>
      </c>
    </row>
    <row r="66" spans="2:50" x14ac:dyDescent="0.3">
      <c r="B66" t="str">
        <f>Year_2032!B69</f>
        <v>MD</v>
      </c>
      <c r="C66">
        <f>Year_2040!C69/Year_2032!C69</f>
        <v>1.4017663518712837</v>
      </c>
      <c r="D66">
        <f>Year_2040!D69/Year_2032!D69</f>
        <v>1.7144967794771906</v>
      </c>
      <c r="E66">
        <f>Year_2040!E69/Year_2032!E69</f>
        <v>1.5398991177016381</v>
      </c>
      <c r="F66">
        <f>Year_2040!F69/Year_2032!F69</f>
        <v>1.3882640668152928</v>
      </c>
      <c r="G66">
        <f>Year_2040!G69/Year_2032!G69</f>
        <v>1.9494747477903993</v>
      </c>
      <c r="H66">
        <f>Year_2040!H69/Year_2032!H69</f>
        <v>1.9643710339678986</v>
      </c>
      <c r="I66">
        <f>Year_2040!I69/Year_2032!I69</f>
        <v>1.9948395580748963</v>
      </c>
      <c r="J66">
        <f>Year_2040!J69/Year_2032!J69</f>
        <v>2.00198820223796</v>
      </c>
      <c r="K66">
        <f>Year_2040!K69/Year_2032!K69</f>
        <v>1.3357715197659341</v>
      </c>
      <c r="L66">
        <f>Year_2040!L69/Year_2032!L69</f>
        <v>1.3491209778154003</v>
      </c>
      <c r="M66" t="e">
        <f>Year_2040!M69/Year_2032!M69</f>
        <v>#DIV/0!</v>
      </c>
      <c r="N66" t="str">
        <f>Year_2040!N69</f>
        <v>MD</v>
      </c>
      <c r="O66">
        <f>Year_2040!O69/Year_2032!O69</f>
        <v>0.99883274970818747</v>
      </c>
      <c r="P66">
        <f>Year_2040!P69/Year_2032!P69</f>
        <v>1.0006673340006673</v>
      </c>
      <c r="Q66">
        <f>Year_2040!Q69/Year_2032!Q69</f>
        <v>0.99098497495826376</v>
      </c>
      <c r="R66">
        <f>Year_2040!R69/Year_2032!R69</f>
        <v>0.99398295169647333</v>
      </c>
      <c r="S66">
        <f>Year_2040!S69/Year_2032!S69</f>
        <v>0.99349349349349347</v>
      </c>
      <c r="T66">
        <f>Year_2040!T69/Year_2032!T69</f>
        <v>0.98629908103592312</v>
      </c>
      <c r="U66">
        <f>Year_2040!U69/Year_2032!U69</f>
        <v>0.99966655551850625</v>
      </c>
      <c r="V66">
        <f>Year_2040!V69/Year_2032!V69</f>
        <v>0.99899883197063233</v>
      </c>
      <c r="W66">
        <f>Year_2040!W69/Year_2032!W69</f>
        <v>0.99816421895861152</v>
      </c>
      <c r="X66">
        <f>Year_2040!X69/Year_2032!X69</f>
        <v>0.99515212303577405</v>
      </c>
      <c r="Y66" t="e">
        <f>Year_2040!Y69/Year_2032!Y69</f>
        <v>#DIV/0!</v>
      </c>
      <c r="Z66" t="e">
        <f>Year_2040!Z69/Year_2032!Z69</f>
        <v>#DIV/0!</v>
      </c>
      <c r="AA66" t="e">
        <f>Year_2040!AA69/Year_2032!AA69</f>
        <v>#VALUE!</v>
      </c>
      <c r="AB66">
        <f>Year_2040!AB69/Year_2032!AB69</f>
        <v>1.0362422508345255</v>
      </c>
      <c r="AC66">
        <f>Year_2040!AC69/Year_2032!AC69</f>
        <v>0.89750957854406122</v>
      </c>
      <c r="AD66">
        <f>Year_2040!AD69/Year_2032!AD69</f>
        <v>0.98900836320191154</v>
      </c>
      <c r="AE66">
        <f>Year_2040!AE69/Year_2032!AE69</f>
        <v>1.0284802356985023</v>
      </c>
      <c r="AF66">
        <f>Year_2040!AF69/Year_2032!AF69</f>
        <v>0.91692512184315467</v>
      </c>
      <c r="AG66">
        <f>Year_2040!AG69/Year_2032!AG69</f>
        <v>0.90630590339892669</v>
      </c>
      <c r="AH66">
        <f>Year_2040!AH69/Year_2032!AH69</f>
        <v>0.96432282646345679</v>
      </c>
      <c r="AI66">
        <f>Year_2040!AI69/Year_2032!AI69</f>
        <v>0.98579401319127336</v>
      </c>
      <c r="AJ66">
        <f>Year_2040!AJ69/Year_2032!AJ69</f>
        <v>1.044846208030054</v>
      </c>
      <c r="AK66">
        <f>Year_2040!AK69/Year_2032!AK69</f>
        <v>1.0404065443728308</v>
      </c>
      <c r="AL66" t="e">
        <f>Year_2040!AL69/Year_2032!AL69</f>
        <v>#DIV/0!</v>
      </c>
      <c r="AM66" t="e">
        <f>Year_2040!AM69/Year_2032!AM69</f>
        <v>#DIV/0!</v>
      </c>
      <c r="AN66" t="e">
        <f>Year_2040!AN69/Year_2032!AN69</f>
        <v>#VALUE!</v>
      </c>
      <c r="AO66">
        <f>Year_2040!AO69/Year_2032!AO69</f>
        <v>0.87368421052631584</v>
      </c>
      <c r="AP66">
        <f>Year_2040!AP69/Year_2032!AP69</f>
        <v>1.3750000000000002</v>
      </c>
      <c r="AQ66">
        <f>Year_2040!AQ69/Year_2032!AQ69</f>
        <v>1.0185185185185186</v>
      </c>
      <c r="AR66">
        <f>Year_2040!AR69/Year_2032!AR69</f>
        <v>0.89830508474576276</v>
      </c>
      <c r="AS66">
        <f>Year_2040!AS69/Year_2032!AS69</f>
        <v>1.3478260869565217</v>
      </c>
      <c r="AT66">
        <f>Year_2040!AT69/Year_2032!AT69</f>
        <v>1.368421052631579</v>
      </c>
      <c r="AU66">
        <f>Year_2040!AU69/Year_2032!AU69</f>
        <v>1.9230769230769229</v>
      </c>
      <c r="AV66">
        <f>Year_2040!AV69/Year_2032!AV69</f>
        <v>2.25</v>
      </c>
      <c r="AW66">
        <f>Year_2040!AW69/Year_2032!AW69</f>
        <v>0.84848484848484851</v>
      </c>
      <c r="AX66">
        <f>Year_2040!AX69/Year_2032!AX69</f>
        <v>0.87179487179487181</v>
      </c>
    </row>
    <row r="67" spans="2:50" x14ac:dyDescent="0.3">
      <c r="B67" t="str">
        <f>Year_2032!B70</f>
        <v>PM-Shoulder</v>
      </c>
      <c r="C67">
        <f>Year_2040!C70/Year_2032!C70</f>
        <v>1.4012163656468855</v>
      </c>
      <c r="D67">
        <f>Year_2040!D70/Year_2032!D70</f>
        <v>1.6393818794593238</v>
      </c>
      <c r="E67">
        <f>Year_2040!E70/Year_2032!E70</f>
        <v>1.3872766152436231</v>
      </c>
      <c r="F67">
        <f>Year_2040!F70/Year_2032!F70</f>
        <v>1.4638869839528184</v>
      </c>
      <c r="G67">
        <f>Year_2040!G70/Year_2032!G70</f>
        <v>1.3733848814731915</v>
      </c>
      <c r="H67">
        <f>Year_2040!H70/Year_2032!H70</f>
        <v>1.7392451183179307</v>
      </c>
      <c r="I67">
        <f>Year_2040!I70/Year_2032!I70</f>
        <v>2.38970031784471</v>
      </c>
      <c r="J67">
        <f>Year_2040!J70/Year_2032!J70</f>
        <v>3.1704577542120287</v>
      </c>
      <c r="K67">
        <f>Year_2040!K70/Year_2032!K70</f>
        <v>1.3089446466194217</v>
      </c>
      <c r="L67">
        <f>Year_2040!L70/Year_2032!L70</f>
        <v>1.4718376125823363</v>
      </c>
      <c r="M67" t="e">
        <f>Year_2040!M70/Year_2032!M70</f>
        <v>#DIV/0!</v>
      </c>
      <c r="N67" t="str">
        <f>Year_2040!N70</f>
        <v>PM-Shoulder</v>
      </c>
      <c r="O67">
        <f>Year_2040!O70/Year_2032!O70</f>
        <v>0.99431913116123638</v>
      </c>
      <c r="P67">
        <f>Year_2040!P70/Year_2032!P70</f>
        <v>1.00016691704223</v>
      </c>
      <c r="Q67">
        <f>Year_2040!Q70/Year_2032!Q70</f>
        <v>0.97996632996633004</v>
      </c>
      <c r="R67">
        <f>Year_2040!R70/Year_2032!R70</f>
        <v>0.97420020639834881</v>
      </c>
      <c r="S67">
        <f>Year_2040!S70/Year_2032!S70</f>
        <v>0.96957851801495576</v>
      </c>
      <c r="T67">
        <f>Year_2040!T70/Year_2032!T70</f>
        <v>1.0082502578205568</v>
      </c>
      <c r="U67">
        <f>Year_2040!U70/Year_2032!U70</f>
        <v>0.99731678685225555</v>
      </c>
      <c r="V67">
        <f>Year_2040!V70/Year_2032!V70</f>
        <v>1.0155214509940704</v>
      </c>
      <c r="W67">
        <f>Year_2040!W70/Year_2032!W70</f>
        <v>0.9924496644295302</v>
      </c>
      <c r="X67">
        <f>Year_2040!X70/Year_2032!X70</f>
        <v>0.99683069224353615</v>
      </c>
      <c r="Y67" t="e">
        <f>Year_2040!Y70/Year_2032!Y70</f>
        <v>#DIV/0!</v>
      </c>
      <c r="Z67" t="e">
        <f>Year_2040!Z70/Year_2032!Z70</f>
        <v>#DIV/0!</v>
      </c>
      <c r="AA67" t="e">
        <f>Year_2040!AA70/Year_2032!AA70</f>
        <v>#VALUE!</v>
      </c>
      <c r="AB67">
        <f>Year_2040!AB70/Year_2032!AB70</f>
        <v>1.0353728489483747</v>
      </c>
      <c r="AC67">
        <f>Year_2040!AC70/Year_2032!AC70</f>
        <v>0.95324248120300747</v>
      </c>
      <c r="AD67">
        <f>Year_2040!AD70/Year_2032!AD70</f>
        <v>1.0251431416479959</v>
      </c>
      <c r="AE67">
        <f>Year_2040!AE70/Year_2032!AE70</f>
        <v>0.99437102300538427</v>
      </c>
      <c r="AF67">
        <f>Year_2040!AF70/Year_2032!AF70</f>
        <v>1.0201044386422977</v>
      </c>
      <c r="AG67">
        <f>Year_2040!AG70/Year_2032!AG70</f>
        <v>0.9390148553557468</v>
      </c>
      <c r="AH67">
        <f>Year_2040!AH70/Year_2032!AH70</f>
        <v>0.90939104915627289</v>
      </c>
      <c r="AI67">
        <f>Year_2040!AI70/Year_2032!AI70</f>
        <v>0.78432615124630334</v>
      </c>
      <c r="AJ67">
        <f>Year_2040!AJ70/Year_2032!AJ70</f>
        <v>1.0569207622868604</v>
      </c>
      <c r="AK67">
        <f>Year_2040!AK70/Year_2032!AK70</f>
        <v>1.0293198750300407</v>
      </c>
      <c r="AL67" t="e">
        <f>Year_2040!AL70/Year_2032!AL70</f>
        <v>#DIV/0!</v>
      </c>
      <c r="AM67" t="e">
        <f>Year_2040!AM70/Year_2032!AM70</f>
        <v>#DIV/0!</v>
      </c>
      <c r="AN67" t="e">
        <f>Year_2040!AN70/Year_2032!AN70</f>
        <v>#VALUE!</v>
      </c>
      <c r="AO67">
        <f>Year_2040!AO70/Year_2032!AO70</f>
        <v>0.87368421052631584</v>
      </c>
      <c r="AP67">
        <f>Year_2040!AP70/Year_2032!AP70</f>
        <v>1.1666666666666667</v>
      </c>
      <c r="AQ67">
        <f>Year_2040!AQ70/Year_2032!AQ70</f>
        <v>0.88429752066115708</v>
      </c>
      <c r="AR67">
        <f>Year_2040!AR70/Year_2032!AR70</f>
        <v>0.95412844036697242</v>
      </c>
      <c r="AS67">
        <f>Year_2040!AS70/Year_2032!AS70</f>
        <v>0.88888888888888895</v>
      </c>
      <c r="AT67">
        <f>Year_2040!AT70/Year_2032!AT70</f>
        <v>1.2080536912751678</v>
      </c>
      <c r="AU67">
        <f>Year_2040!AU70/Year_2032!AU70</f>
        <v>2.1290322580645165</v>
      </c>
      <c r="AV67">
        <f>Year_2040!AV70/Year_2032!AV70</f>
        <v>2.6438356164383561</v>
      </c>
      <c r="AW67">
        <f>Year_2040!AW70/Year_2032!AW70</f>
        <v>0.82499999999999996</v>
      </c>
      <c r="AX67">
        <f>Year_2040!AX70/Year_2032!AX70</f>
        <v>0.91428571428571437</v>
      </c>
    </row>
    <row r="68" spans="2:50" x14ac:dyDescent="0.3">
      <c r="B68" t="str">
        <f>Year_2032!B71</f>
        <v>PM-Peak</v>
      </c>
      <c r="C68">
        <f>Year_2040!C71/Year_2032!C71</f>
        <v>3.2775054822452194</v>
      </c>
      <c r="D68">
        <f>Year_2040!D71/Year_2032!D71</f>
        <v>3.2329394089046857</v>
      </c>
      <c r="E68">
        <f>Year_2040!E71/Year_2032!E71</f>
        <v>1.6168252849253906</v>
      </c>
      <c r="F68">
        <f>Year_2040!F71/Year_2032!F71</f>
        <v>1.720412411055714</v>
      </c>
      <c r="G68">
        <f>Year_2040!G71/Year_2032!G71</f>
        <v>2.4792132004343639</v>
      </c>
      <c r="H68">
        <f>Year_2040!H71/Year_2032!H71</f>
        <v>2.565121702854515</v>
      </c>
      <c r="I68">
        <f>Year_2040!I71/Year_2032!I71</f>
        <v>2.2357504732517044</v>
      </c>
      <c r="J68">
        <f>Year_2040!J71/Year_2032!J71</f>
        <v>2.5897402256625557</v>
      </c>
      <c r="K68">
        <f>Year_2040!K71/Year_2032!K71</f>
        <v>1.3441748546220174</v>
      </c>
      <c r="L68">
        <f>Year_2040!L71/Year_2032!L71</f>
        <v>1.2990551247828481</v>
      </c>
      <c r="M68" t="e">
        <f>Year_2040!M71/Year_2032!M71</f>
        <v>#DIV/0!</v>
      </c>
      <c r="N68" t="str">
        <f>Year_2040!N71</f>
        <v>PM-Peak</v>
      </c>
      <c r="O68">
        <f>Year_2040!O71/Year_2032!O71</f>
        <v>1.0275147400393068</v>
      </c>
      <c r="P68">
        <f>Year_2040!P71/Year_2032!P71</f>
        <v>1.0259671436142024</v>
      </c>
      <c r="Q68">
        <f>Year_2040!Q71/Year_2032!Q71</f>
        <v>0.94540567780950779</v>
      </c>
      <c r="R68">
        <f>Year_2040!R71/Year_2032!R71</f>
        <v>0.944229149115417</v>
      </c>
      <c r="S68">
        <f>Year_2040!S71/Year_2032!S71</f>
        <v>0.99628879892037792</v>
      </c>
      <c r="T68">
        <f>Year_2040!T71/Year_2032!T71</f>
        <v>0.97809967235730289</v>
      </c>
      <c r="U68">
        <f>Year_2040!U71/Year_2032!U71</f>
        <v>0.99832635983263596</v>
      </c>
      <c r="V68">
        <f>Year_2040!V71/Year_2032!V71</f>
        <v>0.99848663191525144</v>
      </c>
      <c r="W68">
        <f>Year_2040!W71/Year_2032!W71</f>
        <v>0.99949983327775938</v>
      </c>
      <c r="X68">
        <f>Year_2040!X71/Year_2032!X71</f>
        <v>0.99883294431477154</v>
      </c>
      <c r="Y68" t="e">
        <f>Year_2040!Y71/Year_2032!Y71</f>
        <v>#DIV/0!</v>
      </c>
      <c r="Z68" t="e">
        <f>Year_2040!Z71/Year_2032!Z71</f>
        <v>#DIV/0!</v>
      </c>
      <c r="AA68" t="e">
        <f>Year_2040!AA71/Year_2032!AA71</f>
        <v>#VALUE!</v>
      </c>
      <c r="AB68">
        <f>Year_2040!AB71/Year_2032!AB71</f>
        <v>0.6457900207900209</v>
      </c>
      <c r="AC68">
        <f>Year_2040!AC71/Year_2032!AC71</f>
        <v>0.65222897669706181</v>
      </c>
      <c r="AD68">
        <f>Year_2040!AD71/Year_2032!AD71</f>
        <v>0.92435256701499302</v>
      </c>
      <c r="AE68">
        <f>Year_2040!AE71/Year_2032!AE71</f>
        <v>0.90388328684831587</v>
      </c>
      <c r="AF68">
        <f>Year_2040!AF71/Year_2032!AF71</f>
        <v>0.80051510184968389</v>
      </c>
      <c r="AG68">
        <f>Year_2040!AG71/Year_2032!AG71</f>
        <v>0.7778056741149888</v>
      </c>
      <c r="AH68">
        <f>Year_2040!AH71/Year_2032!AH71</f>
        <v>0.91899238854657483</v>
      </c>
      <c r="AI68">
        <f>Year_2040!AI71/Year_2032!AI71</f>
        <v>0.96454999139562891</v>
      </c>
      <c r="AJ68">
        <f>Year_2040!AJ71/Year_2032!AJ71</f>
        <v>1.0401541269519368</v>
      </c>
      <c r="AK68">
        <f>Year_2040!AK71/Year_2032!AK71</f>
        <v>1.0548200248241622</v>
      </c>
      <c r="AL68" t="e">
        <f>Year_2040!AL71/Year_2032!AL71</f>
        <v>#DIV/0!</v>
      </c>
      <c r="AM68" t="e">
        <f>Year_2040!AM71/Year_2032!AM71</f>
        <v>#DIV/0!</v>
      </c>
      <c r="AN68" t="e">
        <f>Year_2040!AN71/Year_2032!AN71</f>
        <v>#VALUE!</v>
      </c>
      <c r="AO68">
        <f>Year_2040!AO71/Year_2032!AO71</f>
        <v>2.8224299065420557</v>
      </c>
      <c r="AP68">
        <f>Year_2040!AP71/Year_2032!AP71</f>
        <v>2.8217821782178216</v>
      </c>
      <c r="AQ68">
        <f>Year_2040!AQ71/Year_2032!AQ71</f>
        <v>1.146067415730337</v>
      </c>
      <c r="AR68">
        <f>Year_2040!AR71/Year_2032!AR71</f>
        <v>1.2753623188405798</v>
      </c>
      <c r="AS68">
        <f>Year_2040!AS71/Year_2032!AS71</f>
        <v>1.8818181818181816</v>
      </c>
      <c r="AT68">
        <f>Year_2040!AT71/Year_2032!AT71</f>
        <v>1.8636363636363635</v>
      </c>
      <c r="AU68">
        <f>Year_2040!AU71/Year_2032!AU71</f>
        <v>2.1851851851851851</v>
      </c>
      <c r="AV68">
        <f>Year_2040!AV71/Year_2032!AV71</f>
        <v>2.5</v>
      </c>
      <c r="AW68">
        <f>Year_2040!AW71/Year_2032!AW71</f>
        <v>0.82352941176470595</v>
      </c>
      <c r="AX68">
        <f>Year_2040!AX71/Year_2032!AX71</f>
        <v>0.73684210526315796</v>
      </c>
    </row>
    <row r="69" spans="2:50" x14ac:dyDescent="0.3">
      <c r="B69" t="str">
        <f>Year_2032!B72</f>
        <v>PM-Late</v>
      </c>
      <c r="C69">
        <f>Year_2040!C72/Year_2032!C72</f>
        <v>2.0068678275510656</v>
      </c>
      <c r="D69">
        <f>Year_2040!D72/Year_2032!D72</f>
        <v>2.0419844881738349</v>
      </c>
      <c r="E69">
        <f>Year_2040!E72/Year_2032!E72</f>
        <v>2.0498797873421153</v>
      </c>
      <c r="F69">
        <f>Year_2040!F72/Year_2032!F72</f>
        <v>1.8609204683084377</v>
      </c>
      <c r="G69">
        <f>Year_2040!G72/Year_2032!G72</f>
        <v>2.026863935439311</v>
      </c>
      <c r="H69">
        <f>Year_2040!H72/Year_2032!H72</f>
        <v>2.0364585599303893</v>
      </c>
      <c r="I69">
        <f>Year_2040!I72/Year_2032!I72</f>
        <v>1.9640715356607412</v>
      </c>
      <c r="J69">
        <f>Year_2040!J72/Year_2032!J72</f>
        <v>1.1156118143459917</v>
      </c>
      <c r="K69">
        <f>Year_2040!K72/Year_2032!K72</f>
        <v>1.4828328611898018</v>
      </c>
      <c r="L69">
        <f>Year_2040!L72/Year_2032!L72</f>
        <v>1.4726902963393373</v>
      </c>
      <c r="M69" t="e">
        <f>Year_2040!M72/Year_2032!M72</f>
        <v>#DIV/0!</v>
      </c>
      <c r="N69" t="str">
        <f>Year_2040!N72</f>
        <v>PM-Late</v>
      </c>
      <c r="O69">
        <f>Year_2040!O72/Year_2032!O72</f>
        <v>0.99983333333333335</v>
      </c>
      <c r="P69">
        <f>Year_2040!P72/Year_2032!P72</f>
        <v>0.99966649991662504</v>
      </c>
      <c r="Q69">
        <f>Year_2040!Q72/Year_2032!Q72</f>
        <v>1</v>
      </c>
      <c r="R69">
        <f>Year_2040!R72/Year_2032!R72</f>
        <v>1</v>
      </c>
      <c r="S69">
        <f>Year_2040!S72/Year_2032!S72</f>
        <v>1</v>
      </c>
      <c r="T69">
        <f>Year_2040!T72/Year_2032!T72</f>
        <v>0.99983333333333335</v>
      </c>
      <c r="U69">
        <f>Year_2040!U72/Year_2032!U72</f>
        <v>1</v>
      </c>
      <c r="V69">
        <f>Year_2040!V72/Year_2032!V72</f>
        <v>1</v>
      </c>
      <c r="W69">
        <f>Year_2040!W72/Year_2032!W72</f>
        <v>1</v>
      </c>
      <c r="X69">
        <f>Year_2040!X72/Year_2032!X72</f>
        <v>0.99983330555092509</v>
      </c>
      <c r="Y69" t="e">
        <f>Year_2040!Y72/Year_2032!Y72</f>
        <v>#DIV/0!</v>
      </c>
      <c r="Z69" t="e">
        <f>Year_2040!Z72/Year_2032!Z72</f>
        <v>#DIV/0!</v>
      </c>
      <c r="AA69" t="e">
        <f>Year_2040!AA72/Year_2032!AA72</f>
        <v>#VALUE!</v>
      </c>
      <c r="AB69">
        <f>Year_2040!AB72/Year_2032!AB72</f>
        <v>0.94905928292509756</v>
      </c>
      <c r="AC69">
        <f>Year_2040!AC72/Year_2032!AC72</f>
        <v>0.94779829545454553</v>
      </c>
      <c r="AD69">
        <f>Year_2040!AD72/Year_2032!AD72</f>
        <v>0.92669965182334613</v>
      </c>
      <c r="AE69">
        <f>Year_2040!AE72/Year_2032!AE72</f>
        <v>0.99816268581927514</v>
      </c>
      <c r="AF69">
        <f>Year_2040!AF72/Year_2032!AF72</f>
        <v>0.93834258524980174</v>
      </c>
      <c r="AG69">
        <f>Year_2040!AG72/Year_2032!AG72</f>
        <v>0.93924050632911382</v>
      </c>
      <c r="AH69">
        <f>Year_2040!AH72/Year_2032!AH72</f>
        <v>0.9682375280510962</v>
      </c>
      <c r="AI69">
        <f>Year_2040!AI72/Year_2032!AI72</f>
        <v>0.99949983327775938</v>
      </c>
      <c r="AJ69">
        <f>Year_2040!AJ72/Year_2032!AJ72</f>
        <v>1</v>
      </c>
      <c r="AK69">
        <f>Year_2040!AK72/Year_2032!AK72</f>
        <v>1.0287331301697866</v>
      </c>
      <c r="AL69" t="e">
        <f>Year_2040!AL72/Year_2032!AL72</f>
        <v>#DIV/0!</v>
      </c>
      <c r="AM69" t="e">
        <f>Year_2040!AM72/Year_2032!AM72</f>
        <v>#DIV/0!</v>
      </c>
      <c r="AN69" t="e">
        <f>Year_2040!AN72/Year_2032!AN72</f>
        <v>#VALUE!</v>
      </c>
      <c r="AO69">
        <f>Year_2040!AO72/Year_2032!AO72</f>
        <v>1.9285714285714286</v>
      </c>
      <c r="AP69">
        <f>Year_2040!AP72/Year_2032!AP72</f>
        <v>1.9285714285714286</v>
      </c>
      <c r="AQ69">
        <f>Year_2040!AQ72/Year_2032!AQ72</f>
        <v>1.88</v>
      </c>
      <c r="AR69" t="e">
        <f>Year_2040!AR72/Year_2032!AR72</f>
        <v>#DIV/0!</v>
      </c>
      <c r="AS69">
        <f>Year_2040!AS72/Year_2032!AS72</f>
        <v>1.4150943396226414</v>
      </c>
      <c r="AT69">
        <f>Year_2040!AT72/Year_2032!AT72</f>
        <v>1.446808510638298</v>
      </c>
      <c r="AU69">
        <f>Year_2040!AU72/Year_2032!AU72</f>
        <v>1.9166666666666667</v>
      </c>
      <c r="AV69" t="e">
        <f>Year_2040!AV72/Year_2032!AV72</f>
        <v>#DIV/0!</v>
      </c>
      <c r="AW69">
        <f>Year_2040!AW72/Year_2032!AW72</f>
        <v>1</v>
      </c>
      <c r="AX69">
        <f>Year_2040!AX72/Year_2032!AX72</f>
        <v>0.91666666666666674</v>
      </c>
    </row>
    <row r="70" spans="2:50" x14ac:dyDescent="0.3">
      <c r="B70">
        <f>Year_2032!B73</f>
        <v>0</v>
      </c>
      <c r="C70" t="e">
        <f>Year_2040!C73/Year_2032!C73</f>
        <v>#DIV/0!</v>
      </c>
      <c r="D70" t="e">
        <f>Year_2040!D73/Year_2032!D73</f>
        <v>#DIV/0!</v>
      </c>
      <c r="E70" t="e">
        <f>Year_2040!E73/Year_2032!E73</f>
        <v>#DIV/0!</v>
      </c>
      <c r="F70" t="e">
        <f>Year_2040!F73/Year_2032!F73</f>
        <v>#DIV/0!</v>
      </c>
      <c r="G70" t="e">
        <f>Year_2040!G73/Year_2032!G73</f>
        <v>#DIV/0!</v>
      </c>
      <c r="H70" t="e">
        <f>Year_2040!H73/Year_2032!H73</f>
        <v>#DIV/0!</v>
      </c>
      <c r="I70" t="e">
        <f>Year_2040!I73/Year_2032!I73</f>
        <v>#DIV/0!</v>
      </c>
      <c r="J70" t="e">
        <f>Year_2040!J73/Year_2032!J73</f>
        <v>#DIV/0!</v>
      </c>
      <c r="K70" t="e">
        <f>Year_2040!K73/Year_2032!K73</f>
        <v>#DIV/0!</v>
      </c>
      <c r="L70" t="e">
        <f>Year_2040!L73/Year_2032!L73</f>
        <v>#DIV/0!</v>
      </c>
      <c r="M70" t="e">
        <f>Year_2040!M73/Year_2032!M73</f>
        <v>#DIV/0!</v>
      </c>
      <c r="N70">
        <f>Year_2040!N73</f>
        <v>0</v>
      </c>
      <c r="O70" t="e">
        <f>Year_2040!O73/Year_2032!O73</f>
        <v>#DIV/0!</v>
      </c>
      <c r="P70" t="e">
        <f>Year_2040!P73/Year_2032!P73</f>
        <v>#DIV/0!</v>
      </c>
      <c r="Q70" t="e">
        <f>Year_2040!Q73/Year_2032!Q73</f>
        <v>#DIV/0!</v>
      </c>
      <c r="R70" t="e">
        <f>Year_2040!R73/Year_2032!R73</f>
        <v>#DIV/0!</v>
      </c>
      <c r="S70" t="e">
        <f>Year_2040!S73/Year_2032!S73</f>
        <v>#DIV/0!</v>
      </c>
      <c r="T70" t="e">
        <f>Year_2040!T73/Year_2032!T73</f>
        <v>#DIV/0!</v>
      </c>
      <c r="U70" t="e">
        <f>Year_2040!U73/Year_2032!U73</f>
        <v>#DIV/0!</v>
      </c>
      <c r="V70" t="e">
        <f>Year_2040!V73/Year_2032!V73</f>
        <v>#DIV/0!</v>
      </c>
      <c r="W70" t="e">
        <f>Year_2040!W73/Year_2032!W73</f>
        <v>#DIV/0!</v>
      </c>
      <c r="X70" t="e">
        <f>Year_2040!X73/Year_2032!X73</f>
        <v>#DIV/0!</v>
      </c>
      <c r="Y70" t="e">
        <f>Year_2040!Y73/Year_2032!Y73</f>
        <v>#DIV/0!</v>
      </c>
      <c r="Z70" t="e">
        <f>Year_2040!Z73/Year_2032!Z73</f>
        <v>#DIV/0!</v>
      </c>
      <c r="AA70" t="e">
        <f>Year_2040!AA73/Year_2032!AA73</f>
        <v>#DIV/0!</v>
      </c>
      <c r="AB70" t="e">
        <f>Year_2040!AB73/Year_2032!AB73</f>
        <v>#DIV/0!</v>
      </c>
      <c r="AC70" t="e">
        <f>Year_2040!AC73/Year_2032!AC73</f>
        <v>#DIV/0!</v>
      </c>
      <c r="AD70" t="e">
        <f>Year_2040!AD73/Year_2032!AD73</f>
        <v>#DIV/0!</v>
      </c>
      <c r="AE70" t="e">
        <f>Year_2040!AE73/Year_2032!AE73</f>
        <v>#DIV/0!</v>
      </c>
      <c r="AF70" t="e">
        <f>Year_2040!AF73/Year_2032!AF73</f>
        <v>#DIV/0!</v>
      </c>
      <c r="AG70" t="e">
        <f>Year_2040!AG73/Year_2032!AG73</f>
        <v>#DIV/0!</v>
      </c>
      <c r="AH70" t="e">
        <f>Year_2040!AH73/Year_2032!AH73</f>
        <v>#DIV/0!</v>
      </c>
      <c r="AI70" t="e">
        <f>Year_2040!AI73/Year_2032!AI73</f>
        <v>#DIV/0!</v>
      </c>
      <c r="AJ70" t="e">
        <f>Year_2040!AJ73/Year_2032!AJ73</f>
        <v>#DIV/0!</v>
      </c>
      <c r="AK70" t="e">
        <f>Year_2040!AK73/Year_2032!AK73</f>
        <v>#DIV/0!</v>
      </c>
      <c r="AL70" t="e">
        <f>Year_2040!AL73/Year_2032!AL73</f>
        <v>#DIV/0!</v>
      </c>
      <c r="AM70" t="e">
        <f>Year_2040!AM73/Year_2032!AM73</f>
        <v>#DIV/0!</v>
      </c>
      <c r="AN70" t="e">
        <f>Year_2040!AN73/Year_2032!AN73</f>
        <v>#DIV/0!</v>
      </c>
      <c r="AO70" t="e">
        <f>Year_2040!AO73/Year_2032!AO73</f>
        <v>#DIV/0!</v>
      </c>
      <c r="AP70" t="e">
        <f>Year_2040!AP73/Year_2032!AP73</f>
        <v>#DIV/0!</v>
      </c>
      <c r="AQ70" t="e">
        <f>Year_2040!AQ73/Year_2032!AQ73</f>
        <v>#DIV/0!</v>
      </c>
      <c r="AR70" t="e">
        <f>Year_2040!AR73/Year_2032!AR73</f>
        <v>#DIV/0!</v>
      </c>
      <c r="AS70" t="e">
        <f>Year_2040!AS73/Year_2032!AS73</f>
        <v>#DIV/0!</v>
      </c>
      <c r="AT70" t="e">
        <f>Year_2040!AT73/Year_2032!AT73</f>
        <v>#DIV/0!</v>
      </c>
      <c r="AU70" t="e">
        <f>Year_2040!AU73/Year_2032!AU73</f>
        <v>#DIV/0!</v>
      </c>
      <c r="AV70" t="e">
        <f>Year_2040!AV73/Year_2032!AV73</f>
        <v>#DIV/0!</v>
      </c>
      <c r="AW70" t="e">
        <f>Year_2040!AW73/Year_2032!AW73</f>
        <v>#DIV/0!</v>
      </c>
      <c r="AX70" t="e">
        <f>Year_2040!AX73/Year_2032!AX73</f>
        <v>#DIV/0!</v>
      </c>
    </row>
    <row r="71" spans="2:50" x14ac:dyDescent="0.3">
      <c r="B71">
        <f>Year_2032!B74</f>
        <v>0</v>
      </c>
      <c r="C71" t="e">
        <f>Year_2040!C74/Year_2032!C74</f>
        <v>#DIV/0!</v>
      </c>
      <c r="D71" t="e">
        <f>Year_2040!D74/Year_2032!D74</f>
        <v>#DIV/0!</v>
      </c>
      <c r="E71" t="e">
        <f>Year_2040!E74/Year_2032!E74</f>
        <v>#DIV/0!</v>
      </c>
      <c r="F71" t="e">
        <f>Year_2040!F74/Year_2032!F74</f>
        <v>#DIV/0!</v>
      </c>
      <c r="G71" t="e">
        <f>Year_2040!G74/Year_2032!G74</f>
        <v>#DIV/0!</v>
      </c>
      <c r="H71" t="e">
        <f>Year_2040!H74/Year_2032!H74</f>
        <v>#DIV/0!</v>
      </c>
      <c r="I71" t="e">
        <f>Year_2040!I74/Year_2032!I74</f>
        <v>#DIV/0!</v>
      </c>
      <c r="J71" t="e">
        <f>Year_2040!J74/Year_2032!J74</f>
        <v>#DIV/0!</v>
      </c>
      <c r="K71" t="e">
        <f>Year_2040!K74/Year_2032!K74</f>
        <v>#DIV/0!</v>
      </c>
      <c r="L71" t="e">
        <f>Year_2040!L74/Year_2032!L74</f>
        <v>#DIV/0!</v>
      </c>
      <c r="M71" t="e">
        <f>Year_2040!M74/Year_2032!M74</f>
        <v>#DIV/0!</v>
      </c>
      <c r="N71">
        <f>Year_2040!N74</f>
        <v>0</v>
      </c>
      <c r="O71" t="e">
        <f>Year_2040!O74/Year_2032!O74</f>
        <v>#DIV/0!</v>
      </c>
      <c r="P71" t="e">
        <f>Year_2040!P74/Year_2032!P74</f>
        <v>#DIV/0!</v>
      </c>
      <c r="Q71" t="e">
        <f>Year_2040!Q74/Year_2032!Q74</f>
        <v>#DIV/0!</v>
      </c>
      <c r="R71" t="e">
        <f>Year_2040!R74/Year_2032!R74</f>
        <v>#DIV/0!</v>
      </c>
      <c r="S71" t="e">
        <f>Year_2040!S74/Year_2032!S74</f>
        <v>#DIV/0!</v>
      </c>
      <c r="T71" t="e">
        <f>Year_2040!T74/Year_2032!T74</f>
        <v>#DIV/0!</v>
      </c>
      <c r="U71" t="e">
        <f>Year_2040!U74/Year_2032!U74</f>
        <v>#DIV/0!</v>
      </c>
      <c r="V71" t="e">
        <f>Year_2040!V74/Year_2032!V74</f>
        <v>#DIV/0!</v>
      </c>
      <c r="W71" t="e">
        <f>Year_2040!W74/Year_2032!W74</f>
        <v>#DIV/0!</v>
      </c>
      <c r="X71" t="e">
        <f>Year_2040!X74/Year_2032!X74</f>
        <v>#DIV/0!</v>
      </c>
      <c r="Y71" t="e">
        <f>Year_2040!Y74/Year_2032!Y74</f>
        <v>#DIV/0!</v>
      </c>
      <c r="Z71" t="e">
        <f>Year_2040!Z74/Year_2032!Z74</f>
        <v>#DIV/0!</v>
      </c>
      <c r="AA71" t="e">
        <f>Year_2040!AA74/Year_2032!AA74</f>
        <v>#DIV/0!</v>
      </c>
      <c r="AB71" t="e">
        <f>Year_2040!AB74/Year_2032!AB74</f>
        <v>#DIV/0!</v>
      </c>
      <c r="AC71" t="e">
        <f>Year_2040!AC74/Year_2032!AC74</f>
        <v>#DIV/0!</v>
      </c>
      <c r="AD71" t="e">
        <f>Year_2040!AD74/Year_2032!AD74</f>
        <v>#DIV/0!</v>
      </c>
      <c r="AE71" t="e">
        <f>Year_2040!AE74/Year_2032!AE74</f>
        <v>#DIV/0!</v>
      </c>
      <c r="AF71" t="e">
        <f>Year_2040!AF74/Year_2032!AF74</f>
        <v>#DIV/0!</v>
      </c>
      <c r="AG71" t="e">
        <f>Year_2040!AG74/Year_2032!AG74</f>
        <v>#DIV/0!</v>
      </c>
      <c r="AH71" t="e">
        <f>Year_2040!AH74/Year_2032!AH74</f>
        <v>#DIV/0!</v>
      </c>
      <c r="AI71" t="e">
        <f>Year_2040!AI74/Year_2032!AI74</f>
        <v>#DIV/0!</v>
      </c>
      <c r="AJ71" t="e">
        <f>Year_2040!AJ74/Year_2032!AJ74</f>
        <v>#DIV/0!</v>
      </c>
      <c r="AK71" t="e">
        <f>Year_2040!AK74/Year_2032!AK74</f>
        <v>#DIV/0!</v>
      </c>
      <c r="AL71" t="e">
        <f>Year_2040!AL74/Year_2032!AL74</f>
        <v>#DIV/0!</v>
      </c>
      <c r="AM71" t="e">
        <f>Year_2040!AM74/Year_2032!AM74</f>
        <v>#DIV/0!</v>
      </c>
      <c r="AN71" t="e">
        <f>Year_2040!AN74/Year_2032!AN74</f>
        <v>#DIV/0!</v>
      </c>
      <c r="AO71" t="e">
        <f>Year_2040!AO74/Year_2032!AO74</f>
        <v>#DIV/0!</v>
      </c>
      <c r="AP71" t="e">
        <f>Year_2040!AP74/Year_2032!AP74</f>
        <v>#DIV/0!</v>
      </c>
      <c r="AQ71" t="e">
        <f>Year_2040!AQ74/Year_2032!AQ74</f>
        <v>#DIV/0!</v>
      </c>
      <c r="AR71" t="e">
        <f>Year_2040!AR74/Year_2032!AR74</f>
        <v>#DIV/0!</v>
      </c>
      <c r="AS71" t="e">
        <f>Year_2040!AS74/Year_2032!AS74</f>
        <v>#DIV/0!</v>
      </c>
      <c r="AT71" t="e">
        <f>Year_2040!AT74/Year_2032!AT74</f>
        <v>#DIV/0!</v>
      </c>
      <c r="AU71" t="e">
        <f>Year_2040!AU74/Year_2032!AU74</f>
        <v>#DIV/0!</v>
      </c>
      <c r="AV71" t="e">
        <f>Year_2040!AV74/Year_2032!AV74</f>
        <v>#DIV/0!</v>
      </c>
      <c r="AW71" t="e">
        <f>Year_2040!AW74/Year_2032!AW74</f>
        <v>#DIV/0!</v>
      </c>
      <c r="AX71" t="e">
        <f>Year_2040!AX74/Year_2032!AX74</f>
        <v>#DIV/0!</v>
      </c>
    </row>
    <row r="72" spans="2:50" x14ac:dyDescent="0.3">
      <c r="B72" t="str">
        <f>Year_2032!B75</f>
        <v>Revenue Per Period Medium B</v>
      </c>
      <c r="C72" t="e">
        <f>Year_2040!C75/Year_2032!C75</f>
        <v>#DIV/0!</v>
      </c>
      <c r="D72" t="e">
        <f>Year_2040!D75/Year_2032!D75</f>
        <v>#DIV/0!</v>
      </c>
      <c r="E72" t="e">
        <f>Year_2040!E75/Year_2032!E75</f>
        <v>#DIV/0!</v>
      </c>
      <c r="F72" t="e">
        <f>Year_2040!F75/Year_2032!F75</f>
        <v>#DIV/0!</v>
      </c>
      <c r="G72" t="e">
        <f>Year_2040!G75/Year_2032!G75</f>
        <v>#DIV/0!</v>
      </c>
      <c r="H72" t="e">
        <f>Year_2040!H75/Year_2032!H75</f>
        <v>#DIV/0!</v>
      </c>
      <c r="I72" t="e">
        <f>Year_2040!I75/Year_2032!I75</f>
        <v>#DIV/0!</v>
      </c>
      <c r="J72" t="e">
        <f>Year_2040!J75/Year_2032!J75</f>
        <v>#DIV/0!</v>
      </c>
      <c r="K72" t="e">
        <f>Year_2040!K75/Year_2032!K75</f>
        <v>#DIV/0!</v>
      </c>
      <c r="L72" t="e">
        <f>Year_2040!L75/Year_2032!L75</f>
        <v>#DIV/0!</v>
      </c>
      <c r="M72" t="e">
        <f>Year_2040!M75/Year_2032!M75</f>
        <v>#DIV/0!</v>
      </c>
      <c r="N72" t="str">
        <f>Year_2040!N75</f>
        <v>ML time</v>
      </c>
      <c r="O72" t="e">
        <f>Year_2040!O75/Year_2032!O75</f>
        <v>#DIV/0!</v>
      </c>
      <c r="P72" t="e">
        <f>Year_2040!P75/Year_2032!P75</f>
        <v>#DIV/0!</v>
      </c>
      <c r="Q72" t="e">
        <f>Year_2040!Q75/Year_2032!Q75</f>
        <v>#DIV/0!</v>
      </c>
      <c r="R72" t="e">
        <f>Year_2040!R75/Year_2032!R75</f>
        <v>#DIV/0!</v>
      </c>
      <c r="S72" t="e">
        <f>Year_2040!S75/Year_2032!S75</f>
        <v>#DIV/0!</v>
      </c>
      <c r="T72" t="e">
        <f>Year_2040!T75/Year_2032!T75</f>
        <v>#DIV/0!</v>
      </c>
      <c r="U72" t="e">
        <f>Year_2040!U75/Year_2032!U75</f>
        <v>#DIV/0!</v>
      </c>
      <c r="V72" t="e">
        <f>Year_2040!V75/Year_2032!V75</f>
        <v>#DIV/0!</v>
      </c>
      <c r="W72" t="e">
        <f>Year_2040!W75/Year_2032!W75</f>
        <v>#DIV/0!</v>
      </c>
      <c r="X72" t="e">
        <f>Year_2040!X75/Year_2032!X75</f>
        <v>#DIV/0!</v>
      </c>
      <c r="Y72" t="e">
        <f>Year_2040!Y75/Year_2032!Y75</f>
        <v>#DIV/0!</v>
      </c>
      <c r="Z72" t="e">
        <f>Year_2040!Z75/Year_2032!Z75</f>
        <v>#DIV/0!</v>
      </c>
      <c r="AA72" t="e">
        <f>Year_2040!AA75/Year_2032!AA75</f>
        <v>#VALUE!</v>
      </c>
      <c r="AB72" t="e">
        <f>Year_2040!AB75/Year_2032!AB75</f>
        <v>#DIV/0!</v>
      </c>
      <c r="AC72" t="e">
        <f>Year_2040!AC75/Year_2032!AC75</f>
        <v>#DIV/0!</v>
      </c>
      <c r="AD72" t="e">
        <f>Year_2040!AD75/Year_2032!AD75</f>
        <v>#DIV/0!</v>
      </c>
      <c r="AE72" t="e">
        <f>Year_2040!AE75/Year_2032!AE75</f>
        <v>#DIV/0!</v>
      </c>
      <c r="AF72" t="e">
        <f>Year_2040!AF75/Year_2032!AF75</f>
        <v>#DIV/0!</v>
      </c>
      <c r="AG72" t="e">
        <f>Year_2040!AG75/Year_2032!AG75</f>
        <v>#DIV/0!</v>
      </c>
      <c r="AH72" t="e">
        <f>Year_2040!AH75/Year_2032!AH75</f>
        <v>#DIV/0!</v>
      </c>
      <c r="AI72" t="e">
        <f>Year_2040!AI75/Year_2032!AI75</f>
        <v>#DIV/0!</v>
      </c>
      <c r="AJ72" t="e">
        <f>Year_2040!AJ75/Year_2032!AJ75</f>
        <v>#DIV/0!</v>
      </c>
      <c r="AK72" t="e">
        <f>Year_2040!AK75/Year_2032!AK75</f>
        <v>#DIV/0!</v>
      </c>
      <c r="AL72" t="e">
        <f>Year_2040!AL75/Year_2032!AL75</f>
        <v>#DIV/0!</v>
      </c>
      <c r="AM72" t="e">
        <f>Year_2040!AM75/Year_2032!AM75</f>
        <v>#DIV/0!</v>
      </c>
      <c r="AN72" t="e">
        <f>Year_2040!AN75/Year_2032!AN75</f>
        <v>#VALUE!</v>
      </c>
      <c r="AO72" t="e">
        <f>Year_2040!AO75/Year_2032!AO75</f>
        <v>#DIV/0!</v>
      </c>
      <c r="AP72" t="e">
        <f>Year_2040!AP75/Year_2032!AP75</f>
        <v>#DIV/0!</v>
      </c>
      <c r="AQ72" t="e">
        <f>Year_2040!AQ75/Year_2032!AQ75</f>
        <v>#DIV/0!</v>
      </c>
      <c r="AR72" t="e">
        <f>Year_2040!AR75/Year_2032!AR75</f>
        <v>#DIV/0!</v>
      </c>
      <c r="AS72" t="e">
        <f>Year_2040!AS75/Year_2032!AS75</f>
        <v>#DIV/0!</v>
      </c>
      <c r="AT72" t="e">
        <f>Year_2040!AT75/Year_2032!AT75</f>
        <v>#DIV/0!</v>
      </c>
      <c r="AU72" t="e">
        <f>Year_2040!AU75/Year_2032!AU75</f>
        <v>#DIV/0!</v>
      </c>
      <c r="AV72" t="e">
        <f>Year_2040!AV75/Year_2032!AV75</f>
        <v>#DIV/0!</v>
      </c>
      <c r="AW72" t="e">
        <f>Year_2040!AW75/Year_2032!AW75</f>
        <v>#DIV/0!</v>
      </c>
      <c r="AX72" t="e">
        <f>Year_2040!AX75/Year_2032!AX75</f>
        <v>#DIV/0!</v>
      </c>
    </row>
    <row r="73" spans="2:50" x14ac:dyDescent="0.3">
      <c r="B73" t="str">
        <f>Year_2032!B76</f>
        <v>Direction</v>
      </c>
      <c r="C73" t="e">
        <f>Year_2040!C76/Year_2032!C76</f>
        <v>#VALUE!</v>
      </c>
      <c r="D73" t="e">
        <f>Year_2040!D76/Year_2032!D76</f>
        <v>#VALUE!</v>
      </c>
      <c r="E73" t="e">
        <f>Year_2040!E76/Year_2032!E76</f>
        <v>#VALUE!</v>
      </c>
      <c r="F73" t="e">
        <f>Year_2040!F76/Year_2032!F76</f>
        <v>#VALUE!</v>
      </c>
      <c r="G73" t="e">
        <f>Year_2040!G76/Year_2032!G76</f>
        <v>#VALUE!</v>
      </c>
      <c r="H73" t="e">
        <f>Year_2040!H76/Year_2032!H76</f>
        <v>#VALUE!</v>
      </c>
      <c r="I73" t="e">
        <f>Year_2040!I76/Year_2032!I76</f>
        <v>#VALUE!</v>
      </c>
      <c r="J73" t="e">
        <f>Year_2040!J76/Year_2032!J76</f>
        <v>#VALUE!</v>
      </c>
      <c r="K73" t="e">
        <f>Year_2040!K76/Year_2032!K76</f>
        <v>#VALUE!</v>
      </c>
      <c r="L73" t="e">
        <f>Year_2040!L76/Year_2032!L76</f>
        <v>#VALUE!</v>
      </c>
      <c r="M73" t="e">
        <f>Year_2040!M76/Year_2032!M76</f>
        <v>#DIV/0!</v>
      </c>
      <c r="N73" t="str">
        <f>Year_2040!N76</f>
        <v>Direction</v>
      </c>
      <c r="O73" t="e">
        <f>Year_2040!O76/Year_2032!O76</f>
        <v>#VALUE!</v>
      </c>
      <c r="P73" t="e">
        <f>Year_2040!P76/Year_2032!P76</f>
        <v>#VALUE!</v>
      </c>
      <c r="Q73" t="e">
        <f>Year_2040!Q76/Year_2032!Q76</f>
        <v>#VALUE!</v>
      </c>
      <c r="R73" t="e">
        <f>Year_2040!R76/Year_2032!R76</f>
        <v>#VALUE!</v>
      </c>
      <c r="S73" t="e">
        <f>Year_2040!S76/Year_2032!S76</f>
        <v>#VALUE!</v>
      </c>
      <c r="T73" t="e">
        <f>Year_2040!T76/Year_2032!T76</f>
        <v>#VALUE!</v>
      </c>
      <c r="U73" t="e">
        <f>Year_2040!U76/Year_2032!U76</f>
        <v>#VALUE!</v>
      </c>
      <c r="V73" t="e">
        <f>Year_2040!V76/Year_2032!V76</f>
        <v>#VALUE!</v>
      </c>
      <c r="W73" t="e">
        <f>Year_2040!W76/Year_2032!W76</f>
        <v>#VALUE!</v>
      </c>
      <c r="X73" t="e">
        <f>Year_2040!X76/Year_2032!X76</f>
        <v>#VALUE!</v>
      </c>
      <c r="Y73" t="e">
        <f>Year_2040!Y76/Year_2032!Y76</f>
        <v>#DIV/0!</v>
      </c>
      <c r="Z73" t="e">
        <f>Year_2040!Z76/Year_2032!Z76</f>
        <v>#DIV/0!</v>
      </c>
      <c r="AA73" t="e">
        <f>Year_2040!AA76/Year_2032!AA76</f>
        <v>#VALUE!</v>
      </c>
      <c r="AB73" t="e">
        <f>Year_2040!AB76/Year_2032!AB76</f>
        <v>#VALUE!</v>
      </c>
      <c r="AC73" t="e">
        <f>Year_2040!AC76/Year_2032!AC76</f>
        <v>#VALUE!</v>
      </c>
      <c r="AD73" t="e">
        <f>Year_2040!AD76/Year_2032!AD76</f>
        <v>#VALUE!</v>
      </c>
      <c r="AE73" t="e">
        <f>Year_2040!AE76/Year_2032!AE76</f>
        <v>#VALUE!</v>
      </c>
      <c r="AF73" t="e">
        <f>Year_2040!AF76/Year_2032!AF76</f>
        <v>#VALUE!</v>
      </c>
      <c r="AG73" t="e">
        <f>Year_2040!AG76/Year_2032!AG76</f>
        <v>#VALUE!</v>
      </c>
      <c r="AH73" t="e">
        <f>Year_2040!AH76/Year_2032!AH76</f>
        <v>#VALUE!</v>
      </c>
      <c r="AI73" t="e">
        <f>Year_2040!AI76/Year_2032!AI76</f>
        <v>#VALUE!</v>
      </c>
      <c r="AJ73" t="e">
        <f>Year_2040!AJ76/Year_2032!AJ76</f>
        <v>#VALUE!</v>
      </c>
      <c r="AK73" t="e">
        <f>Year_2040!AK76/Year_2032!AK76</f>
        <v>#VALUE!</v>
      </c>
      <c r="AL73" t="e">
        <f>Year_2040!AL76/Year_2032!AL76</f>
        <v>#DIV/0!</v>
      </c>
      <c r="AM73" t="e">
        <f>Year_2040!AM76/Year_2032!AM76</f>
        <v>#DIV/0!</v>
      </c>
      <c r="AN73" t="e">
        <f>Year_2040!AN76/Year_2032!AN76</f>
        <v>#VALUE!</v>
      </c>
      <c r="AO73" t="e">
        <f>Year_2040!AO76/Year_2032!AO76</f>
        <v>#VALUE!</v>
      </c>
      <c r="AP73" t="e">
        <f>Year_2040!AP76/Year_2032!AP76</f>
        <v>#VALUE!</v>
      </c>
      <c r="AQ73" t="e">
        <f>Year_2040!AQ76/Year_2032!AQ76</f>
        <v>#VALUE!</v>
      </c>
      <c r="AR73" t="e">
        <f>Year_2040!AR76/Year_2032!AR76</f>
        <v>#VALUE!</v>
      </c>
      <c r="AS73" t="e">
        <f>Year_2040!AS76/Year_2032!AS76</f>
        <v>#VALUE!</v>
      </c>
      <c r="AT73" t="e">
        <f>Year_2040!AT76/Year_2032!AT76</f>
        <v>#VALUE!</v>
      </c>
      <c r="AU73" t="e">
        <f>Year_2040!AU76/Year_2032!AU76</f>
        <v>#VALUE!</v>
      </c>
      <c r="AV73" t="e">
        <f>Year_2040!AV76/Year_2032!AV76</f>
        <v>#VALUE!</v>
      </c>
      <c r="AW73" t="e">
        <f>Year_2040!AW76/Year_2032!AW76</f>
        <v>#VALUE!</v>
      </c>
      <c r="AX73" t="e">
        <f>Year_2040!AX76/Year_2032!AX76</f>
        <v>#VALUE!</v>
      </c>
    </row>
    <row r="74" spans="2:50" x14ac:dyDescent="0.3">
      <c r="B74" t="str">
        <f>Year_2032!B77</f>
        <v>Segment</v>
      </c>
      <c r="C74">
        <f>Year_2040!C77/Year_2032!C77</f>
        <v>1</v>
      </c>
      <c r="D74">
        <f>Year_2040!D77/Year_2032!D77</f>
        <v>1</v>
      </c>
      <c r="E74">
        <f>Year_2040!E77/Year_2032!E77</f>
        <v>1</v>
      </c>
      <c r="F74">
        <f>Year_2040!F77/Year_2032!F77</f>
        <v>1</v>
      </c>
      <c r="G74">
        <f>Year_2040!G77/Year_2032!G77</f>
        <v>1</v>
      </c>
      <c r="H74">
        <f>Year_2040!H77/Year_2032!H77</f>
        <v>1</v>
      </c>
      <c r="I74">
        <f>Year_2040!I77/Year_2032!I77</f>
        <v>1</v>
      </c>
      <c r="J74">
        <f>Year_2040!J77/Year_2032!J77</f>
        <v>1</v>
      </c>
      <c r="K74">
        <f>Year_2040!K77/Year_2032!K77</f>
        <v>1</v>
      </c>
      <c r="L74">
        <f>Year_2040!L77/Year_2032!L77</f>
        <v>1</v>
      </c>
      <c r="M74" t="e">
        <f>Year_2040!M77/Year_2032!M77</f>
        <v>#DIV/0!</v>
      </c>
      <c r="N74" t="str">
        <f>Year_2040!N77</f>
        <v>Segment</v>
      </c>
      <c r="O74">
        <f>Year_2040!O77/Year_2032!O77</f>
        <v>1</v>
      </c>
      <c r="P74">
        <f>Year_2040!P77/Year_2032!P77</f>
        <v>1</v>
      </c>
      <c r="Q74">
        <f>Year_2040!Q77/Year_2032!Q77</f>
        <v>1</v>
      </c>
      <c r="R74">
        <f>Year_2040!R77/Year_2032!R77</f>
        <v>1</v>
      </c>
      <c r="S74">
        <f>Year_2040!S77/Year_2032!S77</f>
        <v>1</v>
      </c>
      <c r="T74">
        <f>Year_2040!T77/Year_2032!T77</f>
        <v>1</v>
      </c>
      <c r="U74">
        <f>Year_2040!U77/Year_2032!U77</f>
        <v>1</v>
      </c>
      <c r="V74">
        <f>Year_2040!V77/Year_2032!V77</f>
        <v>1</v>
      </c>
      <c r="W74">
        <f>Year_2040!W77/Year_2032!W77</f>
        <v>1</v>
      </c>
      <c r="X74">
        <f>Year_2040!X77/Year_2032!X77</f>
        <v>1</v>
      </c>
      <c r="Y74" t="e">
        <f>Year_2040!Y77/Year_2032!Y77</f>
        <v>#DIV/0!</v>
      </c>
      <c r="Z74" t="e">
        <f>Year_2040!Z77/Year_2032!Z77</f>
        <v>#DIV/0!</v>
      </c>
      <c r="AA74" t="e">
        <f>Year_2040!AA77/Year_2032!AA77</f>
        <v>#VALUE!</v>
      </c>
      <c r="AB74">
        <f>Year_2040!AB77/Year_2032!AB77</f>
        <v>1</v>
      </c>
      <c r="AC74">
        <f>Year_2040!AC77/Year_2032!AC77</f>
        <v>1</v>
      </c>
      <c r="AD74">
        <f>Year_2040!AD77/Year_2032!AD77</f>
        <v>1</v>
      </c>
      <c r="AE74">
        <f>Year_2040!AE77/Year_2032!AE77</f>
        <v>1</v>
      </c>
      <c r="AF74">
        <f>Year_2040!AF77/Year_2032!AF77</f>
        <v>1</v>
      </c>
      <c r="AG74">
        <f>Year_2040!AG77/Year_2032!AG77</f>
        <v>1</v>
      </c>
      <c r="AH74">
        <f>Year_2040!AH77/Year_2032!AH77</f>
        <v>1</v>
      </c>
      <c r="AI74">
        <f>Year_2040!AI77/Year_2032!AI77</f>
        <v>1</v>
      </c>
      <c r="AJ74">
        <f>Year_2040!AJ77/Year_2032!AJ77</f>
        <v>1</v>
      </c>
      <c r="AK74">
        <f>Year_2040!AK77/Year_2032!AK77</f>
        <v>1</v>
      </c>
      <c r="AL74" t="e">
        <f>Year_2040!AL77/Year_2032!AL77</f>
        <v>#DIV/0!</v>
      </c>
      <c r="AM74" t="e">
        <f>Year_2040!AM77/Year_2032!AM77</f>
        <v>#DIV/0!</v>
      </c>
      <c r="AN74" t="e">
        <f>Year_2040!AN77/Year_2032!AN77</f>
        <v>#VALUE!</v>
      </c>
      <c r="AO74">
        <f>Year_2040!AO77/Year_2032!AO77</f>
        <v>1</v>
      </c>
      <c r="AP74">
        <f>Year_2040!AP77/Year_2032!AP77</f>
        <v>1</v>
      </c>
      <c r="AQ74">
        <f>Year_2040!AQ77/Year_2032!AQ77</f>
        <v>1</v>
      </c>
      <c r="AR74">
        <f>Year_2040!AR77/Year_2032!AR77</f>
        <v>1</v>
      </c>
      <c r="AS74">
        <f>Year_2040!AS77/Year_2032!AS77</f>
        <v>1</v>
      </c>
      <c r="AT74">
        <f>Year_2040!AT77/Year_2032!AT77</f>
        <v>1</v>
      </c>
      <c r="AU74">
        <f>Year_2040!AU77/Year_2032!AU77</f>
        <v>1</v>
      </c>
      <c r="AV74">
        <f>Year_2040!AV77/Year_2032!AV77</f>
        <v>1</v>
      </c>
      <c r="AW74">
        <f>Year_2040!AW77/Year_2032!AW77</f>
        <v>1</v>
      </c>
      <c r="AX74">
        <f>Year_2040!AX77/Year_2032!AX77</f>
        <v>1</v>
      </c>
    </row>
    <row r="75" spans="2:50" x14ac:dyDescent="0.3">
      <c r="B75" t="str">
        <f>Year_2032!B78</f>
        <v>Period</v>
      </c>
      <c r="C75" t="e">
        <f>Year_2040!C78/Year_2032!C78</f>
        <v>#DIV/0!</v>
      </c>
      <c r="D75" t="e">
        <f>Year_2040!D78/Year_2032!D78</f>
        <v>#DIV/0!</v>
      </c>
      <c r="E75" t="e">
        <f>Year_2040!E78/Year_2032!E78</f>
        <v>#DIV/0!</v>
      </c>
      <c r="F75" t="e">
        <f>Year_2040!F78/Year_2032!F78</f>
        <v>#DIV/0!</v>
      </c>
      <c r="G75" t="e">
        <f>Year_2040!G78/Year_2032!G78</f>
        <v>#DIV/0!</v>
      </c>
      <c r="H75" t="e">
        <f>Year_2040!H78/Year_2032!H78</f>
        <v>#DIV/0!</v>
      </c>
      <c r="I75" t="e">
        <f>Year_2040!I78/Year_2032!I78</f>
        <v>#DIV/0!</v>
      </c>
      <c r="J75" t="e">
        <f>Year_2040!J78/Year_2032!J78</f>
        <v>#DIV/0!</v>
      </c>
      <c r="K75" t="e">
        <f>Year_2040!K78/Year_2032!K78</f>
        <v>#DIV/0!</v>
      </c>
      <c r="L75" t="e">
        <f>Year_2040!L78/Year_2032!L78</f>
        <v>#DIV/0!</v>
      </c>
      <c r="M75" t="e">
        <f>Year_2040!M78/Year_2032!M78</f>
        <v>#DIV/0!</v>
      </c>
      <c r="N75" t="str">
        <f>Year_2040!N78</f>
        <v>Period</v>
      </c>
      <c r="O75" t="e">
        <f>Year_2040!O78/Year_2032!O78</f>
        <v>#DIV/0!</v>
      </c>
      <c r="P75" t="e">
        <f>Year_2040!P78/Year_2032!P78</f>
        <v>#DIV/0!</v>
      </c>
      <c r="Q75" t="e">
        <f>Year_2040!Q78/Year_2032!Q78</f>
        <v>#DIV/0!</v>
      </c>
      <c r="R75" t="e">
        <f>Year_2040!R78/Year_2032!R78</f>
        <v>#DIV/0!</v>
      </c>
      <c r="S75" t="e">
        <f>Year_2040!S78/Year_2032!S78</f>
        <v>#DIV/0!</v>
      </c>
      <c r="T75" t="e">
        <f>Year_2040!T78/Year_2032!T78</f>
        <v>#DIV/0!</v>
      </c>
      <c r="U75" t="e">
        <f>Year_2040!U78/Year_2032!U78</f>
        <v>#DIV/0!</v>
      </c>
      <c r="V75" t="e">
        <f>Year_2040!V78/Year_2032!V78</f>
        <v>#DIV/0!</v>
      </c>
      <c r="W75" t="e">
        <f>Year_2040!W78/Year_2032!W78</f>
        <v>#DIV/0!</v>
      </c>
      <c r="X75" t="e">
        <f>Year_2040!X78/Year_2032!X78</f>
        <v>#DIV/0!</v>
      </c>
      <c r="Y75" t="e">
        <f>Year_2040!Y78/Year_2032!Y78</f>
        <v>#DIV/0!</v>
      </c>
      <c r="Z75" t="e">
        <f>Year_2040!Z78/Year_2032!Z78</f>
        <v>#DIV/0!</v>
      </c>
      <c r="AA75" t="e">
        <f>Year_2040!AA78/Year_2032!AA78</f>
        <v>#VALUE!</v>
      </c>
      <c r="AB75" t="e">
        <f>Year_2040!AB78/Year_2032!AB78</f>
        <v>#DIV/0!</v>
      </c>
      <c r="AC75" t="e">
        <f>Year_2040!AC78/Year_2032!AC78</f>
        <v>#DIV/0!</v>
      </c>
      <c r="AD75" t="e">
        <f>Year_2040!AD78/Year_2032!AD78</f>
        <v>#DIV/0!</v>
      </c>
      <c r="AE75" t="e">
        <f>Year_2040!AE78/Year_2032!AE78</f>
        <v>#DIV/0!</v>
      </c>
      <c r="AF75" t="e">
        <f>Year_2040!AF78/Year_2032!AF78</f>
        <v>#DIV/0!</v>
      </c>
      <c r="AG75" t="e">
        <f>Year_2040!AG78/Year_2032!AG78</f>
        <v>#DIV/0!</v>
      </c>
      <c r="AH75" t="e">
        <f>Year_2040!AH78/Year_2032!AH78</f>
        <v>#DIV/0!</v>
      </c>
      <c r="AI75" t="e">
        <f>Year_2040!AI78/Year_2032!AI78</f>
        <v>#DIV/0!</v>
      </c>
      <c r="AJ75" t="e">
        <f>Year_2040!AJ78/Year_2032!AJ78</f>
        <v>#DIV/0!</v>
      </c>
      <c r="AK75" t="e">
        <f>Year_2040!AK78/Year_2032!AK78</f>
        <v>#DIV/0!</v>
      </c>
      <c r="AL75" t="e">
        <f>Year_2040!AL78/Year_2032!AL78</f>
        <v>#DIV/0!</v>
      </c>
      <c r="AM75" t="e">
        <f>Year_2040!AM78/Year_2032!AM78</f>
        <v>#DIV/0!</v>
      </c>
      <c r="AN75" t="e">
        <f>Year_2040!AN78/Year_2032!AN78</f>
        <v>#VALUE!</v>
      </c>
      <c r="AO75" t="e">
        <f>Year_2040!AO78/Year_2032!AO78</f>
        <v>#DIV/0!</v>
      </c>
      <c r="AP75" t="e">
        <f>Year_2040!AP78/Year_2032!AP78</f>
        <v>#DIV/0!</v>
      </c>
      <c r="AQ75" t="e">
        <f>Year_2040!AQ78/Year_2032!AQ78</f>
        <v>#DIV/0!</v>
      </c>
      <c r="AR75" t="e">
        <f>Year_2040!AR78/Year_2032!AR78</f>
        <v>#DIV/0!</v>
      </c>
      <c r="AS75" t="e">
        <f>Year_2040!AS78/Year_2032!AS78</f>
        <v>#DIV/0!</v>
      </c>
      <c r="AT75" t="e">
        <f>Year_2040!AT78/Year_2032!AT78</f>
        <v>#DIV/0!</v>
      </c>
      <c r="AU75" t="e">
        <f>Year_2040!AU78/Year_2032!AU78</f>
        <v>#DIV/0!</v>
      </c>
      <c r="AV75" t="e">
        <f>Year_2040!AV78/Year_2032!AV78</f>
        <v>#DIV/0!</v>
      </c>
      <c r="AW75" t="e">
        <f>Year_2040!AW78/Year_2032!AW78</f>
        <v>#DIV/0!</v>
      </c>
      <c r="AX75" t="e">
        <f>Year_2040!AX78/Year_2032!AX78</f>
        <v>#DIV/0!</v>
      </c>
    </row>
    <row r="76" spans="2:50" x14ac:dyDescent="0.3">
      <c r="B76" t="str">
        <f>Year_2032!B79</f>
        <v>Night</v>
      </c>
      <c r="C76">
        <f>Year_2040!C79/Year_2032!C79</f>
        <v>1.0822041553748871</v>
      </c>
      <c r="D76">
        <f>Year_2040!D79/Year_2032!D79</f>
        <v>1.4067190850607576</v>
      </c>
      <c r="E76">
        <f>Year_2040!E79/Year_2032!E79</f>
        <v>1.4808743169398906</v>
      </c>
      <c r="F76">
        <f>Year_2040!F79/Year_2032!F79</f>
        <v>1.1158238172920065</v>
      </c>
      <c r="G76">
        <f>Year_2040!G79/Year_2032!G79</f>
        <v>1.9008547008547008</v>
      </c>
      <c r="H76">
        <f>Year_2040!H79/Year_2032!H79</f>
        <v>1.8822894168466522</v>
      </c>
      <c r="I76">
        <f>Year_2040!I79/Year_2032!I79</f>
        <v>1.1147859922178991</v>
      </c>
      <c r="J76">
        <f>Year_2040!J79/Year_2032!J79</f>
        <v>1.1417322834645669</v>
      </c>
      <c r="K76">
        <f>Year_2040!K79/Year_2032!K79</f>
        <v>1.0122699386503067</v>
      </c>
      <c r="L76">
        <f>Year_2040!L79/Year_2032!L79</f>
        <v>1</v>
      </c>
      <c r="M76" t="e">
        <f>Year_2040!M79/Year_2032!M79</f>
        <v>#DIV/0!</v>
      </c>
      <c r="N76" t="str">
        <f>Year_2040!N79</f>
        <v>Night</v>
      </c>
      <c r="O76">
        <f>Year_2040!O79/Year_2032!O79</f>
        <v>1</v>
      </c>
      <c r="P76">
        <f>Year_2040!P79/Year_2032!P79</f>
        <v>1</v>
      </c>
      <c r="Q76">
        <f>Year_2040!Q79/Year_2032!Q79</f>
        <v>1</v>
      </c>
      <c r="R76">
        <f>Year_2040!R79/Year_2032!R79</f>
        <v>1</v>
      </c>
      <c r="S76">
        <f>Year_2040!S79/Year_2032!S79</f>
        <v>1</v>
      </c>
      <c r="T76">
        <f>Year_2040!T79/Year_2032!T79</f>
        <v>1</v>
      </c>
      <c r="U76">
        <f>Year_2040!U79/Year_2032!U79</f>
        <v>1</v>
      </c>
      <c r="V76">
        <f>Year_2040!V79/Year_2032!V79</f>
        <v>1</v>
      </c>
      <c r="W76">
        <f>Year_2040!W79/Year_2032!W79</f>
        <v>1</v>
      </c>
      <c r="X76">
        <f>Year_2040!X79/Year_2032!X79</f>
        <v>1</v>
      </c>
      <c r="Y76" t="e">
        <f>Year_2040!Y79/Year_2032!Y79</f>
        <v>#DIV/0!</v>
      </c>
      <c r="Z76" t="e">
        <f>Year_2040!Z79/Year_2032!Z79</f>
        <v>#DIV/0!</v>
      </c>
      <c r="AA76" t="e">
        <f>Year_2040!AA79/Year_2032!AA79</f>
        <v>#VALUE!</v>
      </c>
      <c r="AB76">
        <f>Year_2040!AB79/Year_2032!AB79</f>
        <v>1</v>
      </c>
      <c r="AC76">
        <f>Year_2040!AC79/Year_2032!AC79</f>
        <v>1</v>
      </c>
      <c r="AD76">
        <f>Year_2040!AD79/Year_2032!AD79</f>
        <v>1</v>
      </c>
      <c r="AE76">
        <f>Year_2040!AE79/Year_2032!AE79</f>
        <v>1</v>
      </c>
      <c r="AF76">
        <f>Year_2040!AF79/Year_2032!AF79</f>
        <v>1</v>
      </c>
      <c r="AG76">
        <f>Year_2040!AG79/Year_2032!AG79</f>
        <v>1</v>
      </c>
      <c r="AH76">
        <f>Year_2040!AH79/Year_2032!AH79</f>
        <v>1</v>
      </c>
      <c r="AI76">
        <f>Year_2040!AI79/Year_2032!AI79</f>
        <v>1</v>
      </c>
      <c r="AJ76">
        <f>Year_2040!AJ79/Year_2032!AJ79</f>
        <v>1</v>
      </c>
      <c r="AK76">
        <f>Year_2040!AK79/Year_2032!AK79</f>
        <v>1</v>
      </c>
      <c r="AL76" t="e">
        <f>Year_2040!AL79/Year_2032!AL79</f>
        <v>#DIV/0!</v>
      </c>
      <c r="AM76" t="e">
        <f>Year_2040!AM79/Year_2032!AM79</f>
        <v>#DIV/0!</v>
      </c>
      <c r="AN76" t="e">
        <f>Year_2040!AN79/Year_2032!AN79</f>
        <v>#VALUE!</v>
      </c>
      <c r="AO76" t="e">
        <f>Year_2040!AO79/Year_2032!AO79</f>
        <v>#DIV/0!</v>
      </c>
      <c r="AP76" t="e">
        <f>Year_2040!AP79/Year_2032!AP79</f>
        <v>#DIV/0!</v>
      </c>
      <c r="AQ76" t="e">
        <f>Year_2040!AQ79/Year_2032!AQ79</f>
        <v>#DIV/0!</v>
      </c>
      <c r="AR76" t="e">
        <f>Year_2040!AR79/Year_2032!AR79</f>
        <v>#DIV/0!</v>
      </c>
      <c r="AS76">
        <f>Year_2040!AS79/Year_2032!AS79</f>
        <v>1</v>
      </c>
      <c r="AT76">
        <f>Year_2040!AT79/Year_2032!AT79</f>
        <v>1</v>
      </c>
      <c r="AU76" t="e">
        <f>Year_2040!AU79/Year_2032!AU79</f>
        <v>#DIV/0!</v>
      </c>
      <c r="AV76" t="e">
        <f>Year_2040!AV79/Year_2032!AV79</f>
        <v>#DIV/0!</v>
      </c>
      <c r="AW76">
        <f>Year_2040!AW79/Year_2032!AW79</f>
        <v>1</v>
      </c>
      <c r="AX76" t="e">
        <f>Year_2040!AX79/Year_2032!AX79</f>
        <v>#DIV/0!</v>
      </c>
    </row>
    <row r="77" spans="2:50" x14ac:dyDescent="0.3">
      <c r="B77" t="str">
        <f>Year_2032!B80</f>
        <v>AM-Early</v>
      </c>
      <c r="C77">
        <f>Year_2040!C80/Year_2032!C80</f>
        <v>1.510135863704982</v>
      </c>
      <c r="D77">
        <f>Year_2040!D80/Year_2032!D80</f>
        <v>1.9550756620428753</v>
      </c>
      <c r="E77">
        <f>Year_2040!E80/Year_2032!E80</f>
        <v>2.1743853630646082</v>
      </c>
      <c r="F77">
        <f>Year_2040!F80/Year_2032!F80</f>
        <v>1.5253154292757289</v>
      </c>
      <c r="G77">
        <f>Year_2040!G80/Year_2032!G80</f>
        <v>1.7795989201696876</v>
      </c>
      <c r="H77">
        <f>Year_2040!H80/Year_2032!H80</f>
        <v>1.9676452965847813</v>
      </c>
      <c r="I77">
        <f>Year_2040!I80/Year_2032!I80</f>
        <v>1.4976735292242973</v>
      </c>
      <c r="J77">
        <f>Year_2040!J80/Year_2032!J80</f>
        <v>2.1677397492375463</v>
      </c>
      <c r="K77">
        <f>Year_2040!K80/Year_2032!K80</f>
        <v>1.4295048143053646</v>
      </c>
      <c r="L77">
        <f>Year_2040!L80/Year_2032!L80</f>
        <v>1.4566392479435959</v>
      </c>
      <c r="M77" t="e">
        <f>Year_2040!M80/Year_2032!M80</f>
        <v>#DIV/0!</v>
      </c>
      <c r="N77" t="str">
        <f>Year_2040!N80</f>
        <v>AM-Early</v>
      </c>
      <c r="O77">
        <f>Year_2040!O80/Year_2032!O80</f>
        <v>1.009090909090909</v>
      </c>
      <c r="P77">
        <f>Year_2040!P80/Year_2032!P80</f>
        <v>1</v>
      </c>
      <c r="Q77">
        <f>Year_2040!Q80/Year_2032!Q80</f>
        <v>1</v>
      </c>
      <c r="R77">
        <f>Year_2040!R80/Year_2032!R80</f>
        <v>1</v>
      </c>
      <c r="S77">
        <f>Year_2040!S80/Year_2032!S80</f>
        <v>1.0425531914893618</v>
      </c>
      <c r="T77">
        <f>Year_2040!T80/Year_2032!T80</f>
        <v>1</v>
      </c>
      <c r="U77">
        <f>Year_2040!U80/Year_2032!U80</f>
        <v>1.0151057401812689</v>
      </c>
      <c r="V77">
        <f>Year_2040!V80/Year_2032!V80</f>
        <v>1</v>
      </c>
      <c r="W77">
        <f>Year_2040!W80/Year_2032!W80</f>
        <v>1.0125</v>
      </c>
      <c r="X77">
        <f>Year_2040!X80/Year_2032!X80</f>
        <v>1</v>
      </c>
      <c r="Y77" t="e">
        <f>Year_2040!Y80/Year_2032!Y80</f>
        <v>#DIV/0!</v>
      </c>
      <c r="Z77" t="e">
        <f>Year_2040!Z80/Year_2032!Z80</f>
        <v>#DIV/0!</v>
      </c>
      <c r="AA77" t="e">
        <f>Year_2040!AA80/Year_2032!AA80</f>
        <v>#VALUE!</v>
      </c>
      <c r="AB77">
        <f>Year_2040!AB80/Year_2032!AB80</f>
        <v>1.0032051282051282</v>
      </c>
      <c r="AC77">
        <f>Year_2040!AC80/Year_2032!AC80</f>
        <v>1.0474137931034484</v>
      </c>
      <c r="AD77">
        <f>Year_2040!AD80/Year_2032!AD80</f>
        <v>1.0866425992779782</v>
      </c>
      <c r="AE77">
        <f>Year_2040!AE80/Year_2032!AE80</f>
        <v>0.98843930635838151</v>
      </c>
      <c r="AF77">
        <f>Year_2040!AF80/Year_2032!AF80</f>
        <v>1.0891089108910892</v>
      </c>
      <c r="AG77">
        <f>Year_2040!AG80/Year_2032!AG80</f>
        <v>1.0712250712250713</v>
      </c>
      <c r="AH77">
        <f>Year_2040!AH80/Year_2032!AH80</f>
        <v>1.0085106382978724</v>
      </c>
      <c r="AI77">
        <f>Year_2040!AI80/Year_2032!AI80</f>
        <v>1</v>
      </c>
      <c r="AJ77">
        <f>Year_2040!AJ80/Year_2032!AJ80</f>
        <v>0.99115044247787631</v>
      </c>
      <c r="AK77">
        <f>Year_2040!AK80/Year_2032!AK80</f>
        <v>1</v>
      </c>
      <c r="AL77" t="e">
        <f>Year_2040!AL80/Year_2032!AL80</f>
        <v>#DIV/0!</v>
      </c>
      <c r="AM77" t="e">
        <f>Year_2040!AM80/Year_2032!AM80</f>
        <v>#DIV/0!</v>
      </c>
      <c r="AN77" t="e">
        <f>Year_2040!AN80/Year_2032!AN80</f>
        <v>#VALUE!</v>
      </c>
      <c r="AO77">
        <f>Year_2040!AO80/Year_2032!AO80</f>
        <v>1</v>
      </c>
      <c r="AP77">
        <f>Year_2040!AP80/Year_2032!AP80</f>
        <v>1.7999999999999998</v>
      </c>
      <c r="AQ77">
        <f>Year_2040!AQ80/Year_2032!AQ80</f>
        <v>1.8888888888888891</v>
      </c>
      <c r="AR77">
        <f>Year_2040!AR80/Year_2032!AR80</f>
        <v>0.9642857142857143</v>
      </c>
      <c r="AS77">
        <f>Year_2040!AS80/Year_2032!AS80</f>
        <v>1.1000000000000001</v>
      </c>
      <c r="AT77">
        <f>Year_2040!AT80/Year_2032!AT80</f>
        <v>1.25</v>
      </c>
      <c r="AU77">
        <f>Year_2040!AU80/Year_2032!AU80</f>
        <v>0.96666666666666667</v>
      </c>
      <c r="AV77" t="e">
        <f>Year_2040!AV80/Year_2032!AV80</f>
        <v>#DIV/0!</v>
      </c>
      <c r="AW77">
        <f>Year_2040!AW80/Year_2032!AW80</f>
        <v>0.9655172413793105</v>
      </c>
      <c r="AX77">
        <f>Year_2040!AX80/Year_2032!AX80</f>
        <v>1</v>
      </c>
    </row>
    <row r="78" spans="2:50" x14ac:dyDescent="0.3">
      <c r="B78" t="str">
        <f>Year_2032!B81</f>
        <v>AM-Peak</v>
      </c>
      <c r="C78">
        <f>Year_2040!C81/Year_2032!C81</f>
        <v>2.1129378437795991</v>
      </c>
      <c r="D78">
        <f>Year_2040!D81/Year_2032!D81</f>
        <v>1.6384784345047925</v>
      </c>
      <c r="E78">
        <f>Year_2040!E81/Year_2032!E81</f>
        <v>2.4033700084634915</v>
      </c>
      <c r="F78">
        <f>Year_2040!F81/Year_2032!F81</f>
        <v>3.7177895787349668</v>
      </c>
      <c r="G78">
        <f>Year_2040!G81/Year_2032!G81</f>
        <v>2.2087742018443</v>
      </c>
      <c r="H78">
        <f>Year_2040!H81/Year_2032!H81</f>
        <v>1.6998528329654157</v>
      </c>
      <c r="I78">
        <f>Year_2040!I81/Year_2032!I81</f>
        <v>2.3507433708693388</v>
      </c>
      <c r="J78">
        <f>Year_2040!J81/Year_2032!J81</f>
        <v>2.0094308454722931</v>
      </c>
      <c r="K78">
        <f>Year_2040!K81/Year_2032!K81</f>
        <v>1.4136537411250683</v>
      </c>
      <c r="L78">
        <f>Year_2040!L81/Year_2032!L81</f>
        <v>1.3053712532924349</v>
      </c>
      <c r="M78" t="e">
        <f>Year_2040!M81/Year_2032!M81</f>
        <v>#DIV/0!</v>
      </c>
      <c r="N78" t="str">
        <f>Year_2040!N81</f>
        <v>AM-Peak</v>
      </c>
      <c r="O78">
        <f>Year_2040!O81/Year_2032!O81</f>
        <v>1.1155555555555554</v>
      </c>
      <c r="P78">
        <f>Year_2040!P81/Year_2032!P81</f>
        <v>1.0045454545454544</v>
      </c>
      <c r="Q78">
        <f>Year_2040!Q81/Year_2032!Q81</f>
        <v>1</v>
      </c>
      <c r="R78">
        <f>Year_2040!R81/Year_2032!R81</f>
        <v>0.99609374999999989</v>
      </c>
      <c r="S78">
        <f>Year_2040!S81/Year_2032!S81</f>
        <v>1.1843003412969284</v>
      </c>
      <c r="T78">
        <f>Year_2040!T81/Year_2032!T81</f>
        <v>1.0213523131672597</v>
      </c>
      <c r="U78">
        <f>Year_2040!U81/Year_2032!U81</f>
        <v>1.0180722891566265</v>
      </c>
      <c r="V78">
        <f>Year_2040!V81/Year_2032!V81</f>
        <v>1.0030303030303032</v>
      </c>
      <c r="W78">
        <f>Year_2040!W81/Year_2032!W81</f>
        <v>1</v>
      </c>
      <c r="X78">
        <f>Year_2040!X81/Year_2032!X81</f>
        <v>1</v>
      </c>
      <c r="Y78" t="e">
        <f>Year_2040!Y81/Year_2032!Y81</f>
        <v>#DIV/0!</v>
      </c>
      <c r="Z78" t="e">
        <f>Year_2040!Z81/Year_2032!Z81</f>
        <v>#DIV/0!</v>
      </c>
      <c r="AA78" t="e">
        <f>Year_2040!AA81/Year_2032!AA81</f>
        <v>#VALUE!</v>
      </c>
      <c r="AB78">
        <f>Year_2040!AB81/Year_2032!AB81</f>
        <v>1.2971887550200802</v>
      </c>
      <c r="AC78">
        <f>Year_2040!AC81/Year_2032!AC81</f>
        <v>1.0396825396825398</v>
      </c>
      <c r="AD78">
        <f>Year_2040!AD81/Year_2032!AD81</f>
        <v>1.2500000000000002</v>
      </c>
      <c r="AE78">
        <f>Year_2040!AE81/Year_2032!AE81</f>
        <v>1.7153110047846891</v>
      </c>
      <c r="AF78">
        <f>Year_2040!AF81/Year_2032!AF81</f>
        <v>1.3194444444444444</v>
      </c>
      <c r="AG78">
        <f>Year_2040!AG81/Year_2032!AG81</f>
        <v>1.0773480662983426</v>
      </c>
      <c r="AH78">
        <f>Year_2040!AH81/Year_2032!AH81</f>
        <v>1.3292894280762566</v>
      </c>
      <c r="AI78">
        <f>Year_2040!AI81/Year_2032!AI81</f>
        <v>1.0266272189349113</v>
      </c>
      <c r="AJ78">
        <f>Year_2040!AJ81/Year_2032!AJ81</f>
        <v>0.9887640449438202</v>
      </c>
      <c r="AK78">
        <f>Year_2040!AK81/Year_2032!AK81</f>
        <v>0.96190476190476182</v>
      </c>
      <c r="AL78" t="e">
        <f>Year_2040!AL81/Year_2032!AL81</f>
        <v>#DIV/0!</v>
      </c>
      <c r="AM78" t="e">
        <f>Year_2040!AM81/Year_2032!AM81</f>
        <v>#DIV/0!</v>
      </c>
      <c r="AN78" t="e">
        <f>Year_2040!AN81/Year_2032!AN81</f>
        <v>#VALUE!</v>
      </c>
      <c r="AO78">
        <f>Year_2040!AO81/Year_2032!AO81</f>
        <v>1.1090909090909089</v>
      </c>
      <c r="AP78">
        <f>Year_2040!AP81/Year_2032!AP81</f>
        <v>1.2307692307692308</v>
      </c>
      <c r="AQ78">
        <f>Year_2040!AQ81/Year_2032!AQ81</f>
        <v>1.6250000000000002</v>
      </c>
      <c r="AR78">
        <f>Year_2040!AR81/Year_2032!AR81</f>
        <v>1.641025641025641</v>
      </c>
      <c r="AS78">
        <f>Year_2040!AS81/Year_2032!AS81</f>
        <v>1.0727272727272725</v>
      </c>
      <c r="AT78">
        <f>Year_2040!AT81/Year_2032!AT81</f>
        <v>1.1818181818181819</v>
      </c>
      <c r="AU78">
        <f>Year_2040!AU81/Year_2032!AU81</f>
        <v>1.3333333333333335</v>
      </c>
      <c r="AV78">
        <f>Year_2040!AV81/Year_2032!AV81</f>
        <v>2.5</v>
      </c>
      <c r="AW78">
        <f>Year_2040!AW81/Year_2032!AW81</f>
        <v>0.89999999999999991</v>
      </c>
      <c r="AX78">
        <f>Year_2040!AX81/Year_2032!AX81</f>
        <v>0.86956521739130432</v>
      </c>
    </row>
    <row r="79" spans="2:50" x14ac:dyDescent="0.3">
      <c r="B79" t="str">
        <f>Year_2032!B82</f>
        <v>AM-Shoulder</v>
      </c>
      <c r="C79">
        <f>Year_2040!C82/Year_2032!C82</f>
        <v>1.3878634803445373</v>
      </c>
      <c r="D79">
        <f>Year_2040!D82/Year_2032!D82</f>
        <v>1.8521120251409557</v>
      </c>
      <c r="E79">
        <f>Year_2040!E82/Year_2032!E82</f>
        <v>2.0192486465795372</v>
      </c>
      <c r="F79">
        <f>Year_2040!F82/Year_2032!F82</f>
        <v>1.3792729780317208</v>
      </c>
      <c r="G79">
        <f>Year_2040!G82/Year_2032!G82</f>
        <v>1.6206321494645233</v>
      </c>
      <c r="H79">
        <f>Year_2040!H82/Year_2032!H82</f>
        <v>1.7587530800527191</v>
      </c>
      <c r="I79">
        <f>Year_2040!I82/Year_2032!I82</f>
        <v>2.2630244644441628</v>
      </c>
      <c r="J79">
        <f>Year_2040!J82/Year_2032!J82</f>
        <v>2</v>
      </c>
      <c r="K79">
        <f>Year_2040!K82/Year_2032!K82</f>
        <v>1.4559289790741916</v>
      </c>
      <c r="L79">
        <f>Year_2040!L82/Year_2032!L82</f>
        <v>1.4263184670171274</v>
      </c>
      <c r="M79" t="e">
        <f>Year_2040!M82/Year_2032!M82</f>
        <v>#DIV/0!</v>
      </c>
      <c r="N79" t="str">
        <f>Year_2040!N82</f>
        <v>AM-Shoulder</v>
      </c>
      <c r="O79">
        <f>Year_2040!O82/Year_2032!O82</f>
        <v>1.0045248868778283</v>
      </c>
      <c r="P79">
        <f>Year_2040!P82/Year_2032!P82</f>
        <v>1</v>
      </c>
      <c r="Q79">
        <f>Year_2040!Q82/Year_2032!Q82</f>
        <v>1.0239043824701195</v>
      </c>
      <c r="R79">
        <f>Year_2040!R82/Year_2032!R82</f>
        <v>1.0119047619047619</v>
      </c>
      <c r="S79">
        <f>Year_2040!S82/Year_2032!S82</f>
        <v>1</v>
      </c>
      <c r="T79">
        <f>Year_2040!T82/Year_2032!T82</f>
        <v>1.0355871886120998</v>
      </c>
      <c r="U79">
        <f>Year_2040!U82/Year_2032!U82</f>
        <v>1.0030211480362536</v>
      </c>
      <c r="V79">
        <f>Year_2040!V82/Year_2032!V82</f>
        <v>1.0030303030303032</v>
      </c>
      <c r="W79">
        <f>Year_2040!W82/Year_2032!W82</f>
        <v>1</v>
      </c>
      <c r="X79">
        <f>Year_2040!X82/Year_2032!X82</f>
        <v>1</v>
      </c>
      <c r="Y79" t="e">
        <f>Year_2040!Y82/Year_2032!Y82</f>
        <v>#DIV/0!</v>
      </c>
      <c r="Z79" t="e">
        <f>Year_2040!Z82/Year_2032!Z82</f>
        <v>#DIV/0!</v>
      </c>
      <c r="AA79" t="e">
        <f>Year_2040!AA82/Year_2032!AA82</f>
        <v>#VALUE!</v>
      </c>
      <c r="AB79">
        <f>Year_2040!AB82/Year_2032!AB82</f>
        <v>0.97530864197530864</v>
      </c>
      <c r="AC79">
        <f>Year_2040!AC82/Year_2032!AC82</f>
        <v>1.0524475524475525</v>
      </c>
      <c r="AD79">
        <f>Year_2040!AD82/Year_2032!AD82</f>
        <v>1.1316614420062696</v>
      </c>
      <c r="AE79">
        <f>Year_2040!AE82/Year_2032!AE82</f>
        <v>0.97593582887700525</v>
      </c>
      <c r="AF79">
        <f>Year_2040!AF82/Year_2032!AF82</f>
        <v>1.0554371002132195</v>
      </c>
      <c r="AG79">
        <f>Year_2040!AG82/Year_2032!AG82</f>
        <v>1.0788177339901479</v>
      </c>
      <c r="AH79">
        <f>Year_2040!AH82/Year_2032!AH82</f>
        <v>1.1111111111111109</v>
      </c>
      <c r="AI79">
        <f>Year_2040!AI82/Year_2032!AI82</f>
        <v>1.0207715133531157</v>
      </c>
      <c r="AJ79">
        <f>Year_2040!AJ82/Year_2032!AJ82</f>
        <v>1</v>
      </c>
      <c r="AK79">
        <f>Year_2040!AK82/Year_2032!AK82</f>
        <v>0.97979797979797978</v>
      </c>
      <c r="AL79" t="e">
        <f>Year_2040!AL82/Year_2032!AL82</f>
        <v>#DIV/0!</v>
      </c>
      <c r="AM79" t="e">
        <f>Year_2040!AM82/Year_2032!AM82</f>
        <v>#DIV/0!</v>
      </c>
      <c r="AN79" t="e">
        <f>Year_2040!AN82/Year_2032!AN82</f>
        <v>#VALUE!</v>
      </c>
      <c r="AO79">
        <f>Year_2040!AO82/Year_2032!AO82</f>
        <v>0.9375</v>
      </c>
      <c r="AP79">
        <f>Year_2040!AP82/Year_2032!AP82</f>
        <v>1.173913043478261</v>
      </c>
      <c r="AQ79">
        <f>Year_2040!AQ82/Year_2032!AQ82</f>
        <v>1.3809523809523809</v>
      </c>
      <c r="AR79">
        <f>Year_2040!AR82/Year_2032!AR82</f>
        <v>0.90909090909090906</v>
      </c>
      <c r="AS79">
        <f>Year_2040!AS82/Year_2032!AS82</f>
        <v>1.075</v>
      </c>
      <c r="AT79">
        <f>Year_2040!AT82/Year_2032!AT82</f>
        <v>1.0967741935483872</v>
      </c>
      <c r="AU79">
        <f>Year_2040!AU82/Year_2032!AU82</f>
        <v>1.9</v>
      </c>
      <c r="AV79">
        <f>Year_2040!AV82/Year_2032!AV82</f>
        <v>2</v>
      </c>
      <c r="AW79">
        <f>Year_2040!AW82/Year_2032!AW82</f>
        <v>1</v>
      </c>
      <c r="AX79">
        <f>Year_2040!AX82/Year_2032!AX82</f>
        <v>0.94736842105263153</v>
      </c>
    </row>
    <row r="80" spans="2:50" x14ac:dyDescent="0.3">
      <c r="B80" t="str">
        <f>Year_2032!B83</f>
        <v>MD</v>
      </c>
      <c r="C80">
        <f>Year_2040!C83/Year_2032!C83</f>
        <v>1.4025249935913866</v>
      </c>
      <c r="D80">
        <f>Year_2040!D83/Year_2032!D83</f>
        <v>1.7150668394610238</v>
      </c>
      <c r="E80">
        <f>Year_2040!E83/Year_2032!E83</f>
        <v>1.5396647581113598</v>
      </c>
      <c r="F80">
        <f>Year_2040!F83/Year_2032!F83</f>
        <v>1.3879093198992445</v>
      </c>
      <c r="G80">
        <f>Year_2040!G83/Year_2032!G83</f>
        <v>1.948438576349024</v>
      </c>
      <c r="H80">
        <f>Year_2040!H83/Year_2032!H83</f>
        <v>1.9629690173385208</v>
      </c>
      <c r="I80">
        <f>Year_2040!I83/Year_2032!I83</f>
        <v>1.9955437129599853</v>
      </c>
      <c r="J80">
        <f>Year_2040!J83/Year_2032!J83</f>
        <v>2.0034126744135814</v>
      </c>
      <c r="K80">
        <f>Year_2040!K83/Year_2032!K83</f>
        <v>1.3357933579335792</v>
      </c>
      <c r="L80">
        <f>Year_2040!L83/Year_2032!L83</f>
        <v>1.3491439962476548</v>
      </c>
      <c r="M80" t="e">
        <f>Year_2040!M83/Year_2032!M83</f>
        <v>#DIV/0!</v>
      </c>
      <c r="N80" t="str">
        <f>Year_2040!N83</f>
        <v>MD</v>
      </c>
      <c r="O80">
        <f>Year_2040!O83/Year_2032!O83</f>
        <v>1</v>
      </c>
      <c r="P80">
        <f>Year_2040!P83/Year_2032!P83</f>
        <v>1</v>
      </c>
      <c r="Q80">
        <f>Year_2040!Q83/Year_2032!Q83</f>
        <v>1.012</v>
      </c>
      <c r="R80">
        <f>Year_2040!R83/Year_2032!R83</f>
        <v>1.0039840637450199</v>
      </c>
      <c r="S80">
        <f>Year_2040!S83/Year_2032!S83</f>
        <v>1.0071428571428571</v>
      </c>
      <c r="T80">
        <f>Year_2040!T83/Year_2032!T83</f>
        <v>1.0142348754448398</v>
      </c>
      <c r="U80">
        <f>Year_2040!U83/Year_2032!U83</f>
        <v>1</v>
      </c>
      <c r="V80">
        <f>Year_2040!V83/Year_2032!V83</f>
        <v>1.0030303030303032</v>
      </c>
      <c r="W80">
        <f>Year_2040!W83/Year_2032!W83</f>
        <v>1</v>
      </c>
      <c r="X80">
        <f>Year_2040!X83/Year_2032!X83</f>
        <v>1.0125</v>
      </c>
      <c r="Y80" t="e">
        <f>Year_2040!Y83/Year_2032!Y83</f>
        <v>#DIV/0!</v>
      </c>
      <c r="Z80" t="e">
        <f>Year_2040!Z83/Year_2032!Z83</f>
        <v>#DIV/0!</v>
      </c>
      <c r="AA80" t="e">
        <f>Year_2040!AA83/Year_2032!AA83</f>
        <v>#VALUE!</v>
      </c>
      <c r="AB80">
        <f>Year_2040!AB83/Year_2032!AB83</f>
        <v>0.96507936507936509</v>
      </c>
      <c r="AC80">
        <f>Year_2040!AC83/Year_2032!AC83</f>
        <v>1.1139240506329113</v>
      </c>
      <c r="AD80">
        <f>Year_2040!AD83/Year_2032!AD83</f>
        <v>1.011173184357542</v>
      </c>
      <c r="AE80">
        <f>Year_2040!AE83/Year_2032!AE83</f>
        <v>0.97282608695652173</v>
      </c>
      <c r="AF80">
        <f>Year_2040!AF83/Year_2032!AF83</f>
        <v>1.0913978494623655</v>
      </c>
      <c r="AG80">
        <f>Year_2040!AG83/Year_2032!AG83</f>
        <v>1.1037234042553192</v>
      </c>
      <c r="AH80">
        <f>Year_2040!AH83/Year_2032!AH83</f>
        <v>1.0379008746355685</v>
      </c>
      <c r="AI80">
        <f>Year_2040!AI83/Year_2032!AI83</f>
        <v>1.0149253731343284</v>
      </c>
      <c r="AJ80">
        <f>Year_2040!AJ83/Year_2032!AJ83</f>
        <v>0.95575221238938068</v>
      </c>
      <c r="AK80">
        <f>Year_2040!AK83/Year_2032!AK83</f>
        <v>0.95798319327731085</v>
      </c>
      <c r="AL80" t="e">
        <f>Year_2040!AL83/Year_2032!AL83</f>
        <v>#DIV/0!</v>
      </c>
      <c r="AM80" t="e">
        <f>Year_2040!AM83/Year_2032!AM83</f>
        <v>#DIV/0!</v>
      </c>
      <c r="AN80" t="e">
        <f>Year_2040!AN83/Year_2032!AN83</f>
        <v>#VALUE!</v>
      </c>
      <c r="AO80">
        <f>Year_2040!AO83/Year_2032!AO83</f>
        <v>0.90000000000000013</v>
      </c>
      <c r="AP80">
        <f>Year_2040!AP83/Year_2032!AP83</f>
        <v>1.2666666666666668</v>
      </c>
      <c r="AQ80">
        <f>Year_2040!AQ83/Year_2032!AQ83</f>
        <v>1</v>
      </c>
      <c r="AR80">
        <f>Year_2040!AR83/Year_2032!AR83</f>
        <v>0.9375</v>
      </c>
      <c r="AS80">
        <f>Year_2040!AS83/Year_2032!AS83</f>
        <v>1.24</v>
      </c>
      <c r="AT80">
        <f>Year_2040!AT83/Year_2032!AT83</f>
        <v>1.24</v>
      </c>
      <c r="AU80">
        <f>Year_2040!AU83/Year_2032!AU83</f>
        <v>1.7500000000000002</v>
      </c>
      <c r="AV80">
        <f>Year_2040!AV83/Year_2032!AV83</f>
        <v>3</v>
      </c>
      <c r="AW80">
        <f>Year_2040!AW83/Year_2032!AW83</f>
        <v>0.89655172413793116</v>
      </c>
      <c r="AX80">
        <f>Year_2040!AX83/Year_2032!AX83</f>
        <v>0.87878787878787867</v>
      </c>
    </row>
    <row r="81" spans="2:50" x14ac:dyDescent="0.3">
      <c r="B81" t="str">
        <f>Year_2032!B84</f>
        <v>PM-Shoulder</v>
      </c>
      <c r="C81">
        <f>Year_2040!C84/Year_2032!C84</f>
        <v>1.4027587466885905</v>
      </c>
      <c r="D81">
        <f>Year_2040!D84/Year_2032!D84</f>
        <v>1.6415846849242224</v>
      </c>
      <c r="E81">
        <f>Year_2040!E84/Year_2032!E84</f>
        <v>1.3874625238484601</v>
      </c>
      <c r="F81">
        <f>Year_2040!F84/Year_2032!F84</f>
        <v>1.4637895359148685</v>
      </c>
      <c r="G81">
        <f>Year_2040!G84/Year_2032!G84</f>
        <v>1.3743700503959684</v>
      </c>
      <c r="H81">
        <f>Year_2040!H84/Year_2032!H84</f>
        <v>1.7420645505468126</v>
      </c>
      <c r="I81">
        <f>Year_2040!I84/Year_2032!I84</f>
        <v>2.3876103632942538</v>
      </c>
      <c r="J81">
        <f>Year_2040!J84/Year_2032!J84</f>
        <v>3.1745987632877091</v>
      </c>
      <c r="K81">
        <f>Year_2040!K84/Year_2032!K84</f>
        <v>1.3090335744759785</v>
      </c>
      <c r="L81">
        <f>Year_2040!L84/Year_2032!L84</f>
        <v>1.4720077220077221</v>
      </c>
      <c r="M81" t="e">
        <f>Year_2040!M84/Year_2032!M84</f>
        <v>#DIV/0!</v>
      </c>
      <c r="N81" t="str">
        <f>Year_2040!N84</f>
        <v>PM-Shoulder</v>
      </c>
      <c r="O81">
        <f>Year_2040!O84/Year_2032!O84</f>
        <v>1.0045248868778283</v>
      </c>
      <c r="P81">
        <f>Year_2040!P84/Year_2032!P84</f>
        <v>1</v>
      </c>
      <c r="Q81">
        <f>Year_2040!Q84/Year_2032!Q84</f>
        <v>1.0197628458498025</v>
      </c>
      <c r="R81">
        <f>Year_2040!R84/Year_2032!R84</f>
        <v>1.0271317829457365</v>
      </c>
      <c r="S81">
        <f>Year_2040!S84/Year_2032!S84</f>
        <v>1.0279720279720279</v>
      </c>
      <c r="T81">
        <f>Year_2040!T84/Year_2032!T84</f>
        <v>0.98961937716262971</v>
      </c>
      <c r="U81">
        <f>Year_2040!U84/Year_2032!U84</f>
        <v>1.0030120481927711</v>
      </c>
      <c r="V81">
        <f>Year_2040!V84/Year_2032!V84</f>
        <v>0.98550724637681153</v>
      </c>
      <c r="W81">
        <f>Year_2040!W84/Year_2032!W84</f>
        <v>1</v>
      </c>
      <c r="X81">
        <f>Year_2040!X84/Year_2032!X84</f>
        <v>1</v>
      </c>
      <c r="Y81" t="e">
        <f>Year_2040!Y84/Year_2032!Y84</f>
        <v>#DIV/0!</v>
      </c>
      <c r="Z81" t="e">
        <f>Year_2040!Z84/Year_2032!Z84</f>
        <v>#DIV/0!</v>
      </c>
      <c r="AA81" t="e">
        <f>Year_2040!AA84/Year_2032!AA84</f>
        <v>#VALUE!</v>
      </c>
      <c r="AB81">
        <f>Year_2040!AB84/Year_2032!AB84</f>
        <v>0.96518987341772144</v>
      </c>
      <c r="AC81">
        <f>Year_2040!AC84/Year_2032!AC84</f>
        <v>1.0483870967741935</v>
      </c>
      <c r="AD81">
        <f>Year_2040!AD84/Year_2032!AD84</f>
        <v>0.97587131367292224</v>
      </c>
      <c r="AE81">
        <f>Year_2040!AE84/Year_2032!AE84</f>
        <v>1.005449591280654</v>
      </c>
      <c r="AF81">
        <f>Year_2040!AF84/Year_2032!AF84</f>
        <v>0.97949886104783601</v>
      </c>
      <c r="AG81">
        <f>Year_2040!AG84/Year_2032!AG84</f>
        <v>1.0639269406392695</v>
      </c>
      <c r="AH81">
        <f>Year_2040!AH84/Year_2032!AH84</f>
        <v>1.0991735537190084</v>
      </c>
      <c r="AI81">
        <f>Year_2040!AI84/Year_2032!AI84</f>
        <v>1.2751196172248804</v>
      </c>
      <c r="AJ81">
        <f>Year_2040!AJ84/Year_2032!AJ84</f>
        <v>0.95</v>
      </c>
      <c r="AK81">
        <f>Year_2040!AK84/Year_2032!AK84</f>
        <v>0.97391304347826102</v>
      </c>
      <c r="AL81" t="e">
        <f>Year_2040!AL84/Year_2032!AL84</f>
        <v>#DIV/0!</v>
      </c>
      <c r="AM81" t="e">
        <f>Year_2040!AM84/Year_2032!AM84</f>
        <v>#DIV/0!</v>
      </c>
      <c r="AN81" t="e">
        <f>Year_2040!AN84/Year_2032!AN84</f>
        <v>#VALUE!</v>
      </c>
      <c r="AO81">
        <f>Year_2040!AO84/Year_2032!AO84</f>
        <v>0.90000000000000013</v>
      </c>
      <c r="AP81">
        <f>Year_2040!AP84/Year_2032!AP84</f>
        <v>1.1034482758620692</v>
      </c>
      <c r="AQ81">
        <f>Year_2040!AQ84/Year_2032!AQ84</f>
        <v>0.90624999999999989</v>
      </c>
      <c r="AR81">
        <f>Year_2040!AR84/Year_2032!AR84</f>
        <v>0.93333333333333346</v>
      </c>
      <c r="AS81">
        <f>Year_2040!AS84/Year_2032!AS84</f>
        <v>0.91428571428571437</v>
      </c>
      <c r="AT81">
        <f>Year_2040!AT84/Year_2032!AT84</f>
        <v>1.1470588235294117</v>
      </c>
      <c r="AU81">
        <f>Year_2040!AU84/Year_2032!AU84</f>
        <v>1.8888888888888891</v>
      </c>
      <c r="AV81">
        <f>Year_2040!AV84/Year_2032!AV84</f>
        <v>2.117647058823529</v>
      </c>
      <c r="AW81">
        <f>Year_2040!AW84/Year_2032!AW84</f>
        <v>0.87878787878787867</v>
      </c>
      <c r="AX81">
        <f>Year_2040!AX84/Year_2032!AX84</f>
        <v>0.90322580645161299</v>
      </c>
    </row>
    <row r="82" spans="2:50" x14ac:dyDescent="0.3">
      <c r="B82" t="str">
        <f>Year_2032!B85</f>
        <v>PM-Peak</v>
      </c>
      <c r="C82">
        <f>Year_2040!C85/Year_2032!C85</f>
        <v>3.2712042618813966</v>
      </c>
      <c r="D82">
        <f>Year_2040!D85/Year_2032!D85</f>
        <v>3.2262039298603771</v>
      </c>
      <c r="E82">
        <f>Year_2040!E85/Year_2032!E85</f>
        <v>1.6171887134351541</v>
      </c>
      <c r="F82">
        <f>Year_2040!F85/Year_2032!F85</f>
        <v>1.7198908083441982</v>
      </c>
      <c r="G82">
        <f>Year_2040!G85/Year_2032!G85</f>
        <v>2.4803483528966295</v>
      </c>
      <c r="H82">
        <f>Year_2040!H85/Year_2032!H85</f>
        <v>2.5626750565936383</v>
      </c>
      <c r="I82">
        <f>Year_2040!I85/Year_2032!I85</f>
        <v>2.235349663944898</v>
      </c>
      <c r="J82">
        <f>Year_2040!J85/Year_2032!J85</f>
        <v>2.5905036726128019</v>
      </c>
      <c r="K82">
        <f>Year_2040!K85/Year_2032!K85</f>
        <v>1.3444117647058824</v>
      </c>
      <c r="L82">
        <f>Year_2040!L85/Year_2032!L85</f>
        <v>1.2990213212163579</v>
      </c>
      <c r="M82" t="e">
        <f>Year_2040!M85/Year_2032!M85</f>
        <v>#DIV/0!</v>
      </c>
      <c r="N82" t="str">
        <f>Year_2040!N85</f>
        <v>PM-Peak</v>
      </c>
      <c r="O82">
        <f>Year_2040!O85/Year_2032!O85</f>
        <v>0.97457627118644063</v>
      </c>
      <c r="P82">
        <f>Year_2040!P85/Year_2032!P85</f>
        <v>0.97424892703862653</v>
      </c>
      <c r="Q82">
        <f>Year_2040!Q85/Year_2032!Q85</f>
        <v>1.0595238095238095</v>
      </c>
      <c r="R82">
        <f>Year_2040!R85/Year_2032!R85</f>
        <v>1.0592885375494072</v>
      </c>
      <c r="S82">
        <f>Year_2040!S85/Year_2032!S85</f>
        <v>1.0035335689045937</v>
      </c>
      <c r="T82">
        <f>Year_2040!T85/Year_2032!T85</f>
        <v>1.0206896551724138</v>
      </c>
      <c r="U82">
        <f>Year_2040!U85/Year_2032!U85</f>
        <v>1.0030211480362536</v>
      </c>
      <c r="V82">
        <f>Year_2040!V85/Year_2032!V85</f>
        <v>1</v>
      </c>
      <c r="W82">
        <f>Year_2040!W85/Year_2032!W85</f>
        <v>1</v>
      </c>
      <c r="X82">
        <f>Year_2040!X85/Year_2032!X85</f>
        <v>1</v>
      </c>
      <c r="Y82" t="e">
        <f>Year_2040!Y85/Year_2032!Y85</f>
        <v>#DIV/0!</v>
      </c>
      <c r="Z82" t="e">
        <f>Year_2040!Z85/Year_2032!Z85</f>
        <v>#DIV/0!</v>
      </c>
      <c r="AA82" t="e">
        <f>Year_2040!AA85/Year_2032!AA85</f>
        <v>#VALUE!</v>
      </c>
      <c r="AB82">
        <f>Year_2040!AB85/Year_2032!AB85</f>
        <v>1.5481049562682214</v>
      </c>
      <c r="AC82">
        <f>Year_2040!AC85/Year_2032!AC85</f>
        <v>1.5359281437125749</v>
      </c>
      <c r="AD82">
        <f>Year_2040!AD85/Year_2032!AD85</f>
        <v>1.0821114369501466</v>
      </c>
      <c r="AE82">
        <f>Year_2040!AE85/Year_2032!AE85</f>
        <v>1.1055900621118011</v>
      </c>
      <c r="AF82">
        <f>Year_2040!AF85/Year_2032!AF85</f>
        <v>1.2493638676844783</v>
      </c>
      <c r="AG82">
        <f>Year_2040!AG85/Year_2032!AG85</f>
        <v>1.2843601895734598</v>
      </c>
      <c r="AH82">
        <f>Year_2040!AH85/Year_2032!AH85</f>
        <v>1.0863509749303621</v>
      </c>
      <c r="AI82">
        <f>Year_2040!AI85/Year_2032!AI85</f>
        <v>1.0351906158357771</v>
      </c>
      <c r="AJ82">
        <f>Year_2040!AJ85/Year_2032!AJ85</f>
        <v>0.96907216494845361</v>
      </c>
      <c r="AK82">
        <f>Year_2040!AK85/Year_2032!AK85</f>
        <v>0.9494949494949495</v>
      </c>
      <c r="AL82" t="e">
        <f>Year_2040!AL85/Year_2032!AL85</f>
        <v>#DIV/0!</v>
      </c>
      <c r="AM82" t="e">
        <f>Year_2040!AM85/Year_2032!AM85</f>
        <v>#DIV/0!</v>
      </c>
      <c r="AN82" t="e">
        <f>Year_2040!AN85/Year_2032!AN85</f>
        <v>#VALUE!</v>
      </c>
      <c r="AO82">
        <f>Year_2040!AO85/Year_2032!AO85</f>
        <v>1.8387096774193548</v>
      </c>
      <c r="AP82">
        <f>Year_2040!AP85/Year_2032!AP85</f>
        <v>1.8666666666666669</v>
      </c>
      <c r="AQ82">
        <f>Year_2040!AQ85/Year_2032!AQ85</f>
        <v>1.0769230769230771</v>
      </c>
      <c r="AR82">
        <f>Year_2040!AR85/Year_2032!AR85</f>
        <v>1.1904761904761905</v>
      </c>
      <c r="AS82">
        <f>Year_2040!AS85/Year_2032!AS85</f>
        <v>1.4999999999999998</v>
      </c>
      <c r="AT82">
        <f>Year_2040!AT85/Year_2032!AT85</f>
        <v>1.4516129032258065</v>
      </c>
      <c r="AU82">
        <f>Year_2040!AU85/Year_2032!AU85</f>
        <v>1.875</v>
      </c>
      <c r="AV82">
        <f>Year_2040!AV85/Year_2032!AV85</f>
        <v>3</v>
      </c>
      <c r="AW82">
        <f>Year_2040!AW85/Year_2032!AW85</f>
        <v>0.7777777777777779</v>
      </c>
      <c r="AX82">
        <f>Year_2040!AX85/Year_2032!AX85</f>
        <v>0.78947368421052633</v>
      </c>
    </row>
    <row r="83" spans="2:50" x14ac:dyDescent="0.3">
      <c r="B83" t="str">
        <f>Year_2032!B86</f>
        <v>PM-Late</v>
      </c>
      <c r="C83">
        <f>Year_2040!C86/Year_2032!C86</f>
        <v>2.0176550475328203</v>
      </c>
      <c r="D83">
        <f>Year_2040!D86/Year_2032!D86</f>
        <v>2.0423044809351514</v>
      </c>
      <c r="E83">
        <f>Year_2040!E86/Year_2032!E86</f>
        <v>2.0605665906870727</v>
      </c>
      <c r="F83">
        <f>Year_2040!F86/Year_2032!F86</f>
        <v>1.8612759643916914</v>
      </c>
      <c r="G83">
        <f>Year_2040!G86/Year_2032!G86</f>
        <v>2.0264732547597464</v>
      </c>
      <c r="H83">
        <f>Year_2040!H86/Year_2032!H86</f>
        <v>2.0487277964474315</v>
      </c>
      <c r="I83">
        <f>Year_2040!I86/Year_2032!I86</f>
        <v>2.0499243570347958</v>
      </c>
      <c r="J83">
        <f>Year_2040!J86/Year_2032!J86</f>
        <v>1.1659574468085108</v>
      </c>
      <c r="K83">
        <f>Year_2040!K86/Year_2032!K86</f>
        <v>1.4833153928955867</v>
      </c>
      <c r="L83">
        <f>Year_2040!L86/Year_2032!L86</f>
        <v>1.4724320241691844</v>
      </c>
      <c r="M83" t="e">
        <f>Year_2040!M86/Year_2032!M86</f>
        <v>#DIV/0!</v>
      </c>
      <c r="N83" t="str">
        <f>Year_2040!N86</f>
        <v>PM-Late</v>
      </c>
      <c r="O83">
        <f>Year_2040!O86/Year_2032!O86</f>
        <v>1</v>
      </c>
      <c r="P83">
        <f>Year_2040!P86/Year_2032!P86</f>
        <v>1</v>
      </c>
      <c r="Q83">
        <f>Year_2040!Q86/Year_2032!Q86</f>
        <v>1</v>
      </c>
      <c r="R83">
        <f>Year_2040!R86/Year_2032!R86</f>
        <v>1</v>
      </c>
      <c r="S83">
        <f>Year_2040!S86/Year_2032!S86</f>
        <v>1</v>
      </c>
      <c r="T83">
        <f>Year_2040!T86/Year_2032!T86</f>
        <v>1</v>
      </c>
      <c r="U83">
        <f>Year_2040!U86/Year_2032!U86</f>
        <v>1</v>
      </c>
      <c r="V83">
        <f>Year_2040!V86/Year_2032!V86</f>
        <v>1</v>
      </c>
      <c r="W83">
        <f>Year_2040!W86/Year_2032!W86</f>
        <v>1</v>
      </c>
      <c r="X83">
        <f>Year_2040!X86/Year_2032!X86</f>
        <v>1</v>
      </c>
      <c r="Y83" t="e">
        <f>Year_2040!Y86/Year_2032!Y86</f>
        <v>#DIV/0!</v>
      </c>
      <c r="Z83" t="e">
        <f>Year_2040!Z86/Year_2032!Z86</f>
        <v>#DIV/0!</v>
      </c>
      <c r="AA83" t="e">
        <f>Year_2040!AA86/Year_2032!AA86</f>
        <v>#VALUE!</v>
      </c>
      <c r="AB83">
        <f>Year_2040!AB86/Year_2032!AB86</f>
        <v>1.0555555555555558</v>
      </c>
      <c r="AC83">
        <f>Year_2040!AC86/Year_2032!AC86</f>
        <v>1.0555555555555558</v>
      </c>
      <c r="AD83">
        <f>Year_2040!AD86/Year_2032!AD86</f>
        <v>1.08</v>
      </c>
      <c r="AE83">
        <f>Year_2040!AE86/Year_2032!AE86</f>
        <v>1</v>
      </c>
      <c r="AF83">
        <f>Year_2040!AF86/Year_2032!AF86</f>
        <v>1.0660660660660659</v>
      </c>
      <c r="AG83">
        <f>Year_2040!AG86/Year_2032!AG86</f>
        <v>1.0642201834862386</v>
      </c>
      <c r="AH83">
        <f>Year_2040!AH86/Year_2032!AH86</f>
        <v>1.0321637426900585</v>
      </c>
      <c r="AI83">
        <f>Year_2040!AI86/Year_2032!AI86</f>
        <v>1</v>
      </c>
      <c r="AJ83">
        <f>Year_2040!AJ86/Year_2032!AJ86</f>
        <v>1</v>
      </c>
      <c r="AK83">
        <f>Year_2040!AK86/Year_2032!AK86</f>
        <v>0.98076923076923073</v>
      </c>
      <c r="AL83" t="e">
        <f>Year_2040!AL86/Year_2032!AL86</f>
        <v>#DIV/0!</v>
      </c>
      <c r="AM83" t="e">
        <f>Year_2040!AM86/Year_2032!AM86</f>
        <v>#DIV/0!</v>
      </c>
      <c r="AN83" t="e">
        <f>Year_2040!AN86/Year_2032!AN86</f>
        <v>#VALUE!</v>
      </c>
      <c r="AO83">
        <f>Year_2040!AO86/Year_2032!AO86</f>
        <v>1.8333333333333335</v>
      </c>
      <c r="AP83">
        <f>Year_2040!AP86/Year_2032!AP86</f>
        <v>1.8333333333333335</v>
      </c>
      <c r="AQ83">
        <f>Year_2040!AQ86/Year_2032!AQ86</f>
        <v>1.7777777777777779</v>
      </c>
      <c r="AR83" t="e">
        <f>Year_2040!AR86/Year_2032!AR86</f>
        <v>#DIV/0!</v>
      </c>
      <c r="AS83">
        <f>Year_2040!AS86/Year_2032!AS86</f>
        <v>1.3125</v>
      </c>
      <c r="AT83">
        <f>Year_2040!AT86/Year_2032!AT86</f>
        <v>1.4285714285714286</v>
      </c>
      <c r="AU83">
        <f>Year_2040!AU86/Year_2032!AU86</f>
        <v>2.3333333333333335</v>
      </c>
      <c r="AV83" t="e">
        <f>Year_2040!AV86/Year_2032!AV86</f>
        <v>#DIV/0!</v>
      </c>
      <c r="AW83">
        <f>Year_2040!AW86/Year_2032!AW86</f>
        <v>1</v>
      </c>
      <c r="AX83">
        <f>Year_2040!AX86/Year_2032!AX86</f>
        <v>0.91304347826086951</v>
      </c>
    </row>
    <row r="84" spans="2:50" x14ac:dyDescent="0.3">
      <c r="B84">
        <f>Year_2032!B87</f>
        <v>0</v>
      </c>
      <c r="C84" t="e">
        <f>Year_2040!C87/Year_2032!C87</f>
        <v>#DIV/0!</v>
      </c>
      <c r="D84" t="e">
        <f>Year_2040!D87/Year_2032!D87</f>
        <v>#DIV/0!</v>
      </c>
      <c r="E84" t="e">
        <f>Year_2040!E87/Year_2032!E87</f>
        <v>#DIV/0!</v>
      </c>
      <c r="F84" t="e">
        <f>Year_2040!F87/Year_2032!F87</f>
        <v>#DIV/0!</v>
      </c>
      <c r="G84" t="e">
        <f>Year_2040!G87/Year_2032!G87</f>
        <v>#DIV/0!</v>
      </c>
      <c r="H84" t="e">
        <f>Year_2040!H87/Year_2032!H87</f>
        <v>#DIV/0!</v>
      </c>
      <c r="I84" t="e">
        <f>Year_2040!I87/Year_2032!I87</f>
        <v>#DIV/0!</v>
      </c>
      <c r="J84" t="e">
        <f>Year_2040!J87/Year_2032!J87</f>
        <v>#DIV/0!</v>
      </c>
      <c r="K84" t="e">
        <f>Year_2040!K87/Year_2032!K87</f>
        <v>#DIV/0!</v>
      </c>
      <c r="L84" t="e">
        <f>Year_2040!L87/Year_2032!L87</f>
        <v>#DIV/0!</v>
      </c>
      <c r="M84" t="e">
        <f>Year_2040!M87/Year_2032!M87</f>
        <v>#DIV/0!</v>
      </c>
      <c r="N84">
        <f>Year_2040!N87</f>
        <v>0</v>
      </c>
      <c r="O84" t="e">
        <f>Year_2040!O87/Year_2032!O87</f>
        <v>#DIV/0!</v>
      </c>
      <c r="P84" t="e">
        <f>Year_2040!P87/Year_2032!P87</f>
        <v>#DIV/0!</v>
      </c>
      <c r="Q84" t="e">
        <f>Year_2040!Q87/Year_2032!Q87</f>
        <v>#DIV/0!</v>
      </c>
      <c r="R84" t="e">
        <f>Year_2040!R87/Year_2032!R87</f>
        <v>#DIV/0!</v>
      </c>
      <c r="S84" t="e">
        <f>Year_2040!S87/Year_2032!S87</f>
        <v>#DIV/0!</v>
      </c>
      <c r="T84" t="e">
        <f>Year_2040!T87/Year_2032!T87</f>
        <v>#DIV/0!</v>
      </c>
      <c r="U84" t="e">
        <f>Year_2040!U87/Year_2032!U87</f>
        <v>#DIV/0!</v>
      </c>
      <c r="V84" t="e">
        <f>Year_2040!V87/Year_2032!V87</f>
        <v>#DIV/0!</v>
      </c>
      <c r="W84" t="e">
        <f>Year_2040!W87/Year_2032!W87</f>
        <v>#DIV/0!</v>
      </c>
      <c r="X84" t="e">
        <f>Year_2040!X87/Year_2032!X87</f>
        <v>#DIV/0!</v>
      </c>
      <c r="Y84" t="e">
        <f>Year_2040!Y87/Year_2032!Y87</f>
        <v>#DIV/0!</v>
      </c>
      <c r="Z84" t="e">
        <f>Year_2040!Z87/Year_2032!Z87</f>
        <v>#DIV/0!</v>
      </c>
      <c r="AA84" t="e">
        <f>Year_2040!AA87/Year_2032!AA87</f>
        <v>#DIV/0!</v>
      </c>
      <c r="AB84" t="e">
        <f>Year_2040!AB87/Year_2032!AB87</f>
        <v>#DIV/0!</v>
      </c>
      <c r="AC84" t="e">
        <f>Year_2040!AC87/Year_2032!AC87</f>
        <v>#DIV/0!</v>
      </c>
      <c r="AD84" t="e">
        <f>Year_2040!AD87/Year_2032!AD87</f>
        <v>#DIV/0!</v>
      </c>
      <c r="AE84" t="e">
        <f>Year_2040!AE87/Year_2032!AE87</f>
        <v>#DIV/0!</v>
      </c>
      <c r="AF84" t="e">
        <f>Year_2040!AF87/Year_2032!AF87</f>
        <v>#DIV/0!</v>
      </c>
      <c r="AG84" t="e">
        <f>Year_2040!AG87/Year_2032!AG87</f>
        <v>#DIV/0!</v>
      </c>
      <c r="AH84" t="e">
        <f>Year_2040!AH87/Year_2032!AH87</f>
        <v>#DIV/0!</v>
      </c>
      <c r="AI84" t="e">
        <f>Year_2040!AI87/Year_2032!AI87</f>
        <v>#DIV/0!</v>
      </c>
      <c r="AJ84" t="e">
        <f>Year_2040!AJ87/Year_2032!AJ87</f>
        <v>#DIV/0!</v>
      </c>
      <c r="AK84" t="e">
        <f>Year_2040!AK87/Year_2032!AK87</f>
        <v>#DIV/0!</v>
      </c>
      <c r="AL84" t="e">
        <f>Year_2040!AL87/Year_2032!AL87</f>
        <v>#DIV/0!</v>
      </c>
      <c r="AM84" t="e">
        <f>Year_2040!AM87/Year_2032!AM87</f>
        <v>#DIV/0!</v>
      </c>
      <c r="AN84" t="e">
        <f>Year_2040!AN87/Year_2032!AN87</f>
        <v>#DIV/0!</v>
      </c>
      <c r="AO84" t="e">
        <f>Year_2040!AO87/Year_2032!AO87</f>
        <v>#DIV/0!</v>
      </c>
      <c r="AP84" t="e">
        <f>Year_2040!AP87/Year_2032!AP87</f>
        <v>#DIV/0!</v>
      </c>
      <c r="AQ84" t="e">
        <f>Year_2040!AQ87/Year_2032!AQ87</f>
        <v>#DIV/0!</v>
      </c>
      <c r="AR84" t="e">
        <f>Year_2040!AR87/Year_2032!AR87</f>
        <v>#DIV/0!</v>
      </c>
      <c r="AS84" t="e">
        <f>Year_2040!AS87/Year_2032!AS87</f>
        <v>#DIV/0!</v>
      </c>
      <c r="AT84" t="e">
        <f>Year_2040!AT87/Year_2032!AT87</f>
        <v>#DIV/0!</v>
      </c>
      <c r="AU84" t="e">
        <f>Year_2040!AU87/Year_2032!AU87</f>
        <v>#DIV/0!</v>
      </c>
      <c r="AV84" t="e">
        <f>Year_2040!AV87/Year_2032!AV87</f>
        <v>#DIV/0!</v>
      </c>
      <c r="AW84" t="e">
        <f>Year_2040!AW87/Year_2032!AW87</f>
        <v>#DIV/0!</v>
      </c>
      <c r="AX84" t="e">
        <f>Year_2040!AX87/Year_2032!AX87</f>
        <v>#DIV/0!</v>
      </c>
    </row>
    <row r="85" spans="2:50" x14ac:dyDescent="0.3">
      <c r="B85">
        <f>Year_2032!B88</f>
        <v>0</v>
      </c>
      <c r="C85" t="e">
        <f>Year_2040!C88/Year_2032!C88</f>
        <v>#DIV/0!</v>
      </c>
      <c r="D85" t="e">
        <f>Year_2040!D88/Year_2032!D88</f>
        <v>#DIV/0!</v>
      </c>
      <c r="E85" t="e">
        <f>Year_2040!E88/Year_2032!E88</f>
        <v>#DIV/0!</v>
      </c>
      <c r="F85" t="e">
        <f>Year_2040!F88/Year_2032!F88</f>
        <v>#DIV/0!</v>
      </c>
      <c r="G85" t="e">
        <f>Year_2040!G88/Year_2032!G88</f>
        <v>#DIV/0!</v>
      </c>
      <c r="H85" t="e">
        <f>Year_2040!H88/Year_2032!H88</f>
        <v>#DIV/0!</v>
      </c>
      <c r="I85" t="e">
        <f>Year_2040!I88/Year_2032!I88</f>
        <v>#DIV/0!</v>
      </c>
      <c r="J85" t="e">
        <f>Year_2040!J88/Year_2032!J88</f>
        <v>#DIV/0!</v>
      </c>
      <c r="K85" t="e">
        <f>Year_2040!K88/Year_2032!K88</f>
        <v>#DIV/0!</v>
      </c>
      <c r="L85" t="e">
        <f>Year_2040!L88/Year_2032!L88</f>
        <v>#DIV/0!</v>
      </c>
      <c r="M85" t="e">
        <f>Year_2040!M88/Year_2032!M88</f>
        <v>#DIV/0!</v>
      </c>
      <c r="N85">
        <f>Year_2040!N88</f>
        <v>0</v>
      </c>
      <c r="O85" t="e">
        <f>Year_2040!O88/Year_2032!O88</f>
        <v>#DIV/0!</v>
      </c>
      <c r="P85" t="e">
        <f>Year_2040!P88/Year_2032!P88</f>
        <v>#DIV/0!</v>
      </c>
      <c r="Q85" t="e">
        <f>Year_2040!Q88/Year_2032!Q88</f>
        <v>#DIV/0!</v>
      </c>
      <c r="R85" t="e">
        <f>Year_2040!R88/Year_2032!R88</f>
        <v>#DIV/0!</v>
      </c>
      <c r="S85" t="e">
        <f>Year_2040!S88/Year_2032!S88</f>
        <v>#DIV/0!</v>
      </c>
      <c r="T85" t="e">
        <f>Year_2040!T88/Year_2032!T88</f>
        <v>#DIV/0!</v>
      </c>
      <c r="U85" t="e">
        <f>Year_2040!U88/Year_2032!U88</f>
        <v>#DIV/0!</v>
      </c>
      <c r="V85" t="e">
        <f>Year_2040!V88/Year_2032!V88</f>
        <v>#DIV/0!</v>
      </c>
      <c r="W85" t="e">
        <f>Year_2040!W88/Year_2032!W88</f>
        <v>#DIV/0!</v>
      </c>
      <c r="X85" t="e">
        <f>Year_2040!X88/Year_2032!X88</f>
        <v>#DIV/0!</v>
      </c>
      <c r="Y85" t="e">
        <f>Year_2040!Y88/Year_2032!Y88</f>
        <v>#DIV/0!</v>
      </c>
      <c r="Z85" t="e">
        <f>Year_2040!Z88/Year_2032!Z88</f>
        <v>#DIV/0!</v>
      </c>
      <c r="AA85" t="e">
        <f>Year_2040!AA88/Year_2032!AA88</f>
        <v>#DIV/0!</v>
      </c>
      <c r="AB85" t="e">
        <f>Year_2040!AB88/Year_2032!AB88</f>
        <v>#DIV/0!</v>
      </c>
      <c r="AC85" t="e">
        <f>Year_2040!AC88/Year_2032!AC88</f>
        <v>#DIV/0!</v>
      </c>
      <c r="AD85" t="e">
        <f>Year_2040!AD88/Year_2032!AD88</f>
        <v>#DIV/0!</v>
      </c>
      <c r="AE85" t="e">
        <f>Year_2040!AE88/Year_2032!AE88</f>
        <v>#DIV/0!</v>
      </c>
      <c r="AF85" t="e">
        <f>Year_2040!AF88/Year_2032!AF88</f>
        <v>#DIV/0!</v>
      </c>
      <c r="AG85" t="e">
        <f>Year_2040!AG88/Year_2032!AG88</f>
        <v>#DIV/0!</v>
      </c>
      <c r="AH85" t="e">
        <f>Year_2040!AH88/Year_2032!AH88</f>
        <v>#DIV/0!</v>
      </c>
      <c r="AI85" t="e">
        <f>Year_2040!AI88/Year_2032!AI88</f>
        <v>#DIV/0!</v>
      </c>
      <c r="AJ85" t="e">
        <f>Year_2040!AJ88/Year_2032!AJ88</f>
        <v>#DIV/0!</v>
      </c>
      <c r="AK85" t="e">
        <f>Year_2040!AK88/Year_2032!AK88</f>
        <v>#DIV/0!</v>
      </c>
      <c r="AL85" t="e">
        <f>Year_2040!AL88/Year_2032!AL88</f>
        <v>#DIV/0!</v>
      </c>
      <c r="AM85" t="e">
        <f>Year_2040!AM88/Year_2032!AM88</f>
        <v>#DIV/0!</v>
      </c>
      <c r="AN85" t="e">
        <f>Year_2040!AN88/Year_2032!AN88</f>
        <v>#DIV/0!</v>
      </c>
      <c r="AO85" t="e">
        <f>Year_2040!AO88/Year_2032!AO88</f>
        <v>#DIV/0!</v>
      </c>
      <c r="AP85" t="e">
        <f>Year_2040!AP88/Year_2032!AP88</f>
        <v>#DIV/0!</v>
      </c>
      <c r="AQ85" t="e">
        <f>Year_2040!AQ88/Year_2032!AQ88</f>
        <v>#DIV/0!</v>
      </c>
      <c r="AR85" t="e">
        <f>Year_2040!AR88/Year_2032!AR88</f>
        <v>#DIV/0!</v>
      </c>
      <c r="AS85" t="e">
        <f>Year_2040!AS88/Year_2032!AS88</f>
        <v>#DIV/0!</v>
      </c>
      <c r="AT85" t="e">
        <f>Year_2040!AT88/Year_2032!AT88</f>
        <v>#DIV/0!</v>
      </c>
      <c r="AU85" t="e">
        <f>Year_2040!AU88/Year_2032!AU88</f>
        <v>#DIV/0!</v>
      </c>
      <c r="AV85" t="e">
        <f>Year_2040!AV88/Year_2032!AV88</f>
        <v>#DIV/0!</v>
      </c>
      <c r="AW85" t="e">
        <f>Year_2040!AW88/Year_2032!AW88</f>
        <v>#DIV/0!</v>
      </c>
      <c r="AX85" t="e">
        <f>Year_2040!AX88/Year_2032!AX88</f>
        <v>#DIV/0!</v>
      </c>
    </row>
    <row r="86" spans="2:50" x14ac:dyDescent="0.3">
      <c r="B86" t="str">
        <f>Year_2032!B89</f>
        <v>Revenue Per Period Heavy A</v>
      </c>
      <c r="C86" t="e">
        <f>Year_2040!C89/Year_2032!C89</f>
        <v>#DIV/0!</v>
      </c>
      <c r="D86" t="e">
        <f>Year_2040!D89/Year_2032!D89</f>
        <v>#DIV/0!</v>
      </c>
      <c r="E86" t="e">
        <f>Year_2040!E89/Year_2032!E89</f>
        <v>#DIV/0!</v>
      </c>
      <c r="F86" t="e">
        <f>Year_2040!F89/Year_2032!F89</f>
        <v>#DIV/0!</v>
      </c>
      <c r="G86" t="e">
        <f>Year_2040!G89/Year_2032!G89</f>
        <v>#DIV/0!</v>
      </c>
      <c r="H86" t="e">
        <f>Year_2040!H89/Year_2032!H89</f>
        <v>#DIV/0!</v>
      </c>
      <c r="I86" t="e">
        <f>Year_2040!I89/Year_2032!I89</f>
        <v>#DIV/0!</v>
      </c>
      <c r="J86" t="e">
        <f>Year_2040!J89/Year_2032!J89</f>
        <v>#DIV/0!</v>
      </c>
      <c r="K86" t="e">
        <f>Year_2040!K89/Year_2032!K89</f>
        <v>#DIV/0!</v>
      </c>
      <c r="L86" t="e">
        <f>Year_2040!L89/Year_2032!L89</f>
        <v>#DIV/0!</v>
      </c>
      <c r="M86" t="e">
        <f>Year_2040!M89/Year_2032!M89</f>
        <v>#DIV/0!</v>
      </c>
      <c r="N86" t="str">
        <f>Year_2040!N89</f>
        <v>ML light veh.Miles</v>
      </c>
      <c r="O86" t="e">
        <f>Year_2040!O89/Year_2032!O89</f>
        <v>#DIV/0!</v>
      </c>
      <c r="P86" t="e">
        <f>Year_2040!P89/Year_2032!P89</f>
        <v>#DIV/0!</v>
      </c>
      <c r="Q86" t="e">
        <f>Year_2040!Q89/Year_2032!Q89</f>
        <v>#DIV/0!</v>
      </c>
      <c r="R86" t="e">
        <f>Year_2040!R89/Year_2032!R89</f>
        <v>#DIV/0!</v>
      </c>
      <c r="S86" t="e">
        <f>Year_2040!S89/Year_2032!S89</f>
        <v>#DIV/0!</v>
      </c>
      <c r="T86" t="e">
        <f>Year_2040!T89/Year_2032!T89</f>
        <v>#DIV/0!</v>
      </c>
      <c r="U86" t="e">
        <f>Year_2040!U89/Year_2032!U89</f>
        <v>#DIV/0!</v>
      </c>
      <c r="V86" t="e">
        <f>Year_2040!V89/Year_2032!V89</f>
        <v>#DIV/0!</v>
      </c>
      <c r="W86" t="e">
        <f>Year_2040!W89/Year_2032!W89</f>
        <v>#DIV/0!</v>
      </c>
      <c r="X86" t="e">
        <f>Year_2040!X89/Year_2032!X89</f>
        <v>#DIV/0!</v>
      </c>
      <c r="Y86" t="e">
        <f>Year_2040!Y89/Year_2032!Y89</f>
        <v>#DIV/0!</v>
      </c>
      <c r="Z86" t="e">
        <f>Year_2040!Z89/Year_2032!Z89</f>
        <v>#DIV/0!</v>
      </c>
      <c r="AA86" t="e">
        <f>Year_2040!AA89/Year_2032!AA89</f>
        <v>#VALUE!</v>
      </c>
      <c r="AB86" t="e">
        <f>Year_2040!AB89/Year_2032!AB89</f>
        <v>#DIV/0!</v>
      </c>
      <c r="AC86" t="e">
        <f>Year_2040!AC89/Year_2032!AC89</f>
        <v>#DIV/0!</v>
      </c>
      <c r="AD86" t="e">
        <f>Year_2040!AD89/Year_2032!AD89</f>
        <v>#DIV/0!</v>
      </c>
      <c r="AE86" t="e">
        <f>Year_2040!AE89/Year_2032!AE89</f>
        <v>#DIV/0!</v>
      </c>
      <c r="AF86" t="e">
        <f>Year_2040!AF89/Year_2032!AF89</f>
        <v>#DIV/0!</v>
      </c>
      <c r="AG86" t="e">
        <f>Year_2040!AG89/Year_2032!AG89</f>
        <v>#DIV/0!</v>
      </c>
      <c r="AH86" t="e">
        <f>Year_2040!AH89/Year_2032!AH89</f>
        <v>#DIV/0!</v>
      </c>
      <c r="AI86" t="e">
        <f>Year_2040!AI89/Year_2032!AI89</f>
        <v>#DIV/0!</v>
      </c>
      <c r="AJ86" t="e">
        <f>Year_2040!AJ89/Year_2032!AJ89</f>
        <v>#DIV/0!</v>
      </c>
      <c r="AK86" t="e">
        <f>Year_2040!AK89/Year_2032!AK89</f>
        <v>#DIV/0!</v>
      </c>
      <c r="AL86" t="e">
        <f>Year_2040!AL89/Year_2032!AL89</f>
        <v>#DIV/0!</v>
      </c>
      <c r="AM86" t="e">
        <f>Year_2040!AM89/Year_2032!AM89</f>
        <v>#DIV/0!</v>
      </c>
      <c r="AN86" t="e">
        <f>Year_2040!AN89/Year_2032!AN89</f>
        <v>#VALUE!</v>
      </c>
      <c r="AO86" t="e">
        <f>Year_2040!AO89/Year_2032!AO89</f>
        <v>#DIV/0!</v>
      </c>
      <c r="AP86" t="e">
        <f>Year_2040!AP89/Year_2032!AP89</f>
        <v>#DIV/0!</v>
      </c>
      <c r="AQ86" t="e">
        <f>Year_2040!AQ89/Year_2032!AQ89</f>
        <v>#DIV/0!</v>
      </c>
      <c r="AR86" t="e">
        <f>Year_2040!AR89/Year_2032!AR89</f>
        <v>#DIV/0!</v>
      </c>
      <c r="AS86" t="e">
        <f>Year_2040!AS89/Year_2032!AS89</f>
        <v>#DIV/0!</v>
      </c>
      <c r="AT86" t="e">
        <f>Year_2040!AT89/Year_2032!AT89</f>
        <v>#DIV/0!</v>
      </c>
      <c r="AU86" t="e">
        <f>Year_2040!AU89/Year_2032!AU89</f>
        <v>#DIV/0!</v>
      </c>
      <c r="AV86" t="e">
        <f>Year_2040!AV89/Year_2032!AV89</f>
        <v>#DIV/0!</v>
      </c>
      <c r="AW86" t="e">
        <f>Year_2040!AW89/Year_2032!AW89</f>
        <v>#DIV/0!</v>
      </c>
      <c r="AX86" t="e">
        <f>Year_2040!AX89/Year_2032!AX89</f>
        <v>#DIV/0!</v>
      </c>
    </row>
    <row r="87" spans="2:50" x14ac:dyDescent="0.3">
      <c r="B87" t="str">
        <f>Year_2032!B90</f>
        <v>Direction</v>
      </c>
      <c r="C87" t="e">
        <f>Year_2040!C90/Year_2032!C90</f>
        <v>#VALUE!</v>
      </c>
      <c r="D87" t="e">
        <f>Year_2040!D90/Year_2032!D90</f>
        <v>#VALUE!</v>
      </c>
      <c r="E87" t="e">
        <f>Year_2040!E90/Year_2032!E90</f>
        <v>#VALUE!</v>
      </c>
      <c r="F87" t="e">
        <f>Year_2040!F90/Year_2032!F90</f>
        <v>#VALUE!</v>
      </c>
      <c r="G87" t="e">
        <f>Year_2040!G90/Year_2032!G90</f>
        <v>#VALUE!</v>
      </c>
      <c r="H87" t="e">
        <f>Year_2040!H90/Year_2032!H90</f>
        <v>#VALUE!</v>
      </c>
      <c r="I87" t="e">
        <f>Year_2040!I90/Year_2032!I90</f>
        <v>#VALUE!</v>
      </c>
      <c r="J87" t="e">
        <f>Year_2040!J90/Year_2032!J90</f>
        <v>#VALUE!</v>
      </c>
      <c r="K87" t="e">
        <f>Year_2040!K90/Year_2032!K90</f>
        <v>#VALUE!</v>
      </c>
      <c r="L87" t="e">
        <f>Year_2040!L90/Year_2032!L90</f>
        <v>#VALUE!</v>
      </c>
      <c r="M87" t="e">
        <f>Year_2040!M90/Year_2032!M90</f>
        <v>#DIV/0!</v>
      </c>
      <c r="N87" t="str">
        <f>Year_2040!N90</f>
        <v>Direction</v>
      </c>
      <c r="O87" t="e">
        <f>Year_2040!O90/Year_2032!O90</f>
        <v>#VALUE!</v>
      </c>
      <c r="P87" t="e">
        <f>Year_2040!P90/Year_2032!P90</f>
        <v>#DIV/0!</v>
      </c>
      <c r="Q87" t="e">
        <f>Year_2040!Q90/Year_2032!Q90</f>
        <v>#DIV/0!</v>
      </c>
      <c r="R87" t="e">
        <f>Year_2040!R90/Year_2032!R90</f>
        <v>#DIV/0!</v>
      </c>
      <c r="S87" t="e">
        <f>Year_2040!S90/Year_2032!S90</f>
        <v>#DIV/0!</v>
      </c>
      <c r="T87" t="e">
        <f>Year_2040!T90/Year_2032!T90</f>
        <v>#VALUE!</v>
      </c>
      <c r="U87" t="e">
        <f>Year_2040!U90/Year_2032!U90</f>
        <v>#DIV/0!</v>
      </c>
      <c r="V87" t="e">
        <f>Year_2040!V90/Year_2032!V90</f>
        <v>#DIV/0!</v>
      </c>
      <c r="W87" t="e">
        <f>Year_2040!W90/Year_2032!W90</f>
        <v>#DIV/0!</v>
      </c>
      <c r="X87" t="e">
        <f>Year_2040!X90/Year_2032!X90</f>
        <v>#DIV/0!</v>
      </c>
      <c r="Y87" t="e">
        <f>Year_2040!Y90/Year_2032!Y90</f>
        <v>#DIV/0!</v>
      </c>
      <c r="Z87" t="e">
        <f>Year_2040!Z90/Year_2032!Z90</f>
        <v>#DIV/0!</v>
      </c>
      <c r="AA87" t="e">
        <f>Year_2040!AA90/Year_2032!AA90</f>
        <v>#VALUE!</v>
      </c>
      <c r="AB87" t="e">
        <f>Year_2040!AB90/Year_2032!AB90</f>
        <v>#VALUE!</v>
      </c>
      <c r="AC87" t="e">
        <f>Year_2040!AC90/Year_2032!AC90</f>
        <v>#DIV/0!</v>
      </c>
      <c r="AD87" t="e">
        <f>Year_2040!AD90/Year_2032!AD90</f>
        <v>#DIV/0!</v>
      </c>
      <c r="AE87" t="e">
        <f>Year_2040!AE90/Year_2032!AE90</f>
        <v>#DIV/0!</v>
      </c>
      <c r="AF87" t="e">
        <f>Year_2040!AF90/Year_2032!AF90</f>
        <v>#DIV/0!</v>
      </c>
      <c r="AG87" t="e">
        <f>Year_2040!AG90/Year_2032!AG90</f>
        <v>#VALUE!</v>
      </c>
      <c r="AH87" t="e">
        <f>Year_2040!AH90/Year_2032!AH90</f>
        <v>#DIV/0!</v>
      </c>
      <c r="AI87" t="e">
        <f>Year_2040!AI90/Year_2032!AI90</f>
        <v>#DIV/0!</v>
      </c>
      <c r="AJ87" t="e">
        <f>Year_2040!AJ90/Year_2032!AJ90</f>
        <v>#DIV/0!</v>
      </c>
      <c r="AK87" t="e">
        <f>Year_2040!AK90/Year_2032!AK90</f>
        <v>#DIV/0!</v>
      </c>
      <c r="AL87" t="e">
        <f>Year_2040!AL90/Year_2032!AL90</f>
        <v>#DIV/0!</v>
      </c>
      <c r="AM87" t="e">
        <f>Year_2040!AM90/Year_2032!AM90</f>
        <v>#DIV/0!</v>
      </c>
      <c r="AN87" t="e">
        <f>Year_2040!AN90/Year_2032!AN90</f>
        <v>#VALUE!</v>
      </c>
      <c r="AO87" t="e">
        <f>Year_2040!AO90/Year_2032!AO90</f>
        <v>#VALUE!</v>
      </c>
      <c r="AP87" t="e">
        <f>Year_2040!AP90/Year_2032!AP90</f>
        <v>#VALUE!</v>
      </c>
      <c r="AQ87" t="e">
        <f>Year_2040!AQ90/Year_2032!AQ90</f>
        <v>#VALUE!</v>
      </c>
      <c r="AR87" t="e">
        <f>Year_2040!AR90/Year_2032!AR90</f>
        <v>#VALUE!</v>
      </c>
      <c r="AS87" t="e">
        <f>Year_2040!AS90/Year_2032!AS90</f>
        <v>#VALUE!</v>
      </c>
      <c r="AT87" t="e">
        <f>Year_2040!AT90/Year_2032!AT90</f>
        <v>#VALUE!</v>
      </c>
      <c r="AU87" t="e">
        <f>Year_2040!AU90/Year_2032!AU90</f>
        <v>#VALUE!</v>
      </c>
      <c r="AV87" t="e">
        <f>Year_2040!AV90/Year_2032!AV90</f>
        <v>#VALUE!</v>
      </c>
      <c r="AW87" t="e">
        <f>Year_2040!AW90/Year_2032!AW90</f>
        <v>#VALUE!</v>
      </c>
      <c r="AX87" t="e">
        <f>Year_2040!AX90/Year_2032!AX90</f>
        <v>#VALUE!</v>
      </c>
    </row>
    <row r="88" spans="2:50" x14ac:dyDescent="0.3">
      <c r="B88" t="str">
        <f>Year_2032!B91</f>
        <v>Segment</v>
      </c>
      <c r="C88">
        <f>Year_2040!C91/Year_2032!C91</f>
        <v>1</v>
      </c>
      <c r="D88">
        <f>Year_2040!D91/Year_2032!D91</f>
        <v>1</v>
      </c>
      <c r="E88">
        <f>Year_2040!E91/Year_2032!E91</f>
        <v>1</v>
      </c>
      <c r="F88">
        <f>Year_2040!F91/Year_2032!F91</f>
        <v>1</v>
      </c>
      <c r="G88">
        <f>Year_2040!G91/Year_2032!G91</f>
        <v>1</v>
      </c>
      <c r="H88">
        <f>Year_2040!H91/Year_2032!H91</f>
        <v>1</v>
      </c>
      <c r="I88">
        <f>Year_2040!I91/Year_2032!I91</f>
        <v>1</v>
      </c>
      <c r="J88">
        <f>Year_2040!J91/Year_2032!J91</f>
        <v>1</v>
      </c>
      <c r="K88">
        <f>Year_2040!K91/Year_2032!K91</f>
        <v>1</v>
      </c>
      <c r="L88">
        <f>Year_2040!L91/Year_2032!L91</f>
        <v>1</v>
      </c>
      <c r="M88" t="e">
        <f>Year_2040!M91/Year_2032!M91</f>
        <v>#DIV/0!</v>
      </c>
      <c r="N88" t="str">
        <f>Year_2040!N91</f>
        <v>Segment</v>
      </c>
      <c r="O88">
        <f>Year_2040!O91/Year_2032!O91</f>
        <v>1</v>
      </c>
      <c r="P88">
        <f>Year_2040!P91/Year_2032!P91</f>
        <v>1</v>
      </c>
      <c r="Q88">
        <f>Year_2040!Q91/Year_2032!Q91</f>
        <v>1</v>
      </c>
      <c r="R88">
        <f>Year_2040!R91/Year_2032!R91</f>
        <v>1</v>
      </c>
      <c r="S88">
        <f>Year_2040!S91/Year_2032!S91</f>
        <v>1</v>
      </c>
      <c r="T88">
        <f>Year_2040!T91/Year_2032!T91</f>
        <v>1</v>
      </c>
      <c r="U88">
        <f>Year_2040!U91/Year_2032!U91</f>
        <v>1</v>
      </c>
      <c r="V88">
        <f>Year_2040!V91/Year_2032!V91</f>
        <v>1</v>
      </c>
      <c r="W88">
        <f>Year_2040!W91/Year_2032!W91</f>
        <v>1</v>
      </c>
      <c r="X88">
        <f>Year_2040!X91/Year_2032!X91</f>
        <v>1</v>
      </c>
      <c r="Y88" t="e">
        <f>Year_2040!Y91/Year_2032!Y91</f>
        <v>#DIV/0!</v>
      </c>
      <c r="Z88" t="e">
        <f>Year_2040!Z91/Year_2032!Z91</f>
        <v>#DIV/0!</v>
      </c>
      <c r="AA88" t="e">
        <f>Year_2040!AA91/Year_2032!AA91</f>
        <v>#VALUE!</v>
      </c>
      <c r="AB88">
        <f>Year_2040!AB91/Year_2032!AB91</f>
        <v>1</v>
      </c>
      <c r="AC88">
        <f>Year_2040!AC91/Year_2032!AC91</f>
        <v>1</v>
      </c>
      <c r="AD88">
        <f>Year_2040!AD91/Year_2032!AD91</f>
        <v>1</v>
      </c>
      <c r="AE88">
        <f>Year_2040!AE91/Year_2032!AE91</f>
        <v>1</v>
      </c>
      <c r="AF88">
        <f>Year_2040!AF91/Year_2032!AF91</f>
        <v>1</v>
      </c>
      <c r="AG88">
        <f>Year_2040!AG91/Year_2032!AG91</f>
        <v>1</v>
      </c>
      <c r="AH88">
        <f>Year_2040!AH91/Year_2032!AH91</f>
        <v>1</v>
      </c>
      <c r="AI88">
        <f>Year_2040!AI91/Year_2032!AI91</f>
        <v>1</v>
      </c>
      <c r="AJ88">
        <f>Year_2040!AJ91/Year_2032!AJ91</f>
        <v>1</v>
      </c>
      <c r="AK88">
        <f>Year_2040!AK91/Year_2032!AK91</f>
        <v>1</v>
      </c>
      <c r="AL88" t="e">
        <f>Year_2040!AL91/Year_2032!AL91</f>
        <v>#DIV/0!</v>
      </c>
      <c r="AM88" t="e">
        <f>Year_2040!AM91/Year_2032!AM91</f>
        <v>#DIV/0!</v>
      </c>
      <c r="AN88" t="e">
        <f>Year_2040!AN91/Year_2032!AN91</f>
        <v>#VALUE!</v>
      </c>
      <c r="AO88">
        <f>Year_2040!AO91/Year_2032!AO91</f>
        <v>1</v>
      </c>
      <c r="AP88">
        <f>Year_2040!AP91/Year_2032!AP91</f>
        <v>1</v>
      </c>
      <c r="AQ88">
        <f>Year_2040!AQ91/Year_2032!AQ91</f>
        <v>1</v>
      </c>
      <c r="AR88">
        <f>Year_2040!AR91/Year_2032!AR91</f>
        <v>1</v>
      </c>
      <c r="AS88">
        <f>Year_2040!AS91/Year_2032!AS91</f>
        <v>1</v>
      </c>
      <c r="AT88">
        <f>Year_2040!AT91/Year_2032!AT91</f>
        <v>1</v>
      </c>
      <c r="AU88">
        <f>Year_2040!AU91/Year_2032!AU91</f>
        <v>1</v>
      </c>
      <c r="AV88">
        <f>Year_2040!AV91/Year_2032!AV91</f>
        <v>1</v>
      </c>
      <c r="AW88">
        <f>Year_2040!AW91/Year_2032!AW91</f>
        <v>1</v>
      </c>
      <c r="AX88">
        <f>Year_2040!AX91/Year_2032!AX91</f>
        <v>1</v>
      </c>
    </row>
    <row r="89" spans="2:50" x14ac:dyDescent="0.3">
      <c r="B89" t="str">
        <f>Year_2032!B92</f>
        <v>Period</v>
      </c>
      <c r="C89" t="e">
        <f>Year_2040!C92/Year_2032!C92</f>
        <v>#DIV/0!</v>
      </c>
      <c r="D89" t="e">
        <f>Year_2040!D92/Year_2032!D92</f>
        <v>#DIV/0!</v>
      </c>
      <c r="E89" t="e">
        <f>Year_2040!E92/Year_2032!E92</f>
        <v>#DIV/0!</v>
      </c>
      <c r="F89" t="e">
        <f>Year_2040!F92/Year_2032!F92</f>
        <v>#DIV/0!</v>
      </c>
      <c r="G89" t="e">
        <f>Year_2040!G92/Year_2032!G92</f>
        <v>#DIV/0!</v>
      </c>
      <c r="H89" t="e">
        <f>Year_2040!H92/Year_2032!H92</f>
        <v>#DIV/0!</v>
      </c>
      <c r="I89" t="e">
        <f>Year_2040!I92/Year_2032!I92</f>
        <v>#DIV/0!</v>
      </c>
      <c r="J89" t="e">
        <f>Year_2040!J92/Year_2032!J92</f>
        <v>#DIV/0!</v>
      </c>
      <c r="K89" t="e">
        <f>Year_2040!K92/Year_2032!K92</f>
        <v>#DIV/0!</v>
      </c>
      <c r="L89" t="e">
        <f>Year_2040!L92/Year_2032!L92</f>
        <v>#DIV/0!</v>
      </c>
      <c r="M89" t="e">
        <f>Year_2040!M92/Year_2032!M92</f>
        <v>#DIV/0!</v>
      </c>
      <c r="N89" t="str">
        <f>Year_2040!N92</f>
        <v>Period</v>
      </c>
      <c r="O89" t="e">
        <f>Year_2040!O92/Year_2032!O92</f>
        <v>#DIV/0!</v>
      </c>
      <c r="P89" t="e">
        <f>Year_2040!P92/Year_2032!P92</f>
        <v>#DIV/0!</v>
      </c>
      <c r="Q89" t="e">
        <f>Year_2040!Q92/Year_2032!Q92</f>
        <v>#DIV/0!</v>
      </c>
      <c r="R89" t="e">
        <f>Year_2040!R92/Year_2032!R92</f>
        <v>#DIV/0!</v>
      </c>
      <c r="S89" t="e">
        <f>Year_2040!S92/Year_2032!S92</f>
        <v>#DIV/0!</v>
      </c>
      <c r="T89" t="e">
        <f>Year_2040!T92/Year_2032!T92</f>
        <v>#DIV/0!</v>
      </c>
      <c r="U89" t="e">
        <f>Year_2040!U92/Year_2032!U92</f>
        <v>#DIV/0!</v>
      </c>
      <c r="V89" t="e">
        <f>Year_2040!V92/Year_2032!V92</f>
        <v>#DIV/0!</v>
      </c>
      <c r="W89" t="e">
        <f>Year_2040!W92/Year_2032!W92</f>
        <v>#DIV/0!</v>
      </c>
      <c r="X89" t="e">
        <f>Year_2040!X92/Year_2032!X92</f>
        <v>#DIV/0!</v>
      </c>
      <c r="Y89" t="e">
        <f>Year_2040!Y92/Year_2032!Y92</f>
        <v>#DIV/0!</v>
      </c>
      <c r="Z89" t="e">
        <f>Year_2040!Z92/Year_2032!Z92</f>
        <v>#DIV/0!</v>
      </c>
      <c r="AA89" t="e">
        <f>Year_2040!AA92/Year_2032!AA92</f>
        <v>#VALUE!</v>
      </c>
      <c r="AB89" t="e">
        <f>Year_2040!AB92/Year_2032!AB92</f>
        <v>#DIV/0!</v>
      </c>
      <c r="AC89" t="e">
        <f>Year_2040!AC92/Year_2032!AC92</f>
        <v>#DIV/0!</v>
      </c>
      <c r="AD89" t="e">
        <f>Year_2040!AD92/Year_2032!AD92</f>
        <v>#DIV/0!</v>
      </c>
      <c r="AE89" t="e">
        <f>Year_2040!AE92/Year_2032!AE92</f>
        <v>#DIV/0!</v>
      </c>
      <c r="AF89" t="e">
        <f>Year_2040!AF92/Year_2032!AF92</f>
        <v>#DIV/0!</v>
      </c>
      <c r="AG89" t="e">
        <f>Year_2040!AG92/Year_2032!AG92</f>
        <v>#DIV/0!</v>
      </c>
      <c r="AH89" t="e">
        <f>Year_2040!AH92/Year_2032!AH92</f>
        <v>#DIV/0!</v>
      </c>
      <c r="AI89" t="e">
        <f>Year_2040!AI92/Year_2032!AI92</f>
        <v>#DIV/0!</v>
      </c>
      <c r="AJ89" t="e">
        <f>Year_2040!AJ92/Year_2032!AJ92</f>
        <v>#DIV/0!</v>
      </c>
      <c r="AK89" t="e">
        <f>Year_2040!AK92/Year_2032!AK92</f>
        <v>#DIV/0!</v>
      </c>
      <c r="AL89" t="e">
        <f>Year_2040!AL92/Year_2032!AL92</f>
        <v>#DIV/0!</v>
      </c>
      <c r="AM89" t="e">
        <f>Year_2040!AM92/Year_2032!AM92</f>
        <v>#DIV/0!</v>
      </c>
      <c r="AN89" t="e">
        <f>Year_2040!AN92/Year_2032!AN92</f>
        <v>#VALUE!</v>
      </c>
      <c r="AO89" t="e">
        <f>Year_2040!AO92/Year_2032!AO92</f>
        <v>#DIV/0!</v>
      </c>
      <c r="AP89" t="e">
        <f>Year_2040!AP92/Year_2032!AP92</f>
        <v>#DIV/0!</v>
      </c>
      <c r="AQ89" t="e">
        <f>Year_2040!AQ92/Year_2032!AQ92</f>
        <v>#DIV/0!</v>
      </c>
      <c r="AR89" t="e">
        <f>Year_2040!AR92/Year_2032!AR92</f>
        <v>#DIV/0!</v>
      </c>
      <c r="AS89" t="e">
        <f>Year_2040!AS92/Year_2032!AS92</f>
        <v>#DIV/0!</v>
      </c>
      <c r="AT89" t="e">
        <f>Year_2040!AT92/Year_2032!AT92</f>
        <v>#DIV/0!</v>
      </c>
      <c r="AU89" t="e">
        <f>Year_2040!AU92/Year_2032!AU92</f>
        <v>#DIV/0!</v>
      </c>
      <c r="AV89" t="e">
        <f>Year_2040!AV92/Year_2032!AV92</f>
        <v>#DIV/0!</v>
      </c>
      <c r="AW89" t="e">
        <f>Year_2040!AW92/Year_2032!AW92</f>
        <v>#DIV/0!</v>
      </c>
      <c r="AX89" t="e">
        <f>Year_2040!AX92/Year_2032!AX92</f>
        <v>#DIV/0!</v>
      </c>
    </row>
    <row r="90" spans="2:50" x14ac:dyDescent="0.3">
      <c r="B90" t="str">
        <f>Year_2032!B93</f>
        <v>Night</v>
      </c>
      <c r="C90">
        <f>Year_2040!C93/Year_2032!C93</f>
        <v>1.0957168784029039</v>
      </c>
      <c r="D90">
        <f>Year_2040!D93/Year_2032!D93</f>
        <v>1.1038343834383437</v>
      </c>
      <c r="E90">
        <f>Year_2040!E93/Year_2032!E93</f>
        <v>1.1011088816136869</v>
      </c>
      <c r="F90">
        <f>Year_2040!F93/Year_2032!F93</f>
        <v>1.110286882143668</v>
      </c>
      <c r="G90">
        <f>Year_2040!G93/Year_2032!G93</f>
        <v>1.1928510273972603</v>
      </c>
      <c r="H90">
        <f>Year_2040!H93/Year_2032!H93</f>
        <v>1.1984239903688301</v>
      </c>
      <c r="I90">
        <f>Year_2040!I93/Year_2032!I93</f>
        <v>1.1181386943754235</v>
      </c>
      <c r="J90">
        <f>Year_2040!J93/Year_2032!J93</f>
        <v>1.1174896618827534</v>
      </c>
      <c r="K90">
        <f>Year_2040!K93/Year_2032!K93</f>
        <v>1.0083469055374592</v>
      </c>
      <c r="L90">
        <f>Year_2040!L93/Year_2032!L93</f>
        <v>0.99885148230564924</v>
      </c>
      <c r="M90" t="e">
        <f>Year_2040!M93/Year_2032!M93</f>
        <v>#DIV/0!</v>
      </c>
      <c r="N90" t="str">
        <f>Year_2040!N93</f>
        <v>Night</v>
      </c>
      <c r="O90">
        <f>Year_2040!O93/Year_2032!O93</f>
        <v>1.1034952794752046</v>
      </c>
      <c r="P90">
        <f>Year_2040!P93/Year_2032!P93</f>
        <v>1.1035124999209467</v>
      </c>
      <c r="Q90">
        <f>Year_2040!Q93/Year_2032!Q93</f>
        <v>1.8990159599363474</v>
      </c>
      <c r="R90">
        <f>Year_2040!R93/Year_2032!R93</f>
        <v>1.1180657327884174</v>
      </c>
      <c r="S90">
        <f>Year_2040!S93/Year_2032!S93</f>
        <v>1.0051955670081496</v>
      </c>
      <c r="T90">
        <f>Year_2040!T93/Year_2032!T93</f>
        <v>1.1078642473064784</v>
      </c>
      <c r="U90">
        <f>Year_2040!U93/Year_2032!U93</f>
        <v>1.1102172372673382</v>
      </c>
      <c r="V90">
        <f>Year_2040!V93/Year_2032!V93</f>
        <v>1.8791408657984616</v>
      </c>
      <c r="W90">
        <f>Year_2040!W93/Year_2032!W93</f>
        <v>1.1180034436086073</v>
      </c>
      <c r="X90">
        <f>Year_2040!X93/Year_2032!X93</f>
        <v>0.99648233908314898</v>
      </c>
      <c r="Y90" t="e">
        <f>Year_2040!Y93/Year_2032!Y93</f>
        <v>#DIV/0!</v>
      </c>
      <c r="Z90" t="e">
        <f>Year_2040!Z93/Year_2032!Z93</f>
        <v>#DIV/0!</v>
      </c>
      <c r="AA90" t="e">
        <f>Year_2040!AA93/Year_2032!AA93</f>
        <v>#VALUE!</v>
      </c>
      <c r="AB90">
        <f>Year_2040!AB93/Year_2032!AB93</f>
        <v>1.1110150965275838</v>
      </c>
      <c r="AC90">
        <f>Year_2040!AC93/Year_2032!AC93</f>
        <v>1.1109788481551777</v>
      </c>
      <c r="AD90">
        <f>Year_2040!AD93/Year_2032!AD93</f>
        <v>1.0693387326424779</v>
      </c>
      <c r="AE90">
        <f>Year_2040!AE93/Year_2032!AE93</f>
        <v>1.1180629423016364</v>
      </c>
      <c r="AF90">
        <f>Year_2040!AF93/Year_2032!AF93</f>
        <v>0.99942986801904432</v>
      </c>
      <c r="AG90">
        <f>Year_2040!AG93/Year_2032!AG93</f>
        <v>1.1105335567486962</v>
      </c>
      <c r="AH90">
        <f>Year_2040!AH93/Year_2032!AH93</f>
        <v>1.110222022684257</v>
      </c>
      <c r="AI90">
        <f>Year_2040!AI93/Year_2032!AI93</f>
        <v>1.070090258162451</v>
      </c>
      <c r="AJ90">
        <f>Year_2040!AJ93/Year_2032!AJ93</f>
        <v>1.1180043864748543</v>
      </c>
      <c r="AK90">
        <f>Year_2040!AK93/Year_2032!AK93</f>
        <v>1.0003853040101665</v>
      </c>
      <c r="AL90" t="e">
        <f>Year_2040!AL93/Year_2032!AL93</f>
        <v>#DIV/0!</v>
      </c>
      <c r="AM90" t="e">
        <f>Year_2040!AM93/Year_2032!AM93</f>
        <v>#DIV/0!</v>
      </c>
      <c r="AN90" t="e">
        <f>Year_2040!AN93/Year_2032!AN93</f>
        <v>#VALUE!</v>
      </c>
      <c r="AO90">
        <f>Year_2040!AO93/Year_2032!AO93</f>
        <v>1</v>
      </c>
      <c r="AP90">
        <f>Year_2040!AP93/Year_2032!AP93</f>
        <v>1</v>
      </c>
      <c r="AQ90">
        <f>Year_2040!AQ93/Year_2032!AQ93</f>
        <v>1</v>
      </c>
      <c r="AR90">
        <f>Year_2040!AR93/Year_2032!AR93</f>
        <v>1</v>
      </c>
      <c r="AS90">
        <f>Year_2040!AS93/Year_2032!AS93</f>
        <v>1</v>
      </c>
      <c r="AT90">
        <f>Year_2040!AT93/Year_2032!AT93</f>
        <v>1</v>
      </c>
      <c r="AU90">
        <f>Year_2040!AU93/Year_2032!AU93</f>
        <v>1</v>
      </c>
      <c r="AV90">
        <f>Year_2040!AV93/Year_2032!AV93</f>
        <v>1</v>
      </c>
      <c r="AW90">
        <f>Year_2040!AW93/Year_2032!AW93</f>
        <v>1</v>
      </c>
      <c r="AX90">
        <f>Year_2040!AX93/Year_2032!AX93</f>
        <v>1</v>
      </c>
    </row>
    <row r="91" spans="2:50" x14ac:dyDescent="0.3">
      <c r="B91" t="str">
        <f>Year_2032!B94</f>
        <v>AM-Early</v>
      </c>
      <c r="C91">
        <f>Year_2040!C94/Year_2032!C94</f>
        <v>1.6515909090909091</v>
      </c>
      <c r="D91">
        <f>Year_2040!D94/Year_2032!D94</f>
        <v>1.9629305631492617</v>
      </c>
      <c r="E91">
        <f>Year_2040!E94/Year_2032!E94</f>
        <v>2.229447678546074</v>
      </c>
      <c r="F91">
        <f>Year_2040!F94/Year_2032!F94</f>
        <v>1.684315746727892</v>
      </c>
      <c r="G91">
        <f>Year_2040!G94/Year_2032!G94</f>
        <v>1.8323143548592533</v>
      </c>
      <c r="H91">
        <f>Year_2040!H94/Year_2032!H94</f>
        <v>2.105972355037816</v>
      </c>
      <c r="I91">
        <f>Year_2040!I94/Year_2032!I94</f>
        <v>1.6095970868084108</v>
      </c>
      <c r="J91">
        <f>Year_2040!J94/Year_2032!J94</f>
        <v>1.1179850603332695</v>
      </c>
      <c r="K91">
        <f>Year_2040!K94/Year_2032!K94</f>
        <v>1.5374253123302555</v>
      </c>
      <c r="L91">
        <f>Year_2040!L94/Year_2032!L94</f>
        <v>1.4584566074950689</v>
      </c>
      <c r="M91" t="e">
        <f>Year_2040!M94/Year_2032!M94</f>
        <v>#DIV/0!</v>
      </c>
      <c r="N91" t="str">
        <f>Year_2040!N94</f>
        <v>AM-Early</v>
      </c>
      <c r="O91">
        <f>Year_2040!O94/Year_2032!O94</f>
        <v>1.2936728800210029</v>
      </c>
      <c r="P91">
        <f>Year_2040!P94/Year_2032!P94</f>
        <v>1.076346614047609</v>
      </c>
      <c r="Q91">
        <f>Year_2040!Q94/Year_2032!Q94</f>
        <v>1.41414413972428</v>
      </c>
      <c r="R91">
        <f>Year_2040!R94/Year_2032!R94</f>
        <v>1.2841938088961218</v>
      </c>
      <c r="S91">
        <f>Year_2040!S94/Year_2032!S94</f>
        <v>1.2250192979020011</v>
      </c>
      <c r="T91">
        <f>Year_2040!T94/Year_2032!T94</f>
        <v>1.1043266929336819</v>
      </c>
      <c r="U91">
        <f>Year_2040!U94/Year_2032!U94</f>
        <v>1.3079914446820922</v>
      </c>
      <c r="V91">
        <f>Year_2040!V94/Year_2032!V94</f>
        <v>1.3449033820583898</v>
      </c>
      <c r="W91">
        <f>Year_2040!W94/Year_2032!W94</f>
        <v>2.0664269528250649</v>
      </c>
      <c r="X91">
        <f>Year_2040!X94/Year_2032!X94</f>
        <v>0.99837559149657473</v>
      </c>
      <c r="Y91" t="e">
        <f>Year_2040!Y94/Year_2032!Y94</f>
        <v>#DIV/0!</v>
      </c>
      <c r="Z91" t="e">
        <f>Year_2040!Z94/Year_2032!Z94</f>
        <v>#DIV/0!</v>
      </c>
      <c r="AA91" t="e">
        <f>Year_2040!AA94/Year_2032!AA94</f>
        <v>#VALUE!</v>
      </c>
      <c r="AB91">
        <f>Year_2040!AB94/Year_2032!AB94</f>
        <v>0.9963925634741474</v>
      </c>
      <c r="AC91">
        <f>Year_2040!AC94/Year_2032!AC94</f>
        <v>1.1166746538765693</v>
      </c>
      <c r="AD91">
        <f>Year_2040!AD94/Year_2032!AD94</f>
        <v>1.0494438591295536</v>
      </c>
      <c r="AE91">
        <f>Year_2040!AE94/Year_2032!AE94</f>
        <v>1.0014856511189423</v>
      </c>
      <c r="AF91">
        <f>Year_2040!AF94/Year_2032!AF94</f>
        <v>0.98579197928559781</v>
      </c>
      <c r="AG91">
        <f>Year_2040!AG94/Year_2032!AG94</f>
        <v>1.1114983204028042</v>
      </c>
      <c r="AH91">
        <f>Year_2040!AH94/Year_2032!AH94</f>
        <v>0.98084916682577528</v>
      </c>
      <c r="AI91">
        <f>Year_2040!AI94/Year_2032!AI94</f>
        <v>1.071271368947557</v>
      </c>
      <c r="AJ91">
        <f>Year_2040!AJ94/Year_2032!AJ94</f>
        <v>1.0692725135669092</v>
      </c>
      <c r="AK91">
        <f>Year_2040!AK94/Year_2032!AK94</f>
        <v>1.0003456515531777</v>
      </c>
      <c r="AL91" t="e">
        <f>Year_2040!AL94/Year_2032!AL94</f>
        <v>#DIV/0!</v>
      </c>
      <c r="AM91" t="e">
        <f>Year_2040!AM94/Year_2032!AM94</f>
        <v>#DIV/0!</v>
      </c>
      <c r="AN91" t="e">
        <f>Year_2040!AN94/Year_2032!AN94</f>
        <v>#VALUE!</v>
      </c>
      <c r="AO91">
        <f>Year_2040!AO94/Year_2032!AO94</f>
        <v>1.1666666666666667</v>
      </c>
      <c r="AP91">
        <f>Year_2040!AP94/Year_2032!AP94</f>
        <v>1.7704081632653061</v>
      </c>
      <c r="AQ91">
        <f>Year_2040!AQ94/Year_2032!AQ94</f>
        <v>2.0097560975609756</v>
      </c>
      <c r="AR91">
        <f>Year_2040!AR94/Year_2032!AR94</f>
        <v>1.1666666666666667</v>
      </c>
      <c r="AS91">
        <f>Year_2040!AS94/Year_2032!AS94</f>
        <v>1.2618025751072961</v>
      </c>
      <c r="AT91">
        <f>Year_2040!AT94/Year_2032!AT94</f>
        <v>1.4626865671641793</v>
      </c>
      <c r="AU91">
        <f>Year_2040!AU94/Year_2032!AU94</f>
        <v>1.1666666666666665</v>
      </c>
      <c r="AV91">
        <f>Year_2040!AV94/Year_2032!AV94</f>
        <v>1</v>
      </c>
      <c r="AW91">
        <f>Year_2040!AW94/Year_2032!AW94</f>
        <v>1.1666666666666667</v>
      </c>
      <c r="AX91">
        <f>Year_2040!AX94/Year_2032!AX94</f>
        <v>1.4615384615384615</v>
      </c>
    </row>
    <row r="92" spans="2:50" x14ac:dyDescent="0.3">
      <c r="B92" t="str">
        <f>Year_2032!B95</f>
        <v>AM-Peak</v>
      </c>
      <c r="C92">
        <f>Year_2040!C95/Year_2032!C95</f>
        <v>2.2745430215167479</v>
      </c>
      <c r="D92">
        <f>Year_2040!D95/Year_2032!D95</f>
        <v>1.8186506746626687</v>
      </c>
      <c r="E92">
        <f>Year_2040!E95/Year_2032!E95</f>
        <v>2.5906898261748812</v>
      </c>
      <c r="F92">
        <f>Year_2040!F95/Year_2032!F95</f>
        <v>1.9988960629519121</v>
      </c>
      <c r="G92">
        <f>Year_2040!G95/Year_2032!G95</f>
        <v>2.35043509865439</v>
      </c>
      <c r="H92">
        <f>Year_2040!H95/Year_2032!H95</f>
        <v>1.755774711711604</v>
      </c>
      <c r="I92">
        <f>Year_2040!I95/Year_2032!I95</f>
        <v>2.1164233690725514</v>
      </c>
      <c r="J92">
        <f>Year_2040!J95/Year_2032!J95</f>
        <v>2.0764023618726277</v>
      </c>
      <c r="K92">
        <f>Year_2040!K95/Year_2032!K95</f>
        <v>1.4540450771055753</v>
      </c>
      <c r="L92">
        <f>Year_2040!L95/Year_2032!L95</f>
        <v>1.3727044121008916</v>
      </c>
      <c r="M92" t="e">
        <f>Year_2040!M95/Year_2032!M95</f>
        <v>#DIV/0!</v>
      </c>
      <c r="N92" t="str">
        <f>Year_2040!N95</f>
        <v>AM-Peak</v>
      </c>
      <c r="O92">
        <f>Year_2040!O95/Year_2032!O95</f>
        <v>1.320293216550964</v>
      </c>
      <c r="P92">
        <f>Year_2040!P95/Year_2032!P95</f>
        <v>1.0080846677945585</v>
      </c>
      <c r="Q92">
        <f>Year_2040!Q95/Year_2032!Q95</f>
        <v>1.2915687561424332</v>
      </c>
      <c r="R92">
        <f>Year_2040!R95/Year_2032!R95</f>
        <v>1.2366031641475967</v>
      </c>
      <c r="S92">
        <f>Year_2040!S95/Year_2032!S95</f>
        <v>1.0825872887771126</v>
      </c>
      <c r="T92">
        <f>Year_2040!T95/Year_2032!T95</f>
        <v>1.4031745354923304</v>
      </c>
      <c r="U92">
        <f>Year_2040!U95/Year_2032!U95</f>
        <v>1.0543384666882483</v>
      </c>
      <c r="V92">
        <f>Year_2040!V95/Year_2032!V95</f>
        <v>1.4052339241807705</v>
      </c>
      <c r="W92">
        <f>Year_2040!W95/Year_2032!W95</f>
        <v>1.0749451061906512</v>
      </c>
      <c r="X92">
        <f>Year_2040!X95/Year_2032!X95</f>
        <v>1.118797701274451</v>
      </c>
      <c r="Y92" t="e">
        <f>Year_2040!Y95/Year_2032!Y95</f>
        <v>#DIV/0!</v>
      </c>
      <c r="Z92" t="e">
        <f>Year_2040!Z95/Year_2032!Z95</f>
        <v>#DIV/0!</v>
      </c>
      <c r="AA92" t="e">
        <f>Year_2040!AA95/Year_2032!AA95</f>
        <v>#VALUE!</v>
      </c>
      <c r="AB92">
        <f>Year_2040!AB95/Year_2032!AB95</f>
        <v>1.0675429607328255</v>
      </c>
      <c r="AC92">
        <f>Year_2040!AC95/Year_2032!AC95</f>
        <v>1.1290059183042498</v>
      </c>
      <c r="AD92">
        <f>Year_2040!AD95/Year_2032!AD95</f>
        <v>1.0791801852354956</v>
      </c>
      <c r="AE92">
        <f>Year_2040!AE95/Year_2032!AE95</f>
        <v>1.0973438210541611</v>
      </c>
      <c r="AF92">
        <f>Year_2040!AF95/Year_2032!AF95</f>
        <v>0.98242109734645267</v>
      </c>
      <c r="AG92">
        <f>Year_2040!AG95/Year_2032!AG95</f>
        <v>1.0333406500368447</v>
      </c>
      <c r="AH92">
        <f>Year_2040!AH95/Year_2032!AH95</f>
        <v>1.1558334725008121</v>
      </c>
      <c r="AI92">
        <f>Year_2040!AI95/Year_2032!AI95</f>
        <v>1.0618431176480918</v>
      </c>
      <c r="AJ92">
        <f>Year_2040!AJ95/Year_2032!AJ95</f>
        <v>1.1264506162529755</v>
      </c>
      <c r="AK92">
        <f>Year_2040!AK95/Year_2032!AK95</f>
        <v>0.96426916177296496</v>
      </c>
      <c r="AL92" t="e">
        <f>Year_2040!AL95/Year_2032!AL95</f>
        <v>#DIV/0!</v>
      </c>
      <c r="AM92" t="e">
        <f>Year_2040!AM95/Year_2032!AM95</f>
        <v>#DIV/0!</v>
      </c>
      <c r="AN92" t="e">
        <f>Year_2040!AN95/Year_2032!AN95</f>
        <v>#VALUE!</v>
      </c>
      <c r="AO92">
        <f>Year_2040!AO95/Year_2032!AO95</f>
        <v>1.5949367088607596</v>
      </c>
      <c r="AP92">
        <f>Year_2040!AP95/Year_2032!AP95</f>
        <v>1.1666666666666667</v>
      </c>
      <c r="AQ92">
        <f>Year_2040!AQ95/Year_2032!AQ95</f>
        <v>2.3333333333333335</v>
      </c>
      <c r="AR92">
        <f>Year_2040!AR95/Year_2032!AR95</f>
        <v>3.5</v>
      </c>
      <c r="AS92">
        <f>Year_2040!AS95/Year_2032!AS95</f>
        <v>1.6945244956772334</v>
      </c>
      <c r="AT92">
        <f>Year_2040!AT95/Year_2032!AT95</f>
        <v>1.2123711340206187</v>
      </c>
      <c r="AU92">
        <f>Year_2040!AU95/Year_2032!AU95</f>
        <v>1.8926919518963923</v>
      </c>
      <c r="AV92">
        <f>Year_2040!AV95/Year_2032!AV95</f>
        <v>1.8540772532188843</v>
      </c>
      <c r="AW92">
        <f>Year_2040!AW95/Year_2032!AW95</f>
        <v>1.3023255813953487</v>
      </c>
      <c r="AX92">
        <f>Year_2040!AX95/Year_2032!AX95</f>
        <v>1.1666666666666667</v>
      </c>
    </row>
    <row r="93" spans="2:50" x14ac:dyDescent="0.3">
      <c r="B93" t="str">
        <f>Year_2032!B96</f>
        <v>AM-Shoulder</v>
      </c>
      <c r="C93">
        <f>Year_2040!C96/Year_2032!C96</f>
        <v>1.4826643778375079</v>
      </c>
      <c r="D93">
        <f>Year_2040!D96/Year_2032!D96</f>
        <v>2.1401892519193</v>
      </c>
      <c r="E93">
        <f>Year_2040!E96/Year_2032!E96</f>
        <v>2.0657740439310404</v>
      </c>
      <c r="F93">
        <f>Year_2040!F96/Year_2032!F96</f>
        <v>1.4702964140122989</v>
      </c>
      <c r="G93">
        <f>Year_2040!G96/Year_2032!G96</f>
        <v>1.6633049036087073</v>
      </c>
      <c r="H93">
        <f>Year_2040!H96/Year_2032!H96</f>
        <v>1.8711730896933891</v>
      </c>
      <c r="I93">
        <f>Year_2040!I96/Year_2032!I96</f>
        <v>2.3412171140047833</v>
      </c>
      <c r="J93">
        <f>Year_2040!J96/Year_2032!J96</f>
        <v>2.039985558263381</v>
      </c>
      <c r="K93">
        <f>Year_2040!K96/Year_2032!K96</f>
        <v>1.456154796212433</v>
      </c>
      <c r="L93">
        <f>Year_2040!L96/Year_2032!L96</f>
        <v>1.4681020733652315</v>
      </c>
      <c r="M93" t="e">
        <f>Year_2040!M96/Year_2032!M96</f>
        <v>#DIV/0!</v>
      </c>
      <c r="N93" t="str">
        <f>Year_2040!N96</f>
        <v>AM-Shoulder</v>
      </c>
      <c r="O93">
        <f>Year_2040!O96/Year_2032!O96</f>
        <v>1.1884579225640628</v>
      </c>
      <c r="P93">
        <f>Year_2040!P96/Year_2032!P96</f>
        <v>1.3088801321396011</v>
      </c>
      <c r="Q93">
        <f>Year_2040!Q96/Year_2032!Q96</f>
        <v>0.98336382514368414</v>
      </c>
      <c r="R93">
        <f>Year_2040!R96/Year_2032!R96</f>
        <v>1.0711722644688708</v>
      </c>
      <c r="S93">
        <f>Year_2040!S96/Year_2032!S96</f>
        <v>0.99956335891896864</v>
      </c>
      <c r="T93">
        <f>Year_2040!T96/Year_2032!T96</f>
        <v>1.5810922225275803</v>
      </c>
      <c r="U93">
        <f>Year_2040!U96/Year_2032!U96</f>
        <v>1.1819474031482704</v>
      </c>
      <c r="V93">
        <f>Year_2040!V96/Year_2032!V96</f>
        <v>1.4509397391827004</v>
      </c>
      <c r="W93">
        <f>Year_2040!W96/Year_2032!W96</f>
        <v>1.0922780286562261</v>
      </c>
      <c r="X93">
        <f>Year_2040!X96/Year_2032!X96</f>
        <v>1.0791717139396158</v>
      </c>
      <c r="Y93" t="e">
        <f>Year_2040!Y96/Year_2032!Y96</f>
        <v>#DIV/0!</v>
      </c>
      <c r="Z93" t="e">
        <f>Year_2040!Z96/Year_2032!Z96</f>
        <v>#DIV/0!</v>
      </c>
      <c r="AA93" t="e">
        <f>Year_2040!AA96/Year_2032!AA96</f>
        <v>#VALUE!</v>
      </c>
      <c r="AB93">
        <f>Year_2040!AB96/Year_2032!AB96</f>
        <v>0.97914887957840924</v>
      </c>
      <c r="AC93">
        <f>Year_2040!AC96/Year_2032!AC96</f>
        <v>1.0726744857535544</v>
      </c>
      <c r="AD93">
        <f>Year_2040!AD96/Year_2032!AD96</f>
        <v>1.0257819516359725</v>
      </c>
      <c r="AE93">
        <f>Year_2040!AE96/Year_2032!AE96</f>
        <v>1.1270486119332808</v>
      </c>
      <c r="AF93">
        <f>Year_2040!AF96/Year_2032!AF96</f>
        <v>1.0000932076175153</v>
      </c>
      <c r="AG93">
        <f>Year_2040!AG96/Year_2032!AG96</f>
        <v>1.0145039801694289</v>
      </c>
      <c r="AH93">
        <f>Year_2040!AH96/Year_2032!AH96</f>
        <v>0.9801964798337105</v>
      </c>
      <c r="AI93">
        <f>Year_2040!AI96/Year_2032!AI96</f>
        <v>1.0361482401822275</v>
      </c>
      <c r="AJ93">
        <f>Year_2040!AJ96/Year_2032!AJ96</f>
        <v>1.1231501622266951</v>
      </c>
      <c r="AK93">
        <f>Year_2040!AK96/Year_2032!AK96</f>
        <v>0.98310407208929251</v>
      </c>
      <c r="AL93" t="e">
        <f>Year_2040!AL96/Year_2032!AL96</f>
        <v>#DIV/0!</v>
      </c>
      <c r="AM93" t="e">
        <f>Year_2040!AM96/Year_2032!AM96</f>
        <v>#DIV/0!</v>
      </c>
      <c r="AN93" t="e">
        <f>Year_2040!AN96/Year_2032!AN96</f>
        <v>#VALUE!</v>
      </c>
      <c r="AO93">
        <f>Year_2040!AO96/Year_2032!AO96</f>
        <v>1.1666666666666667</v>
      </c>
      <c r="AP93">
        <f>Year_2040!AP96/Year_2032!AP96</f>
        <v>1.169620253164557</v>
      </c>
      <c r="AQ93">
        <f>Year_2040!AQ96/Year_2032!AQ96</f>
        <v>1.5441176470588236</v>
      </c>
      <c r="AR93">
        <f>Year_2040!AR96/Year_2032!AR96</f>
        <v>1.1666666666666667</v>
      </c>
      <c r="AS93">
        <f>Year_2040!AS96/Year_2032!AS96</f>
        <v>1.6318252730109206</v>
      </c>
      <c r="AT93">
        <f>Year_2040!AT96/Year_2032!AT96</f>
        <v>1.2148760330578512</v>
      </c>
      <c r="AU93">
        <f>Year_2040!AU96/Year_2032!AU96</f>
        <v>2.094915254237288</v>
      </c>
      <c r="AV93">
        <f>Year_2040!AV96/Year_2032!AV96</f>
        <v>1.8287671232876712</v>
      </c>
      <c r="AW93">
        <f>Year_2040!AW96/Year_2032!AW96</f>
        <v>1.4521739130434783</v>
      </c>
      <c r="AX93">
        <f>Year_2040!AX96/Year_2032!AX96</f>
        <v>1.3228346456692912</v>
      </c>
    </row>
    <row r="94" spans="2:50" x14ac:dyDescent="0.3">
      <c r="B94" t="str">
        <f>Year_2032!B97</f>
        <v>MD</v>
      </c>
      <c r="C94">
        <f>Year_2040!C97/Year_2032!C97</f>
        <v>1.5092628124545129</v>
      </c>
      <c r="D94">
        <f>Year_2040!D97/Year_2032!D97</f>
        <v>1.6333707309422993</v>
      </c>
      <c r="E94">
        <f>Year_2040!E97/Year_2032!E97</f>
        <v>1.699677285101215</v>
      </c>
      <c r="F94">
        <f>Year_2040!F97/Year_2032!F97</f>
        <v>1.4857193276863245</v>
      </c>
      <c r="G94">
        <f>Year_2040!G97/Year_2032!G97</f>
        <v>2.0786588761355418</v>
      </c>
      <c r="H94">
        <f>Year_2040!H97/Year_2032!H97</f>
        <v>2.0339235525576167</v>
      </c>
      <c r="I94">
        <f>Year_2040!I97/Year_2032!I97</f>
        <v>2.0188568185162605</v>
      </c>
      <c r="J94">
        <f>Year_2040!J97/Year_2032!J97</f>
        <v>2.0452239929317062</v>
      </c>
      <c r="K94">
        <f>Year_2040!K97/Year_2032!K97</f>
        <v>1.4147101670223938</v>
      </c>
      <c r="L94">
        <f>Year_2040!L97/Year_2032!L97</f>
        <v>1.4317577308074962</v>
      </c>
      <c r="M94" t="e">
        <f>Year_2040!M97/Year_2032!M97</f>
        <v>#DIV/0!</v>
      </c>
      <c r="N94" t="str">
        <f>Year_2040!N97</f>
        <v>MD</v>
      </c>
      <c r="O94">
        <f>Year_2040!O97/Year_2032!O97</f>
        <v>1.2013205994330411</v>
      </c>
      <c r="P94">
        <f>Year_2040!P97/Year_2032!P97</f>
        <v>1.3195672337631799</v>
      </c>
      <c r="Q94">
        <f>Year_2040!Q97/Year_2032!Q97</f>
        <v>1.3878499123363532</v>
      </c>
      <c r="R94">
        <f>Year_2040!R97/Year_2032!R97</f>
        <v>1.1013179854319717</v>
      </c>
      <c r="S94">
        <f>Year_2040!S97/Year_2032!S97</f>
        <v>1.1448364689926558</v>
      </c>
      <c r="T94">
        <f>Year_2040!T97/Year_2032!T97</f>
        <v>0.84813345044393407</v>
      </c>
      <c r="U94">
        <f>Year_2040!U97/Year_2032!U97</f>
        <v>1.1894463840239946</v>
      </c>
      <c r="V94">
        <f>Year_2040!V97/Year_2032!V97</f>
        <v>1.3485220361389783</v>
      </c>
      <c r="W94">
        <f>Year_2040!W97/Year_2032!W97</f>
        <v>1.0903259684792577</v>
      </c>
      <c r="X94">
        <f>Year_2040!X97/Year_2032!X97</f>
        <v>1.1562731100308627</v>
      </c>
      <c r="Y94" t="e">
        <f>Year_2040!Y97/Year_2032!Y97</f>
        <v>#DIV/0!</v>
      </c>
      <c r="Z94" t="e">
        <f>Year_2040!Z97/Year_2032!Z97</f>
        <v>#DIV/0!</v>
      </c>
      <c r="AA94" t="e">
        <f>Year_2040!AA97/Year_2032!AA97</f>
        <v>#VALUE!</v>
      </c>
      <c r="AB94">
        <f>Year_2040!AB97/Year_2032!AB97</f>
        <v>0.97250594165485549</v>
      </c>
      <c r="AC94">
        <f>Year_2040!AC97/Year_2032!AC97</f>
        <v>0.99392054178249367</v>
      </c>
      <c r="AD94">
        <f>Year_2040!AD97/Year_2032!AD97</f>
        <v>1.0637665023263234</v>
      </c>
      <c r="AE94">
        <f>Year_2040!AE97/Year_2032!AE97</f>
        <v>1.1213564001830201</v>
      </c>
      <c r="AF94">
        <f>Year_2040!AF97/Year_2032!AF97</f>
        <v>0.96647565997342533</v>
      </c>
      <c r="AG94">
        <f>Year_2040!AG97/Year_2032!AG97</f>
        <v>1.0620973819858179</v>
      </c>
      <c r="AH94">
        <f>Year_2040!AH97/Year_2032!AH97</f>
        <v>0.97685422138759004</v>
      </c>
      <c r="AI94">
        <f>Year_2040!AI97/Year_2032!AI97</f>
        <v>1.0715318883293632</v>
      </c>
      <c r="AJ94">
        <f>Year_2040!AJ97/Year_2032!AJ97</f>
        <v>1.1236216418824994</v>
      </c>
      <c r="AK94">
        <f>Year_2040!AK97/Year_2032!AK97</f>
        <v>0.97134288393089452</v>
      </c>
      <c r="AL94" t="e">
        <f>Year_2040!AL97/Year_2032!AL97</f>
        <v>#DIV/0!</v>
      </c>
      <c r="AM94" t="e">
        <f>Year_2040!AM97/Year_2032!AM97</f>
        <v>#DIV/0!</v>
      </c>
      <c r="AN94" t="e">
        <f>Year_2040!AN97/Year_2032!AN97</f>
        <v>#VALUE!</v>
      </c>
      <c r="AO94">
        <f>Year_2040!AO97/Year_2032!AO97</f>
        <v>1.1666666666666667</v>
      </c>
      <c r="AP94">
        <f>Year_2040!AP97/Year_2032!AP97</f>
        <v>2.0101010101010099</v>
      </c>
      <c r="AQ94">
        <f>Year_2040!AQ97/Year_2032!AQ97</f>
        <v>1.1666666666666667</v>
      </c>
      <c r="AR94">
        <f>Year_2040!AR97/Year_2032!AR97</f>
        <v>1.1666666666666667</v>
      </c>
      <c r="AS94">
        <f>Year_2040!AS97/Year_2032!AS97</f>
        <v>1.4033412887828161</v>
      </c>
      <c r="AT94">
        <f>Year_2040!AT97/Year_2032!AT97</f>
        <v>1.4554455445544554</v>
      </c>
      <c r="AU94">
        <f>Year_2040!AU97/Year_2032!AU97</f>
        <v>1.8034934497816593</v>
      </c>
      <c r="AV94">
        <f>Year_2040!AV97/Year_2032!AV97</f>
        <v>1.834710743801653</v>
      </c>
      <c r="AW94">
        <f>Year_2040!AW97/Year_2032!AW97</f>
        <v>1.1666666666666667</v>
      </c>
      <c r="AX94">
        <f>Year_2040!AX97/Year_2032!AX97</f>
        <v>1.1666666666666667</v>
      </c>
    </row>
    <row r="95" spans="2:50" x14ac:dyDescent="0.3">
      <c r="B95" t="str">
        <f>Year_2032!B98</f>
        <v>PM-Shoulder</v>
      </c>
      <c r="C95">
        <f>Year_2040!C98/Year_2032!C98</f>
        <v>1.5327491785323111</v>
      </c>
      <c r="D95">
        <f>Year_2040!D98/Year_2032!D98</f>
        <v>1.6904221718047956</v>
      </c>
      <c r="E95">
        <f>Year_2040!E98/Year_2032!E98</f>
        <v>1.4460503561739464</v>
      </c>
      <c r="F95">
        <f>Year_2040!F98/Year_2032!F98</f>
        <v>1.3511584139139465</v>
      </c>
      <c r="G95">
        <f>Year_2040!G98/Year_2032!G98</f>
        <v>1.2869867824532277</v>
      </c>
      <c r="H95">
        <f>Year_2040!H98/Year_2032!H98</f>
        <v>1.8446222694174756</v>
      </c>
      <c r="I95">
        <f>Year_2040!I98/Year_2032!I98</f>
        <v>2.506825187142228</v>
      </c>
      <c r="J95">
        <f>Year_2040!J98/Year_2032!J98</f>
        <v>3.6782363361984123</v>
      </c>
      <c r="K95">
        <f>Year_2040!K98/Year_2032!K98</f>
        <v>1.3943544607051717</v>
      </c>
      <c r="L95">
        <f>Year_2040!L98/Year_2032!L98</f>
        <v>1.6397912450740229</v>
      </c>
      <c r="M95" t="e">
        <f>Year_2040!M98/Year_2032!M98</f>
        <v>#DIV/0!</v>
      </c>
      <c r="N95" t="str">
        <f>Year_2040!N98</f>
        <v>PM-Shoulder</v>
      </c>
      <c r="O95">
        <f>Year_2040!O98/Year_2032!O98</f>
        <v>1.201395506730089</v>
      </c>
      <c r="P95">
        <f>Year_2040!P98/Year_2032!P98</f>
        <v>1.190929041697147</v>
      </c>
      <c r="Q95">
        <f>Year_2040!Q98/Year_2032!Q98</f>
        <v>1.1686247567756987</v>
      </c>
      <c r="R95">
        <f>Year_2040!R98/Year_2032!R98</f>
        <v>1.0571908066502893</v>
      </c>
      <c r="S95">
        <f>Year_2040!S98/Year_2032!S98</f>
        <v>1.1218071665601121</v>
      </c>
      <c r="T95">
        <f>Year_2040!T98/Year_2032!T98</f>
        <v>0.98376270508551189</v>
      </c>
      <c r="U95">
        <f>Year_2040!U98/Year_2032!U98</f>
        <v>1.1090450820651265</v>
      </c>
      <c r="V95">
        <f>Year_2040!V98/Year_2032!V98</f>
        <v>0.94889600407730434</v>
      </c>
      <c r="W95">
        <f>Year_2040!W98/Year_2032!W98</f>
        <v>0.92869297318597865</v>
      </c>
      <c r="X95">
        <f>Year_2040!X98/Year_2032!X98</f>
        <v>1.2616142378669468</v>
      </c>
      <c r="Y95" t="e">
        <f>Year_2040!Y98/Year_2032!Y98</f>
        <v>#DIV/0!</v>
      </c>
      <c r="Z95" t="e">
        <f>Year_2040!Z98/Year_2032!Z98</f>
        <v>#DIV/0!</v>
      </c>
      <c r="AA95" t="e">
        <f>Year_2040!AA98/Year_2032!AA98</f>
        <v>#VALUE!</v>
      </c>
      <c r="AB95">
        <f>Year_2040!AB98/Year_2032!AB98</f>
        <v>0.97267482690276907</v>
      </c>
      <c r="AC95">
        <f>Year_2040!AC98/Year_2032!AC98</f>
        <v>0.9769999723835463</v>
      </c>
      <c r="AD95">
        <f>Year_2040!AD98/Year_2032!AD98</f>
        <v>0.98413802669396344</v>
      </c>
      <c r="AE95">
        <f>Year_2040!AE98/Year_2032!AE98</f>
        <v>1.1330109616388853</v>
      </c>
      <c r="AF95">
        <f>Year_2040!AF98/Year_2032!AF98</f>
        <v>0.96254902511396301</v>
      </c>
      <c r="AG95">
        <f>Year_2040!AG98/Year_2032!AG98</f>
        <v>1.0283446413807065</v>
      </c>
      <c r="AH95">
        <f>Year_2040!AH98/Year_2032!AH98</f>
        <v>0.99807662369619687</v>
      </c>
      <c r="AI95">
        <f>Year_2040!AI98/Year_2032!AI98</f>
        <v>1.0350321339353306</v>
      </c>
      <c r="AJ95">
        <f>Year_2040!AJ98/Year_2032!AJ98</f>
        <v>1.1531272976907445</v>
      </c>
      <c r="AK95">
        <f>Year_2040!AK98/Year_2032!AK98</f>
        <v>0.97194388777555096</v>
      </c>
      <c r="AL95" t="e">
        <f>Year_2040!AL98/Year_2032!AL98</f>
        <v>#DIV/0!</v>
      </c>
      <c r="AM95" t="e">
        <f>Year_2040!AM98/Year_2032!AM98</f>
        <v>#DIV/0!</v>
      </c>
      <c r="AN95" t="e">
        <f>Year_2040!AN98/Year_2032!AN98</f>
        <v>#VALUE!</v>
      </c>
      <c r="AO95">
        <f>Year_2040!AO98/Year_2032!AO98</f>
        <v>1.1666666666666667</v>
      </c>
      <c r="AP95">
        <f>Year_2040!AP98/Year_2032!AP98</f>
        <v>1.6590909090909092</v>
      </c>
      <c r="AQ95">
        <f>Year_2040!AQ98/Year_2032!AQ98</f>
        <v>1.1666666666666667</v>
      </c>
      <c r="AR95">
        <f>Year_2040!AR98/Year_2032!AR98</f>
        <v>1.3257575757575757</v>
      </c>
      <c r="AS95">
        <f>Year_2040!AS98/Year_2032!AS98</f>
        <v>1.1807228915662649</v>
      </c>
      <c r="AT95">
        <f>Year_2040!AT98/Year_2032!AT98</f>
        <v>1.8113207547169814</v>
      </c>
      <c r="AU95">
        <f>Year_2040!AU98/Year_2032!AU98</f>
        <v>2.2456896551724141</v>
      </c>
      <c r="AV95">
        <f>Year_2040!AV98/Year_2032!AV98</f>
        <v>3.2981366459627326</v>
      </c>
      <c r="AW95">
        <f>Year_2040!AW98/Year_2032!AW98</f>
        <v>1.1666666666666667</v>
      </c>
      <c r="AX95">
        <f>Year_2040!AX98/Year_2032!AX98</f>
        <v>1.1666666666666667</v>
      </c>
    </row>
    <row r="96" spans="2:50" x14ac:dyDescent="0.3">
      <c r="B96" t="str">
        <f>Year_2032!B99</f>
        <v>PM-Peak</v>
      </c>
      <c r="C96">
        <f>Year_2040!C99/Year_2032!C99</f>
        <v>2.9488141380245163</v>
      </c>
      <c r="D96">
        <f>Year_2040!D99/Year_2032!D99</f>
        <v>2.8900500036234509</v>
      </c>
      <c r="E96">
        <f>Year_2040!E99/Year_2032!E99</f>
        <v>1.8337471312942779</v>
      </c>
      <c r="F96">
        <f>Year_2040!F99/Year_2032!F99</f>
        <v>1.7271819029511852</v>
      </c>
      <c r="G96">
        <f>Year_2040!G99/Year_2032!G99</f>
        <v>2.6181155977830564</v>
      </c>
      <c r="H96">
        <f>Year_2040!H99/Year_2032!H99</f>
        <v>2.6092235174214919</v>
      </c>
      <c r="I96">
        <f>Year_2040!I99/Year_2032!I99</f>
        <v>2.3554345785620421</v>
      </c>
      <c r="J96">
        <f>Year_2040!J99/Year_2032!J99</f>
        <v>2.801488174328993</v>
      </c>
      <c r="K96">
        <f>Year_2040!K99/Year_2032!K99</f>
        <v>1.4567855933160214</v>
      </c>
      <c r="L96">
        <f>Year_2040!L99/Year_2032!L99</f>
        <v>1.4472792892837312</v>
      </c>
      <c r="M96" t="e">
        <f>Year_2040!M99/Year_2032!M99</f>
        <v>#DIV/0!</v>
      </c>
      <c r="N96" t="str">
        <f>Year_2040!N99</f>
        <v>PM-Peak</v>
      </c>
      <c r="O96">
        <f>Year_2040!O99/Year_2032!O99</f>
        <v>0.92647699078575985</v>
      </c>
      <c r="P96">
        <f>Year_2040!P99/Year_2032!P99</f>
        <v>1.3841881532747973</v>
      </c>
      <c r="Q96">
        <f>Year_2040!Q99/Year_2032!Q99</f>
        <v>1.0401021276595745</v>
      </c>
      <c r="R96">
        <f>Year_2040!R99/Year_2032!R99</f>
        <v>1.0512946368777134</v>
      </c>
      <c r="S96">
        <f>Year_2040!S99/Year_2032!S99</f>
        <v>1.1520815951051495</v>
      </c>
      <c r="T96">
        <f>Year_2040!T99/Year_2032!T99</f>
        <v>0.91402960398853028</v>
      </c>
      <c r="U96">
        <f>Year_2040!U99/Year_2032!U99</f>
        <v>1.3438512936890323</v>
      </c>
      <c r="V96">
        <f>Year_2040!V99/Year_2032!V99</f>
        <v>1.0825197473964483</v>
      </c>
      <c r="W96">
        <f>Year_2040!W99/Year_2032!W99</f>
        <v>1.0223221208151192</v>
      </c>
      <c r="X96">
        <f>Year_2040!X99/Year_2032!X99</f>
        <v>1.2348688005343103</v>
      </c>
      <c r="Y96" t="e">
        <f>Year_2040!Y99/Year_2032!Y99</f>
        <v>#DIV/0!</v>
      </c>
      <c r="Z96" t="e">
        <f>Year_2040!Z99/Year_2032!Z99</f>
        <v>#DIV/0!</v>
      </c>
      <c r="AA96" t="e">
        <f>Year_2040!AA99/Year_2032!AA99</f>
        <v>#VALUE!</v>
      </c>
      <c r="AB96">
        <f>Year_2040!AB99/Year_2032!AB99</f>
        <v>1.1772131539112771</v>
      </c>
      <c r="AC96">
        <f>Year_2040!AC99/Year_2032!AC99</f>
        <v>1.0286896006422077</v>
      </c>
      <c r="AD96">
        <f>Year_2040!AD99/Year_2032!AD99</f>
        <v>1.1361896016791042</v>
      </c>
      <c r="AE96">
        <f>Year_2040!AE99/Year_2032!AE99</f>
        <v>1.1342122462439435</v>
      </c>
      <c r="AF96">
        <f>Year_2040!AF99/Year_2032!AF99</f>
        <v>0.94839869921531905</v>
      </c>
      <c r="AG96">
        <f>Year_2040!AG99/Year_2032!AG99</f>
        <v>1.1810880442610077</v>
      </c>
      <c r="AH96">
        <f>Year_2040!AH99/Year_2032!AH99</f>
        <v>1.0533516286677977</v>
      </c>
      <c r="AI96">
        <f>Year_2040!AI99/Year_2032!AI99</f>
        <v>1.1270503509023948</v>
      </c>
      <c r="AJ96">
        <f>Year_2040!AJ99/Year_2032!AJ99</f>
        <v>1.1406991968516769</v>
      </c>
      <c r="AK96">
        <f>Year_2040!AK99/Year_2032!AK99</f>
        <v>0.93523683292640392</v>
      </c>
      <c r="AL96" t="e">
        <f>Year_2040!AL99/Year_2032!AL99</f>
        <v>#DIV/0!</v>
      </c>
      <c r="AM96" t="e">
        <f>Year_2040!AM99/Year_2032!AM99</f>
        <v>#DIV/0!</v>
      </c>
      <c r="AN96" t="e">
        <f>Year_2040!AN99/Year_2032!AN99</f>
        <v>#VALUE!</v>
      </c>
      <c r="AO96">
        <f>Year_2040!AO99/Year_2032!AO99</f>
        <v>3.5</v>
      </c>
      <c r="AP96">
        <f>Year_2040!AP99/Year_2032!AP99</f>
        <v>3.5</v>
      </c>
      <c r="AQ96">
        <f>Year_2040!AQ99/Year_2032!AQ99</f>
        <v>1.1666666666666667</v>
      </c>
      <c r="AR96">
        <f>Year_2040!AR99/Year_2032!AR99</f>
        <v>1.2836185819070904</v>
      </c>
      <c r="AS96">
        <f>Year_2040!AS99/Year_2032!AS99</f>
        <v>2.3426294820717133</v>
      </c>
      <c r="AT96">
        <f>Year_2040!AT99/Year_2032!AT99</f>
        <v>2.3333333333333335</v>
      </c>
      <c r="AU96">
        <f>Year_2040!AU99/Year_2032!AU99</f>
        <v>2.1097560975609757</v>
      </c>
      <c r="AV96">
        <f>Year_2040!AV99/Year_2032!AV99</f>
        <v>2.5</v>
      </c>
      <c r="AW96">
        <f>Year_2040!AW99/Year_2032!AW99</f>
        <v>1.1666666666666667</v>
      </c>
      <c r="AX96">
        <f>Year_2040!AX99/Year_2032!AX99</f>
        <v>1.0499999999999998</v>
      </c>
    </row>
    <row r="97" spans="2:50" x14ac:dyDescent="0.3">
      <c r="B97" t="str">
        <f>Year_2032!B100</f>
        <v>PM-Late</v>
      </c>
      <c r="C97">
        <f>Year_2040!C100/Year_2032!C100</f>
        <v>2.0117434174083235</v>
      </c>
      <c r="D97">
        <f>Year_2040!D100/Year_2032!D100</f>
        <v>2.0570940819423367</v>
      </c>
      <c r="E97">
        <f>Year_2040!E100/Year_2032!E100</f>
        <v>2.0482565750327266</v>
      </c>
      <c r="F97">
        <f>Year_2040!F100/Year_2032!F100</f>
        <v>1.8689984512132163</v>
      </c>
      <c r="G97">
        <f>Year_2040!G100/Year_2032!G100</f>
        <v>2.0905959058167012</v>
      </c>
      <c r="H97">
        <f>Year_2040!H100/Year_2032!H100</f>
        <v>2.048966613672496</v>
      </c>
      <c r="I97">
        <f>Year_2040!I100/Year_2032!I100</f>
        <v>1.9651524828357017</v>
      </c>
      <c r="J97">
        <f>Year_2040!J100/Year_2032!J100</f>
        <v>1.1183527885862516</v>
      </c>
      <c r="K97">
        <f>Year_2040!K100/Year_2032!K100</f>
        <v>1.4828068074062983</v>
      </c>
      <c r="L97">
        <f>Year_2040!L100/Year_2032!L100</f>
        <v>1.6120299820355573</v>
      </c>
      <c r="M97" t="e">
        <f>Year_2040!M100/Year_2032!M100</f>
        <v>#DIV/0!</v>
      </c>
      <c r="N97" t="str">
        <f>Year_2040!N100</f>
        <v>PM-Late</v>
      </c>
      <c r="O97">
        <f>Year_2040!O100/Year_2032!O100</f>
        <v>1.1053914033067029</v>
      </c>
      <c r="P97">
        <f>Year_2040!P100/Year_2032!P100</f>
        <v>1.1091565910129246</v>
      </c>
      <c r="Q97">
        <f>Year_2040!Q100/Year_2032!Q100</f>
        <v>1.1902063114881523</v>
      </c>
      <c r="R97">
        <f>Year_2040!R100/Year_2032!R100</f>
        <v>1.1163426102427245</v>
      </c>
      <c r="S97">
        <f>Year_2040!S100/Year_2032!S100</f>
        <v>0.99983744282790388</v>
      </c>
      <c r="T97">
        <f>Year_2040!T100/Year_2032!T100</f>
        <v>1.0990395369287378</v>
      </c>
      <c r="U97">
        <f>Year_2040!U100/Year_2032!U100</f>
        <v>1.1041887008856019</v>
      </c>
      <c r="V97">
        <f>Year_2040!V100/Year_2032!V100</f>
        <v>1.1095609986138304</v>
      </c>
      <c r="W97">
        <f>Year_2040!W100/Year_2032!W100</f>
        <v>1.117991660875608</v>
      </c>
      <c r="X97">
        <f>Year_2040!X100/Year_2032!X100</f>
        <v>1.2108710050820495</v>
      </c>
      <c r="Y97" t="e">
        <f>Year_2040!Y100/Year_2032!Y100</f>
        <v>#DIV/0!</v>
      </c>
      <c r="Z97" t="e">
        <f>Year_2040!Z100/Year_2032!Z100</f>
        <v>#DIV/0!</v>
      </c>
      <c r="AA97" t="e">
        <f>Year_2040!AA100/Year_2032!AA100</f>
        <v>#VALUE!</v>
      </c>
      <c r="AB97">
        <f>Year_2040!AB100/Year_2032!AB100</f>
        <v>1.1114842891036398</v>
      </c>
      <c r="AC97">
        <f>Year_2040!AC100/Year_2032!AC100</f>
        <v>1.1105150540437261</v>
      </c>
      <c r="AD97">
        <f>Year_2040!AD100/Year_2032!AD100</f>
        <v>1.0989760892710847</v>
      </c>
      <c r="AE97">
        <f>Year_2040!AE100/Year_2032!AE100</f>
        <v>1.1184420512248201</v>
      </c>
      <c r="AF97">
        <f>Year_2040!AF100/Year_2032!AF100</f>
        <v>1.0000450650678128</v>
      </c>
      <c r="AG97">
        <f>Year_2040!AG100/Year_2032!AG100</f>
        <v>1.1132137739100612</v>
      </c>
      <c r="AH97">
        <f>Year_2040!AH100/Year_2032!AH100</f>
        <v>1.1118777602363457</v>
      </c>
      <c r="AI97">
        <f>Year_2040!AI100/Year_2032!AI100</f>
        <v>1.1202782483013356</v>
      </c>
      <c r="AJ97">
        <f>Year_2040!AJ100/Year_2032!AJ100</f>
        <v>1.1179972482417835</v>
      </c>
      <c r="AK97">
        <f>Year_2040!AK100/Year_2032!AK100</f>
        <v>0.96523142224346237</v>
      </c>
      <c r="AL97" t="e">
        <f>Year_2040!AL100/Year_2032!AL100</f>
        <v>#DIV/0!</v>
      </c>
      <c r="AM97" t="e">
        <f>Year_2040!AM100/Year_2032!AM100</f>
        <v>#DIV/0!</v>
      </c>
      <c r="AN97" t="e">
        <f>Year_2040!AN100/Year_2032!AN100</f>
        <v>#VALUE!</v>
      </c>
      <c r="AO97">
        <f>Year_2040!AO100/Year_2032!AO100</f>
        <v>1.8128078817733992</v>
      </c>
      <c r="AP97">
        <f>Year_2040!AP100/Year_2032!AP100</f>
        <v>1.8539325842696628</v>
      </c>
      <c r="AQ97">
        <f>Year_2040!AQ100/Year_2032!AQ100</f>
        <v>1.8434163701067614</v>
      </c>
      <c r="AR97">
        <f>Year_2040!AR100/Year_2032!AR100</f>
        <v>1.6716417910447763</v>
      </c>
      <c r="AS97">
        <f>Year_2040!AS100/Year_2032!AS100</f>
        <v>1.699421965317919</v>
      </c>
      <c r="AT97">
        <f>Year_2040!AT100/Year_2032!AT100</f>
        <v>1.8311258278145697</v>
      </c>
      <c r="AU97">
        <f>Year_2040!AU100/Year_2032!AU100</f>
        <v>1.7610921501706485</v>
      </c>
      <c r="AV97">
        <f>Year_2040!AV100/Year_2032!AV100</f>
        <v>1.0022471910112358</v>
      </c>
      <c r="AW97">
        <f>Year_2040!AW100/Year_2032!AW100</f>
        <v>1.481012658227848</v>
      </c>
      <c r="AX97">
        <f>Year_2040!AX100/Year_2032!AX100</f>
        <v>1.2173913043478262</v>
      </c>
    </row>
    <row r="98" spans="2:50" x14ac:dyDescent="0.3">
      <c r="B98">
        <f>Year_2032!B101</f>
        <v>0</v>
      </c>
      <c r="C98" t="e">
        <f>Year_2040!C101/Year_2032!C101</f>
        <v>#DIV/0!</v>
      </c>
      <c r="D98" t="e">
        <f>Year_2040!D101/Year_2032!D101</f>
        <v>#DIV/0!</v>
      </c>
      <c r="E98" t="e">
        <f>Year_2040!E101/Year_2032!E101</f>
        <v>#DIV/0!</v>
      </c>
      <c r="F98" t="e">
        <f>Year_2040!F101/Year_2032!F101</f>
        <v>#DIV/0!</v>
      </c>
      <c r="G98" t="e">
        <f>Year_2040!G101/Year_2032!G101</f>
        <v>#DIV/0!</v>
      </c>
      <c r="H98" t="e">
        <f>Year_2040!H101/Year_2032!H101</f>
        <v>#DIV/0!</v>
      </c>
      <c r="I98" t="e">
        <f>Year_2040!I101/Year_2032!I101</f>
        <v>#DIV/0!</v>
      </c>
      <c r="J98" t="e">
        <f>Year_2040!J101/Year_2032!J101</f>
        <v>#DIV/0!</v>
      </c>
      <c r="K98" t="e">
        <f>Year_2040!K101/Year_2032!K101</f>
        <v>#DIV/0!</v>
      </c>
      <c r="L98" t="e">
        <f>Year_2040!L101/Year_2032!L101</f>
        <v>#DIV/0!</v>
      </c>
      <c r="M98" t="e">
        <f>Year_2040!M101/Year_2032!M101</f>
        <v>#DIV/0!</v>
      </c>
      <c r="N98">
        <f>Year_2040!N101</f>
        <v>0</v>
      </c>
      <c r="O98" t="e">
        <f>Year_2040!O101/Year_2032!O101</f>
        <v>#DIV/0!</v>
      </c>
      <c r="P98" t="e">
        <f>Year_2040!P101/Year_2032!P101</f>
        <v>#DIV/0!</v>
      </c>
      <c r="Q98" t="e">
        <f>Year_2040!Q101/Year_2032!Q101</f>
        <v>#DIV/0!</v>
      </c>
      <c r="R98" t="e">
        <f>Year_2040!R101/Year_2032!R101</f>
        <v>#DIV/0!</v>
      </c>
      <c r="S98" t="e">
        <f>Year_2040!S101/Year_2032!S101</f>
        <v>#DIV/0!</v>
      </c>
      <c r="T98" t="e">
        <f>Year_2040!T101/Year_2032!T101</f>
        <v>#DIV/0!</v>
      </c>
      <c r="U98" t="e">
        <f>Year_2040!U101/Year_2032!U101</f>
        <v>#DIV/0!</v>
      </c>
      <c r="V98" t="e">
        <f>Year_2040!V101/Year_2032!V101</f>
        <v>#DIV/0!</v>
      </c>
      <c r="W98" t="e">
        <f>Year_2040!W101/Year_2032!W101</f>
        <v>#DIV/0!</v>
      </c>
      <c r="X98" t="e">
        <f>Year_2040!X101/Year_2032!X101</f>
        <v>#DIV/0!</v>
      </c>
      <c r="Y98" t="e">
        <f>Year_2040!Y101/Year_2032!Y101</f>
        <v>#DIV/0!</v>
      </c>
      <c r="Z98" t="e">
        <f>Year_2040!Z101/Year_2032!Z101</f>
        <v>#DIV/0!</v>
      </c>
      <c r="AA98" t="e">
        <f>Year_2040!AA101/Year_2032!AA101</f>
        <v>#DIV/0!</v>
      </c>
      <c r="AB98" t="e">
        <f>Year_2040!AB101/Year_2032!AB101</f>
        <v>#DIV/0!</v>
      </c>
      <c r="AC98" t="e">
        <f>Year_2040!AC101/Year_2032!AC101</f>
        <v>#DIV/0!</v>
      </c>
      <c r="AD98" t="e">
        <f>Year_2040!AD101/Year_2032!AD101</f>
        <v>#DIV/0!</v>
      </c>
      <c r="AE98" t="e">
        <f>Year_2040!AE101/Year_2032!AE101</f>
        <v>#DIV/0!</v>
      </c>
      <c r="AF98" t="e">
        <f>Year_2040!AF101/Year_2032!AF101</f>
        <v>#DIV/0!</v>
      </c>
      <c r="AG98" t="e">
        <f>Year_2040!AG101/Year_2032!AG101</f>
        <v>#DIV/0!</v>
      </c>
      <c r="AH98" t="e">
        <f>Year_2040!AH101/Year_2032!AH101</f>
        <v>#DIV/0!</v>
      </c>
      <c r="AI98" t="e">
        <f>Year_2040!AI101/Year_2032!AI101</f>
        <v>#DIV/0!</v>
      </c>
      <c r="AJ98" t="e">
        <f>Year_2040!AJ101/Year_2032!AJ101</f>
        <v>#DIV/0!</v>
      </c>
      <c r="AK98" t="e">
        <f>Year_2040!AK101/Year_2032!AK101</f>
        <v>#DIV/0!</v>
      </c>
      <c r="AL98" t="e">
        <f>Year_2040!AL101/Year_2032!AL101</f>
        <v>#DIV/0!</v>
      </c>
      <c r="AM98" t="e">
        <f>Year_2040!AM101/Year_2032!AM101</f>
        <v>#DIV/0!</v>
      </c>
      <c r="AN98" t="e">
        <f>Year_2040!AN101/Year_2032!AN101</f>
        <v>#DIV/0!</v>
      </c>
      <c r="AO98" t="e">
        <f>Year_2040!AO101/Year_2032!AO101</f>
        <v>#DIV/0!</v>
      </c>
      <c r="AP98" t="e">
        <f>Year_2040!AP101/Year_2032!AP101</f>
        <v>#DIV/0!</v>
      </c>
      <c r="AQ98" t="e">
        <f>Year_2040!AQ101/Year_2032!AQ101</f>
        <v>#DIV/0!</v>
      </c>
      <c r="AR98" t="e">
        <f>Year_2040!AR101/Year_2032!AR101</f>
        <v>#DIV/0!</v>
      </c>
      <c r="AS98" t="e">
        <f>Year_2040!AS101/Year_2032!AS101</f>
        <v>#DIV/0!</v>
      </c>
      <c r="AT98" t="e">
        <f>Year_2040!AT101/Year_2032!AT101</f>
        <v>#DIV/0!</v>
      </c>
      <c r="AU98" t="e">
        <f>Year_2040!AU101/Year_2032!AU101</f>
        <v>#DIV/0!</v>
      </c>
      <c r="AV98" t="e">
        <f>Year_2040!AV101/Year_2032!AV101</f>
        <v>#DIV/0!</v>
      </c>
      <c r="AW98" t="e">
        <f>Year_2040!AW101/Year_2032!AW101</f>
        <v>#DIV/0!</v>
      </c>
      <c r="AX98" t="e">
        <f>Year_2040!AX101/Year_2032!AX101</f>
        <v>#DIV/0!</v>
      </c>
    </row>
    <row r="99" spans="2:50" x14ac:dyDescent="0.3">
      <c r="B99">
        <f>Year_2032!B102</f>
        <v>0</v>
      </c>
      <c r="C99" t="e">
        <f>Year_2040!C102/Year_2032!C102</f>
        <v>#DIV/0!</v>
      </c>
      <c r="D99" t="e">
        <f>Year_2040!D102/Year_2032!D102</f>
        <v>#DIV/0!</v>
      </c>
      <c r="E99" t="e">
        <f>Year_2040!E102/Year_2032!E102</f>
        <v>#DIV/0!</v>
      </c>
      <c r="F99" t="e">
        <f>Year_2040!F102/Year_2032!F102</f>
        <v>#DIV/0!</v>
      </c>
      <c r="G99" t="e">
        <f>Year_2040!G102/Year_2032!G102</f>
        <v>#DIV/0!</v>
      </c>
      <c r="H99" t="e">
        <f>Year_2040!H102/Year_2032!H102</f>
        <v>#DIV/0!</v>
      </c>
      <c r="I99" t="e">
        <f>Year_2040!I102/Year_2032!I102</f>
        <v>#DIV/0!</v>
      </c>
      <c r="J99" t="e">
        <f>Year_2040!J102/Year_2032!J102</f>
        <v>#DIV/0!</v>
      </c>
      <c r="K99" t="e">
        <f>Year_2040!K102/Year_2032!K102</f>
        <v>#DIV/0!</v>
      </c>
      <c r="L99" t="e">
        <f>Year_2040!L102/Year_2032!L102</f>
        <v>#DIV/0!</v>
      </c>
      <c r="M99" t="e">
        <f>Year_2040!M102/Year_2032!M102</f>
        <v>#DIV/0!</v>
      </c>
      <c r="N99">
        <f>Year_2040!N102</f>
        <v>0</v>
      </c>
      <c r="O99" t="e">
        <f>Year_2040!O102/Year_2032!O102</f>
        <v>#DIV/0!</v>
      </c>
      <c r="P99" t="e">
        <f>Year_2040!P102/Year_2032!P102</f>
        <v>#DIV/0!</v>
      </c>
      <c r="Q99" t="e">
        <f>Year_2040!Q102/Year_2032!Q102</f>
        <v>#DIV/0!</v>
      </c>
      <c r="R99" t="e">
        <f>Year_2040!R102/Year_2032!R102</f>
        <v>#DIV/0!</v>
      </c>
      <c r="S99" t="e">
        <f>Year_2040!S102/Year_2032!S102</f>
        <v>#DIV/0!</v>
      </c>
      <c r="T99" t="e">
        <f>Year_2040!T102/Year_2032!T102</f>
        <v>#DIV/0!</v>
      </c>
      <c r="U99" t="e">
        <f>Year_2040!U102/Year_2032!U102</f>
        <v>#DIV/0!</v>
      </c>
      <c r="V99" t="e">
        <f>Year_2040!V102/Year_2032!V102</f>
        <v>#DIV/0!</v>
      </c>
      <c r="W99" t="e">
        <f>Year_2040!W102/Year_2032!W102</f>
        <v>#DIV/0!</v>
      </c>
      <c r="X99" t="e">
        <f>Year_2040!X102/Year_2032!X102</f>
        <v>#DIV/0!</v>
      </c>
      <c r="Y99" t="e">
        <f>Year_2040!Y102/Year_2032!Y102</f>
        <v>#DIV/0!</v>
      </c>
      <c r="Z99" t="e">
        <f>Year_2040!Z102/Year_2032!Z102</f>
        <v>#DIV/0!</v>
      </c>
      <c r="AA99" t="e">
        <f>Year_2040!AA102/Year_2032!AA102</f>
        <v>#DIV/0!</v>
      </c>
      <c r="AB99" t="e">
        <f>Year_2040!AB102/Year_2032!AB102</f>
        <v>#DIV/0!</v>
      </c>
      <c r="AC99" t="e">
        <f>Year_2040!AC102/Year_2032!AC102</f>
        <v>#DIV/0!</v>
      </c>
      <c r="AD99" t="e">
        <f>Year_2040!AD102/Year_2032!AD102</f>
        <v>#DIV/0!</v>
      </c>
      <c r="AE99" t="e">
        <f>Year_2040!AE102/Year_2032!AE102</f>
        <v>#DIV/0!</v>
      </c>
      <c r="AF99" t="e">
        <f>Year_2040!AF102/Year_2032!AF102</f>
        <v>#DIV/0!</v>
      </c>
      <c r="AG99" t="e">
        <f>Year_2040!AG102/Year_2032!AG102</f>
        <v>#DIV/0!</v>
      </c>
      <c r="AH99" t="e">
        <f>Year_2040!AH102/Year_2032!AH102</f>
        <v>#DIV/0!</v>
      </c>
      <c r="AI99" t="e">
        <f>Year_2040!AI102/Year_2032!AI102</f>
        <v>#DIV/0!</v>
      </c>
      <c r="AJ99" t="e">
        <f>Year_2040!AJ102/Year_2032!AJ102</f>
        <v>#DIV/0!</v>
      </c>
      <c r="AK99" t="e">
        <f>Year_2040!AK102/Year_2032!AK102</f>
        <v>#DIV/0!</v>
      </c>
      <c r="AL99" t="e">
        <f>Year_2040!AL102/Year_2032!AL102</f>
        <v>#DIV/0!</v>
      </c>
      <c r="AM99" t="e">
        <f>Year_2040!AM102/Year_2032!AM102</f>
        <v>#DIV/0!</v>
      </c>
      <c r="AN99" t="e">
        <f>Year_2040!AN102/Year_2032!AN102</f>
        <v>#DIV/0!</v>
      </c>
      <c r="AO99" t="e">
        <f>Year_2040!AO102/Year_2032!AO102</f>
        <v>#DIV/0!</v>
      </c>
      <c r="AP99" t="e">
        <f>Year_2040!AP102/Year_2032!AP102</f>
        <v>#DIV/0!</v>
      </c>
      <c r="AQ99" t="e">
        <f>Year_2040!AQ102/Year_2032!AQ102</f>
        <v>#DIV/0!</v>
      </c>
      <c r="AR99" t="e">
        <f>Year_2040!AR102/Year_2032!AR102</f>
        <v>#DIV/0!</v>
      </c>
      <c r="AS99" t="e">
        <f>Year_2040!AS102/Year_2032!AS102</f>
        <v>#DIV/0!</v>
      </c>
      <c r="AT99" t="e">
        <f>Year_2040!AT102/Year_2032!AT102</f>
        <v>#DIV/0!</v>
      </c>
      <c r="AU99" t="e">
        <f>Year_2040!AU102/Year_2032!AU102</f>
        <v>#DIV/0!</v>
      </c>
      <c r="AV99" t="e">
        <f>Year_2040!AV102/Year_2032!AV102</f>
        <v>#DIV/0!</v>
      </c>
      <c r="AW99" t="e">
        <f>Year_2040!AW102/Year_2032!AW102</f>
        <v>#DIV/0!</v>
      </c>
      <c r="AX99" t="e">
        <f>Year_2040!AX102/Year_2032!AX102</f>
        <v>#DIV/0!</v>
      </c>
    </row>
    <row r="100" spans="2:50" x14ac:dyDescent="0.3">
      <c r="B100" t="str">
        <f>Year_2032!B103</f>
        <v>% Workday Revenue</v>
      </c>
      <c r="C100" t="e">
        <f>Year_2040!C103/Year_2032!C103</f>
        <v>#DIV/0!</v>
      </c>
      <c r="D100" t="e">
        <f>Year_2040!D103/Year_2032!D103</f>
        <v>#DIV/0!</v>
      </c>
      <c r="E100" t="e">
        <f>Year_2040!E103/Year_2032!E103</f>
        <v>#DIV/0!</v>
      </c>
      <c r="F100" t="e">
        <f>Year_2040!F103/Year_2032!F103</f>
        <v>#DIV/0!</v>
      </c>
      <c r="G100" t="e">
        <f>Year_2040!G103/Year_2032!G103</f>
        <v>#DIV/0!</v>
      </c>
      <c r="H100" t="e">
        <f>Year_2040!H103/Year_2032!H103</f>
        <v>#DIV/0!</v>
      </c>
      <c r="I100" t="e">
        <f>Year_2040!I103/Year_2032!I103</f>
        <v>#DIV/0!</v>
      </c>
      <c r="J100" t="e">
        <f>Year_2040!J103/Year_2032!J103</f>
        <v>#DIV/0!</v>
      </c>
      <c r="K100" t="e">
        <f>Year_2040!K103/Year_2032!K103</f>
        <v>#DIV/0!</v>
      </c>
      <c r="L100" t="e">
        <f>Year_2040!L103/Year_2032!L103</f>
        <v>#DIV/0!</v>
      </c>
      <c r="M100" t="e">
        <f>Year_2040!M103/Year_2032!M103</f>
        <v>#DIV/0!</v>
      </c>
      <c r="N100" t="str">
        <f>Year_2040!N103</f>
        <v>ML light veh/period</v>
      </c>
      <c r="O100" t="e">
        <f>Year_2040!O103/Year_2032!O103</f>
        <v>#DIV/0!</v>
      </c>
      <c r="P100" t="e">
        <f>Year_2040!P103/Year_2032!P103</f>
        <v>#DIV/0!</v>
      </c>
      <c r="Q100" t="e">
        <f>Year_2040!Q103/Year_2032!Q103</f>
        <v>#DIV/0!</v>
      </c>
      <c r="R100" t="e">
        <f>Year_2040!R103/Year_2032!R103</f>
        <v>#DIV/0!</v>
      </c>
      <c r="S100" t="e">
        <f>Year_2040!S103/Year_2032!S103</f>
        <v>#DIV/0!</v>
      </c>
      <c r="T100" t="e">
        <f>Year_2040!T103/Year_2032!T103</f>
        <v>#DIV/0!</v>
      </c>
      <c r="U100" t="e">
        <f>Year_2040!U103/Year_2032!U103</f>
        <v>#DIV/0!</v>
      </c>
      <c r="V100" t="e">
        <f>Year_2040!V103/Year_2032!V103</f>
        <v>#DIV/0!</v>
      </c>
      <c r="W100" t="e">
        <f>Year_2040!W103/Year_2032!W103</f>
        <v>#DIV/0!</v>
      </c>
      <c r="X100" t="e">
        <f>Year_2040!X103/Year_2032!X103</f>
        <v>#DIV/0!</v>
      </c>
      <c r="Y100" t="e">
        <f>Year_2040!Y103/Year_2032!Y103</f>
        <v>#DIV/0!</v>
      </c>
      <c r="Z100" t="e">
        <f>Year_2040!Z103/Year_2032!Z103</f>
        <v>#DIV/0!</v>
      </c>
      <c r="AA100" t="e">
        <f>Year_2040!AA103/Year_2032!AA103</f>
        <v>#VALUE!</v>
      </c>
      <c r="AB100" t="e">
        <f>Year_2040!AB103/Year_2032!AB103</f>
        <v>#DIV/0!</v>
      </c>
      <c r="AC100" t="e">
        <f>Year_2040!AC103/Year_2032!AC103</f>
        <v>#DIV/0!</v>
      </c>
      <c r="AD100" t="e">
        <f>Year_2040!AD103/Year_2032!AD103</f>
        <v>#DIV/0!</v>
      </c>
      <c r="AE100" t="e">
        <f>Year_2040!AE103/Year_2032!AE103</f>
        <v>#DIV/0!</v>
      </c>
      <c r="AF100" t="e">
        <f>Year_2040!AF103/Year_2032!AF103</f>
        <v>#DIV/0!</v>
      </c>
      <c r="AG100" t="e">
        <f>Year_2040!AG103/Year_2032!AG103</f>
        <v>#DIV/0!</v>
      </c>
      <c r="AH100" t="e">
        <f>Year_2040!AH103/Year_2032!AH103</f>
        <v>#DIV/0!</v>
      </c>
      <c r="AI100" t="e">
        <f>Year_2040!AI103/Year_2032!AI103</f>
        <v>#DIV/0!</v>
      </c>
      <c r="AJ100" t="e">
        <f>Year_2040!AJ103/Year_2032!AJ103</f>
        <v>#DIV/0!</v>
      </c>
      <c r="AK100" t="e">
        <f>Year_2040!AK103/Year_2032!AK103</f>
        <v>#DIV/0!</v>
      </c>
      <c r="AL100" t="e">
        <f>Year_2040!AL103/Year_2032!AL103</f>
        <v>#DIV/0!</v>
      </c>
      <c r="AM100" t="e">
        <f>Year_2040!AM103/Year_2032!AM103</f>
        <v>#DIV/0!</v>
      </c>
      <c r="AN100" t="e">
        <f>Year_2040!AN103/Year_2032!AN103</f>
        <v>#VALUE!</v>
      </c>
      <c r="AO100" t="e">
        <f>Year_2040!AO103/Year_2032!AO103</f>
        <v>#DIV/0!</v>
      </c>
      <c r="AP100" t="e">
        <f>Year_2040!AP103/Year_2032!AP103</f>
        <v>#DIV/0!</v>
      </c>
      <c r="AQ100" t="e">
        <f>Year_2040!AQ103/Year_2032!AQ103</f>
        <v>#DIV/0!</v>
      </c>
      <c r="AR100" t="e">
        <f>Year_2040!AR103/Year_2032!AR103</f>
        <v>#DIV/0!</v>
      </c>
      <c r="AS100" t="e">
        <f>Year_2040!AS103/Year_2032!AS103</f>
        <v>#DIV/0!</v>
      </c>
      <c r="AT100" t="e">
        <f>Year_2040!AT103/Year_2032!AT103</f>
        <v>#DIV/0!</v>
      </c>
      <c r="AU100" t="e">
        <f>Year_2040!AU103/Year_2032!AU103</f>
        <v>#DIV/0!</v>
      </c>
      <c r="AV100" t="e">
        <f>Year_2040!AV103/Year_2032!AV103</f>
        <v>#DIV/0!</v>
      </c>
      <c r="AW100" t="e">
        <f>Year_2040!AW103/Year_2032!AW103</f>
        <v>#DIV/0!</v>
      </c>
      <c r="AX100" t="e">
        <f>Year_2040!AX103/Year_2032!AX103</f>
        <v>#DIV/0!</v>
      </c>
    </row>
    <row r="101" spans="2:50" x14ac:dyDescent="0.3">
      <c r="B101" t="str">
        <f>Year_2032!B104</f>
        <v>Direction</v>
      </c>
      <c r="C101" t="e">
        <f>Year_2040!C104/Year_2032!C104</f>
        <v>#VALUE!</v>
      </c>
      <c r="D101" t="e">
        <f>Year_2040!D104/Year_2032!D104</f>
        <v>#VALUE!</v>
      </c>
      <c r="E101" t="e">
        <f>Year_2040!E104/Year_2032!E104</f>
        <v>#VALUE!</v>
      </c>
      <c r="F101" t="e">
        <f>Year_2040!F104/Year_2032!F104</f>
        <v>#VALUE!</v>
      </c>
      <c r="G101" t="e">
        <f>Year_2040!G104/Year_2032!G104</f>
        <v>#VALUE!</v>
      </c>
      <c r="H101" t="e">
        <f>Year_2040!H104/Year_2032!H104</f>
        <v>#VALUE!</v>
      </c>
      <c r="I101" t="e">
        <f>Year_2040!I104/Year_2032!I104</f>
        <v>#VALUE!</v>
      </c>
      <c r="J101" t="e">
        <f>Year_2040!J104/Year_2032!J104</f>
        <v>#VALUE!</v>
      </c>
      <c r="K101" t="e">
        <f>Year_2040!K104/Year_2032!K104</f>
        <v>#VALUE!</v>
      </c>
      <c r="L101" t="e">
        <f>Year_2040!L104/Year_2032!L104</f>
        <v>#VALUE!</v>
      </c>
      <c r="M101" t="e">
        <f>Year_2040!M104/Year_2032!M104</f>
        <v>#DIV/0!</v>
      </c>
      <c r="N101" t="str">
        <f>Year_2040!N104</f>
        <v>Direction</v>
      </c>
      <c r="O101" t="e">
        <f>Year_2040!O104/Year_2032!O104</f>
        <v>#VALUE!</v>
      </c>
      <c r="P101" t="e">
        <f>Year_2040!P104/Year_2032!P104</f>
        <v>#VALUE!</v>
      </c>
      <c r="Q101" t="e">
        <f>Year_2040!Q104/Year_2032!Q104</f>
        <v>#VALUE!</v>
      </c>
      <c r="R101" t="e">
        <f>Year_2040!R104/Year_2032!R104</f>
        <v>#VALUE!</v>
      </c>
      <c r="S101" t="e">
        <f>Year_2040!S104/Year_2032!S104</f>
        <v>#VALUE!</v>
      </c>
      <c r="T101" t="e">
        <f>Year_2040!T104/Year_2032!T104</f>
        <v>#VALUE!</v>
      </c>
      <c r="U101" t="e">
        <f>Year_2040!U104/Year_2032!U104</f>
        <v>#VALUE!</v>
      </c>
      <c r="V101" t="e">
        <f>Year_2040!V104/Year_2032!V104</f>
        <v>#VALUE!</v>
      </c>
      <c r="W101" t="e">
        <f>Year_2040!W104/Year_2032!W104</f>
        <v>#VALUE!</v>
      </c>
      <c r="X101" t="e">
        <f>Year_2040!X104/Year_2032!X104</f>
        <v>#VALUE!</v>
      </c>
      <c r="Y101" t="e">
        <f>Year_2040!Y104/Year_2032!Y104</f>
        <v>#DIV/0!</v>
      </c>
      <c r="Z101" t="e">
        <f>Year_2040!Z104/Year_2032!Z104</f>
        <v>#DIV/0!</v>
      </c>
      <c r="AA101" t="e">
        <f>Year_2040!AA104/Year_2032!AA104</f>
        <v>#VALUE!</v>
      </c>
      <c r="AB101" t="e">
        <f>Year_2040!AB104/Year_2032!AB104</f>
        <v>#VALUE!</v>
      </c>
      <c r="AC101" t="e">
        <f>Year_2040!AC104/Year_2032!AC104</f>
        <v>#VALUE!</v>
      </c>
      <c r="AD101" t="e">
        <f>Year_2040!AD104/Year_2032!AD104</f>
        <v>#VALUE!</v>
      </c>
      <c r="AE101" t="e">
        <f>Year_2040!AE104/Year_2032!AE104</f>
        <v>#VALUE!</v>
      </c>
      <c r="AF101" t="e">
        <f>Year_2040!AF104/Year_2032!AF104</f>
        <v>#VALUE!</v>
      </c>
      <c r="AG101" t="e">
        <f>Year_2040!AG104/Year_2032!AG104</f>
        <v>#VALUE!</v>
      </c>
      <c r="AH101" t="e">
        <f>Year_2040!AH104/Year_2032!AH104</f>
        <v>#VALUE!</v>
      </c>
      <c r="AI101" t="e">
        <f>Year_2040!AI104/Year_2032!AI104</f>
        <v>#VALUE!</v>
      </c>
      <c r="AJ101" t="e">
        <f>Year_2040!AJ104/Year_2032!AJ104</f>
        <v>#VALUE!</v>
      </c>
      <c r="AK101" t="e">
        <f>Year_2040!AK104/Year_2032!AK104</f>
        <v>#VALUE!</v>
      </c>
      <c r="AL101" t="e">
        <f>Year_2040!AL104/Year_2032!AL104</f>
        <v>#DIV/0!</v>
      </c>
      <c r="AM101" t="e">
        <f>Year_2040!AM104/Year_2032!AM104</f>
        <v>#DIV/0!</v>
      </c>
      <c r="AN101" t="e">
        <f>Year_2040!AN104/Year_2032!AN104</f>
        <v>#VALUE!</v>
      </c>
      <c r="AO101" t="e">
        <f>Year_2040!AO104/Year_2032!AO104</f>
        <v>#VALUE!</v>
      </c>
      <c r="AP101" t="e">
        <f>Year_2040!AP104/Year_2032!AP104</f>
        <v>#VALUE!</v>
      </c>
      <c r="AQ101" t="e">
        <f>Year_2040!AQ104/Year_2032!AQ104</f>
        <v>#VALUE!</v>
      </c>
      <c r="AR101" t="e">
        <f>Year_2040!AR104/Year_2032!AR104</f>
        <v>#VALUE!</v>
      </c>
      <c r="AS101" t="e">
        <f>Year_2040!AS104/Year_2032!AS104</f>
        <v>#VALUE!</v>
      </c>
      <c r="AT101" t="e">
        <f>Year_2040!AT104/Year_2032!AT104</f>
        <v>#VALUE!</v>
      </c>
      <c r="AU101" t="e">
        <f>Year_2040!AU104/Year_2032!AU104</f>
        <v>#VALUE!</v>
      </c>
      <c r="AV101" t="e">
        <f>Year_2040!AV104/Year_2032!AV104</f>
        <v>#VALUE!</v>
      </c>
      <c r="AW101" t="e">
        <f>Year_2040!AW104/Year_2032!AW104</f>
        <v>#VALUE!</v>
      </c>
      <c r="AX101" t="e">
        <f>Year_2040!AX104/Year_2032!AX104</f>
        <v>#VALUE!</v>
      </c>
    </row>
    <row r="102" spans="2:50" x14ac:dyDescent="0.3">
      <c r="B102" t="str">
        <f>Year_2032!B105</f>
        <v>Segment</v>
      </c>
      <c r="C102">
        <f>Year_2040!C105/Year_2032!C105</f>
        <v>1</v>
      </c>
      <c r="D102">
        <f>Year_2040!D105/Year_2032!D105</f>
        <v>1</v>
      </c>
      <c r="E102">
        <f>Year_2040!E105/Year_2032!E105</f>
        <v>1</v>
      </c>
      <c r="F102">
        <f>Year_2040!F105/Year_2032!F105</f>
        <v>1</v>
      </c>
      <c r="G102">
        <f>Year_2040!G105/Year_2032!G105</f>
        <v>1</v>
      </c>
      <c r="H102">
        <f>Year_2040!H105/Year_2032!H105</f>
        <v>1</v>
      </c>
      <c r="I102">
        <f>Year_2040!I105/Year_2032!I105</f>
        <v>1</v>
      </c>
      <c r="J102">
        <f>Year_2040!J105/Year_2032!J105</f>
        <v>1</v>
      </c>
      <c r="K102">
        <f>Year_2040!K105/Year_2032!K105</f>
        <v>1</v>
      </c>
      <c r="L102">
        <f>Year_2040!L105/Year_2032!L105</f>
        <v>1</v>
      </c>
      <c r="M102" t="e">
        <f>Year_2040!M105/Year_2032!M105</f>
        <v>#DIV/0!</v>
      </c>
      <c r="N102" t="str">
        <f>Year_2040!N105</f>
        <v>Segment</v>
      </c>
      <c r="O102">
        <f>Year_2040!O105/Year_2032!O105</f>
        <v>1</v>
      </c>
      <c r="P102">
        <f>Year_2040!P105/Year_2032!P105</f>
        <v>1</v>
      </c>
      <c r="Q102">
        <f>Year_2040!Q105/Year_2032!Q105</f>
        <v>1</v>
      </c>
      <c r="R102">
        <f>Year_2040!R105/Year_2032!R105</f>
        <v>1</v>
      </c>
      <c r="S102">
        <f>Year_2040!S105/Year_2032!S105</f>
        <v>1</v>
      </c>
      <c r="T102">
        <f>Year_2040!T105/Year_2032!T105</f>
        <v>1</v>
      </c>
      <c r="U102">
        <f>Year_2040!U105/Year_2032!U105</f>
        <v>1</v>
      </c>
      <c r="V102">
        <f>Year_2040!V105/Year_2032!V105</f>
        <v>1</v>
      </c>
      <c r="W102">
        <f>Year_2040!W105/Year_2032!W105</f>
        <v>1</v>
      </c>
      <c r="X102">
        <f>Year_2040!X105/Year_2032!X105</f>
        <v>1</v>
      </c>
      <c r="Y102" t="e">
        <f>Year_2040!Y105/Year_2032!Y105</f>
        <v>#DIV/0!</v>
      </c>
      <c r="Z102" t="e">
        <f>Year_2040!Z105/Year_2032!Z105</f>
        <v>#DIV/0!</v>
      </c>
      <c r="AA102" t="e">
        <f>Year_2040!AA105/Year_2032!AA105</f>
        <v>#VALUE!</v>
      </c>
      <c r="AB102">
        <f>Year_2040!AB105/Year_2032!AB105</f>
        <v>1</v>
      </c>
      <c r="AC102">
        <f>Year_2040!AC105/Year_2032!AC105</f>
        <v>1</v>
      </c>
      <c r="AD102">
        <f>Year_2040!AD105/Year_2032!AD105</f>
        <v>1</v>
      </c>
      <c r="AE102">
        <f>Year_2040!AE105/Year_2032!AE105</f>
        <v>1</v>
      </c>
      <c r="AF102">
        <f>Year_2040!AF105/Year_2032!AF105</f>
        <v>1</v>
      </c>
      <c r="AG102">
        <f>Year_2040!AG105/Year_2032!AG105</f>
        <v>1</v>
      </c>
      <c r="AH102">
        <f>Year_2040!AH105/Year_2032!AH105</f>
        <v>1</v>
      </c>
      <c r="AI102">
        <f>Year_2040!AI105/Year_2032!AI105</f>
        <v>1</v>
      </c>
      <c r="AJ102">
        <f>Year_2040!AJ105/Year_2032!AJ105</f>
        <v>1</v>
      </c>
      <c r="AK102">
        <f>Year_2040!AK105/Year_2032!AK105</f>
        <v>1</v>
      </c>
      <c r="AL102" t="e">
        <f>Year_2040!AL105/Year_2032!AL105</f>
        <v>#DIV/0!</v>
      </c>
      <c r="AM102" t="e">
        <f>Year_2040!AM105/Year_2032!AM105</f>
        <v>#DIV/0!</v>
      </c>
      <c r="AN102" t="e">
        <f>Year_2040!AN105/Year_2032!AN105</f>
        <v>#VALUE!</v>
      </c>
      <c r="AO102">
        <f>Year_2040!AO105/Year_2032!AO105</f>
        <v>1</v>
      </c>
      <c r="AP102">
        <f>Year_2040!AP105/Year_2032!AP105</f>
        <v>1</v>
      </c>
      <c r="AQ102">
        <f>Year_2040!AQ105/Year_2032!AQ105</f>
        <v>1</v>
      </c>
      <c r="AR102">
        <f>Year_2040!AR105/Year_2032!AR105</f>
        <v>1</v>
      </c>
      <c r="AS102">
        <f>Year_2040!AS105/Year_2032!AS105</f>
        <v>1</v>
      </c>
      <c r="AT102">
        <f>Year_2040!AT105/Year_2032!AT105</f>
        <v>1</v>
      </c>
      <c r="AU102">
        <f>Year_2040!AU105/Year_2032!AU105</f>
        <v>1</v>
      </c>
      <c r="AV102">
        <f>Year_2040!AV105/Year_2032!AV105</f>
        <v>1</v>
      </c>
      <c r="AW102">
        <f>Year_2040!AW105/Year_2032!AW105</f>
        <v>1</v>
      </c>
      <c r="AX102">
        <f>Year_2040!AX105/Year_2032!AX105</f>
        <v>1</v>
      </c>
    </row>
    <row r="103" spans="2:50" x14ac:dyDescent="0.3">
      <c r="B103" t="str">
        <f>Year_2032!B106</f>
        <v>Period</v>
      </c>
      <c r="C103" t="e">
        <f>Year_2040!C106/Year_2032!C106</f>
        <v>#DIV/0!</v>
      </c>
      <c r="D103" t="e">
        <f>Year_2040!D106/Year_2032!D106</f>
        <v>#DIV/0!</v>
      </c>
      <c r="E103" t="e">
        <f>Year_2040!E106/Year_2032!E106</f>
        <v>#DIV/0!</v>
      </c>
      <c r="F103" t="e">
        <f>Year_2040!F106/Year_2032!F106</f>
        <v>#DIV/0!</v>
      </c>
      <c r="G103" t="e">
        <f>Year_2040!G106/Year_2032!G106</f>
        <v>#DIV/0!</v>
      </c>
      <c r="H103" t="e">
        <f>Year_2040!H106/Year_2032!H106</f>
        <v>#DIV/0!</v>
      </c>
      <c r="I103" t="e">
        <f>Year_2040!I106/Year_2032!I106</f>
        <v>#DIV/0!</v>
      </c>
      <c r="J103" t="e">
        <f>Year_2040!J106/Year_2032!J106</f>
        <v>#DIV/0!</v>
      </c>
      <c r="K103" t="e">
        <f>Year_2040!K106/Year_2032!K106</f>
        <v>#DIV/0!</v>
      </c>
      <c r="L103" t="e">
        <f>Year_2040!L106/Year_2032!L106</f>
        <v>#DIV/0!</v>
      </c>
      <c r="M103" t="e">
        <f>Year_2040!M106/Year_2032!M106</f>
        <v>#DIV/0!</v>
      </c>
      <c r="N103" t="str">
        <f>Year_2040!N106</f>
        <v>Period</v>
      </c>
      <c r="O103" t="e">
        <f>Year_2040!O106/Year_2032!O106</f>
        <v>#DIV/0!</v>
      </c>
      <c r="P103" t="e">
        <f>Year_2040!P106/Year_2032!P106</f>
        <v>#DIV/0!</v>
      </c>
      <c r="Q103" t="e">
        <f>Year_2040!Q106/Year_2032!Q106</f>
        <v>#DIV/0!</v>
      </c>
      <c r="R103" t="e">
        <f>Year_2040!R106/Year_2032!R106</f>
        <v>#DIV/0!</v>
      </c>
      <c r="S103" t="e">
        <f>Year_2040!S106/Year_2032!S106</f>
        <v>#DIV/0!</v>
      </c>
      <c r="T103" t="e">
        <f>Year_2040!T106/Year_2032!T106</f>
        <v>#DIV/0!</v>
      </c>
      <c r="U103" t="e">
        <f>Year_2040!U106/Year_2032!U106</f>
        <v>#DIV/0!</v>
      </c>
      <c r="V103" t="e">
        <f>Year_2040!V106/Year_2032!V106</f>
        <v>#DIV/0!</v>
      </c>
      <c r="W103" t="e">
        <f>Year_2040!W106/Year_2032!W106</f>
        <v>#DIV/0!</v>
      </c>
      <c r="X103" t="e">
        <f>Year_2040!X106/Year_2032!X106</f>
        <v>#DIV/0!</v>
      </c>
      <c r="Y103" t="e">
        <f>Year_2040!Y106/Year_2032!Y106</f>
        <v>#DIV/0!</v>
      </c>
      <c r="Z103" t="e">
        <f>Year_2040!Z106/Year_2032!Z106</f>
        <v>#DIV/0!</v>
      </c>
      <c r="AA103" t="e">
        <f>Year_2040!AA106/Year_2032!AA106</f>
        <v>#VALUE!</v>
      </c>
      <c r="AB103" t="e">
        <f>Year_2040!AB106/Year_2032!AB106</f>
        <v>#DIV/0!</v>
      </c>
      <c r="AC103" t="e">
        <f>Year_2040!AC106/Year_2032!AC106</f>
        <v>#DIV/0!</v>
      </c>
      <c r="AD103" t="e">
        <f>Year_2040!AD106/Year_2032!AD106</f>
        <v>#DIV/0!</v>
      </c>
      <c r="AE103" t="e">
        <f>Year_2040!AE106/Year_2032!AE106</f>
        <v>#DIV/0!</v>
      </c>
      <c r="AF103" t="e">
        <f>Year_2040!AF106/Year_2032!AF106</f>
        <v>#DIV/0!</v>
      </c>
      <c r="AG103" t="e">
        <f>Year_2040!AG106/Year_2032!AG106</f>
        <v>#DIV/0!</v>
      </c>
      <c r="AH103" t="e">
        <f>Year_2040!AH106/Year_2032!AH106</f>
        <v>#DIV/0!</v>
      </c>
      <c r="AI103" t="e">
        <f>Year_2040!AI106/Year_2032!AI106</f>
        <v>#DIV/0!</v>
      </c>
      <c r="AJ103" t="e">
        <f>Year_2040!AJ106/Year_2032!AJ106</f>
        <v>#DIV/0!</v>
      </c>
      <c r="AK103" t="e">
        <f>Year_2040!AK106/Year_2032!AK106</f>
        <v>#DIV/0!</v>
      </c>
      <c r="AL103" t="e">
        <f>Year_2040!AL106/Year_2032!AL106</f>
        <v>#DIV/0!</v>
      </c>
      <c r="AM103" t="e">
        <f>Year_2040!AM106/Year_2032!AM106</f>
        <v>#DIV/0!</v>
      </c>
      <c r="AN103" t="e">
        <f>Year_2040!AN106/Year_2032!AN106</f>
        <v>#VALUE!</v>
      </c>
      <c r="AO103" t="e">
        <f>Year_2040!AO106/Year_2032!AO106</f>
        <v>#DIV/0!</v>
      </c>
      <c r="AP103" t="e">
        <f>Year_2040!AP106/Year_2032!AP106</f>
        <v>#DIV/0!</v>
      </c>
      <c r="AQ103" t="e">
        <f>Year_2040!AQ106/Year_2032!AQ106</f>
        <v>#DIV/0!</v>
      </c>
      <c r="AR103" t="e">
        <f>Year_2040!AR106/Year_2032!AR106</f>
        <v>#DIV/0!</v>
      </c>
      <c r="AS103" t="e">
        <f>Year_2040!AS106/Year_2032!AS106</f>
        <v>#DIV/0!</v>
      </c>
      <c r="AT103" t="e">
        <f>Year_2040!AT106/Year_2032!AT106</f>
        <v>#DIV/0!</v>
      </c>
      <c r="AU103" t="e">
        <f>Year_2040!AU106/Year_2032!AU106</f>
        <v>#DIV/0!</v>
      </c>
      <c r="AV103" t="e">
        <f>Year_2040!AV106/Year_2032!AV106</f>
        <v>#DIV/0!</v>
      </c>
      <c r="AW103" t="e">
        <f>Year_2040!AW106/Year_2032!AW106</f>
        <v>#DIV/0!</v>
      </c>
      <c r="AX103" t="e">
        <f>Year_2040!AX106/Year_2032!AX106</f>
        <v>#DIV/0!</v>
      </c>
    </row>
    <row r="104" spans="2:50" x14ac:dyDescent="0.3">
      <c r="B104" t="str">
        <f>Year_2032!B107</f>
        <v>Night</v>
      </c>
      <c r="C104">
        <f>Year_2040!C107/Year_2032!C107</f>
        <v>0.51283894730967461</v>
      </c>
      <c r="D104">
        <f>Year_2040!D107/Year_2032!D107</f>
        <v>0.50184903383717727</v>
      </c>
      <c r="E104">
        <f>Year_2040!E107/Year_2032!E107</f>
        <v>0.61102112014923127</v>
      </c>
      <c r="F104">
        <f>Year_2040!F107/Year_2032!F107</f>
        <v>0.55512065419087442</v>
      </c>
      <c r="G104">
        <f>Year_2040!G107/Year_2032!G107</f>
        <v>0.84339634114387596</v>
      </c>
      <c r="H104">
        <f>Year_2040!H107/Year_2032!H107</f>
        <v>0.84267742176269311</v>
      </c>
      <c r="I104">
        <f>Year_2040!I107/Year_2032!I107</f>
        <v>0.51294230716286904</v>
      </c>
      <c r="J104">
        <f>Year_2040!J107/Year_2032!J107</f>
        <v>0.49517030883765295</v>
      </c>
      <c r="K104">
        <f>Year_2040!K107/Year_2032!K107</f>
        <v>0.73521505914829377</v>
      </c>
      <c r="L104">
        <f>Year_2040!L107/Year_2032!L107</f>
        <v>0.7300933073050393</v>
      </c>
      <c r="M104" t="e">
        <f>Year_2040!M107/Year_2032!M107</f>
        <v>#DIV/0!</v>
      </c>
      <c r="N104" t="str">
        <f>Year_2040!N107</f>
        <v>Night</v>
      </c>
      <c r="O104">
        <f>Year_2040!O107/Year_2032!O107</f>
        <v>1.1034938106475605</v>
      </c>
      <c r="P104">
        <f>Year_2040!P107/Year_2032!P107</f>
        <v>1.1078586751893524</v>
      </c>
      <c r="Q104">
        <f>Year_2040!Q107/Year_2032!Q107</f>
        <v>1.1035123362609391</v>
      </c>
      <c r="R104">
        <f>Year_2040!R107/Year_2032!R107</f>
        <v>1.1102397926117951</v>
      </c>
      <c r="S104">
        <f>Year_2040!S107/Year_2032!S107</f>
        <v>1.8990105821839267</v>
      </c>
      <c r="T104">
        <f>Year_2040!T107/Year_2032!T107</f>
        <v>1.8791571908954845</v>
      </c>
      <c r="U104">
        <f>Year_2040!U107/Year_2032!U107</f>
        <v>1.1180582169906013</v>
      </c>
      <c r="V104">
        <f>Year_2040!V107/Year_2032!V107</f>
        <v>1.1180152532587888</v>
      </c>
      <c r="W104">
        <f>Year_2040!W107/Year_2032!W107</f>
        <v>1.0051955452389532</v>
      </c>
      <c r="X104">
        <f>Year_2040!X107/Year_2032!X107</f>
        <v>0.9964758732863449</v>
      </c>
      <c r="Y104" t="e">
        <f>Year_2040!Y107/Year_2032!Y107</f>
        <v>#DIV/0!</v>
      </c>
      <c r="Z104" t="e">
        <f>Year_2040!Z107/Year_2032!Z107</f>
        <v>#DIV/0!</v>
      </c>
      <c r="AA104" t="e">
        <f>Year_2040!AA107/Year_2032!AA107</f>
        <v>#VALUE!</v>
      </c>
      <c r="AB104">
        <f>Year_2040!AB107/Year_2032!AB107</f>
        <v>1.1110152587871016</v>
      </c>
      <c r="AC104">
        <f>Year_2040!AC107/Year_2032!AC107</f>
        <v>1.1105341758728211</v>
      </c>
      <c r="AD104">
        <f>Year_2040!AD107/Year_2032!AD107</f>
        <v>1.1109784773112759</v>
      </c>
      <c r="AE104">
        <f>Year_2040!AE107/Year_2032!AE107</f>
        <v>1.1102205614801133</v>
      </c>
      <c r="AF104">
        <f>Year_2040!AF107/Year_2032!AF107</f>
        <v>1.0693388256251695</v>
      </c>
      <c r="AG104">
        <f>Year_2040!AG107/Year_2032!AG107</f>
        <v>1.0700893725093634</v>
      </c>
      <c r="AH104">
        <f>Year_2040!AH107/Year_2032!AH107</f>
        <v>1.1180634291963469</v>
      </c>
      <c r="AI104">
        <f>Year_2040!AI107/Year_2032!AI107</f>
        <v>1.1180037519041157</v>
      </c>
      <c r="AJ104">
        <f>Year_2040!AJ107/Year_2032!AJ107</f>
        <v>0.99942986775690656</v>
      </c>
      <c r="AK104">
        <f>Year_2040!AK107/Year_2032!AK107</f>
        <v>1.0003860108535505</v>
      </c>
      <c r="AL104" t="e">
        <f>Year_2040!AL107/Year_2032!AL107</f>
        <v>#DIV/0!</v>
      </c>
      <c r="AM104" t="e">
        <f>Year_2040!AM107/Year_2032!AM107</f>
        <v>#DIV/0!</v>
      </c>
      <c r="AN104" t="e">
        <f>Year_2040!AN107/Year_2032!AN107</f>
        <v>#VALUE!</v>
      </c>
      <c r="AO104">
        <f>Year_2040!AO107/Year_2032!AO107</f>
        <v>1</v>
      </c>
      <c r="AP104">
        <f>Year_2040!AP107/Year_2032!AP107</f>
        <v>1</v>
      </c>
      <c r="AQ104">
        <f>Year_2040!AQ107/Year_2032!AQ107</f>
        <v>1</v>
      </c>
      <c r="AR104">
        <f>Year_2040!AR107/Year_2032!AR107</f>
        <v>1</v>
      </c>
      <c r="AS104">
        <f>Year_2040!AS107/Year_2032!AS107</f>
        <v>1</v>
      </c>
      <c r="AT104">
        <f>Year_2040!AT107/Year_2032!AT107</f>
        <v>1</v>
      </c>
      <c r="AU104">
        <f>Year_2040!AU107/Year_2032!AU107</f>
        <v>1</v>
      </c>
      <c r="AV104">
        <f>Year_2040!AV107/Year_2032!AV107</f>
        <v>1</v>
      </c>
      <c r="AW104">
        <f>Year_2040!AW107/Year_2032!AW107</f>
        <v>1</v>
      </c>
      <c r="AX104">
        <f>Year_2040!AX107/Year_2032!AX107</f>
        <v>1</v>
      </c>
    </row>
    <row r="105" spans="2:50" x14ac:dyDescent="0.3">
      <c r="B105" t="str">
        <f>Year_2032!B108</f>
        <v>AM-Early</v>
      </c>
      <c r="C105">
        <f>Year_2040!C108/Year_2032!C108</f>
        <v>0.70591991623063799</v>
      </c>
      <c r="D105">
        <f>Year_2040!D108/Year_2032!D108</f>
        <v>0.8755738725404062</v>
      </c>
      <c r="E105">
        <f>Year_2040!E108/Year_2032!E108</f>
        <v>1.1861030913253801</v>
      </c>
      <c r="F105">
        <f>Year_2040!F108/Year_2032!F108</f>
        <v>0.76989809212409521</v>
      </c>
      <c r="G105">
        <f>Year_2040!G108/Year_2032!G108</f>
        <v>0.85676091601487481</v>
      </c>
      <c r="H105">
        <f>Year_2040!H108/Year_2032!H108</f>
        <v>0.96070801629660696</v>
      </c>
      <c r="I105">
        <f>Year_2040!I108/Year_2032!I108</f>
        <v>0.68846460063292358</v>
      </c>
      <c r="J105">
        <f>Year_2040!J108/Year_2032!J108</f>
        <v>0.8550990620722756</v>
      </c>
      <c r="K105">
        <f>Year_2040!K108/Year_2032!K108</f>
        <v>1.047305887099228</v>
      </c>
      <c r="L105">
        <f>Year_2040!L108/Year_2032!L108</f>
        <v>1.066128474692194</v>
      </c>
      <c r="M105" t="e">
        <f>Year_2040!M108/Year_2032!M108</f>
        <v>#DIV/0!</v>
      </c>
      <c r="N105" t="str">
        <f>Year_2040!N108</f>
        <v>AM-Early</v>
      </c>
      <c r="O105">
        <f>Year_2040!O108/Year_2032!O108</f>
        <v>1.2936697406672957</v>
      </c>
      <c r="P105">
        <f>Year_2040!P108/Year_2032!P108</f>
        <v>1.1043421905379132</v>
      </c>
      <c r="Q105">
        <f>Year_2040!Q108/Year_2032!Q108</f>
        <v>1.0763484969081001</v>
      </c>
      <c r="R105">
        <f>Year_2040!R108/Year_2032!R108</f>
        <v>1.3079837074037446</v>
      </c>
      <c r="S105">
        <f>Year_2040!S108/Year_2032!S108</f>
        <v>1.4141367889250118</v>
      </c>
      <c r="T105">
        <f>Year_2040!T108/Year_2032!T108</f>
        <v>1.3448979591836734</v>
      </c>
      <c r="U105">
        <f>Year_2040!U108/Year_2032!U108</f>
        <v>1.2841914266273531</v>
      </c>
      <c r="V105">
        <f>Year_2040!V108/Year_2032!V108</f>
        <v>2.0664359433903963</v>
      </c>
      <c r="W105">
        <f>Year_2040!W108/Year_2032!W108</f>
        <v>1.2250221206311753</v>
      </c>
      <c r="X105">
        <f>Year_2040!X108/Year_2032!X108</f>
        <v>0.99837559149657451</v>
      </c>
      <c r="Y105" t="e">
        <f>Year_2040!Y108/Year_2032!Y108</f>
        <v>#DIV/0!</v>
      </c>
      <c r="Z105" t="e">
        <f>Year_2040!Z108/Year_2032!Z108</f>
        <v>#DIV/0!</v>
      </c>
      <c r="AA105" t="e">
        <f>Year_2040!AA108/Year_2032!AA108</f>
        <v>#VALUE!</v>
      </c>
      <c r="AB105">
        <f>Year_2040!AB108/Year_2032!AB108</f>
        <v>0.99639386445593991</v>
      </c>
      <c r="AC105">
        <f>Year_2040!AC108/Year_2032!AC108</f>
        <v>1.1114951609717558</v>
      </c>
      <c r="AD105">
        <f>Year_2040!AD108/Year_2032!AD108</f>
        <v>1.1166742853182259</v>
      </c>
      <c r="AE105">
        <f>Year_2040!AE108/Year_2032!AE108</f>
        <v>0.9808456970694881</v>
      </c>
      <c r="AF105">
        <f>Year_2040!AF108/Year_2032!AF108</f>
        <v>1.0494448184499989</v>
      </c>
      <c r="AG105">
        <f>Year_2040!AG108/Year_2032!AG108</f>
        <v>1.0712721619476053</v>
      </c>
      <c r="AH105">
        <f>Year_2040!AH108/Year_2032!AH108</f>
        <v>1.0014859946219608</v>
      </c>
      <c r="AI105">
        <f>Year_2040!AI108/Year_2032!AI108</f>
        <v>1.0692717640747949</v>
      </c>
      <c r="AJ105">
        <f>Year_2040!AJ108/Year_2032!AJ108</f>
        <v>0.98579350839993474</v>
      </c>
      <c r="AK105">
        <f>Year_2040!AK108/Year_2032!AK108</f>
        <v>1.0003456515531777</v>
      </c>
      <c r="AL105" t="e">
        <f>Year_2040!AL108/Year_2032!AL108</f>
        <v>#DIV/0!</v>
      </c>
      <c r="AM105" t="e">
        <f>Year_2040!AM108/Year_2032!AM108</f>
        <v>#DIV/0!</v>
      </c>
      <c r="AN105" t="e">
        <f>Year_2040!AN108/Year_2032!AN108</f>
        <v>#VALUE!</v>
      </c>
      <c r="AO105">
        <f>Year_2040!AO108/Year_2032!AO108</f>
        <v>1.1666666666666665</v>
      </c>
      <c r="AP105">
        <f>Year_2040!AP108/Year_2032!AP108</f>
        <v>1.7674023769100171</v>
      </c>
      <c r="AQ105">
        <f>Year_2040!AQ108/Year_2032!AQ108</f>
        <v>2.0097560975609756</v>
      </c>
      <c r="AR105">
        <f>Year_2040!AR108/Year_2032!AR108</f>
        <v>1.1666666666666667</v>
      </c>
      <c r="AS105">
        <f>Year_2040!AS108/Year_2032!AS108</f>
        <v>1.2618025751072961</v>
      </c>
      <c r="AT105">
        <f>Year_2040!AT108/Year_2032!AT108</f>
        <v>1.4614747307373654</v>
      </c>
      <c r="AU105">
        <f>Year_2040!AU108/Year_2032!AU108</f>
        <v>1.1666666666666665</v>
      </c>
      <c r="AV105">
        <f>Year_2040!AV108/Year_2032!AV108</f>
        <v>1</v>
      </c>
      <c r="AW105">
        <f>Year_2040!AW108/Year_2032!AW108</f>
        <v>1.1666666666666665</v>
      </c>
      <c r="AX105">
        <f>Year_2040!AX108/Year_2032!AX108</f>
        <v>1.4568690095846644</v>
      </c>
    </row>
    <row r="106" spans="2:50" x14ac:dyDescent="0.3">
      <c r="B106" t="str">
        <f>Year_2032!B109</f>
        <v>AM-Peak</v>
      </c>
      <c r="C106">
        <f>Year_2040!C109/Year_2032!C109</f>
        <v>0.98637931131718282</v>
      </c>
      <c r="D106">
        <f>Year_2040!D109/Year_2032!D109</f>
        <v>0.73993965551458707</v>
      </c>
      <c r="E106">
        <f>Year_2040!E109/Year_2032!E109</f>
        <v>1.3004700292747966</v>
      </c>
      <c r="F106">
        <f>Year_2040!F109/Year_2032!F109</f>
        <v>1.6754807658466411</v>
      </c>
      <c r="G106">
        <f>Year_2040!G109/Year_2032!G109</f>
        <v>1.0546054142611103</v>
      </c>
      <c r="H106">
        <f>Year_2040!H109/Year_2032!H109</f>
        <v>0.83160938169677201</v>
      </c>
      <c r="I106">
        <f>Year_2040!I109/Year_2032!I109</f>
        <v>1.0705274583467372</v>
      </c>
      <c r="J106">
        <f>Year_2040!J109/Year_2032!J109</f>
        <v>0.88736470648654231</v>
      </c>
      <c r="K106">
        <f>Year_2040!K109/Year_2032!K109</f>
        <v>1.0339553454562138</v>
      </c>
      <c r="L106">
        <f>Year_2040!L109/Year_2032!L109</f>
        <v>0.96045480184937193</v>
      </c>
      <c r="M106" t="e">
        <f>Year_2040!M109/Year_2032!M109</f>
        <v>#DIV/0!</v>
      </c>
      <c r="N106" t="str">
        <f>Year_2040!N109</f>
        <v>AM-Peak</v>
      </c>
      <c r="O106">
        <f>Year_2040!O109/Year_2032!O109</f>
        <v>1.32029182414431</v>
      </c>
      <c r="P106">
        <f>Year_2040!P109/Year_2032!P109</f>
        <v>1.4031763304284199</v>
      </c>
      <c r="Q106">
        <f>Year_2040!Q109/Year_2032!Q109</f>
        <v>1.0080846718317349</v>
      </c>
      <c r="R106">
        <f>Year_2040!R109/Year_2032!R109</f>
        <v>1.0543395977107999</v>
      </c>
      <c r="S106">
        <f>Year_2040!S109/Year_2032!S109</f>
        <v>1.2915680363505482</v>
      </c>
      <c r="T106">
        <f>Year_2040!T109/Year_2032!T109</f>
        <v>1.4052369791998369</v>
      </c>
      <c r="U106">
        <f>Year_2040!U109/Year_2032!U109</f>
        <v>1.2366021972841672</v>
      </c>
      <c r="V106">
        <f>Year_2040!V109/Year_2032!V109</f>
        <v>1.074943202745231</v>
      </c>
      <c r="W106">
        <f>Year_2040!W109/Year_2032!W109</f>
        <v>1.0825913524821951</v>
      </c>
      <c r="X106">
        <f>Year_2040!X109/Year_2032!X109</f>
        <v>1.118797701274451</v>
      </c>
      <c r="Y106" t="e">
        <f>Year_2040!Y109/Year_2032!Y109</f>
        <v>#DIV/0!</v>
      </c>
      <c r="Z106" t="e">
        <f>Year_2040!Z109/Year_2032!Z109</f>
        <v>#DIV/0!</v>
      </c>
      <c r="AA106" t="e">
        <f>Year_2040!AA109/Year_2032!AA109</f>
        <v>#VALUE!</v>
      </c>
      <c r="AB106">
        <f>Year_2040!AB109/Year_2032!AB109</f>
        <v>1.0675426894802706</v>
      </c>
      <c r="AC106">
        <f>Year_2040!AC109/Year_2032!AC109</f>
        <v>1.033341217456434</v>
      </c>
      <c r="AD106">
        <f>Year_2040!AD109/Year_2032!AD109</f>
        <v>1.1290059064898124</v>
      </c>
      <c r="AE106">
        <f>Year_2040!AE109/Year_2032!AE109</f>
        <v>1.1558339670425335</v>
      </c>
      <c r="AF106">
        <f>Year_2040!AF109/Year_2032!AF109</f>
        <v>1.079180238824573</v>
      </c>
      <c r="AG106">
        <f>Year_2040!AG109/Year_2032!AG109</f>
        <v>1.0618432592826825</v>
      </c>
      <c r="AH106">
        <f>Year_2040!AH109/Year_2032!AH109</f>
        <v>1.0973434787682523</v>
      </c>
      <c r="AI106">
        <f>Year_2040!AI109/Year_2032!AI109</f>
        <v>1.1264509987079965</v>
      </c>
      <c r="AJ106">
        <f>Year_2040!AJ109/Year_2032!AJ109</f>
        <v>0.98242031241177941</v>
      </c>
      <c r="AK106">
        <f>Year_2040!AK109/Year_2032!AK109</f>
        <v>0.96426916177296484</v>
      </c>
      <c r="AL106" t="e">
        <f>Year_2040!AL109/Year_2032!AL109</f>
        <v>#DIV/0!</v>
      </c>
      <c r="AM106" t="e">
        <f>Year_2040!AM109/Year_2032!AM109</f>
        <v>#DIV/0!</v>
      </c>
      <c r="AN106" t="e">
        <f>Year_2040!AN109/Year_2032!AN109</f>
        <v>#VALUE!</v>
      </c>
      <c r="AO106">
        <f>Year_2040!AO109/Year_2032!AO109</f>
        <v>1.5943251533742331</v>
      </c>
      <c r="AP106">
        <f>Year_2040!AP109/Year_2032!AP109</f>
        <v>1.1666666666666665</v>
      </c>
      <c r="AQ106">
        <f>Year_2040!AQ109/Year_2032!AQ109</f>
        <v>2.3333333333333335</v>
      </c>
      <c r="AR106">
        <f>Year_2040!AR109/Year_2032!AR109</f>
        <v>3.5</v>
      </c>
      <c r="AS106">
        <f>Year_2040!AS109/Year_2032!AS109</f>
        <v>1.695067264573991</v>
      </c>
      <c r="AT106">
        <f>Year_2040!AT109/Year_2032!AT109</f>
        <v>1.2132049518569465</v>
      </c>
      <c r="AU106">
        <f>Year_2040!AU109/Year_2032!AU109</f>
        <v>1.8929673041332509</v>
      </c>
      <c r="AV106">
        <f>Year_2040!AV109/Year_2032!AV109</f>
        <v>1.8581661891117478</v>
      </c>
      <c r="AW106">
        <f>Year_2040!AW109/Year_2032!AW109</f>
        <v>1.3056994818652849</v>
      </c>
      <c r="AX106">
        <f>Year_2040!AX109/Year_2032!AX109</f>
        <v>1.1666666666666665</v>
      </c>
    </row>
    <row r="107" spans="2:50" x14ac:dyDescent="0.3">
      <c r="B107" t="str">
        <f>Year_2032!B110</f>
        <v>AM-Shoulder</v>
      </c>
      <c r="C107">
        <f>Year_2040!C110/Year_2032!C110</f>
        <v>0.64999887444900872</v>
      </c>
      <c r="D107">
        <f>Year_2040!D110/Year_2032!D110</f>
        <v>0.84197078272406722</v>
      </c>
      <c r="E107">
        <f>Year_2040!E110/Year_2032!E110</f>
        <v>1.1088279956884648</v>
      </c>
      <c r="F107">
        <f>Year_2040!F110/Year_2032!F110</f>
        <v>0.69443497318320091</v>
      </c>
      <c r="G107">
        <f>Year_2040!G110/Year_2032!G110</f>
        <v>0.77254281671816427</v>
      </c>
      <c r="H107">
        <f>Year_2040!H110/Year_2032!H110</f>
        <v>0.86205323434689674</v>
      </c>
      <c r="I107">
        <f>Year_2040!I110/Year_2032!I110</f>
        <v>1.0326375300814206</v>
      </c>
      <c r="J107">
        <f>Year_2040!J110/Year_2032!J110</f>
        <v>0.8846172730956825</v>
      </c>
      <c r="K107">
        <f>Year_2040!K110/Year_2032!K110</f>
        <v>1.0627184730499555</v>
      </c>
      <c r="L107">
        <f>Year_2040!L110/Year_2032!L110</f>
        <v>1.0473916035512914</v>
      </c>
      <c r="M107" t="e">
        <f>Year_2040!M110/Year_2032!M110</f>
        <v>#DIV/0!</v>
      </c>
      <c r="N107" t="str">
        <f>Year_2040!N110</f>
        <v>AM-Shoulder</v>
      </c>
      <c r="O107">
        <f>Year_2040!O110/Year_2032!O110</f>
        <v>1.1884612100454457</v>
      </c>
      <c r="P107">
        <f>Year_2040!P110/Year_2032!P110</f>
        <v>1.5810775795056056</v>
      </c>
      <c r="Q107">
        <f>Year_2040!Q110/Year_2032!Q110</f>
        <v>1.3088814503285366</v>
      </c>
      <c r="R107">
        <f>Year_2040!R110/Year_2032!R110</f>
        <v>1.1819492883400886</v>
      </c>
      <c r="S107">
        <f>Year_2040!S110/Year_2032!S110</f>
        <v>0.98336380557065439</v>
      </c>
      <c r="T107">
        <f>Year_2040!T110/Year_2032!T110</f>
        <v>1.4509483198759523</v>
      </c>
      <c r="U107">
        <f>Year_2040!U110/Year_2032!U110</f>
        <v>1.0711733860899295</v>
      </c>
      <c r="V107">
        <f>Year_2040!V110/Year_2032!V110</f>
        <v>1.0922779665534013</v>
      </c>
      <c r="W107">
        <f>Year_2040!W110/Year_2032!W110</f>
        <v>0.99955876675307509</v>
      </c>
      <c r="X107">
        <f>Year_2040!X110/Year_2032!X110</f>
        <v>1.0791720758442889</v>
      </c>
      <c r="Y107" t="e">
        <f>Year_2040!Y110/Year_2032!Y110</f>
        <v>#DIV/0!</v>
      </c>
      <c r="Z107" t="e">
        <f>Year_2040!Z110/Year_2032!Z110</f>
        <v>#DIV/0!</v>
      </c>
      <c r="AA107" t="e">
        <f>Year_2040!AA110/Year_2032!AA110</f>
        <v>#VALUE!</v>
      </c>
      <c r="AB107">
        <f>Year_2040!AB110/Year_2032!AB110</f>
        <v>0.97914865960454822</v>
      </c>
      <c r="AC107">
        <f>Year_2040!AC110/Year_2032!AC110</f>
        <v>1.0145014107866321</v>
      </c>
      <c r="AD107">
        <f>Year_2040!AD110/Year_2032!AD110</f>
        <v>1.0726741510581432</v>
      </c>
      <c r="AE107">
        <f>Year_2040!AE110/Year_2032!AE110</f>
        <v>0.9801960392078416</v>
      </c>
      <c r="AF107">
        <f>Year_2040!AF110/Year_2032!AF110</f>
        <v>1.0257830775463701</v>
      </c>
      <c r="AG107">
        <f>Year_2040!AG110/Year_2032!AG110</f>
        <v>1.0361467416310362</v>
      </c>
      <c r="AH107">
        <f>Year_2040!AH110/Year_2032!AH110</f>
        <v>1.1270483568494374</v>
      </c>
      <c r="AI107">
        <f>Year_2040!AI110/Year_2032!AI110</f>
        <v>1.1231501788960705</v>
      </c>
      <c r="AJ107">
        <f>Year_2040!AJ110/Year_2032!AJ110</f>
        <v>1.0000941889351547</v>
      </c>
      <c r="AK107">
        <f>Year_2040!AK110/Year_2032!AK110</f>
        <v>0.98310506379974183</v>
      </c>
      <c r="AL107" t="e">
        <f>Year_2040!AL110/Year_2032!AL110</f>
        <v>#DIV/0!</v>
      </c>
      <c r="AM107" t="e">
        <f>Year_2040!AM110/Year_2032!AM110</f>
        <v>#DIV/0!</v>
      </c>
      <c r="AN107" t="e">
        <f>Year_2040!AN110/Year_2032!AN110</f>
        <v>#VALUE!</v>
      </c>
      <c r="AO107">
        <f>Year_2040!AO110/Year_2032!AO110</f>
        <v>1.1666666666666665</v>
      </c>
      <c r="AP107">
        <f>Year_2040!AP110/Year_2032!AP110</f>
        <v>1.1706081081081081</v>
      </c>
      <c r="AQ107">
        <f>Year_2040!AQ110/Year_2032!AQ110</f>
        <v>1.5426052889324191</v>
      </c>
      <c r="AR107">
        <f>Year_2040!AR110/Year_2032!AR110</f>
        <v>1.1666666666666667</v>
      </c>
      <c r="AS107">
        <f>Year_2040!AS110/Year_2032!AS110</f>
        <v>1.6318252730109204</v>
      </c>
      <c r="AT107">
        <f>Year_2040!AT110/Year_2032!AT110</f>
        <v>1.2148760330578514</v>
      </c>
      <c r="AU107">
        <f>Year_2040!AU110/Year_2032!AU110</f>
        <v>2.0925507900677203</v>
      </c>
      <c r="AV107">
        <f>Year_2040!AV110/Year_2032!AV110</f>
        <v>1.8264840182648403</v>
      </c>
      <c r="AW107">
        <f>Year_2040!AW110/Year_2032!AW110</f>
        <v>1.4550724637681158</v>
      </c>
      <c r="AX107">
        <f>Year_2040!AX110/Year_2032!AX110</f>
        <v>1.3228346456692914</v>
      </c>
    </row>
    <row r="108" spans="2:50" x14ac:dyDescent="0.3">
      <c r="B108" t="str">
        <f>Year_2032!B111</f>
        <v>MD</v>
      </c>
      <c r="C108">
        <f>Year_2040!C111/Year_2032!C111</f>
        <v>0.65707763194424074</v>
      </c>
      <c r="D108">
        <f>Year_2040!D111/Year_2032!D111</f>
        <v>0.76242271095606717</v>
      </c>
      <c r="E108">
        <f>Year_2040!E111/Year_2032!E111</f>
        <v>0.8524759263127093</v>
      </c>
      <c r="F108">
        <f>Year_2040!F111/Year_2032!F111</f>
        <v>0.69881004448001138</v>
      </c>
      <c r="G108">
        <f>Year_2040!G111/Year_2032!G111</f>
        <v>0.93835133540700977</v>
      </c>
      <c r="H108">
        <f>Year_2040!H111/Year_2032!H111</f>
        <v>0.95899437643585717</v>
      </c>
      <c r="I108">
        <f>Year_2040!I111/Year_2032!I111</f>
        <v>0.91326013714630816</v>
      </c>
      <c r="J108">
        <f>Year_2040!J111/Year_2032!J111</f>
        <v>0.88497073234267232</v>
      </c>
      <c r="K108">
        <f>Year_2040!K111/Year_2032!K111</f>
        <v>0.98116918635501371</v>
      </c>
      <c r="L108">
        <f>Year_2040!L111/Year_2032!L111</f>
        <v>0.99379431982628919</v>
      </c>
      <c r="M108" t="e">
        <f>Year_2040!M111/Year_2032!M111</f>
        <v>#DIV/0!</v>
      </c>
      <c r="N108" t="str">
        <f>Year_2040!N111</f>
        <v>MD</v>
      </c>
      <c r="O108">
        <f>Year_2040!O111/Year_2032!O111</f>
        <v>1.2013214032487973</v>
      </c>
      <c r="P108">
        <f>Year_2040!P111/Year_2032!P111</f>
        <v>0.84813325172685139</v>
      </c>
      <c r="Q108">
        <f>Year_2040!Q111/Year_2032!Q111</f>
        <v>1.3195675311817712</v>
      </c>
      <c r="R108">
        <f>Year_2040!R111/Year_2032!R111</f>
        <v>1.1894473323340882</v>
      </c>
      <c r="S108">
        <f>Year_2040!S111/Year_2032!S111</f>
        <v>1.3878504672897196</v>
      </c>
      <c r="T108">
        <f>Year_2040!T111/Year_2032!T111</f>
        <v>1.3485231414145324</v>
      </c>
      <c r="U108">
        <f>Year_2040!U111/Year_2032!U111</f>
        <v>1.1013194771504233</v>
      </c>
      <c r="V108">
        <f>Year_2040!V111/Year_2032!V111</f>
        <v>1.0903262893490457</v>
      </c>
      <c r="W108">
        <f>Year_2040!W111/Year_2032!W111</f>
        <v>1.1448341120113548</v>
      </c>
      <c r="X108">
        <f>Year_2040!X111/Year_2032!X111</f>
        <v>1.1562736030448544</v>
      </c>
      <c r="Y108" t="e">
        <f>Year_2040!Y111/Year_2032!Y111</f>
        <v>#DIV/0!</v>
      </c>
      <c r="Z108" t="e">
        <f>Year_2040!Z111/Year_2032!Z111</f>
        <v>#DIV/0!</v>
      </c>
      <c r="AA108" t="e">
        <f>Year_2040!AA111/Year_2032!AA111</f>
        <v>#VALUE!</v>
      </c>
      <c r="AB108">
        <f>Year_2040!AB111/Year_2032!AB111</f>
        <v>0.97250543582348492</v>
      </c>
      <c r="AC108">
        <f>Year_2040!AC111/Year_2032!AC111</f>
        <v>1.0620973819858179</v>
      </c>
      <c r="AD108">
        <f>Year_2040!AD111/Year_2032!AD111</f>
        <v>0.99392054119142026</v>
      </c>
      <c r="AE108">
        <f>Year_2040!AE111/Year_2032!AE111</f>
        <v>0.97685412497933632</v>
      </c>
      <c r="AF108">
        <f>Year_2040!AF111/Year_2032!AF111</f>
        <v>1.0637664315203861</v>
      </c>
      <c r="AG108">
        <f>Year_2040!AG111/Year_2032!AG111</f>
        <v>1.0715316950256115</v>
      </c>
      <c r="AH108">
        <f>Year_2040!AH111/Year_2032!AH111</f>
        <v>1.1213560917549752</v>
      </c>
      <c r="AI108">
        <f>Year_2040!AI111/Year_2032!AI111</f>
        <v>1.123621571590288</v>
      </c>
      <c r="AJ108">
        <f>Year_2040!AJ111/Year_2032!AJ111</f>
        <v>0.96647618205232688</v>
      </c>
      <c r="AK108">
        <f>Year_2040!AK111/Year_2032!AK111</f>
        <v>0.97134262157546636</v>
      </c>
      <c r="AL108" t="e">
        <f>Year_2040!AL111/Year_2032!AL111</f>
        <v>#DIV/0!</v>
      </c>
      <c r="AM108" t="e">
        <f>Year_2040!AM111/Year_2032!AM111</f>
        <v>#DIV/0!</v>
      </c>
      <c r="AN108" t="e">
        <f>Year_2040!AN111/Year_2032!AN111</f>
        <v>#VALUE!</v>
      </c>
      <c r="AO108">
        <f>Year_2040!AO111/Year_2032!AO111</f>
        <v>1.1666666666666665</v>
      </c>
      <c r="AP108">
        <f>Year_2040!AP111/Year_2032!AP111</f>
        <v>2.0109427609427608</v>
      </c>
      <c r="AQ108">
        <f>Year_2040!AQ111/Year_2032!AQ111</f>
        <v>1.1666666666666667</v>
      </c>
      <c r="AR108">
        <f>Year_2040!AR111/Year_2032!AR111</f>
        <v>1.1666666666666667</v>
      </c>
      <c r="AS108">
        <f>Year_2040!AS111/Year_2032!AS111</f>
        <v>1.4044585987261147</v>
      </c>
      <c r="AT108">
        <f>Year_2040!AT111/Year_2032!AT111</f>
        <v>1.4566473988439308</v>
      </c>
      <c r="AU108">
        <f>Year_2040!AU111/Year_2032!AU111</f>
        <v>1.8049490538573507</v>
      </c>
      <c r="AV108">
        <f>Year_2040!AV111/Year_2032!AV111</f>
        <v>1.8269230769230769</v>
      </c>
      <c r="AW108">
        <f>Year_2040!AW111/Year_2032!AW111</f>
        <v>1.1666666666666665</v>
      </c>
      <c r="AX108">
        <f>Year_2040!AX111/Year_2032!AX111</f>
        <v>1.1666666666666665</v>
      </c>
    </row>
    <row r="109" spans="2:50" x14ac:dyDescent="0.3">
      <c r="B109" t="str">
        <f>Year_2032!B112</f>
        <v>PM-Shoulder</v>
      </c>
      <c r="C109">
        <f>Year_2040!C112/Year_2032!C112</f>
        <v>0.65654599599009233</v>
      </c>
      <c r="D109">
        <f>Year_2040!D112/Year_2032!D112</f>
        <v>0.73287494200723391</v>
      </c>
      <c r="E109">
        <f>Year_2040!E112/Year_2032!E112</f>
        <v>0.7634830504401261</v>
      </c>
      <c r="F109">
        <f>Year_2040!F112/Year_2032!F112</f>
        <v>0.73141173924005043</v>
      </c>
      <c r="G109">
        <f>Year_2040!G112/Year_2032!G112</f>
        <v>0.66073886447583452</v>
      </c>
      <c r="H109">
        <f>Year_2040!H112/Year_2032!H112</f>
        <v>0.83960000662172107</v>
      </c>
      <c r="I109">
        <f>Year_2040!I112/Year_2032!I112</f>
        <v>1.0903449301903998</v>
      </c>
      <c r="J109">
        <f>Year_2040!J112/Year_2032!J112</f>
        <v>1.3680995834782259</v>
      </c>
      <c r="K109">
        <f>Year_2040!K112/Year_2032!K112</f>
        <v>0.96099262591637113</v>
      </c>
      <c r="L109">
        <f>Year_2040!L112/Year_2032!L112</f>
        <v>1.0848393172408159</v>
      </c>
      <c r="M109" t="e">
        <f>Year_2040!M112/Year_2032!M112</f>
        <v>#DIV/0!</v>
      </c>
      <c r="N109" t="str">
        <f>Year_2040!N112</f>
        <v>PM-Shoulder</v>
      </c>
      <c r="O109">
        <f>Year_2040!O112/Year_2032!O112</f>
        <v>1.2013928879930897</v>
      </c>
      <c r="P109">
        <f>Year_2040!P112/Year_2032!P112</f>
        <v>0.98376961848561073</v>
      </c>
      <c r="Q109">
        <f>Year_2040!Q112/Year_2032!Q112</f>
        <v>1.1909290416971472</v>
      </c>
      <c r="R109">
        <f>Year_2040!R112/Year_2032!R112</f>
        <v>1.1090438875218003</v>
      </c>
      <c r="S109">
        <f>Year_2040!S112/Year_2032!S112</f>
        <v>1.1686236790972997</v>
      </c>
      <c r="T109">
        <f>Year_2040!T112/Year_2032!T112</f>
        <v>0.94889633107765969</v>
      </c>
      <c r="U109">
        <f>Year_2040!U112/Year_2032!U112</f>
        <v>1.0571864924486678</v>
      </c>
      <c r="V109">
        <f>Year_2040!V112/Year_2032!V112</f>
        <v>0.92869310090974055</v>
      </c>
      <c r="W109">
        <f>Year_2040!W112/Year_2032!W112</f>
        <v>1.1218094433980645</v>
      </c>
      <c r="X109">
        <f>Year_2040!X112/Year_2032!X112</f>
        <v>1.2616082968193425</v>
      </c>
      <c r="Y109" t="e">
        <f>Year_2040!Y112/Year_2032!Y112</f>
        <v>#DIV/0!</v>
      </c>
      <c r="Z109" t="e">
        <f>Year_2040!Z112/Year_2032!Z112</f>
        <v>#DIV/0!</v>
      </c>
      <c r="AA109" t="e">
        <f>Year_2040!AA112/Year_2032!AA112</f>
        <v>#VALUE!</v>
      </c>
      <c r="AB109">
        <f>Year_2040!AB112/Year_2032!AB112</f>
        <v>0.97267523169288583</v>
      </c>
      <c r="AC109">
        <f>Year_2040!AC112/Year_2032!AC112</f>
        <v>1.0283437070730959</v>
      </c>
      <c r="AD109">
        <f>Year_2040!AD112/Year_2032!AD112</f>
        <v>0.97699995521652805</v>
      </c>
      <c r="AE109">
        <f>Year_2040!AE112/Year_2032!AE112</f>
        <v>0.99807773859476823</v>
      </c>
      <c r="AF109">
        <f>Year_2040!AF112/Year_2032!AF112</f>
        <v>0.98413823833136127</v>
      </c>
      <c r="AG109">
        <f>Year_2040!AG112/Year_2032!AG112</f>
        <v>1.0350312699459179</v>
      </c>
      <c r="AH109">
        <f>Year_2040!AH112/Year_2032!AH112</f>
        <v>1.1330120628917391</v>
      </c>
      <c r="AI109">
        <f>Year_2040!AI112/Year_2032!AI112</f>
        <v>1.1531271284498597</v>
      </c>
      <c r="AJ109">
        <f>Year_2040!AJ112/Year_2032!AJ112</f>
        <v>0.96254842445784572</v>
      </c>
      <c r="AK109">
        <f>Year_2040!AK112/Year_2032!AK112</f>
        <v>0.97194034085870851</v>
      </c>
      <c r="AL109" t="e">
        <f>Year_2040!AL112/Year_2032!AL112</f>
        <v>#DIV/0!</v>
      </c>
      <c r="AM109" t="e">
        <f>Year_2040!AM112/Year_2032!AM112</f>
        <v>#DIV/0!</v>
      </c>
      <c r="AN109" t="e">
        <f>Year_2040!AN112/Year_2032!AN112</f>
        <v>#VALUE!</v>
      </c>
      <c r="AO109">
        <f>Year_2040!AO112/Year_2032!AO112</f>
        <v>1.1666666666666665</v>
      </c>
      <c r="AP109">
        <f>Year_2040!AP112/Year_2032!AP112</f>
        <v>1.6590909090909089</v>
      </c>
      <c r="AQ109">
        <f>Year_2040!AQ112/Year_2032!AQ112</f>
        <v>1.1666666666666667</v>
      </c>
      <c r="AR109">
        <f>Year_2040!AR112/Year_2032!AR112</f>
        <v>1.3257575757575757</v>
      </c>
      <c r="AS109">
        <f>Year_2040!AS112/Year_2032!AS112</f>
        <v>1.1815137307434695</v>
      </c>
      <c r="AT109">
        <f>Year_2040!AT112/Year_2032!AT112</f>
        <v>1.810754189944134</v>
      </c>
      <c r="AU109">
        <f>Year_2040!AU112/Year_2032!AU112</f>
        <v>2.2410329985652799</v>
      </c>
      <c r="AV109">
        <f>Year_2040!AV112/Year_2032!AV112</f>
        <v>3.3025906735751294</v>
      </c>
      <c r="AW109">
        <f>Year_2040!AW112/Year_2032!AW112</f>
        <v>1.1666666666666665</v>
      </c>
      <c r="AX109">
        <f>Year_2040!AX112/Year_2032!AX112</f>
        <v>1.1666666666666665</v>
      </c>
    </row>
    <row r="110" spans="2:50" x14ac:dyDescent="0.3">
      <c r="B110" t="str">
        <f>Year_2032!B113</f>
        <v>PM-Peak</v>
      </c>
      <c r="C110">
        <f>Year_2040!C113/Year_2032!C113</f>
        <v>1.5051550264393831</v>
      </c>
      <c r="D110">
        <f>Year_2040!D113/Year_2032!D113</f>
        <v>1.4271695318736761</v>
      </c>
      <c r="E110">
        <f>Year_2040!E113/Year_2032!E113</f>
        <v>0.89419765325624967</v>
      </c>
      <c r="F110">
        <f>Year_2040!F113/Year_2032!F113</f>
        <v>0.86315386096865732</v>
      </c>
      <c r="G110">
        <f>Year_2040!G113/Year_2032!G113</f>
        <v>1.1734111931089066</v>
      </c>
      <c r="H110">
        <f>Year_2040!H113/Year_2032!H113</f>
        <v>1.2330256167088416</v>
      </c>
      <c r="I110">
        <f>Year_2040!I113/Year_2032!I113</f>
        <v>1.019576853696085</v>
      </c>
      <c r="J110">
        <f>Year_2040!J113/Year_2032!J113</f>
        <v>1.1380767393837152</v>
      </c>
      <c r="K110">
        <f>Year_2040!K113/Year_2032!K113</f>
        <v>0.9885366089160571</v>
      </c>
      <c r="L110">
        <f>Year_2040!L113/Year_2032!L113</f>
        <v>0.95980725429701508</v>
      </c>
      <c r="M110" t="e">
        <f>Year_2040!M113/Year_2032!M113</f>
        <v>#DIV/0!</v>
      </c>
      <c r="N110" t="str">
        <f>Year_2040!N113</f>
        <v>PM-Peak</v>
      </c>
      <c r="O110">
        <f>Year_2040!O113/Year_2032!O113</f>
        <v>0.92647651373389972</v>
      </c>
      <c r="P110">
        <f>Year_2040!P113/Year_2032!P113</f>
        <v>0.91403007446689488</v>
      </c>
      <c r="Q110">
        <f>Year_2040!Q113/Year_2032!Q113</f>
        <v>1.3841876466147509</v>
      </c>
      <c r="R110">
        <f>Year_2040!R113/Year_2032!R113</f>
        <v>1.3438509798106155</v>
      </c>
      <c r="S110">
        <f>Year_2040!S113/Year_2032!S113</f>
        <v>1.0401027673591714</v>
      </c>
      <c r="T110">
        <f>Year_2040!T113/Year_2032!T113</f>
        <v>1.0825196049902943</v>
      </c>
      <c r="U110">
        <f>Year_2040!U113/Year_2032!U113</f>
        <v>1.0512962179381793</v>
      </c>
      <c r="V110">
        <f>Year_2040!V113/Year_2032!V113</f>
        <v>1.0223217839233121</v>
      </c>
      <c r="W110">
        <f>Year_2040!W113/Year_2032!W113</f>
        <v>1.1520826647840319</v>
      </c>
      <c r="X110">
        <f>Year_2040!X113/Year_2032!X113</f>
        <v>1.2348693371328647</v>
      </c>
      <c r="Y110" t="e">
        <f>Year_2040!Y113/Year_2032!Y113</f>
        <v>#DIV/0!</v>
      </c>
      <c r="Z110" t="e">
        <f>Year_2040!Z113/Year_2032!Z113</f>
        <v>#DIV/0!</v>
      </c>
      <c r="AA110" t="e">
        <f>Year_2040!AA113/Year_2032!AA113</f>
        <v>#VALUE!</v>
      </c>
      <c r="AB110">
        <f>Year_2040!AB113/Year_2032!AB113</f>
        <v>1.1772130408420267</v>
      </c>
      <c r="AC110">
        <f>Year_2040!AC113/Year_2032!AC113</f>
        <v>1.1810878589222416</v>
      </c>
      <c r="AD110">
        <f>Year_2040!AD113/Year_2032!AD113</f>
        <v>1.0286896006422077</v>
      </c>
      <c r="AE110">
        <f>Year_2040!AE113/Year_2032!AE113</f>
        <v>1.0533517389908393</v>
      </c>
      <c r="AF110">
        <f>Year_2040!AF113/Year_2032!AF113</f>
        <v>1.1361891373881376</v>
      </c>
      <c r="AG110">
        <f>Year_2040!AG113/Year_2032!AG113</f>
        <v>1.1270507380608221</v>
      </c>
      <c r="AH110">
        <f>Year_2040!AH113/Year_2032!AH113</f>
        <v>1.1342126568835367</v>
      </c>
      <c r="AI110">
        <f>Year_2040!AI113/Year_2032!AI113</f>
        <v>1.1406991247441998</v>
      </c>
      <c r="AJ110">
        <f>Year_2040!AJ113/Year_2032!AJ113</f>
        <v>0.94839833627316483</v>
      </c>
      <c r="AK110">
        <f>Year_2040!AK113/Year_2032!AK113</f>
        <v>0.93523651774622529</v>
      </c>
      <c r="AL110" t="e">
        <f>Year_2040!AL113/Year_2032!AL113</f>
        <v>#DIV/0!</v>
      </c>
      <c r="AM110" t="e">
        <f>Year_2040!AM113/Year_2032!AM113</f>
        <v>#DIV/0!</v>
      </c>
      <c r="AN110" t="e">
        <f>Year_2040!AN113/Year_2032!AN113</f>
        <v>#VALUE!</v>
      </c>
      <c r="AO110">
        <f>Year_2040!AO113/Year_2032!AO113</f>
        <v>3.4999999999999996</v>
      </c>
      <c r="AP110">
        <f>Year_2040!AP113/Year_2032!AP113</f>
        <v>3.4999999999999996</v>
      </c>
      <c r="AQ110">
        <f>Year_2040!AQ113/Year_2032!AQ113</f>
        <v>1.1666666666666667</v>
      </c>
      <c r="AR110">
        <f>Year_2040!AR113/Year_2032!AR113</f>
        <v>1.2846655791190864</v>
      </c>
      <c r="AS110">
        <f>Year_2040!AS113/Year_2032!AS113</f>
        <v>2.3426294820717133</v>
      </c>
      <c r="AT110">
        <f>Year_2040!AT113/Year_2032!AT113</f>
        <v>2.3333333333333335</v>
      </c>
      <c r="AU110">
        <f>Year_2040!AU113/Year_2032!AU113</f>
        <v>2.1065989847715736</v>
      </c>
      <c r="AV110">
        <f>Year_2040!AV113/Year_2032!AV113</f>
        <v>2.5023148148148149</v>
      </c>
      <c r="AW110">
        <f>Year_2040!AW113/Year_2032!AW113</f>
        <v>1.1666666666666665</v>
      </c>
      <c r="AX110">
        <f>Year_2040!AX113/Year_2032!AX113</f>
        <v>1.0521920668058455</v>
      </c>
    </row>
    <row r="111" spans="2:50" x14ac:dyDescent="0.3">
      <c r="B111" t="str">
        <f>Year_2032!B114</f>
        <v>PM-Late</v>
      </c>
      <c r="C111">
        <f>Year_2040!C114/Year_2032!C114</f>
        <v>0.93395664687390823</v>
      </c>
      <c r="D111">
        <f>Year_2040!D114/Year_2032!D114</f>
        <v>0.9133020936909747</v>
      </c>
      <c r="E111">
        <f>Year_2040!E114/Year_2032!E114</f>
        <v>1.1208285796152708</v>
      </c>
      <c r="F111">
        <f>Year_2040!F114/Year_2032!F114</f>
        <v>0.92980968324222102</v>
      </c>
      <c r="G111">
        <f>Year_2040!G114/Year_2032!G114</f>
        <v>0.97354636636378911</v>
      </c>
      <c r="H111">
        <f>Year_2040!H114/Year_2032!H114</f>
        <v>0.99140334195295166</v>
      </c>
      <c r="I111">
        <f>Year_2040!I114/Year_2032!I114</f>
        <v>0.90051149238563133</v>
      </c>
      <c r="J111">
        <f>Year_2040!J114/Year_2032!J114</f>
        <v>0.49527547829313184</v>
      </c>
      <c r="K111">
        <f>Year_2040!K114/Year_2032!K114</f>
        <v>1.0824311466508225</v>
      </c>
      <c r="L111">
        <f>Year_2040!L114/Year_2032!L114</f>
        <v>1.0883078156203474</v>
      </c>
      <c r="M111" t="e">
        <f>Year_2040!M114/Year_2032!M114</f>
        <v>#DIV/0!</v>
      </c>
      <c r="N111" t="str">
        <f>Year_2040!N114</f>
        <v>PM-Late</v>
      </c>
      <c r="O111">
        <f>Year_2040!O114/Year_2032!O114</f>
        <v>1.1053909444248144</v>
      </c>
      <c r="P111">
        <f>Year_2040!P114/Year_2032!P114</f>
        <v>1.0990394692851801</v>
      </c>
      <c r="Q111">
        <f>Year_2040!Q114/Year_2032!Q114</f>
        <v>1.1091554789946385</v>
      </c>
      <c r="R111">
        <f>Year_2040!R114/Year_2032!R114</f>
        <v>1.1041918841154876</v>
      </c>
      <c r="S111">
        <f>Year_2040!S114/Year_2032!S114</f>
        <v>1.190202589262396</v>
      </c>
      <c r="T111">
        <f>Year_2040!T114/Year_2032!T114</f>
        <v>1.1095611551812097</v>
      </c>
      <c r="U111">
        <f>Year_2040!U114/Year_2032!U114</f>
        <v>1.1163437269444336</v>
      </c>
      <c r="V111">
        <f>Year_2040!V114/Year_2032!V114</f>
        <v>1.1179883502270329</v>
      </c>
      <c r="W111">
        <f>Year_2040!W114/Year_2032!W114</f>
        <v>0.99984039817699255</v>
      </c>
      <c r="X111">
        <f>Year_2040!X114/Year_2032!X114</f>
        <v>1.2108687901117186</v>
      </c>
      <c r="Y111" t="e">
        <f>Year_2040!Y114/Year_2032!Y114</f>
        <v>#DIV/0!</v>
      </c>
      <c r="Z111" t="e">
        <f>Year_2040!Z114/Year_2032!Z114</f>
        <v>#DIV/0!</v>
      </c>
      <c r="AA111" t="e">
        <f>Year_2040!AA114/Year_2032!AA114</f>
        <v>#VALUE!</v>
      </c>
      <c r="AB111">
        <f>Year_2040!AB114/Year_2032!AB114</f>
        <v>1.1114844048376828</v>
      </c>
      <c r="AC111">
        <f>Year_2040!AC114/Year_2032!AC114</f>
        <v>1.1132137941333373</v>
      </c>
      <c r="AD111">
        <f>Year_2040!AD114/Year_2032!AD114</f>
        <v>1.1105153354243478</v>
      </c>
      <c r="AE111">
        <f>Year_2040!AE114/Year_2032!AE114</f>
        <v>1.1118769206729517</v>
      </c>
      <c r="AF111">
        <f>Year_2040!AF114/Year_2032!AF114</f>
        <v>1.0989770473778249</v>
      </c>
      <c r="AG111">
        <f>Year_2040!AG114/Year_2032!AG114</f>
        <v>1.1202782023109474</v>
      </c>
      <c r="AH111">
        <f>Year_2040!AH114/Year_2032!AH114</f>
        <v>1.1184417550715593</v>
      </c>
      <c r="AI111">
        <f>Year_2040!AI114/Year_2032!AI114</f>
        <v>1.1179974182727868</v>
      </c>
      <c r="AJ111">
        <f>Year_2040!AJ114/Year_2032!AJ114</f>
        <v>1.0000442456848166</v>
      </c>
      <c r="AK111">
        <f>Year_2040!AK114/Year_2032!AK114</f>
        <v>0.96523344200023842</v>
      </c>
      <c r="AL111" t="e">
        <f>Year_2040!AL114/Year_2032!AL114</f>
        <v>#DIV/0!</v>
      </c>
      <c r="AM111" t="e">
        <f>Year_2040!AM114/Year_2032!AM114</f>
        <v>#DIV/0!</v>
      </c>
      <c r="AN111" t="e">
        <f>Year_2040!AN114/Year_2032!AN114</f>
        <v>#VALUE!</v>
      </c>
      <c r="AO111">
        <f>Year_2040!AO114/Year_2032!AO114</f>
        <v>1.8111658456486042</v>
      </c>
      <c r="AP111">
        <f>Year_2040!AP114/Year_2032!AP114</f>
        <v>1.8520599250936332</v>
      </c>
      <c r="AQ111">
        <f>Year_2040!AQ114/Year_2032!AQ114</f>
        <v>1.8446026097271651</v>
      </c>
      <c r="AR111">
        <f>Year_2040!AR114/Year_2032!AR114</f>
        <v>1.68</v>
      </c>
      <c r="AS111">
        <f>Year_2040!AS114/Year_2032!AS114</f>
        <v>1.7010607521697205</v>
      </c>
      <c r="AT111">
        <f>Year_2040!AT114/Year_2032!AT114</f>
        <v>1.8322295805739515</v>
      </c>
      <c r="AU111">
        <f>Year_2040!AU114/Year_2032!AU114</f>
        <v>1.7579545454545453</v>
      </c>
      <c r="AV111">
        <f>Year_2040!AV114/Year_2032!AV114</f>
        <v>1.000748502994012</v>
      </c>
      <c r="AW111">
        <f>Year_2040!AW114/Year_2032!AW114</f>
        <v>1.4789915966386555</v>
      </c>
      <c r="AX111">
        <f>Year_2040!AX114/Year_2032!AX114</f>
        <v>1.2173913043478262</v>
      </c>
    </row>
    <row r="112" spans="2:50" x14ac:dyDescent="0.3">
      <c r="B112">
        <f>Year_2032!B115</f>
        <v>0</v>
      </c>
      <c r="C112" t="e">
        <f>Year_2040!C115/Year_2032!C115</f>
        <v>#DIV/0!</v>
      </c>
      <c r="D112" t="e">
        <f>Year_2040!D115/Year_2032!D115</f>
        <v>#DIV/0!</v>
      </c>
      <c r="E112" t="e">
        <f>Year_2040!E115/Year_2032!E115</f>
        <v>#DIV/0!</v>
      </c>
      <c r="F112" t="e">
        <f>Year_2040!F115/Year_2032!F115</f>
        <v>#DIV/0!</v>
      </c>
      <c r="G112" t="e">
        <f>Year_2040!G115/Year_2032!G115</f>
        <v>#DIV/0!</v>
      </c>
      <c r="H112" t="e">
        <f>Year_2040!H115/Year_2032!H115</f>
        <v>#DIV/0!</v>
      </c>
      <c r="I112" t="e">
        <f>Year_2040!I115/Year_2032!I115</f>
        <v>#DIV/0!</v>
      </c>
      <c r="J112" t="e">
        <f>Year_2040!J115/Year_2032!J115</f>
        <v>#DIV/0!</v>
      </c>
      <c r="K112" t="e">
        <f>Year_2040!K115/Year_2032!K115</f>
        <v>#DIV/0!</v>
      </c>
      <c r="L112" t="e">
        <f>Year_2040!L115/Year_2032!L115</f>
        <v>#DIV/0!</v>
      </c>
      <c r="M112" t="e">
        <f>Year_2040!M115/Year_2032!M115</f>
        <v>#DIV/0!</v>
      </c>
      <c r="N112">
        <f>Year_2040!N115</f>
        <v>0</v>
      </c>
      <c r="O112" t="e">
        <f>Year_2040!O115/Year_2032!O115</f>
        <v>#DIV/0!</v>
      </c>
      <c r="P112" t="e">
        <f>Year_2040!P115/Year_2032!P115</f>
        <v>#DIV/0!</v>
      </c>
      <c r="Q112" t="e">
        <f>Year_2040!Q115/Year_2032!Q115</f>
        <v>#DIV/0!</v>
      </c>
      <c r="R112" t="e">
        <f>Year_2040!R115/Year_2032!R115</f>
        <v>#DIV/0!</v>
      </c>
      <c r="S112" t="e">
        <f>Year_2040!S115/Year_2032!S115</f>
        <v>#DIV/0!</v>
      </c>
      <c r="T112" t="e">
        <f>Year_2040!T115/Year_2032!T115</f>
        <v>#DIV/0!</v>
      </c>
      <c r="U112" t="e">
        <f>Year_2040!U115/Year_2032!U115</f>
        <v>#DIV/0!</v>
      </c>
      <c r="V112" t="e">
        <f>Year_2040!V115/Year_2032!V115</f>
        <v>#DIV/0!</v>
      </c>
      <c r="W112" t="e">
        <f>Year_2040!W115/Year_2032!W115</f>
        <v>#DIV/0!</v>
      </c>
      <c r="X112" t="e">
        <f>Year_2040!X115/Year_2032!X115</f>
        <v>#DIV/0!</v>
      </c>
      <c r="Y112" t="e">
        <f>Year_2040!Y115/Year_2032!Y115</f>
        <v>#DIV/0!</v>
      </c>
      <c r="Z112" t="e">
        <f>Year_2040!Z115/Year_2032!Z115</f>
        <v>#DIV/0!</v>
      </c>
      <c r="AA112" t="e">
        <f>Year_2040!AA115/Year_2032!AA115</f>
        <v>#DIV/0!</v>
      </c>
      <c r="AB112" t="e">
        <f>Year_2040!AB115/Year_2032!AB115</f>
        <v>#DIV/0!</v>
      </c>
      <c r="AC112" t="e">
        <f>Year_2040!AC115/Year_2032!AC115</f>
        <v>#DIV/0!</v>
      </c>
      <c r="AD112" t="e">
        <f>Year_2040!AD115/Year_2032!AD115</f>
        <v>#DIV/0!</v>
      </c>
      <c r="AE112" t="e">
        <f>Year_2040!AE115/Year_2032!AE115</f>
        <v>#DIV/0!</v>
      </c>
      <c r="AF112" t="e">
        <f>Year_2040!AF115/Year_2032!AF115</f>
        <v>#DIV/0!</v>
      </c>
      <c r="AG112" t="e">
        <f>Year_2040!AG115/Year_2032!AG115</f>
        <v>#DIV/0!</v>
      </c>
      <c r="AH112" t="e">
        <f>Year_2040!AH115/Year_2032!AH115</f>
        <v>#DIV/0!</v>
      </c>
      <c r="AI112" t="e">
        <f>Year_2040!AI115/Year_2032!AI115</f>
        <v>#DIV/0!</v>
      </c>
      <c r="AJ112" t="e">
        <f>Year_2040!AJ115/Year_2032!AJ115</f>
        <v>#DIV/0!</v>
      </c>
      <c r="AK112" t="e">
        <f>Year_2040!AK115/Year_2032!AK115</f>
        <v>#DIV/0!</v>
      </c>
      <c r="AL112" t="e">
        <f>Year_2040!AL115/Year_2032!AL115</f>
        <v>#DIV/0!</v>
      </c>
      <c r="AM112" t="e">
        <f>Year_2040!AM115/Year_2032!AM115</f>
        <v>#DIV/0!</v>
      </c>
      <c r="AN112" t="e">
        <f>Year_2040!AN115/Year_2032!AN115</f>
        <v>#DIV/0!</v>
      </c>
      <c r="AO112" t="e">
        <f>Year_2040!AO115/Year_2032!AO115</f>
        <v>#DIV/0!</v>
      </c>
      <c r="AP112" t="e">
        <f>Year_2040!AP115/Year_2032!AP115</f>
        <v>#DIV/0!</v>
      </c>
      <c r="AQ112" t="e">
        <f>Year_2040!AQ115/Year_2032!AQ115</f>
        <v>#DIV/0!</v>
      </c>
      <c r="AR112" t="e">
        <f>Year_2040!AR115/Year_2032!AR115</f>
        <v>#DIV/0!</v>
      </c>
      <c r="AS112" t="e">
        <f>Year_2040!AS115/Year_2032!AS115</f>
        <v>#DIV/0!</v>
      </c>
      <c r="AT112" t="e">
        <f>Year_2040!AT115/Year_2032!AT115</f>
        <v>#DIV/0!</v>
      </c>
      <c r="AU112" t="e">
        <f>Year_2040!AU115/Year_2032!AU115</f>
        <v>#DIV/0!</v>
      </c>
      <c r="AV112" t="e">
        <f>Year_2040!AV115/Year_2032!AV115</f>
        <v>#DIV/0!</v>
      </c>
      <c r="AW112" t="e">
        <f>Year_2040!AW115/Year_2032!AW115</f>
        <v>#DIV/0!</v>
      </c>
      <c r="AX112" t="e">
        <f>Year_2040!AX115/Year_2032!AX115</f>
        <v>#DIV/0!</v>
      </c>
    </row>
    <row r="113" spans="2:50" x14ac:dyDescent="0.3">
      <c r="B113">
        <f>Year_2032!B116</f>
        <v>0</v>
      </c>
      <c r="C113" t="e">
        <f>Year_2040!C116/Year_2032!C116</f>
        <v>#DIV/0!</v>
      </c>
      <c r="D113" t="e">
        <f>Year_2040!D116/Year_2032!D116</f>
        <v>#DIV/0!</v>
      </c>
      <c r="E113" t="e">
        <f>Year_2040!E116/Year_2032!E116</f>
        <v>#DIV/0!</v>
      </c>
      <c r="F113" t="e">
        <f>Year_2040!F116/Year_2032!F116</f>
        <v>#DIV/0!</v>
      </c>
      <c r="G113" t="e">
        <f>Year_2040!G116/Year_2032!G116</f>
        <v>#DIV/0!</v>
      </c>
      <c r="H113" t="e">
        <f>Year_2040!H116/Year_2032!H116</f>
        <v>#DIV/0!</v>
      </c>
      <c r="I113" t="e">
        <f>Year_2040!I116/Year_2032!I116</f>
        <v>#DIV/0!</v>
      </c>
      <c r="J113" t="e">
        <f>Year_2040!J116/Year_2032!J116</f>
        <v>#DIV/0!</v>
      </c>
      <c r="K113" t="e">
        <f>Year_2040!K116/Year_2032!K116</f>
        <v>#DIV/0!</v>
      </c>
      <c r="L113" t="e">
        <f>Year_2040!L116/Year_2032!L116</f>
        <v>#DIV/0!</v>
      </c>
      <c r="M113" t="e">
        <f>Year_2040!M116/Year_2032!M116</f>
        <v>#DIV/0!</v>
      </c>
      <c r="N113">
        <f>Year_2040!N116</f>
        <v>0</v>
      </c>
      <c r="O113" t="e">
        <f>Year_2040!O116/Year_2032!O116</f>
        <v>#DIV/0!</v>
      </c>
      <c r="P113" t="e">
        <f>Year_2040!P116/Year_2032!P116</f>
        <v>#DIV/0!</v>
      </c>
      <c r="Q113" t="e">
        <f>Year_2040!Q116/Year_2032!Q116</f>
        <v>#DIV/0!</v>
      </c>
      <c r="R113" t="e">
        <f>Year_2040!R116/Year_2032!R116</f>
        <v>#DIV/0!</v>
      </c>
      <c r="S113" t="e">
        <f>Year_2040!S116/Year_2032!S116</f>
        <v>#DIV/0!</v>
      </c>
      <c r="T113" t="e">
        <f>Year_2040!T116/Year_2032!T116</f>
        <v>#DIV/0!</v>
      </c>
      <c r="U113" t="e">
        <f>Year_2040!U116/Year_2032!U116</f>
        <v>#DIV/0!</v>
      </c>
      <c r="V113" t="e">
        <f>Year_2040!V116/Year_2032!V116</f>
        <v>#DIV/0!</v>
      </c>
      <c r="W113" t="e">
        <f>Year_2040!W116/Year_2032!W116</f>
        <v>#DIV/0!</v>
      </c>
      <c r="X113" t="e">
        <f>Year_2040!X116/Year_2032!X116</f>
        <v>#DIV/0!</v>
      </c>
      <c r="Y113" t="e">
        <f>Year_2040!Y116/Year_2032!Y116</f>
        <v>#DIV/0!</v>
      </c>
      <c r="Z113" t="e">
        <f>Year_2040!Z116/Year_2032!Z116</f>
        <v>#DIV/0!</v>
      </c>
      <c r="AA113" t="e">
        <f>Year_2040!AA116/Year_2032!AA116</f>
        <v>#DIV/0!</v>
      </c>
      <c r="AB113" t="e">
        <f>Year_2040!AB116/Year_2032!AB116</f>
        <v>#DIV/0!</v>
      </c>
      <c r="AC113" t="e">
        <f>Year_2040!AC116/Year_2032!AC116</f>
        <v>#DIV/0!</v>
      </c>
      <c r="AD113" t="e">
        <f>Year_2040!AD116/Year_2032!AD116</f>
        <v>#DIV/0!</v>
      </c>
      <c r="AE113" t="e">
        <f>Year_2040!AE116/Year_2032!AE116</f>
        <v>#DIV/0!</v>
      </c>
      <c r="AF113" t="e">
        <f>Year_2040!AF116/Year_2032!AF116</f>
        <v>#DIV/0!</v>
      </c>
      <c r="AG113" t="e">
        <f>Year_2040!AG116/Year_2032!AG116</f>
        <v>#DIV/0!</v>
      </c>
      <c r="AH113" t="e">
        <f>Year_2040!AH116/Year_2032!AH116</f>
        <v>#DIV/0!</v>
      </c>
      <c r="AI113" t="e">
        <f>Year_2040!AI116/Year_2032!AI116</f>
        <v>#DIV/0!</v>
      </c>
      <c r="AJ113" t="e">
        <f>Year_2040!AJ116/Year_2032!AJ116</f>
        <v>#DIV/0!</v>
      </c>
      <c r="AK113" t="e">
        <f>Year_2040!AK116/Year_2032!AK116</f>
        <v>#DIV/0!</v>
      </c>
      <c r="AL113" t="e">
        <f>Year_2040!AL116/Year_2032!AL116</f>
        <v>#DIV/0!</v>
      </c>
      <c r="AM113" t="e">
        <f>Year_2040!AM116/Year_2032!AM116</f>
        <v>#DIV/0!</v>
      </c>
      <c r="AN113" t="e">
        <f>Year_2040!AN116/Year_2032!AN116</f>
        <v>#DIV/0!</v>
      </c>
      <c r="AO113" t="e">
        <f>Year_2040!AO116/Year_2032!AO116</f>
        <v>#DIV/0!</v>
      </c>
      <c r="AP113" t="e">
        <f>Year_2040!AP116/Year_2032!AP116</f>
        <v>#DIV/0!</v>
      </c>
      <c r="AQ113" t="e">
        <f>Year_2040!AQ116/Year_2032!AQ116</f>
        <v>#DIV/0!</v>
      </c>
      <c r="AR113" t="e">
        <f>Year_2040!AR116/Year_2032!AR116</f>
        <v>#DIV/0!</v>
      </c>
      <c r="AS113" t="e">
        <f>Year_2040!AS116/Year_2032!AS116</f>
        <v>#DIV/0!</v>
      </c>
      <c r="AT113" t="e">
        <f>Year_2040!AT116/Year_2032!AT116</f>
        <v>#DIV/0!</v>
      </c>
      <c r="AU113" t="e">
        <f>Year_2040!AU116/Year_2032!AU116</f>
        <v>#DIV/0!</v>
      </c>
      <c r="AV113" t="e">
        <f>Year_2040!AV116/Year_2032!AV116</f>
        <v>#DIV/0!</v>
      </c>
      <c r="AW113" t="e">
        <f>Year_2040!AW116/Year_2032!AW116</f>
        <v>#DIV/0!</v>
      </c>
      <c r="AX113" t="e">
        <f>Year_2040!AX116/Year_2032!AX116</f>
        <v>#DIV/0!</v>
      </c>
    </row>
    <row r="114" spans="2:50" x14ac:dyDescent="0.3">
      <c r="B114">
        <f>Year_2032!B117</f>
        <v>0</v>
      </c>
      <c r="C114" t="e">
        <f>Year_2040!C117/Year_2032!C117</f>
        <v>#DIV/0!</v>
      </c>
      <c r="D114" t="e">
        <f>Year_2040!D117/Year_2032!D117</f>
        <v>#DIV/0!</v>
      </c>
      <c r="E114" t="e">
        <f>Year_2040!E117/Year_2032!E117</f>
        <v>#DIV/0!</v>
      </c>
      <c r="F114" t="e">
        <f>Year_2040!F117/Year_2032!F117</f>
        <v>#DIV/0!</v>
      </c>
      <c r="G114" t="e">
        <f>Year_2040!G117/Year_2032!G117</f>
        <v>#DIV/0!</v>
      </c>
      <c r="H114" t="e">
        <f>Year_2040!H117/Year_2032!H117</f>
        <v>#DIV/0!</v>
      </c>
      <c r="I114" t="e">
        <f>Year_2040!I117/Year_2032!I117</f>
        <v>#DIV/0!</v>
      </c>
      <c r="J114" t="e">
        <f>Year_2040!J117/Year_2032!J117</f>
        <v>#DIV/0!</v>
      </c>
      <c r="K114" t="e">
        <f>Year_2040!K117/Year_2032!K117</f>
        <v>#DIV/0!</v>
      </c>
      <c r="L114" t="e">
        <f>Year_2040!L117/Year_2032!L117</f>
        <v>#DIV/0!</v>
      </c>
      <c r="M114" t="e">
        <f>Year_2040!M117/Year_2032!M117</f>
        <v>#DIV/0!</v>
      </c>
      <c r="N114" t="str">
        <f>Year_2040!N117</f>
        <v>ML medium A veh.Miles</v>
      </c>
      <c r="O114" t="e">
        <f>Year_2040!O117/Year_2032!O117</f>
        <v>#DIV/0!</v>
      </c>
      <c r="P114" t="e">
        <f>Year_2040!P117/Year_2032!P117</f>
        <v>#DIV/0!</v>
      </c>
      <c r="Q114" t="e">
        <f>Year_2040!Q117/Year_2032!Q117</f>
        <v>#DIV/0!</v>
      </c>
      <c r="R114" t="e">
        <f>Year_2040!R117/Year_2032!R117</f>
        <v>#DIV/0!</v>
      </c>
      <c r="S114" t="e">
        <f>Year_2040!S117/Year_2032!S117</f>
        <v>#DIV/0!</v>
      </c>
      <c r="T114" t="e">
        <f>Year_2040!T117/Year_2032!T117</f>
        <v>#DIV/0!</v>
      </c>
      <c r="U114" t="e">
        <f>Year_2040!U117/Year_2032!U117</f>
        <v>#DIV/0!</v>
      </c>
      <c r="V114" t="e">
        <f>Year_2040!V117/Year_2032!V117</f>
        <v>#DIV/0!</v>
      </c>
      <c r="W114" t="e">
        <f>Year_2040!W117/Year_2032!W117</f>
        <v>#DIV/0!</v>
      </c>
      <c r="X114" t="e">
        <f>Year_2040!X117/Year_2032!X117</f>
        <v>#DIV/0!</v>
      </c>
      <c r="Y114" t="e">
        <f>Year_2040!Y117/Year_2032!Y117</f>
        <v>#DIV/0!</v>
      </c>
      <c r="Z114" t="e">
        <f>Year_2040!Z117/Year_2032!Z117</f>
        <v>#DIV/0!</v>
      </c>
      <c r="AA114" t="e">
        <f>Year_2040!AA117/Year_2032!AA117</f>
        <v>#VALUE!</v>
      </c>
      <c r="AB114" t="e">
        <f>Year_2040!AB117/Year_2032!AB117</f>
        <v>#DIV/0!</v>
      </c>
      <c r="AC114" t="e">
        <f>Year_2040!AC117/Year_2032!AC117</f>
        <v>#DIV/0!</v>
      </c>
      <c r="AD114" t="e">
        <f>Year_2040!AD117/Year_2032!AD117</f>
        <v>#DIV/0!</v>
      </c>
      <c r="AE114" t="e">
        <f>Year_2040!AE117/Year_2032!AE117</f>
        <v>#DIV/0!</v>
      </c>
      <c r="AF114" t="e">
        <f>Year_2040!AF117/Year_2032!AF117</f>
        <v>#DIV/0!</v>
      </c>
      <c r="AG114" t="e">
        <f>Year_2040!AG117/Year_2032!AG117</f>
        <v>#DIV/0!</v>
      </c>
      <c r="AH114" t="e">
        <f>Year_2040!AH117/Year_2032!AH117</f>
        <v>#DIV/0!</v>
      </c>
      <c r="AI114" t="e">
        <f>Year_2040!AI117/Year_2032!AI117</f>
        <v>#DIV/0!</v>
      </c>
      <c r="AJ114" t="e">
        <f>Year_2040!AJ117/Year_2032!AJ117</f>
        <v>#DIV/0!</v>
      </c>
      <c r="AK114" t="e">
        <f>Year_2040!AK117/Year_2032!AK117</f>
        <v>#DIV/0!</v>
      </c>
      <c r="AL114" t="e">
        <f>Year_2040!AL117/Year_2032!AL117</f>
        <v>#DIV/0!</v>
      </c>
      <c r="AM114" t="e">
        <f>Year_2040!AM117/Year_2032!AM117</f>
        <v>#DIV/0!</v>
      </c>
      <c r="AN114" t="e">
        <f>Year_2040!AN117/Year_2032!AN117</f>
        <v>#VALUE!</v>
      </c>
      <c r="AO114" t="e">
        <f>Year_2040!AO117/Year_2032!AO117</f>
        <v>#DIV/0!</v>
      </c>
      <c r="AP114" t="e">
        <f>Year_2040!AP117/Year_2032!AP117</f>
        <v>#DIV/0!</v>
      </c>
      <c r="AQ114" t="e">
        <f>Year_2040!AQ117/Year_2032!AQ117</f>
        <v>#DIV/0!</v>
      </c>
      <c r="AR114" t="e">
        <f>Year_2040!AR117/Year_2032!AR117</f>
        <v>#DIV/0!</v>
      </c>
      <c r="AS114" t="e">
        <f>Year_2040!AS117/Year_2032!AS117</f>
        <v>#DIV/0!</v>
      </c>
      <c r="AT114" t="e">
        <f>Year_2040!AT117/Year_2032!AT117</f>
        <v>#DIV/0!</v>
      </c>
      <c r="AU114" t="e">
        <f>Year_2040!AU117/Year_2032!AU117</f>
        <v>#DIV/0!</v>
      </c>
      <c r="AV114" t="e">
        <f>Year_2040!AV117/Year_2032!AV117</f>
        <v>#DIV/0!</v>
      </c>
      <c r="AW114" t="e">
        <f>Year_2040!AW117/Year_2032!AW117</f>
        <v>#DIV/0!</v>
      </c>
      <c r="AX114" t="e">
        <f>Year_2040!AX117/Year_2032!AX117</f>
        <v>#DIV/0!</v>
      </c>
    </row>
    <row r="115" spans="2:50" x14ac:dyDescent="0.3">
      <c r="B115">
        <f>Year_2032!B118</f>
        <v>0</v>
      </c>
      <c r="C115" t="e">
        <f>Year_2040!C118/Year_2032!C118</f>
        <v>#DIV/0!</v>
      </c>
      <c r="D115" t="e">
        <f>Year_2040!D118/Year_2032!D118</f>
        <v>#DIV/0!</v>
      </c>
      <c r="E115" t="e">
        <f>Year_2040!E118/Year_2032!E118</f>
        <v>#DIV/0!</v>
      </c>
      <c r="F115" t="e">
        <f>Year_2040!F118/Year_2032!F118</f>
        <v>#DIV/0!</v>
      </c>
      <c r="G115" t="e">
        <f>Year_2040!G118/Year_2032!G118</f>
        <v>#DIV/0!</v>
      </c>
      <c r="H115" t="e">
        <f>Year_2040!H118/Year_2032!H118</f>
        <v>#DIV/0!</v>
      </c>
      <c r="I115" t="e">
        <f>Year_2040!I118/Year_2032!I118</f>
        <v>#DIV/0!</v>
      </c>
      <c r="J115" t="e">
        <f>Year_2040!J118/Year_2032!J118</f>
        <v>#DIV/0!</v>
      </c>
      <c r="K115" t="e">
        <f>Year_2040!K118/Year_2032!K118</f>
        <v>#DIV/0!</v>
      </c>
      <c r="L115" t="e">
        <f>Year_2040!L118/Year_2032!L118</f>
        <v>#DIV/0!</v>
      </c>
      <c r="M115" t="e">
        <f>Year_2040!M118/Year_2032!M118</f>
        <v>#DIV/0!</v>
      </c>
      <c r="N115" t="str">
        <f>Year_2040!N118</f>
        <v>Direction</v>
      </c>
      <c r="O115" t="e">
        <f>Year_2040!O118/Year_2032!O118</f>
        <v>#VALUE!</v>
      </c>
      <c r="P115" t="e">
        <f>Year_2040!P118/Year_2032!P118</f>
        <v>#DIV/0!</v>
      </c>
      <c r="Q115" t="e">
        <f>Year_2040!Q118/Year_2032!Q118</f>
        <v>#DIV/0!</v>
      </c>
      <c r="R115" t="e">
        <f>Year_2040!R118/Year_2032!R118</f>
        <v>#DIV/0!</v>
      </c>
      <c r="S115" t="e">
        <f>Year_2040!S118/Year_2032!S118</f>
        <v>#DIV/0!</v>
      </c>
      <c r="T115" t="e">
        <f>Year_2040!T118/Year_2032!T118</f>
        <v>#VALUE!</v>
      </c>
      <c r="U115" t="e">
        <f>Year_2040!U118/Year_2032!U118</f>
        <v>#DIV/0!</v>
      </c>
      <c r="V115" t="e">
        <f>Year_2040!V118/Year_2032!V118</f>
        <v>#DIV/0!</v>
      </c>
      <c r="W115" t="e">
        <f>Year_2040!W118/Year_2032!W118</f>
        <v>#DIV/0!</v>
      </c>
      <c r="X115" t="e">
        <f>Year_2040!X118/Year_2032!X118</f>
        <v>#DIV/0!</v>
      </c>
      <c r="Y115" t="e">
        <f>Year_2040!Y118/Year_2032!Y118</f>
        <v>#DIV/0!</v>
      </c>
      <c r="Z115" t="e">
        <f>Year_2040!Z118/Year_2032!Z118</f>
        <v>#DIV/0!</v>
      </c>
      <c r="AA115" t="e">
        <f>Year_2040!AA118/Year_2032!AA118</f>
        <v>#VALUE!</v>
      </c>
      <c r="AB115" t="e">
        <f>Year_2040!AB118/Year_2032!AB118</f>
        <v>#VALUE!</v>
      </c>
      <c r="AC115" t="e">
        <f>Year_2040!AC118/Year_2032!AC118</f>
        <v>#DIV/0!</v>
      </c>
      <c r="AD115" t="e">
        <f>Year_2040!AD118/Year_2032!AD118</f>
        <v>#DIV/0!</v>
      </c>
      <c r="AE115" t="e">
        <f>Year_2040!AE118/Year_2032!AE118</f>
        <v>#DIV/0!</v>
      </c>
      <c r="AF115" t="e">
        <f>Year_2040!AF118/Year_2032!AF118</f>
        <v>#DIV/0!</v>
      </c>
      <c r="AG115" t="e">
        <f>Year_2040!AG118/Year_2032!AG118</f>
        <v>#VALUE!</v>
      </c>
      <c r="AH115" t="e">
        <f>Year_2040!AH118/Year_2032!AH118</f>
        <v>#DIV/0!</v>
      </c>
      <c r="AI115" t="e">
        <f>Year_2040!AI118/Year_2032!AI118</f>
        <v>#DIV/0!</v>
      </c>
      <c r="AJ115" t="e">
        <f>Year_2040!AJ118/Year_2032!AJ118</f>
        <v>#DIV/0!</v>
      </c>
      <c r="AK115" t="e">
        <f>Year_2040!AK118/Year_2032!AK118</f>
        <v>#DIV/0!</v>
      </c>
      <c r="AL115" t="e">
        <f>Year_2040!AL118/Year_2032!AL118</f>
        <v>#DIV/0!</v>
      </c>
      <c r="AM115" t="e">
        <f>Year_2040!AM118/Year_2032!AM118</f>
        <v>#DIV/0!</v>
      </c>
      <c r="AN115" t="e">
        <f>Year_2040!AN118/Year_2032!AN118</f>
        <v>#VALUE!</v>
      </c>
      <c r="AO115" t="e">
        <f>Year_2040!AO118/Year_2032!AO118</f>
        <v>#VALUE!</v>
      </c>
      <c r="AP115" t="e">
        <f>Year_2040!AP118/Year_2032!AP118</f>
        <v>#VALUE!</v>
      </c>
      <c r="AQ115" t="e">
        <f>Year_2040!AQ118/Year_2032!AQ118</f>
        <v>#VALUE!</v>
      </c>
      <c r="AR115" t="e">
        <f>Year_2040!AR118/Year_2032!AR118</f>
        <v>#VALUE!</v>
      </c>
      <c r="AS115" t="e">
        <f>Year_2040!AS118/Year_2032!AS118</f>
        <v>#VALUE!</v>
      </c>
      <c r="AT115" t="e">
        <f>Year_2040!AT118/Year_2032!AT118</f>
        <v>#VALUE!</v>
      </c>
      <c r="AU115" t="e">
        <f>Year_2040!AU118/Year_2032!AU118</f>
        <v>#VALUE!</v>
      </c>
      <c r="AV115" t="e">
        <f>Year_2040!AV118/Year_2032!AV118</f>
        <v>#VALUE!</v>
      </c>
      <c r="AW115" t="e">
        <f>Year_2040!AW118/Year_2032!AW118</f>
        <v>#VALUE!</v>
      </c>
      <c r="AX115" t="e">
        <f>Year_2040!AX118/Year_2032!AX118</f>
        <v>#VALUE!</v>
      </c>
    </row>
    <row r="116" spans="2:50" x14ac:dyDescent="0.3">
      <c r="B116">
        <f>Year_2032!B119</f>
        <v>0</v>
      </c>
      <c r="C116" t="e">
        <f>Year_2040!C119/Year_2032!C119</f>
        <v>#DIV/0!</v>
      </c>
      <c r="D116" t="e">
        <f>Year_2040!D119/Year_2032!D119</f>
        <v>#DIV/0!</v>
      </c>
      <c r="E116" t="e">
        <f>Year_2040!E119/Year_2032!E119</f>
        <v>#DIV/0!</v>
      </c>
      <c r="F116" t="e">
        <f>Year_2040!F119/Year_2032!F119</f>
        <v>#DIV/0!</v>
      </c>
      <c r="G116" t="e">
        <f>Year_2040!G119/Year_2032!G119</f>
        <v>#DIV/0!</v>
      </c>
      <c r="H116" t="e">
        <f>Year_2040!H119/Year_2032!H119</f>
        <v>#DIV/0!</v>
      </c>
      <c r="I116" t="e">
        <f>Year_2040!I119/Year_2032!I119</f>
        <v>#DIV/0!</v>
      </c>
      <c r="J116" t="e">
        <f>Year_2040!J119/Year_2032!J119</f>
        <v>#DIV/0!</v>
      </c>
      <c r="K116" t="e">
        <f>Year_2040!K119/Year_2032!K119</f>
        <v>#DIV/0!</v>
      </c>
      <c r="L116" t="e">
        <f>Year_2040!L119/Year_2032!L119</f>
        <v>#DIV/0!</v>
      </c>
      <c r="M116" t="e">
        <f>Year_2040!M119/Year_2032!M119</f>
        <v>#DIV/0!</v>
      </c>
      <c r="N116" t="str">
        <f>Year_2040!N119</f>
        <v>Segment</v>
      </c>
      <c r="O116">
        <f>Year_2040!O119/Year_2032!O119</f>
        <v>1</v>
      </c>
      <c r="P116">
        <f>Year_2040!P119/Year_2032!P119</f>
        <v>1</v>
      </c>
      <c r="Q116">
        <f>Year_2040!Q119/Year_2032!Q119</f>
        <v>1</v>
      </c>
      <c r="R116">
        <f>Year_2040!R119/Year_2032!R119</f>
        <v>1</v>
      </c>
      <c r="S116">
        <f>Year_2040!S119/Year_2032!S119</f>
        <v>1</v>
      </c>
      <c r="T116">
        <f>Year_2040!T119/Year_2032!T119</f>
        <v>1</v>
      </c>
      <c r="U116">
        <f>Year_2040!U119/Year_2032!U119</f>
        <v>1</v>
      </c>
      <c r="V116">
        <f>Year_2040!V119/Year_2032!V119</f>
        <v>1</v>
      </c>
      <c r="W116">
        <f>Year_2040!W119/Year_2032!W119</f>
        <v>1</v>
      </c>
      <c r="X116">
        <f>Year_2040!X119/Year_2032!X119</f>
        <v>1</v>
      </c>
      <c r="Y116" t="e">
        <f>Year_2040!Y119/Year_2032!Y119</f>
        <v>#DIV/0!</v>
      </c>
      <c r="Z116" t="e">
        <f>Year_2040!Z119/Year_2032!Z119</f>
        <v>#DIV/0!</v>
      </c>
      <c r="AA116" t="e">
        <f>Year_2040!AA119/Year_2032!AA119</f>
        <v>#VALUE!</v>
      </c>
      <c r="AB116">
        <f>Year_2040!AB119/Year_2032!AB119</f>
        <v>1</v>
      </c>
      <c r="AC116">
        <f>Year_2040!AC119/Year_2032!AC119</f>
        <v>1</v>
      </c>
      <c r="AD116">
        <f>Year_2040!AD119/Year_2032!AD119</f>
        <v>1</v>
      </c>
      <c r="AE116">
        <f>Year_2040!AE119/Year_2032!AE119</f>
        <v>1</v>
      </c>
      <c r="AF116">
        <f>Year_2040!AF119/Year_2032!AF119</f>
        <v>1</v>
      </c>
      <c r="AG116">
        <f>Year_2040!AG119/Year_2032!AG119</f>
        <v>1</v>
      </c>
      <c r="AH116">
        <f>Year_2040!AH119/Year_2032!AH119</f>
        <v>1</v>
      </c>
      <c r="AI116">
        <f>Year_2040!AI119/Year_2032!AI119</f>
        <v>1</v>
      </c>
      <c r="AJ116">
        <f>Year_2040!AJ119/Year_2032!AJ119</f>
        <v>1</v>
      </c>
      <c r="AK116">
        <f>Year_2040!AK119/Year_2032!AK119</f>
        <v>1</v>
      </c>
      <c r="AL116" t="e">
        <f>Year_2040!AL119/Year_2032!AL119</f>
        <v>#DIV/0!</v>
      </c>
      <c r="AM116" t="e">
        <f>Year_2040!AM119/Year_2032!AM119</f>
        <v>#DIV/0!</v>
      </c>
      <c r="AN116" t="e">
        <f>Year_2040!AN119/Year_2032!AN119</f>
        <v>#VALUE!</v>
      </c>
      <c r="AO116">
        <f>Year_2040!AO119/Year_2032!AO119</f>
        <v>1</v>
      </c>
      <c r="AP116">
        <f>Year_2040!AP119/Year_2032!AP119</f>
        <v>1</v>
      </c>
      <c r="AQ116">
        <f>Year_2040!AQ119/Year_2032!AQ119</f>
        <v>1</v>
      </c>
      <c r="AR116">
        <f>Year_2040!AR119/Year_2032!AR119</f>
        <v>1</v>
      </c>
      <c r="AS116">
        <f>Year_2040!AS119/Year_2032!AS119</f>
        <v>1</v>
      </c>
      <c r="AT116">
        <f>Year_2040!AT119/Year_2032!AT119</f>
        <v>1</v>
      </c>
      <c r="AU116">
        <f>Year_2040!AU119/Year_2032!AU119</f>
        <v>1</v>
      </c>
      <c r="AV116">
        <f>Year_2040!AV119/Year_2032!AV119</f>
        <v>1</v>
      </c>
      <c r="AW116">
        <f>Year_2040!AW119/Year_2032!AW119</f>
        <v>1</v>
      </c>
      <c r="AX116">
        <f>Year_2040!AX119/Year_2032!AX119</f>
        <v>1</v>
      </c>
    </row>
    <row r="117" spans="2:50" x14ac:dyDescent="0.3">
      <c r="B117">
        <f>Year_2032!B120</f>
        <v>0</v>
      </c>
      <c r="C117" t="e">
        <f>Year_2040!C120/Year_2032!C120</f>
        <v>#DIV/0!</v>
      </c>
      <c r="D117" t="e">
        <f>Year_2040!D120/Year_2032!D120</f>
        <v>#DIV/0!</v>
      </c>
      <c r="E117" t="e">
        <f>Year_2040!E120/Year_2032!E120</f>
        <v>#DIV/0!</v>
      </c>
      <c r="F117" t="e">
        <f>Year_2040!F120/Year_2032!F120</f>
        <v>#DIV/0!</v>
      </c>
      <c r="G117" t="e">
        <f>Year_2040!G120/Year_2032!G120</f>
        <v>#DIV/0!</v>
      </c>
      <c r="H117" t="e">
        <f>Year_2040!H120/Year_2032!H120</f>
        <v>#DIV/0!</v>
      </c>
      <c r="I117" t="e">
        <f>Year_2040!I120/Year_2032!I120</f>
        <v>#DIV/0!</v>
      </c>
      <c r="J117" t="e">
        <f>Year_2040!J120/Year_2032!J120</f>
        <v>#DIV/0!</v>
      </c>
      <c r="K117" t="e">
        <f>Year_2040!K120/Year_2032!K120</f>
        <v>#DIV/0!</v>
      </c>
      <c r="L117" t="e">
        <f>Year_2040!L120/Year_2032!L120</f>
        <v>#DIV/0!</v>
      </c>
      <c r="M117" t="e">
        <f>Year_2040!M120/Year_2032!M120</f>
        <v>#DIV/0!</v>
      </c>
      <c r="N117" t="str">
        <f>Year_2040!N120</f>
        <v>Period</v>
      </c>
      <c r="O117" t="e">
        <f>Year_2040!O120/Year_2032!O120</f>
        <v>#DIV/0!</v>
      </c>
      <c r="P117" t="e">
        <f>Year_2040!P120/Year_2032!P120</f>
        <v>#DIV/0!</v>
      </c>
      <c r="Q117" t="e">
        <f>Year_2040!Q120/Year_2032!Q120</f>
        <v>#DIV/0!</v>
      </c>
      <c r="R117" t="e">
        <f>Year_2040!R120/Year_2032!R120</f>
        <v>#DIV/0!</v>
      </c>
      <c r="S117" t="e">
        <f>Year_2040!S120/Year_2032!S120</f>
        <v>#DIV/0!</v>
      </c>
      <c r="T117" t="e">
        <f>Year_2040!T120/Year_2032!T120</f>
        <v>#DIV/0!</v>
      </c>
      <c r="U117" t="e">
        <f>Year_2040!U120/Year_2032!U120</f>
        <v>#DIV/0!</v>
      </c>
      <c r="V117" t="e">
        <f>Year_2040!V120/Year_2032!V120</f>
        <v>#DIV/0!</v>
      </c>
      <c r="W117" t="e">
        <f>Year_2040!W120/Year_2032!W120</f>
        <v>#DIV/0!</v>
      </c>
      <c r="X117" t="e">
        <f>Year_2040!X120/Year_2032!X120</f>
        <v>#DIV/0!</v>
      </c>
      <c r="Y117" t="e">
        <f>Year_2040!Y120/Year_2032!Y120</f>
        <v>#DIV/0!</v>
      </c>
      <c r="Z117" t="e">
        <f>Year_2040!Z120/Year_2032!Z120</f>
        <v>#DIV/0!</v>
      </c>
      <c r="AA117" t="e">
        <f>Year_2040!AA120/Year_2032!AA120</f>
        <v>#VALUE!</v>
      </c>
      <c r="AB117" t="e">
        <f>Year_2040!AB120/Year_2032!AB120</f>
        <v>#DIV/0!</v>
      </c>
      <c r="AC117" t="e">
        <f>Year_2040!AC120/Year_2032!AC120</f>
        <v>#DIV/0!</v>
      </c>
      <c r="AD117" t="e">
        <f>Year_2040!AD120/Year_2032!AD120</f>
        <v>#DIV/0!</v>
      </c>
      <c r="AE117" t="e">
        <f>Year_2040!AE120/Year_2032!AE120</f>
        <v>#DIV/0!</v>
      </c>
      <c r="AF117" t="e">
        <f>Year_2040!AF120/Year_2032!AF120</f>
        <v>#DIV/0!</v>
      </c>
      <c r="AG117" t="e">
        <f>Year_2040!AG120/Year_2032!AG120</f>
        <v>#DIV/0!</v>
      </c>
      <c r="AH117" t="e">
        <f>Year_2040!AH120/Year_2032!AH120</f>
        <v>#DIV/0!</v>
      </c>
      <c r="AI117" t="e">
        <f>Year_2040!AI120/Year_2032!AI120</f>
        <v>#DIV/0!</v>
      </c>
      <c r="AJ117" t="e">
        <f>Year_2040!AJ120/Year_2032!AJ120</f>
        <v>#DIV/0!</v>
      </c>
      <c r="AK117" t="e">
        <f>Year_2040!AK120/Year_2032!AK120</f>
        <v>#DIV/0!</v>
      </c>
      <c r="AL117" t="e">
        <f>Year_2040!AL120/Year_2032!AL120</f>
        <v>#DIV/0!</v>
      </c>
      <c r="AM117" t="e">
        <f>Year_2040!AM120/Year_2032!AM120</f>
        <v>#DIV/0!</v>
      </c>
      <c r="AN117" t="e">
        <f>Year_2040!AN120/Year_2032!AN120</f>
        <v>#VALUE!</v>
      </c>
      <c r="AO117" t="e">
        <f>Year_2040!AO120/Year_2032!AO120</f>
        <v>#DIV/0!</v>
      </c>
      <c r="AP117" t="e">
        <f>Year_2040!AP120/Year_2032!AP120</f>
        <v>#DIV/0!</v>
      </c>
      <c r="AQ117" t="e">
        <f>Year_2040!AQ120/Year_2032!AQ120</f>
        <v>#DIV/0!</v>
      </c>
      <c r="AR117" t="e">
        <f>Year_2040!AR120/Year_2032!AR120</f>
        <v>#DIV/0!</v>
      </c>
      <c r="AS117" t="e">
        <f>Year_2040!AS120/Year_2032!AS120</f>
        <v>#DIV/0!</v>
      </c>
      <c r="AT117" t="e">
        <f>Year_2040!AT120/Year_2032!AT120</f>
        <v>#DIV/0!</v>
      </c>
      <c r="AU117" t="e">
        <f>Year_2040!AU120/Year_2032!AU120</f>
        <v>#DIV/0!</v>
      </c>
      <c r="AV117" t="e">
        <f>Year_2040!AV120/Year_2032!AV120</f>
        <v>#DIV/0!</v>
      </c>
      <c r="AW117" t="e">
        <f>Year_2040!AW120/Year_2032!AW120</f>
        <v>#DIV/0!</v>
      </c>
      <c r="AX117" t="e">
        <f>Year_2040!AX120/Year_2032!AX120</f>
        <v>#DIV/0!</v>
      </c>
    </row>
    <row r="118" spans="2:50" x14ac:dyDescent="0.3">
      <c r="B118">
        <f>Year_2032!B121</f>
        <v>0</v>
      </c>
      <c r="C118" t="e">
        <f>Year_2040!C121/Year_2032!C121</f>
        <v>#DIV/0!</v>
      </c>
      <c r="D118" t="e">
        <f>Year_2040!D121/Year_2032!D121</f>
        <v>#DIV/0!</v>
      </c>
      <c r="E118" t="e">
        <f>Year_2040!E121/Year_2032!E121</f>
        <v>#DIV/0!</v>
      </c>
      <c r="F118" t="e">
        <f>Year_2040!F121/Year_2032!F121</f>
        <v>#DIV/0!</v>
      </c>
      <c r="G118" t="e">
        <f>Year_2040!G121/Year_2032!G121</f>
        <v>#DIV/0!</v>
      </c>
      <c r="H118" t="e">
        <f>Year_2040!H121/Year_2032!H121</f>
        <v>#DIV/0!</v>
      </c>
      <c r="I118" t="e">
        <f>Year_2040!I121/Year_2032!I121</f>
        <v>#DIV/0!</v>
      </c>
      <c r="J118" t="e">
        <f>Year_2040!J121/Year_2032!J121</f>
        <v>#DIV/0!</v>
      </c>
      <c r="K118" t="e">
        <f>Year_2040!K121/Year_2032!K121</f>
        <v>#DIV/0!</v>
      </c>
      <c r="L118" t="e">
        <f>Year_2040!L121/Year_2032!L121</f>
        <v>#DIV/0!</v>
      </c>
      <c r="M118" t="e">
        <f>Year_2040!M121/Year_2032!M121</f>
        <v>#DIV/0!</v>
      </c>
      <c r="N118" t="str">
        <f>Year_2040!N121</f>
        <v>Night</v>
      </c>
      <c r="O118">
        <f>Year_2040!O121/Year_2032!O121</f>
        <v>1.0962077615464072</v>
      </c>
      <c r="P118">
        <f>Year_2040!P121/Year_2032!P121</f>
        <v>1.4137838562617324</v>
      </c>
      <c r="Q118">
        <f>Year_2040!Q121/Year_2032!Q121</f>
        <v>1.9003840614498322</v>
      </c>
      <c r="R118">
        <f>Year_2040!R121/Year_2032!R121</f>
        <v>1.1168704156479219</v>
      </c>
      <c r="S118">
        <f>Year_2040!S121/Year_2032!S121</f>
        <v>1.0162742382271468</v>
      </c>
      <c r="T118">
        <f>Year_2040!T121/Year_2032!T121</f>
        <v>1.2936688311688311</v>
      </c>
      <c r="U118">
        <f>Year_2040!U121/Year_2032!U121</f>
        <v>1.1102930127723516</v>
      </c>
      <c r="V118">
        <f>Year_2040!V121/Year_2032!V121</f>
        <v>1.8802850356294536</v>
      </c>
      <c r="W118">
        <f>Year_2040!W121/Year_2032!W121</f>
        <v>1.1161925601750546</v>
      </c>
      <c r="X118">
        <f>Year_2040!X121/Year_2032!X121</f>
        <v>0.99242424242424232</v>
      </c>
      <c r="Y118" t="e">
        <f>Year_2040!Y121/Year_2032!Y121</f>
        <v>#DIV/0!</v>
      </c>
      <c r="Z118" t="e">
        <f>Year_2040!Z121/Year_2032!Z121</f>
        <v>#DIV/0!</v>
      </c>
      <c r="AA118" t="e">
        <f>Year_2040!AA121/Year_2032!AA121</f>
        <v>#VALUE!</v>
      </c>
      <c r="AB118">
        <f>Year_2040!AB121/Year_2032!AB121</f>
        <v>1.1116383009732322</v>
      </c>
      <c r="AC118">
        <f>Year_2040!AC121/Year_2032!AC121</f>
        <v>1.0849670275535452</v>
      </c>
      <c r="AD118">
        <f>Year_2040!AD121/Year_2032!AD121</f>
        <v>1.06982472903168</v>
      </c>
      <c r="AE118">
        <f>Year_2040!AE121/Year_2032!AE121</f>
        <v>1.1168364195086409</v>
      </c>
      <c r="AF118">
        <f>Year_2040!AF121/Year_2032!AF121</f>
        <v>0.99824574499850693</v>
      </c>
      <c r="AG118">
        <f>Year_2040!AG121/Year_2032!AG121</f>
        <v>1.0938304120122302</v>
      </c>
      <c r="AH118">
        <f>Year_2040!AH121/Year_2032!AH121</f>
        <v>1.1104069314641742</v>
      </c>
      <c r="AI118">
        <f>Year_2040!AI121/Year_2032!AI121</f>
        <v>1.0705428904359258</v>
      </c>
      <c r="AJ118">
        <f>Year_2040!AJ121/Year_2032!AJ121</f>
        <v>1.1159679277669354</v>
      </c>
      <c r="AK118">
        <f>Year_2040!AK121/Year_2032!AK121</f>
        <v>1.0008222682421732</v>
      </c>
      <c r="AL118" t="e">
        <f>Year_2040!AL121/Year_2032!AL121</f>
        <v>#DIV/0!</v>
      </c>
      <c r="AM118" t="e">
        <f>Year_2040!AM121/Year_2032!AM121</f>
        <v>#DIV/0!</v>
      </c>
      <c r="AN118" t="e">
        <f>Year_2040!AN121/Year_2032!AN121</f>
        <v>#VALUE!</v>
      </c>
      <c r="AO118">
        <f>Year_2040!AO121/Year_2032!AO121</f>
        <v>0.53114413541707495</v>
      </c>
      <c r="AP118">
        <f>Year_2040!AP121/Year_2032!AP121</f>
        <v>0.53661422960569982</v>
      </c>
      <c r="AQ118">
        <f>Year_2040!AQ121/Year_2032!AQ121</f>
        <v>0.53579126731115567</v>
      </c>
      <c r="AR118">
        <f>Year_2040!AR121/Year_2032!AR121</f>
        <v>0.53362159073607429</v>
      </c>
      <c r="AS118">
        <f>Year_2040!AS121/Year_2032!AS121</f>
        <v>0.99954507544165616</v>
      </c>
      <c r="AT118">
        <f>Year_2040!AT121/Year_2032!AT121</f>
        <v>0.99969685486926874</v>
      </c>
      <c r="AU118">
        <f>Year_2040!AU121/Year_2032!AU121</f>
        <v>0.51198740984329749</v>
      </c>
      <c r="AV118">
        <f>Year_2040!AV121/Year_2032!AV121</f>
        <v>0.51258873539581706</v>
      </c>
      <c r="AW118">
        <f>Year_2040!AW121/Year_2032!AW121</f>
        <v>1.0046240794656618</v>
      </c>
      <c r="AX118">
        <f>Year_2040!AX121/Year_2032!AX121</f>
        <v>0.99826823359827022</v>
      </c>
    </row>
    <row r="119" spans="2:50" x14ac:dyDescent="0.3">
      <c r="B119">
        <f>Year_2032!B122</f>
        <v>0</v>
      </c>
      <c r="C119" t="e">
        <f>Year_2040!C122/Year_2032!C122</f>
        <v>#DIV/0!</v>
      </c>
      <c r="D119" t="e">
        <f>Year_2040!D122/Year_2032!D122</f>
        <v>#DIV/0!</v>
      </c>
      <c r="E119" t="e">
        <f>Year_2040!E122/Year_2032!E122</f>
        <v>#DIV/0!</v>
      </c>
      <c r="F119" t="e">
        <f>Year_2040!F122/Year_2032!F122</f>
        <v>#DIV/0!</v>
      </c>
      <c r="G119" t="e">
        <f>Year_2040!G122/Year_2032!G122</f>
        <v>#DIV/0!</v>
      </c>
      <c r="H119" t="e">
        <f>Year_2040!H122/Year_2032!H122</f>
        <v>#DIV/0!</v>
      </c>
      <c r="I119" t="e">
        <f>Year_2040!I122/Year_2032!I122</f>
        <v>#DIV/0!</v>
      </c>
      <c r="J119" t="e">
        <f>Year_2040!J122/Year_2032!J122</f>
        <v>#DIV/0!</v>
      </c>
      <c r="K119" t="e">
        <f>Year_2040!K122/Year_2032!K122</f>
        <v>#DIV/0!</v>
      </c>
      <c r="L119" t="e">
        <f>Year_2040!L122/Year_2032!L122</f>
        <v>#DIV/0!</v>
      </c>
      <c r="M119" t="e">
        <f>Year_2040!M122/Year_2032!M122</f>
        <v>#DIV/0!</v>
      </c>
      <c r="N119" t="str">
        <f>Year_2040!N122</f>
        <v>AM-Early</v>
      </c>
      <c r="O119">
        <f>Year_2040!O122/Year_2032!O122</f>
        <v>1.2946197226032616</v>
      </c>
      <c r="P119">
        <f>Year_2040!P122/Year_2032!P122</f>
        <v>1.0828054819762754</v>
      </c>
      <c r="Q119">
        <f>Year_2040!Q122/Year_2032!Q122</f>
        <v>1.4100847835787593</v>
      </c>
      <c r="R119">
        <f>Year_2040!R122/Year_2032!R122</f>
        <v>1.284743411927878</v>
      </c>
      <c r="S119">
        <f>Year_2040!S122/Year_2032!S122</f>
        <v>1.2249714503235629</v>
      </c>
      <c r="T119">
        <f>Year_2040!T122/Year_2032!T122</f>
        <v>1.1061232156273477</v>
      </c>
      <c r="U119">
        <f>Year_2040!U122/Year_2032!U122</f>
        <v>1.3081491257010887</v>
      </c>
      <c r="V119">
        <f>Year_2040!V122/Year_2032!V122</f>
        <v>1.3464667411070346</v>
      </c>
      <c r="W119">
        <f>Year_2040!W122/Year_2032!W122</f>
        <v>2.1590457256461231</v>
      </c>
      <c r="X119">
        <f>Year_2040!X122/Year_2032!X122</f>
        <v>0.99868995633187785</v>
      </c>
      <c r="Y119" t="e">
        <f>Year_2040!Y122/Year_2032!Y122</f>
        <v>#DIV/0!</v>
      </c>
      <c r="Z119" t="e">
        <f>Year_2040!Z122/Year_2032!Z122</f>
        <v>#DIV/0!</v>
      </c>
      <c r="AA119" t="e">
        <f>Year_2040!AA122/Year_2032!AA122</f>
        <v>#VALUE!</v>
      </c>
      <c r="AB119">
        <f>Year_2040!AB122/Year_2032!AB122</f>
        <v>0.99651896675125251</v>
      </c>
      <c r="AC119">
        <f>Year_2040!AC122/Year_2032!AC122</f>
        <v>1.1155150162959073</v>
      </c>
      <c r="AD119">
        <f>Year_2040!AD122/Year_2032!AD122</f>
        <v>1.0495185301597278</v>
      </c>
      <c r="AE119">
        <f>Year_2040!AE122/Year_2032!AE122</f>
        <v>1.0014555225885908</v>
      </c>
      <c r="AF119">
        <f>Year_2040!AF122/Year_2032!AF122</f>
        <v>0.98565642929463382</v>
      </c>
      <c r="AG119">
        <f>Year_2040!AG122/Year_2032!AG122</f>
        <v>1.1112852664576802</v>
      </c>
      <c r="AH119">
        <f>Year_2040!AH122/Year_2032!AH122</f>
        <v>0.98056407377013777</v>
      </c>
      <c r="AI119">
        <f>Year_2040!AI122/Year_2032!AI122</f>
        <v>1.071421512106737</v>
      </c>
      <c r="AJ119">
        <f>Year_2040!AJ122/Year_2032!AJ122</f>
        <v>1.0643061370366589</v>
      </c>
      <c r="AK119">
        <f>Year_2040!AK122/Year_2032!AK122</f>
        <v>1.000279069767442</v>
      </c>
      <c r="AL119" t="e">
        <f>Year_2040!AL122/Year_2032!AL122</f>
        <v>#DIV/0!</v>
      </c>
      <c r="AM119" t="e">
        <f>Year_2040!AM122/Year_2032!AM122</f>
        <v>#DIV/0!</v>
      </c>
      <c r="AN119" t="e">
        <f>Year_2040!AN122/Year_2032!AN122</f>
        <v>#VALUE!</v>
      </c>
      <c r="AO119">
        <f>Year_2040!AO122/Year_2032!AO122</f>
        <v>1.1810321534720347</v>
      </c>
      <c r="AP119">
        <f>Year_2040!AP122/Year_2032!AP122</f>
        <v>0.93922004067909182</v>
      </c>
      <c r="AQ119">
        <f>Year_2040!AQ122/Year_2032!AQ122</f>
        <v>1.03650717403563</v>
      </c>
      <c r="AR119">
        <f>Year_2040!AR122/Year_2032!AR122</f>
        <v>1.2250988212670488</v>
      </c>
      <c r="AS119">
        <f>Year_2040!AS122/Year_2032!AS122</f>
        <v>1.0617618756014346</v>
      </c>
      <c r="AT119">
        <f>Year_2040!AT122/Year_2032!AT122</f>
        <v>1.0820113563191476</v>
      </c>
      <c r="AU119">
        <f>Year_2040!AU122/Year_2032!AU122</f>
        <v>1.1797555355957356</v>
      </c>
      <c r="AV119">
        <f>Year_2040!AV122/Year_2032!AV122</f>
        <v>0.64306038517173902</v>
      </c>
      <c r="AW119">
        <f>Year_2040!AW122/Year_2032!AW122</f>
        <v>1.2542673294031519</v>
      </c>
      <c r="AX119">
        <f>Year_2040!AX122/Year_2032!AX122</f>
        <v>1.4562340908569724</v>
      </c>
    </row>
    <row r="120" spans="2:50" x14ac:dyDescent="0.3">
      <c r="B120">
        <f>Year_2032!B123</f>
        <v>0</v>
      </c>
      <c r="C120" t="e">
        <f>Year_2040!C123/Year_2032!C123</f>
        <v>#DIV/0!</v>
      </c>
      <c r="D120" t="e">
        <f>Year_2040!D123/Year_2032!D123</f>
        <v>#DIV/0!</v>
      </c>
      <c r="E120" t="e">
        <f>Year_2040!E123/Year_2032!E123</f>
        <v>#DIV/0!</v>
      </c>
      <c r="F120" t="e">
        <f>Year_2040!F123/Year_2032!F123</f>
        <v>#DIV/0!</v>
      </c>
      <c r="G120" t="e">
        <f>Year_2040!G123/Year_2032!G123</f>
        <v>#DIV/0!</v>
      </c>
      <c r="H120" t="e">
        <f>Year_2040!H123/Year_2032!H123</f>
        <v>#DIV/0!</v>
      </c>
      <c r="I120" t="e">
        <f>Year_2040!I123/Year_2032!I123</f>
        <v>#DIV/0!</v>
      </c>
      <c r="J120" t="e">
        <f>Year_2040!J123/Year_2032!J123</f>
        <v>#DIV/0!</v>
      </c>
      <c r="K120" t="e">
        <f>Year_2040!K123/Year_2032!K123</f>
        <v>#DIV/0!</v>
      </c>
      <c r="L120" t="e">
        <f>Year_2040!L123/Year_2032!L123</f>
        <v>#DIV/0!</v>
      </c>
      <c r="M120" t="e">
        <f>Year_2040!M123/Year_2032!M123</f>
        <v>#DIV/0!</v>
      </c>
      <c r="N120" t="str">
        <f>Year_2040!N123</f>
        <v>AM-Peak</v>
      </c>
      <c r="O120">
        <f>Year_2040!O123/Year_2032!O123</f>
        <v>1.3253528676076469</v>
      </c>
      <c r="P120">
        <f>Year_2040!P123/Year_2032!P123</f>
        <v>1.0281855549031123</v>
      </c>
      <c r="Q120">
        <f>Year_2040!Q123/Year_2032!Q123</f>
        <v>1.3025454871381195</v>
      </c>
      <c r="R120">
        <f>Year_2040!R123/Year_2032!R123</f>
        <v>1.2410203019260804</v>
      </c>
      <c r="S120">
        <f>Year_2040!S123/Year_2032!S123</f>
        <v>1.0826072926750565</v>
      </c>
      <c r="T120">
        <f>Year_2040!T123/Year_2032!T123</f>
        <v>1.4030978643510912</v>
      </c>
      <c r="U120">
        <f>Year_2040!U123/Year_2032!U123</f>
        <v>1.0621075492186394</v>
      </c>
      <c r="V120">
        <f>Year_2040!V123/Year_2032!V123</f>
        <v>1.4021478267193523</v>
      </c>
      <c r="W120">
        <f>Year_2040!W123/Year_2032!W123</f>
        <v>1.0812441506202832</v>
      </c>
      <c r="X120">
        <f>Year_2040!X123/Year_2032!X123</f>
        <v>1.1188307561957211</v>
      </c>
      <c r="Y120" t="e">
        <f>Year_2040!Y123/Year_2032!Y123</f>
        <v>#DIV/0!</v>
      </c>
      <c r="Z120" t="e">
        <f>Year_2040!Z123/Year_2032!Z123</f>
        <v>#DIV/0!</v>
      </c>
      <c r="AA120" t="e">
        <f>Year_2040!AA123/Year_2032!AA123</f>
        <v>#VALUE!</v>
      </c>
      <c r="AB120">
        <f>Year_2040!AB123/Year_2032!AB123</f>
        <v>1.0657914097299321</v>
      </c>
      <c r="AC120">
        <f>Year_2040!AC123/Year_2032!AC123</f>
        <v>1.1258233173933072</v>
      </c>
      <c r="AD120">
        <f>Year_2040!AD123/Year_2032!AD123</f>
        <v>1.0756833089446702</v>
      </c>
      <c r="AE120">
        <f>Year_2040!AE123/Year_2032!AE123</f>
        <v>1.0956280038905597</v>
      </c>
      <c r="AF120">
        <f>Year_2040!AF123/Year_2032!AF123</f>
        <v>0.98239460834880676</v>
      </c>
      <c r="AG120">
        <f>Year_2040!AG123/Year_2032!AG123</f>
        <v>1.0326813537123298</v>
      </c>
      <c r="AH120">
        <f>Year_2040!AH123/Year_2032!AH123</f>
        <v>1.1527225872447575</v>
      </c>
      <c r="AI120">
        <f>Year_2040!AI123/Year_2032!AI123</f>
        <v>1.0618544353525092</v>
      </c>
      <c r="AJ120">
        <f>Year_2040!AJ123/Year_2032!AJ123</f>
        <v>1.1254159332459137</v>
      </c>
      <c r="AK120">
        <f>Year_2040!AK123/Year_2032!AK123</f>
        <v>0.96421965686587163</v>
      </c>
      <c r="AL120" t="e">
        <f>Year_2040!AL123/Year_2032!AL123</f>
        <v>#DIV/0!</v>
      </c>
      <c r="AM120" t="e">
        <f>Year_2040!AM123/Year_2032!AM123</f>
        <v>#DIV/0!</v>
      </c>
      <c r="AN120" t="e">
        <f>Year_2040!AN123/Year_2032!AN123</f>
        <v>#VALUE!</v>
      </c>
      <c r="AO120">
        <f>Year_2040!AO123/Year_2032!AO123</f>
        <v>1.1011047698832399</v>
      </c>
      <c r="AP120">
        <f>Year_2040!AP123/Year_2032!AP123</f>
        <v>0.90564593044342667</v>
      </c>
      <c r="AQ120">
        <f>Year_2040!AQ123/Year_2032!AQ123</f>
        <v>1.1347071836069391</v>
      </c>
      <c r="AR120">
        <f>Year_2040!AR123/Year_2032!AR123</f>
        <v>1.2222887239645677</v>
      </c>
      <c r="AS120">
        <f>Year_2040!AS123/Year_2032!AS123</f>
        <v>1.1853367433930095</v>
      </c>
      <c r="AT120">
        <f>Year_2040!AT123/Year_2032!AT123</f>
        <v>0.9577496357727221</v>
      </c>
      <c r="AU120">
        <f>Year_2040!AU123/Year_2032!AU123</f>
        <v>1.0807699565955842</v>
      </c>
      <c r="AV120">
        <f>Year_2040!AV123/Year_2032!AV123</f>
        <v>0.90706139012287079</v>
      </c>
      <c r="AW120">
        <f>Year_2040!AW123/Year_2032!AW123</f>
        <v>1.4305172548537997</v>
      </c>
      <c r="AX120">
        <f>Year_2040!AX123/Year_2032!AX123</f>
        <v>1.4054437601112595</v>
      </c>
    </row>
    <row r="121" spans="2:50" x14ac:dyDescent="0.3">
      <c r="B121">
        <f>Year_2032!B124</f>
        <v>0</v>
      </c>
      <c r="C121" t="e">
        <f>Year_2040!C124/Year_2032!C124</f>
        <v>#DIV/0!</v>
      </c>
      <c r="D121" t="e">
        <f>Year_2040!D124/Year_2032!D124</f>
        <v>#DIV/0!</v>
      </c>
      <c r="E121" t="e">
        <f>Year_2040!E124/Year_2032!E124</f>
        <v>#DIV/0!</v>
      </c>
      <c r="F121" t="e">
        <f>Year_2040!F124/Year_2032!F124</f>
        <v>#DIV/0!</v>
      </c>
      <c r="G121" t="e">
        <f>Year_2040!G124/Year_2032!G124</f>
        <v>#DIV/0!</v>
      </c>
      <c r="H121" t="e">
        <f>Year_2040!H124/Year_2032!H124</f>
        <v>#DIV/0!</v>
      </c>
      <c r="I121" t="e">
        <f>Year_2040!I124/Year_2032!I124</f>
        <v>#DIV/0!</v>
      </c>
      <c r="J121" t="e">
        <f>Year_2040!J124/Year_2032!J124</f>
        <v>#DIV/0!</v>
      </c>
      <c r="K121" t="e">
        <f>Year_2040!K124/Year_2032!K124</f>
        <v>#DIV/0!</v>
      </c>
      <c r="L121" t="e">
        <f>Year_2040!L124/Year_2032!L124</f>
        <v>#DIV/0!</v>
      </c>
      <c r="M121" t="e">
        <f>Year_2040!M124/Year_2032!M124</f>
        <v>#DIV/0!</v>
      </c>
      <c r="N121" t="str">
        <f>Year_2040!N124</f>
        <v>AM-Shoulder</v>
      </c>
      <c r="O121">
        <f>Year_2040!O124/Year_2032!O124</f>
        <v>1.1888403687530327</v>
      </c>
      <c r="P121">
        <f>Year_2040!P124/Year_2032!P124</f>
        <v>1.308774773447285</v>
      </c>
      <c r="Q121">
        <f>Year_2040!Q124/Year_2032!Q124</f>
        <v>0.9917361814921648</v>
      </c>
      <c r="R121">
        <f>Year_2040!R124/Year_2032!R124</f>
        <v>1.0792422625400213</v>
      </c>
      <c r="S121">
        <f>Year_2040!S124/Year_2032!S124</f>
        <v>1</v>
      </c>
      <c r="T121">
        <f>Year_2040!T124/Year_2032!T124</f>
        <v>1.5815217391304348</v>
      </c>
      <c r="U121">
        <f>Year_2040!U124/Year_2032!U124</f>
        <v>1.1824837877414407</v>
      </c>
      <c r="V121">
        <f>Year_2040!V124/Year_2032!V124</f>
        <v>1.4487571170670739</v>
      </c>
      <c r="W121">
        <f>Year_2040!W124/Year_2032!W124</f>
        <v>1.0961412688031396</v>
      </c>
      <c r="X121">
        <f>Year_2040!X124/Year_2032!X124</f>
        <v>1.0794254330376003</v>
      </c>
      <c r="Y121" t="e">
        <f>Year_2040!Y124/Year_2032!Y124</f>
        <v>#DIV/0!</v>
      </c>
      <c r="Z121" t="e">
        <f>Year_2040!Z124/Year_2032!Z124</f>
        <v>#DIV/0!</v>
      </c>
      <c r="AA121" t="e">
        <f>Year_2040!AA124/Year_2032!AA124</f>
        <v>#VALUE!</v>
      </c>
      <c r="AB121">
        <f>Year_2040!AB124/Year_2032!AB124</f>
        <v>0.97890005045640116</v>
      </c>
      <c r="AC121">
        <f>Year_2040!AC124/Year_2032!AC124</f>
        <v>1.0721047161596584</v>
      </c>
      <c r="AD121">
        <f>Year_2040!AD124/Year_2032!AD124</f>
        <v>1.0240868500433056</v>
      </c>
      <c r="AE121">
        <f>Year_2040!AE124/Year_2032!AE124</f>
        <v>1.1254674430474683</v>
      </c>
      <c r="AF121">
        <f>Year_2040!AF124/Year_2032!AF124</f>
        <v>1</v>
      </c>
      <c r="AG121">
        <f>Year_2040!AG124/Year_2032!AG124</f>
        <v>1.0146092327183465</v>
      </c>
      <c r="AH121">
        <f>Year_2040!AH124/Year_2032!AH124</f>
        <v>0.97995020968739033</v>
      </c>
      <c r="AI121">
        <f>Year_2040!AI124/Year_2032!AI124</f>
        <v>1.0361353863226523</v>
      </c>
      <c r="AJ121">
        <f>Year_2040!AJ124/Year_2032!AJ124</f>
        <v>1.1223134488626039</v>
      </c>
      <c r="AK121">
        <f>Year_2040!AK124/Year_2032!AK124</f>
        <v>0.98304167418365507</v>
      </c>
      <c r="AL121" t="e">
        <f>Year_2040!AL124/Year_2032!AL124</f>
        <v>#DIV/0!</v>
      </c>
      <c r="AM121" t="e">
        <f>Year_2040!AM124/Year_2032!AM124</f>
        <v>#DIV/0!</v>
      </c>
      <c r="AN121" t="e">
        <f>Year_2040!AN124/Year_2032!AN124</f>
        <v>#VALUE!</v>
      </c>
      <c r="AO121">
        <f>Year_2040!AO124/Year_2032!AO124</f>
        <v>1.2925541201117317</v>
      </c>
      <c r="AP121">
        <f>Year_2040!AP124/Year_2032!AP124</f>
        <v>0.96780350877192978</v>
      </c>
      <c r="AQ121">
        <f>Year_2040!AQ124/Year_2032!AQ124</f>
        <v>1.0065309386558261</v>
      </c>
      <c r="AR121">
        <f>Year_2040!AR124/Year_2032!AR124</f>
        <v>1.2887811948004892</v>
      </c>
      <c r="AS121">
        <f>Year_2040!AS124/Year_2032!AS124</f>
        <v>1.4356073535865801</v>
      </c>
      <c r="AT121">
        <f>Year_2040!AT124/Year_2032!AT124</f>
        <v>1.0362743408581767</v>
      </c>
      <c r="AU121">
        <f>Year_2040!AU124/Year_2032!AU124</f>
        <v>1.0251340264363076</v>
      </c>
      <c r="AV121">
        <f>Year_2040!AV124/Year_2032!AV124</f>
        <v>0.90874471809067681</v>
      </c>
      <c r="AW121">
        <f>Year_2040!AW124/Year_2032!AW124</f>
        <v>1.4557084706338437</v>
      </c>
      <c r="AX121">
        <f>Year_2040!AX124/Year_2032!AX124</f>
        <v>1.4326691645368601</v>
      </c>
    </row>
    <row r="122" spans="2:50" x14ac:dyDescent="0.3">
      <c r="B122">
        <f>Year_2032!B125</f>
        <v>0</v>
      </c>
      <c r="C122" t="e">
        <f>Year_2040!C125/Year_2032!C125</f>
        <v>#DIV/0!</v>
      </c>
      <c r="D122" t="e">
        <f>Year_2040!D125/Year_2032!D125</f>
        <v>#DIV/0!</v>
      </c>
      <c r="E122" t="e">
        <f>Year_2040!E125/Year_2032!E125</f>
        <v>#DIV/0!</v>
      </c>
      <c r="F122" t="e">
        <f>Year_2040!F125/Year_2032!F125</f>
        <v>#DIV/0!</v>
      </c>
      <c r="G122" t="e">
        <f>Year_2040!G125/Year_2032!G125</f>
        <v>#DIV/0!</v>
      </c>
      <c r="H122" t="e">
        <f>Year_2040!H125/Year_2032!H125</f>
        <v>#DIV/0!</v>
      </c>
      <c r="I122" t="e">
        <f>Year_2040!I125/Year_2032!I125</f>
        <v>#DIV/0!</v>
      </c>
      <c r="J122" t="e">
        <f>Year_2040!J125/Year_2032!J125</f>
        <v>#DIV/0!</v>
      </c>
      <c r="K122" t="e">
        <f>Year_2040!K125/Year_2032!K125</f>
        <v>#DIV/0!</v>
      </c>
      <c r="L122" t="e">
        <f>Year_2040!L125/Year_2032!L125</f>
        <v>#DIV/0!</v>
      </c>
      <c r="M122" t="e">
        <f>Year_2040!M125/Year_2032!M125</f>
        <v>#DIV/0!</v>
      </c>
      <c r="N122" t="str">
        <f>Year_2040!N125</f>
        <v>MD</v>
      </c>
      <c r="O122">
        <f>Year_2040!O125/Year_2032!O125</f>
        <v>1.2014984102999968</v>
      </c>
      <c r="P122">
        <f>Year_2040!P125/Year_2032!P125</f>
        <v>1.3199176474875196</v>
      </c>
      <c r="Q122">
        <f>Year_2040!Q125/Year_2032!Q125</f>
        <v>1.3885019864454313</v>
      </c>
      <c r="R122">
        <f>Year_2040!R125/Year_2032!R125</f>
        <v>1.1049696266041922</v>
      </c>
      <c r="S122">
        <f>Year_2040!S125/Year_2032!S125</f>
        <v>1.1448833034111312</v>
      </c>
      <c r="T122">
        <f>Year_2040!T125/Year_2032!T125</f>
        <v>0.85250702205223206</v>
      </c>
      <c r="U122">
        <f>Year_2040!U125/Year_2032!U125</f>
        <v>1.1899414237970318</v>
      </c>
      <c r="V122">
        <f>Year_2040!V125/Year_2032!V125</f>
        <v>1.3480593883643992</v>
      </c>
      <c r="W122">
        <f>Year_2040!W125/Year_2032!W125</f>
        <v>1.0943208356717418</v>
      </c>
      <c r="X122">
        <f>Year_2040!X125/Year_2032!X125</f>
        <v>1.1563632309493284</v>
      </c>
      <c r="Y122" t="e">
        <f>Year_2040!Y125/Year_2032!Y125</f>
        <v>#DIV/0!</v>
      </c>
      <c r="Z122" t="e">
        <f>Year_2040!Z125/Year_2032!Z125</f>
        <v>#DIV/0!</v>
      </c>
      <c r="AA122" t="e">
        <f>Year_2040!AA125/Year_2032!AA125</f>
        <v>#VALUE!</v>
      </c>
      <c r="AB122">
        <f>Year_2040!AB125/Year_2032!AB125</f>
        <v>0.97231616581312197</v>
      </c>
      <c r="AC122">
        <f>Year_2040!AC125/Year_2032!AC125</f>
        <v>0.99352158184089623</v>
      </c>
      <c r="AD122">
        <f>Year_2040!AD125/Year_2032!AD125</f>
        <v>1.0636892102651352</v>
      </c>
      <c r="AE122">
        <f>Year_2040!AE125/Year_2032!AE125</f>
        <v>1.1210791969589178</v>
      </c>
      <c r="AF122">
        <f>Year_2040!AF125/Year_2032!AF125</f>
        <v>0.96641697877652943</v>
      </c>
      <c r="AG122">
        <f>Year_2040!AG125/Year_2032!AG125</f>
        <v>1.0611648947007024</v>
      </c>
      <c r="AH122">
        <f>Year_2040!AH125/Year_2032!AH125</f>
        <v>0.97665067152775931</v>
      </c>
      <c r="AI122">
        <f>Year_2040!AI125/Year_2032!AI125</f>
        <v>1.0710466317844081</v>
      </c>
      <c r="AJ122">
        <f>Year_2040!AJ125/Year_2032!AJ125</f>
        <v>1.1228024150341045</v>
      </c>
      <c r="AK122">
        <f>Year_2040!AK125/Year_2032!AK125</f>
        <v>0.97126410801199459</v>
      </c>
      <c r="AL122" t="e">
        <f>Year_2040!AL125/Year_2032!AL125</f>
        <v>#DIV/0!</v>
      </c>
      <c r="AM122" t="e">
        <f>Year_2040!AM125/Year_2032!AM125</f>
        <v>#DIV/0!</v>
      </c>
      <c r="AN122" t="e">
        <f>Year_2040!AN125/Year_2032!AN125</f>
        <v>#VALUE!</v>
      </c>
      <c r="AO122">
        <f>Year_2040!AO125/Year_2032!AO125</f>
        <v>1.3244244403728191</v>
      </c>
      <c r="AP122">
        <f>Year_2040!AP125/Year_2032!AP125</f>
        <v>1.4591923185540807</v>
      </c>
      <c r="AQ122">
        <f>Year_2040!AQ125/Year_2032!AQ125</f>
        <v>1.1485999999999998</v>
      </c>
      <c r="AR122">
        <f>Year_2040!AR125/Year_2032!AR125</f>
        <v>1.2954209105945851</v>
      </c>
      <c r="AS122">
        <f>Year_2040!AS125/Year_2032!AS125</f>
        <v>1.0425921182626514</v>
      </c>
      <c r="AT122">
        <f>Year_2040!AT125/Year_2032!AT125</f>
        <v>1.0647817732637934</v>
      </c>
      <c r="AU122">
        <f>Year_2040!AU125/Year_2032!AU125</f>
        <v>0.90999487442337268</v>
      </c>
      <c r="AV122">
        <f>Year_2040!AV125/Year_2032!AV125</f>
        <v>0.90306724461535626</v>
      </c>
      <c r="AW122">
        <f>Year_2040!AW125/Year_2032!AW125</f>
        <v>1.3784242698664253</v>
      </c>
      <c r="AX122">
        <f>Year_2040!AX125/Year_2032!AX125</f>
        <v>1.3405390859756916</v>
      </c>
    </row>
    <row r="123" spans="2:50" x14ac:dyDescent="0.3">
      <c r="B123">
        <f>Year_2032!B126</f>
        <v>0</v>
      </c>
      <c r="C123" t="e">
        <f>Year_2040!C126/Year_2032!C126</f>
        <v>#DIV/0!</v>
      </c>
      <c r="D123" t="e">
        <f>Year_2040!D126/Year_2032!D126</f>
        <v>#DIV/0!</v>
      </c>
      <c r="E123" t="e">
        <f>Year_2040!E126/Year_2032!E126</f>
        <v>#DIV/0!</v>
      </c>
      <c r="F123" t="e">
        <f>Year_2040!F126/Year_2032!F126</f>
        <v>#DIV/0!</v>
      </c>
      <c r="G123" t="e">
        <f>Year_2040!G126/Year_2032!G126</f>
        <v>#DIV/0!</v>
      </c>
      <c r="H123" t="e">
        <f>Year_2040!H126/Year_2032!H126</f>
        <v>#DIV/0!</v>
      </c>
      <c r="I123" t="e">
        <f>Year_2040!I126/Year_2032!I126</f>
        <v>#DIV/0!</v>
      </c>
      <c r="J123" t="e">
        <f>Year_2040!J126/Year_2032!J126</f>
        <v>#DIV/0!</v>
      </c>
      <c r="K123" t="e">
        <f>Year_2040!K126/Year_2032!K126</f>
        <v>#DIV/0!</v>
      </c>
      <c r="L123" t="e">
        <f>Year_2040!L126/Year_2032!L126</f>
        <v>#DIV/0!</v>
      </c>
      <c r="M123" t="e">
        <f>Year_2040!M126/Year_2032!M126</f>
        <v>#DIV/0!</v>
      </c>
      <c r="N123" t="str">
        <f>Year_2040!N126</f>
        <v>PM-Shoulder</v>
      </c>
      <c r="O123">
        <f>Year_2040!O126/Year_2032!O126</f>
        <v>1.2010283629125891</v>
      </c>
      <c r="P123">
        <f>Year_2040!P126/Year_2032!P126</f>
        <v>1.1890916589339107</v>
      </c>
      <c r="Q123">
        <f>Year_2040!Q126/Year_2032!Q126</f>
        <v>1.1622626888802789</v>
      </c>
      <c r="R123">
        <f>Year_2040!R126/Year_2032!R126</f>
        <v>1.0658998322549724</v>
      </c>
      <c r="S123">
        <f>Year_2040!S126/Year_2032!S126</f>
        <v>1.1216821785591176</v>
      </c>
      <c r="T123">
        <f>Year_2040!T126/Year_2032!T126</f>
        <v>0.98818973862536308</v>
      </c>
      <c r="U123">
        <f>Year_2040!U126/Year_2032!U126</f>
        <v>1.1040010426169684</v>
      </c>
      <c r="V123">
        <f>Year_2040!V126/Year_2032!V126</f>
        <v>0.96087758470051454</v>
      </c>
      <c r="W123">
        <f>Year_2040!W126/Year_2032!W126</f>
        <v>0.95999265920352361</v>
      </c>
      <c r="X123">
        <f>Year_2040!X126/Year_2032!X126</f>
        <v>1.2612481857764877</v>
      </c>
      <c r="Y123" t="e">
        <f>Year_2040!Y126/Year_2032!Y126</f>
        <v>#DIV/0!</v>
      </c>
      <c r="Z123" t="e">
        <f>Year_2040!Z126/Year_2032!Z126</f>
        <v>#DIV/0!</v>
      </c>
      <c r="AA123" t="e">
        <f>Year_2040!AA126/Year_2032!AA126</f>
        <v>#VALUE!</v>
      </c>
      <c r="AB123">
        <f>Year_2040!AB126/Year_2032!AB126</f>
        <v>0.97190916024065743</v>
      </c>
      <c r="AC123">
        <f>Year_2040!AC126/Year_2032!AC126</f>
        <v>0.97698164133119436</v>
      </c>
      <c r="AD123">
        <f>Year_2040!AD126/Year_2032!AD126</f>
        <v>0.98534926470588236</v>
      </c>
      <c r="AE123">
        <f>Year_2040!AE126/Year_2032!AE126</f>
        <v>1.1313511254403248</v>
      </c>
      <c r="AF123">
        <f>Year_2040!AF126/Year_2032!AF126</f>
        <v>0.96252256078139931</v>
      </c>
      <c r="AG123">
        <f>Year_2040!AG126/Year_2032!AG126</f>
        <v>1.0270588235294118</v>
      </c>
      <c r="AH123">
        <f>Year_2040!AH126/Year_2032!AH126</f>
        <v>0.99866769945778466</v>
      </c>
      <c r="AI123">
        <f>Year_2040!AI126/Year_2032!AI126</f>
        <v>1.0327909717186368</v>
      </c>
      <c r="AJ123">
        <f>Year_2040!AJ126/Year_2032!AJ126</f>
        <v>1.1473954497501941</v>
      </c>
      <c r="AK123">
        <f>Year_2040!AK126/Year_2032!AK126</f>
        <v>0.97203140333660454</v>
      </c>
      <c r="AL123" t="e">
        <f>Year_2040!AL126/Year_2032!AL126</f>
        <v>#DIV/0!</v>
      </c>
      <c r="AM123" t="e">
        <f>Year_2040!AM126/Year_2032!AM126</f>
        <v>#DIV/0!</v>
      </c>
      <c r="AN123" t="e">
        <f>Year_2040!AN126/Year_2032!AN126</f>
        <v>#VALUE!</v>
      </c>
      <c r="AO123">
        <f>Year_2040!AO126/Year_2032!AO126</f>
        <v>1.3368374770165481</v>
      </c>
      <c r="AP123">
        <f>Year_2040!AP126/Year_2032!AP126</f>
        <v>1.4184788775008508</v>
      </c>
      <c r="AQ123">
        <f>Year_2040!AQ126/Year_2032!AQ126</f>
        <v>1.3241657334826429</v>
      </c>
      <c r="AR123">
        <f>Year_2040!AR126/Year_2032!AR126</f>
        <v>1.3866893257394821</v>
      </c>
      <c r="AS123">
        <f>Year_2040!AS126/Year_2032!AS126</f>
        <v>1.3345639132441161</v>
      </c>
      <c r="AT123">
        <f>Year_2040!AT126/Year_2032!AT126</f>
        <v>1.5002862943105513</v>
      </c>
      <c r="AU123">
        <f>Year_2040!AU126/Year_2032!AU126</f>
        <v>1.0519497952882744</v>
      </c>
      <c r="AV123">
        <f>Year_2040!AV126/Year_2032!AV126</f>
        <v>1.2467507934109112</v>
      </c>
      <c r="AW123">
        <f>Year_2040!AW126/Year_2032!AW126</f>
        <v>1.4202424298290086</v>
      </c>
      <c r="AX123">
        <f>Year_2040!AX126/Year_2032!AX126</f>
        <v>1.2967275401397229</v>
      </c>
    </row>
    <row r="124" spans="2:50" x14ac:dyDescent="0.3">
      <c r="B124">
        <f>Year_2032!B127</f>
        <v>0</v>
      </c>
      <c r="C124" t="e">
        <f>Year_2040!C127/Year_2032!C127</f>
        <v>#DIV/0!</v>
      </c>
      <c r="D124" t="e">
        <f>Year_2040!D127/Year_2032!D127</f>
        <v>#DIV/0!</v>
      </c>
      <c r="E124" t="e">
        <f>Year_2040!E127/Year_2032!E127</f>
        <v>#DIV/0!</v>
      </c>
      <c r="F124" t="e">
        <f>Year_2040!F127/Year_2032!F127</f>
        <v>#DIV/0!</v>
      </c>
      <c r="G124" t="e">
        <f>Year_2040!G127/Year_2032!G127</f>
        <v>#DIV/0!</v>
      </c>
      <c r="H124" t="e">
        <f>Year_2040!H127/Year_2032!H127</f>
        <v>#DIV/0!</v>
      </c>
      <c r="I124" t="e">
        <f>Year_2040!I127/Year_2032!I127</f>
        <v>#DIV/0!</v>
      </c>
      <c r="J124" t="e">
        <f>Year_2040!J127/Year_2032!J127</f>
        <v>#DIV/0!</v>
      </c>
      <c r="K124" t="e">
        <f>Year_2040!K127/Year_2032!K127</f>
        <v>#DIV/0!</v>
      </c>
      <c r="L124" t="e">
        <f>Year_2040!L127/Year_2032!L127</f>
        <v>#DIV/0!</v>
      </c>
      <c r="M124" t="e">
        <f>Year_2040!M127/Year_2032!M127</f>
        <v>#DIV/0!</v>
      </c>
      <c r="N124" t="str">
        <f>Year_2040!N127</f>
        <v>PM-Peak</v>
      </c>
      <c r="O124">
        <f>Year_2040!O127/Year_2032!O127</f>
        <v>0.93643011467508719</v>
      </c>
      <c r="P124">
        <f>Year_2040!P127/Year_2032!P127</f>
        <v>1.3858387615260976</v>
      </c>
      <c r="Q124">
        <f>Year_2040!Q127/Year_2032!Q127</f>
        <v>1.0586139742554506</v>
      </c>
      <c r="R124">
        <f>Year_2040!R127/Year_2032!R127</f>
        <v>1.0610692008752165</v>
      </c>
      <c r="S124">
        <f>Year_2040!S127/Year_2032!S127</f>
        <v>1.1520138588133393</v>
      </c>
      <c r="T124">
        <f>Year_2040!T127/Year_2032!T127</f>
        <v>0.92367788461538458</v>
      </c>
      <c r="U124">
        <f>Year_2040!U127/Year_2032!U127</f>
        <v>1.338902601101196</v>
      </c>
      <c r="V124">
        <f>Year_2040!V127/Year_2032!V127</f>
        <v>1.0993348115299335</v>
      </c>
      <c r="W124">
        <f>Year_2040!W127/Year_2032!W127</f>
        <v>1.0336917972771995</v>
      </c>
      <c r="X124">
        <f>Year_2040!X127/Year_2032!X127</f>
        <v>1.2343987823439877</v>
      </c>
      <c r="Y124" t="e">
        <f>Year_2040!Y127/Year_2032!Y127</f>
        <v>#DIV/0!</v>
      </c>
      <c r="Z124" t="e">
        <f>Year_2040!Z127/Year_2032!Z127</f>
        <v>#DIV/0!</v>
      </c>
      <c r="AA124" t="e">
        <f>Year_2040!AA127/Year_2032!AA127</f>
        <v>#VALUE!</v>
      </c>
      <c r="AB124">
        <f>Year_2040!AB127/Year_2032!AB127</f>
        <v>1.1748478393183202</v>
      </c>
      <c r="AC124">
        <f>Year_2040!AC127/Year_2032!AC127</f>
        <v>1.0286470201022837</v>
      </c>
      <c r="AD124">
        <f>Year_2040!AD127/Year_2032!AD127</f>
        <v>1.1325653953109809</v>
      </c>
      <c r="AE124">
        <f>Year_2040!AE127/Year_2032!AE127</f>
        <v>1.1316575410652066</v>
      </c>
      <c r="AF124">
        <f>Year_2040!AF127/Year_2032!AF127</f>
        <v>0.94837476099426399</v>
      </c>
      <c r="AG124">
        <f>Year_2040!AG127/Year_2032!AG127</f>
        <v>1.1779298312569857</v>
      </c>
      <c r="AH124">
        <f>Year_2040!AH127/Year_2032!AH127</f>
        <v>1.0534226835526084</v>
      </c>
      <c r="AI124">
        <f>Year_2040!AI127/Year_2032!AI127</f>
        <v>1.1225799772233152</v>
      </c>
      <c r="AJ124">
        <f>Year_2040!AJ127/Year_2032!AJ127</f>
        <v>1.1376332534501281</v>
      </c>
      <c r="AK124">
        <f>Year_2040!AK127/Year_2032!AK127</f>
        <v>0.93526691887347624</v>
      </c>
      <c r="AL124" t="e">
        <f>Year_2040!AL127/Year_2032!AL127</f>
        <v>#DIV/0!</v>
      </c>
      <c r="AM124" t="e">
        <f>Year_2040!AM127/Year_2032!AM127</f>
        <v>#DIV/0!</v>
      </c>
      <c r="AN124" t="e">
        <f>Year_2040!AN127/Year_2032!AN127</f>
        <v>#VALUE!</v>
      </c>
      <c r="AO124">
        <f>Year_2040!AO127/Year_2032!AO127</f>
        <v>1.2443933035512835</v>
      </c>
      <c r="AP124">
        <f>Year_2040!AP127/Year_2032!AP127</f>
        <v>1.2407848812462756</v>
      </c>
      <c r="AQ124">
        <f>Year_2040!AQ127/Year_2032!AQ127</f>
        <v>1.0141067376935975</v>
      </c>
      <c r="AR124">
        <f>Year_2040!AR127/Year_2032!AR127</f>
        <v>1.0036333934204595</v>
      </c>
      <c r="AS124">
        <f>Year_2040!AS127/Year_2032!AS127</f>
        <v>1.2438437123782422</v>
      </c>
      <c r="AT124">
        <f>Year_2040!AT127/Year_2032!AT127</f>
        <v>1.2523809523809524</v>
      </c>
      <c r="AU124">
        <f>Year_2040!AU127/Year_2032!AU127</f>
        <v>0.98867803510924579</v>
      </c>
      <c r="AV124">
        <f>Year_2040!AV127/Year_2032!AV127</f>
        <v>0.98291252691029296</v>
      </c>
      <c r="AW124">
        <f>Year_2040!AW127/Year_2032!AW127</f>
        <v>1.4949387640562046</v>
      </c>
      <c r="AX124">
        <f>Year_2040!AX127/Year_2032!AX127</f>
        <v>1.4476548823919999</v>
      </c>
    </row>
    <row r="125" spans="2:50" x14ac:dyDescent="0.3">
      <c r="B125">
        <f>Year_2032!B128</f>
        <v>0</v>
      </c>
      <c r="C125" t="e">
        <f>Year_2040!C128/Year_2032!C128</f>
        <v>#DIV/0!</v>
      </c>
      <c r="D125" t="e">
        <f>Year_2040!D128/Year_2032!D128</f>
        <v>#DIV/0!</v>
      </c>
      <c r="E125" t="e">
        <f>Year_2040!E128/Year_2032!E128</f>
        <v>#DIV/0!</v>
      </c>
      <c r="F125" t="e">
        <f>Year_2040!F128/Year_2032!F128</f>
        <v>#DIV/0!</v>
      </c>
      <c r="G125" t="e">
        <f>Year_2040!G128/Year_2032!G128</f>
        <v>#DIV/0!</v>
      </c>
      <c r="H125" t="e">
        <f>Year_2040!H128/Year_2032!H128</f>
        <v>#DIV/0!</v>
      </c>
      <c r="I125" t="e">
        <f>Year_2040!I128/Year_2032!I128</f>
        <v>#DIV/0!</v>
      </c>
      <c r="J125" t="e">
        <f>Year_2040!J128/Year_2032!J128</f>
        <v>#DIV/0!</v>
      </c>
      <c r="K125" t="e">
        <f>Year_2040!K128/Year_2032!K128</f>
        <v>#DIV/0!</v>
      </c>
      <c r="L125" t="e">
        <f>Year_2040!L128/Year_2032!L128</f>
        <v>#DIV/0!</v>
      </c>
      <c r="M125" t="e">
        <f>Year_2040!M128/Year_2032!M128</f>
        <v>#DIV/0!</v>
      </c>
      <c r="N125" t="str">
        <f>Year_2040!N128</f>
        <v>PM-Late</v>
      </c>
      <c r="O125">
        <f>Year_2040!O128/Year_2032!O128</f>
        <v>1.1075018386859523</v>
      </c>
      <c r="P125">
        <f>Year_2040!P128/Year_2032!P128</f>
        <v>1.1111999086653728</v>
      </c>
      <c r="Q125">
        <f>Year_2040!Q128/Year_2032!Q128</f>
        <v>1.1912774263023287</v>
      </c>
      <c r="R125">
        <f>Year_2040!R128/Year_2032!R128</f>
        <v>1.11736150770988</v>
      </c>
      <c r="S125">
        <f>Year_2040!S128/Year_2032!S128</f>
        <v>1</v>
      </c>
      <c r="T125">
        <f>Year_2040!T128/Year_2032!T128</f>
        <v>1.1018662519440123</v>
      </c>
      <c r="U125">
        <f>Year_2040!U128/Year_2032!U128</f>
        <v>1.1055349362594804</v>
      </c>
      <c r="V125">
        <f>Year_2040!V128/Year_2032!V128</f>
        <v>1.11118930330753</v>
      </c>
      <c r="W125">
        <f>Year_2040!W128/Year_2032!W128</f>
        <v>1.1162393162393163</v>
      </c>
      <c r="X125">
        <f>Year_2040!X128/Year_2032!X128</f>
        <v>1.2106318956870612</v>
      </c>
      <c r="Y125" t="e">
        <f>Year_2040!Y128/Year_2032!Y128</f>
        <v>#DIV/0!</v>
      </c>
      <c r="Z125" t="e">
        <f>Year_2040!Z128/Year_2032!Z128</f>
        <v>#DIV/0!</v>
      </c>
      <c r="AA125" t="e">
        <f>Year_2040!AA128/Year_2032!AA128</f>
        <v>#VALUE!</v>
      </c>
      <c r="AB125">
        <f>Year_2040!AB128/Year_2032!AB128</f>
        <v>1.111795665634675</v>
      </c>
      <c r="AC125">
        <f>Year_2040!AC128/Year_2032!AC128</f>
        <v>1.110847143353807</v>
      </c>
      <c r="AD125">
        <f>Year_2040!AD128/Year_2032!AD128</f>
        <v>1.0985915492957747</v>
      </c>
      <c r="AE125">
        <f>Year_2040!AE128/Year_2032!AE128</f>
        <v>1.1181609368528072</v>
      </c>
      <c r="AF125">
        <f>Year_2040!AF128/Year_2032!AF128</f>
        <v>1</v>
      </c>
      <c r="AG125">
        <f>Year_2040!AG128/Year_2032!AG128</f>
        <v>1.1132360137008643</v>
      </c>
      <c r="AH125">
        <f>Year_2040!AH128/Year_2032!AH128</f>
        <v>1.1122232589702266</v>
      </c>
      <c r="AI125">
        <f>Year_2040!AI128/Year_2032!AI128</f>
        <v>1.1191923004340441</v>
      </c>
      <c r="AJ125">
        <f>Year_2040!AJ128/Year_2032!AJ128</f>
        <v>1.115674916622784</v>
      </c>
      <c r="AK125">
        <f>Year_2040!AK128/Year_2032!AK128</f>
        <v>0.96512435737112678</v>
      </c>
      <c r="AL125" t="e">
        <f>Year_2040!AL128/Year_2032!AL128</f>
        <v>#DIV/0!</v>
      </c>
      <c r="AM125" t="e">
        <f>Year_2040!AM128/Year_2032!AM128</f>
        <v>#DIV/0!</v>
      </c>
      <c r="AN125" t="e">
        <f>Year_2040!AN128/Year_2032!AN128</f>
        <v>#VALUE!</v>
      </c>
      <c r="AO125">
        <f>Year_2040!AO128/Year_2032!AO128</f>
        <v>0.96291176608406359</v>
      </c>
      <c r="AP125">
        <f>Year_2040!AP128/Year_2032!AP128</f>
        <v>0.9774072586045266</v>
      </c>
      <c r="AQ125">
        <f>Year_2040!AQ128/Year_2032!AQ128</f>
        <v>0.98377676833225181</v>
      </c>
      <c r="AR125">
        <f>Year_2040!AR128/Year_2032!AR128</f>
        <v>0.89310865065709089</v>
      </c>
      <c r="AS125">
        <f>Year_2040!AS128/Year_2032!AS128</f>
        <v>1.2035549872122762</v>
      </c>
      <c r="AT125">
        <f>Year_2040!AT128/Year_2032!AT128</f>
        <v>1.2656652695701975</v>
      </c>
      <c r="AU125">
        <f>Year_2040!AU128/Year_2032!AU128</f>
        <v>0.89848377478573627</v>
      </c>
      <c r="AV125">
        <f>Year_2040!AV128/Year_2032!AV128</f>
        <v>0.51184329349256785</v>
      </c>
      <c r="AW125">
        <f>Year_2040!AW128/Year_2032!AW128</f>
        <v>1.4826780178140839</v>
      </c>
      <c r="AX125">
        <f>Year_2040!AX128/Year_2032!AX128</f>
        <v>1.3830227131760049</v>
      </c>
    </row>
    <row r="126" spans="2:50" x14ac:dyDescent="0.3">
      <c r="B126">
        <f>Year_2032!B129</f>
        <v>0</v>
      </c>
      <c r="C126" t="e">
        <f>Year_2040!C129/Year_2032!C129</f>
        <v>#DIV/0!</v>
      </c>
      <c r="D126" t="e">
        <f>Year_2040!D129/Year_2032!D129</f>
        <v>#DIV/0!</v>
      </c>
      <c r="E126" t="e">
        <f>Year_2040!E129/Year_2032!E129</f>
        <v>#DIV/0!</v>
      </c>
      <c r="F126" t="e">
        <f>Year_2040!F129/Year_2032!F129</f>
        <v>#DIV/0!</v>
      </c>
      <c r="G126" t="e">
        <f>Year_2040!G129/Year_2032!G129</f>
        <v>#DIV/0!</v>
      </c>
      <c r="H126" t="e">
        <f>Year_2040!H129/Year_2032!H129</f>
        <v>#DIV/0!</v>
      </c>
      <c r="I126" t="e">
        <f>Year_2040!I129/Year_2032!I129</f>
        <v>#DIV/0!</v>
      </c>
      <c r="J126" t="e">
        <f>Year_2040!J129/Year_2032!J129</f>
        <v>#DIV/0!</v>
      </c>
      <c r="K126" t="e">
        <f>Year_2040!K129/Year_2032!K129</f>
        <v>#DIV/0!</v>
      </c>
      <c r="L126" t="e">
        <f>Year_2040!L129/Year_2032!L129</f>
        <v>#DIV/0!</v>
      </c>
      <c r="M126" t="e">
        <f>Year_2040!M129/Year_2032!M129</f>
        <v>#DIV/0!</v>
      </c>
      <c r="N126">
        <f>Year_2040!N129</f>
        <v>0</v>
      </c>
      <c r="O126" t="e">
        <f>Year_2040!O129/Year_2032!O129</f>
        <v>#DIV/0!</v>
      </c>
      <c r="P126" t="e">
        <f>Year_2040!P129/Year_2032!P129</f>
        <v>#DIV/0!</v>
      </c>
      <c r="Q126" t="e">
        <f>Year_2040!Q129/Year_2032!Q129</f>
        <v>#DIV/0!</v>
      </c>
      <c r="R126" t="e">
        <f>Year_2040!R129/Year_2032!R129</f>
        <v>#DIV/0!</v>
      </c>
      <c r="S126" t="e">
        <f>Year_2040!S129/Year_2032!S129</f>
        <v>#DIV/0!</v>
      </c>
      <c r="T126" t="e">
        <f>Year_2040!T129/Year_2032!T129</f>
        <v>#DIV/0!</v>
      </c>
      <c r="U126" t="e">
        <f>Year_2040!U129/Year_2032!U129</f>
        <v>#DIV/0!</v>
      </c>
      <c r="V126" t="e">
        <f>Year_2040!V129/Year_2032!V129</f>
        <v>#DIV/0!</v>
      </c>
      <c r="W126" t="e">
        <f>Year_2040!W129/Year_2032!W129</f>
        <v>#DIV/0!</v>
      </c>
      <c r="X126" t="e">
        <f>Year_2040!X129/Year_2032!X129</f>
        <v>#DIV/0!</v>
      </c>
      <c r="Y126" t="e">
        <f>Year_2040!Y129/Year_2032!Y129</f>
        <v>#DIV/0!</v>
      </c>
      <c r="Z126" t="e">
        <f>Year_2040!Z129/Year_2032!Z129</f>
        <v>#DIV/0!</v>
      </c>
      <c r="AA126" t="e">
        <f>Year_2040!AA129/Year_2032!AA129</f>
        <v>#DIV/0!</v>
      </c>
      <c r="AB126" t="e">
        <f>Year_2040!AB129/Year_2032!AB129</f>
        <v>#DIV/0!</v>
      </c>
      <c r="AC126" t="e">
        <f>Year_2040!AC129/Year_2032!AC129</f>
        <v>#DIV/0!</v>
      </c>
      <c r="AD126" t="e">
        <f>Year_2040!AD129/Year_2032!AD129</f>
        <v>#DIV/0!</v>
      </c>
      <c r="AE126" t="e">
        <f>Year_2040!AE129/Year_2032!AE129</f>
        <v>#DIV/0!</v>
      </c>
      <c r="AF126" t="e">
        <f>Year_2040!AF129/Year_2032!AF129</f>
        <v>#DIV/0!</v>
      </c>
      <c r="AG126" t="e">
        <f>Year_2040!AG129/Year_2032!AG129</f>
        <v>#DIV/0!</v>
      </c>
      <c r="AH126" t="e">
        <f>Year_2040!AH129/Year_2032!AH129</f>
        <v>#DIV/0!</v>
      </c>
      <c r="AI126" t="e">
        <f>Year_2040!AI129/Year_2032!AI129</f>
        <v>#DIV/0!</v>
      </c>
      <c r="AJ126" t="e">
        <f>Year_2040!AJ129/Year_2032!AJ129</f>
        <v>#DIV/0!</v>
      </c>
      <c r="AK126" t="e">
        <f>Year_2040!AK129/Year_2032!AK129</f>
        <v>#DIV/0!</v>
      </c>
      <c r="AL126" t="e">
        <f>Year_2040!AL129/Year_2032!AL129</f>
        <v>#DIV/0!</v>
      </c>
      <c r="AM126" t="e">
        <f>Year_2040!AM129/Year_2032!AM129</f>
        <v>#DIV/0!</v>
      </c>
      <c r="AN126" t="e">
        <f>Year_2040!AN129/Year_2032!AN129</f>
        <v>#DIV/0!</v>
      </c>
      <c r="AO126" t="e">
        <f>Year_2040!AO129/Year_2032!AO129</f>
        <v>#DIV/0!</v>
      </c>
      <c r="AP126" t="e">
        <f>Year_2040!AP129/Year_2032!AP129</f>
        <v>#DIV/0!</v>
      </c>
      <c r="AQ126" t="e">
        <f>Year_2040!AQ129/Year_2032!AQ129</f>
        <v>#DIV/0!</v>
      </c>
      <c r="AR126" t="e">
        <f>Year_2040!AR129/Year_2032!AR129</f>
        <v>#DIV/0!</v>
      </c>
      <c r="AS126" t="e">
        <f>Year_2040!AS129/Year_2032!AS129</f>
        <v>#DIV/0!</v>
      </c>
      <c r="AT126" t="e">
        <f>Year_2040!AT129/Year_2032!AT129</f>
        <v>#DIV/0!</v>
      </c>
      <c r="AU126" t="e">
        <f>Year_2040!AU129/Year_2032!AU129</f>
        <v>#DIV/0!</v>
      </c>
      <c r="AV126" t="e">
        <f>Year_2040!AV129/Year_2032!AV129</f>
        <v>#DIV/0!</v>
      </c>
      <c r="AW126" t="e">
        <f>Year_2040!AW129/Year_2032!AW129</f>
        <v>#DIV/0!</v>
      </c>
      <c r="AX126" t="e">
        <f>Year_2040!AX129/Year_2032!AX129</f>
        <v>#DIV/0!</v>
      </c>
    </row>
    <row r="127" spans="2:50" x14ac:dyDescent="0.3">
      <c r="B127">
        <f>Year_2032!B130</f>
        <v>0</v>
      </c>
      <c r="C127" t="e">
        <f>Year_2040!C130/Year_2032!C130</f>
        <v>#DIV/0!</v>
      </c>
      <c r="D127" t="e">
        <f>Year_2040!D130/Year_2032!D130</f>
        <v>#DIV/0!</v>
      </c>
      <c r="E127" t="e">
        <f>Year_2040!E130/Year_2032!E130</f>
        <v>#DIV/0!</v>
      </c>
      <c r="F127" t="e">
        <f>Year_2040!F130/Year_2032!F130</f>
        <v>#DIV/0!</v>
      </c>
      <c r="G127" t="e">
        <f>Year_2040!G130/Year_2032!G130</f>
        <v>#DIV/0!</v>
      </c>
      <c r="H127" t="e">
        <f>Year_2040!H130/Year_2032!H130</f>
        <v>#DIV/0!</v>
      </c>
      <c r="I127" t="e">
        <f>Year_2040!I130/Year_2032!I130</f>
        <v>#DIV/0!</v>
      </c>
      <c r="J127" t="e">
        <f>Year_2040!J130/Year_2032!J130</f>
        <v>#DIV/0!</v>
      </c>
      <c r="K127" t="e">
        <f>Year_2040!K130/Year_2032!K130</f>
        <v>#DIV/0!</v>
      </c>
      <c r="L127" t="e">
        <f>Year_2040!L130/Year_2032!L130</f>
        <v>#DIV/0!</v>
      </c>
      <c r="M127" t="e">
        <f>Year_2040!M130/Year_2032!M130</f>
        <v>#DIV/0!</v>
      </c>
      <c r="N127">
        <f>Year_2040!N130</f>
        <v>0</v>
      </c>
      <c r="O127" t="e">
        <f>Year_2040!O130/Year_2032!O130</f>
        <v>#DIV/0!</v>
      </c>
      <c r="P127" t="e">
        <f>Year_2040!P130/Year_2032!P130</f>
        <v>#DIV/0!</v>
      </c>
      <c r="Q127" t="e">
        <f>Year_2040!Q130/Year_2032!Q130</f>
        <v>#DIV/0!</v>
      </c>
      <c r="R127" t="e">
        <f>Year_2040!R130/Year_2032!R130</f>
        <v>#DIV/0!</v>
      </c>
      <c r="S127" t="e">
        <f>Year_2040!S130/Year_2032!S130</f>
        <v>#DIV/0!</v>
      </c>
      <c r="T127" t="e">
        <f>Year_2040!T130/Year_2032!T130</f>
        <v>#DIV/0!</v>
      </c>
      <c r="U127" t="e">
        <f>Year_2040!U130/Year_2032!U130</f>
        <v>#DIV/0!</v>
      </c>
      <c r="V127" t="e">
        <f>Year_2040!V130/Year_2032!V130</f>
        <v>#DIV/0!</v>
      </c>
      <c r="W127" t="e">
        <f>Year_2040!W130/Year_2032!W130</f>
        <v>#DIV/0!</v>
      </c>
      <c r="X127" t="e">
        <f>Year_2040!X130/Year_2032!X130</f>
        <v>#DIV/0!</v>
      </c>
      <c r="Y127" t="e">
        <f>Year_2040!Y130/Year_2032!Y130</f>
        <v>#DIV/0!</v>
      </c>
      <c r="Z127" t="e">
        <f>Year_2040!Z130/Year_2032!Z130</f>
        <v>#DIV/0!</v>
      </c>
      <c r="AA127" t="e">
        <f>Year_2040!AA130/Year_2032!AA130</f>
        <v>#DIV/0!</v>
      </c>
      <c r="AB127" t="e">
        <f>Year_2040!AB130/Year_2032!AB130</f>
        <v>#DIV/0!</v>
      </c>
      <c r="AC127" t="e">
        <f>Year_2040!AC130/Year_2032!AC130</f>
        <v>#DIV/0!</v>
      </c>
      <c r="AD127" t="e">
        <f>Year_2040!AD130/Year_2032!AD130</f>
        <v>#DIV/0!</v>
      </c>
      <c r="AE127" t="e">
        <f>Year_2040!AE130/Year_2032!AE130</f>
        <v>#DIV/0!</v>
      </c>
      <c r="AF127" t="e">
        <f>Year_2040!AF130/Year_2032!AF130</f>
        <v>#DIV/0!</v>
      </c>
      <c r="AG127" t="e">
        <f>Year_2040!AG130/Year_2032!AG130</f>
        <v>#DIV/0!</v>
      </c>
      <c r="AH127" t="e">
        <f>Year_2040!AH130/Year_2032!AH130</f>
        <v>#DIV/0!</v>
      </c>
      <c r="AI127" t="e">
        <f>Year_2040!AI130/Year_2032!AI130</f>
        <v>#DIV/0!</v>
      </c>
      <c r="AJ127" t="e">
        <f>Year_2040!AJ130/Year_2032!AJ130</f>
        <v>#DIV/0!</v>
      </c>
      <c r="AK127" t="e">
        <f>Year_2040!AK130/Year_2032!AK130</f>
        <v>#DIV/0!</v>
      </c>
      <c r="AL127" t="e">
        <f>Year_2040!AL130/Year_2032!AL130</f>
        <v>#DIV/0!</v>
      </c>
      <c r="AM127" t="e">
        <f>Year_2040!AM130/Year_2032!AM130</f>
        <v>#DIV/0!</v>
      </c>
      <c r="AN127" t="e">
        <f>Year_2040!AN130/Year_2032!AN130</f>
        <v>#DIV/0!</v>
      </c>
      <c r="AO127" t="e">
        <f>Year_2040!AO130/Year_2032!AO130</f>
        <v>#DIV/0!</v>
      </c>
      <c r="AP127" t="e">
        <f>Year_2040!AP130/Year_2032!AP130</f>
        <v>#DIV/0!</v>
      </c>
      <c r="AQ127" t="e">
        <f>Year_2040!AQ130/Year_2032!AQ130</f>
        <v>#DIV/0!</v>
      </c>
      <c r="AR127" t="e">
        <f>Year_2040!AR130/Year_2032!AR130</f>
        <v>#DIV/0!</v>
      </c>
      <c r="AS127" t="e">
        <f>Year_2040!AS130/Year_2032!AS130</f>
        <v>#DIV/0!</v>
      </c>
      <c r="AT127" t="e">
        <f>Year_2040!AT130/Year_2032!AT130</f>
        <v>#DIV/0!</v>
      </c>
      <c r="AU127" t="e">
        <f>Year_2040!AU130/Year_2032!AU130</f>
        <v>#DIV/0!</v>
      </c>
      <c r="AV127" t="e">
        <f>Year_2040!AV130/Year_2032!AV130</f>
        <v>#DIV/0!</v>
      </c>
      <c r="AW127" t="e">
        <f>Year_2040!AW130/Year_2032!AW130</f>
        <v>#DIV/0!</v>
      </c>
      <c r="AX127" t="e">
        <f>Year_2040!AX130/Year_2032!AX130</f>
        <v>#DIV/0!</v>
      </c>
    </row>
    <row r="128" spans="2:50" x14ac:dyDescent="0.3">
      <c r="B128">
        <f>Year_2032!B131</f>
        <v>0</v>
      </c>
      <c r="C128" t="e">
        <f>Year_2040!C131/Year_2032!C131</f>
        <v>#DIV/0!</v>
      </c>
      <c r="D128" t="e">
        <f>Year_2040!D131/Year_2032!D131</f>
        <v>#DIV/0!</v>
      </c>
      <c r="E128" t="e">
        <f>Year_2040!E131/Year_2032!E131</f>
        <v>#DIV/0!</v>
      </c>
      <c r="F128" t="e">
        <f>Year_2040!F131/Year_2032!F131</f>
        <v>#DIV/0!</v>
      </c>
      <c r="G128" t="e">
        <f>Year_2040!G131/Year_2032!G131</f>
        <v>#DIV/0!</v>
      </c>
      <c r="H128" t="e">
        <f>Year_2040!H131/Year_2032!H131</f>
        <v>#DIV/0!</v>
      </c>
      <c r="I128" t="e">
        <f>Year_2040!I131/Year_2032!I131</f>
        <v>#DIV/0!</v>
      </c>
      <c r="J128" t="e">
        <f>Year_2040!J131/Year_2032!J131</f>
        <v>#DIV/0!</v>
      </c>
      <c r="K128" t="e">
        <f>Year_2040!K131/Year_2032!K131</f>
        <v>#DIV/0!</v>
      </c>
      <c r="L128" t="e">
        <f>Year_2040!L131/Year_2032!L131</f>
        <v>#DIV/0!</v>
      </c>
      <c r="M128" t="e">
        <f>Year_2040!M131/Year_2032!M131</f>
        <v>#DIV/0!</v>
      </c>
      <c r="N128" t="str">
        <f>Year_2040!N131</f>
        <v>ML medium A veh/period</v>
      </c>
      <c r="O128" t="e">
        <f>Year_2040!O131/Year_2032!O131</f>
        <v>#DIV/0!</v>
      </c>
      <c r="P128" t="e">
        <f>Year_2040!P131/Year_2032!P131</f>
        <v>#DIV/0!</v>
      </c>
      <c r="Q128" t="e">
        <f>Year_2040!Q131/Year_2032!Q131</f>
        <v>#DIV/0!</v>
      </c>
      <c r="R128" t="e">
        <f>Year_2040!R131/Year_2032!R131</f>
        <v>#DIV/0!</v>
      </c>
      <c r="S128" t="e">
        <f>Year_2040!S131/Year_2032!S131</f>
        <v>#DIV/0!</v>
      </c>
      <c r="T128" t="e">
        <f>Year_2040!T131/Year_2032!T131</f>
        <v>#DIV/0!</v>
      </c>
      <c r="U128" t="e">
        <f>Year_2040!U131/Year_2032!U131</f>
        <v>#DIV/0!</v>
      </c>
      <c r="V128" t="e">
        <f>Year_2040!V131/Year_2032!V131</f>
        <v>#DIV/0!</v>
      </c>
      <c r="W128" t="e">
        <f>Year_2040!W131/Year_2032!W131</f>
        <v>#DIV/0!</v>
      </c>
      <c r="X128" t="e">
        <f>Year_2040!X131/Year_2032!X131</f>
        <v>#DIV/0!</v>
      </c>
      <c r="Y128" t="e">
        <f>Year_2040!Y131/Year_2032!Y131</f>
        <v>#DIV/0!</v>
      </c>
      <c r="Z128" t="e">
        <f>Year_2040!Z131/Year_2032!Z131</f>
        <v>#DIV/0!</v>
      </c>
      <c r="AA128" t="e">
        <f>Year_2040!AA131/Year_2032!AA131</f>
        <v>#VALUE!</v>
      </c>
      <c r="AB128" t="e">
        <f>Year_2040!AB131/Year_2032!AB131</f>
        <v>#DIV/0!</v>
      </c>
      <c r="AC128" t="e">
        <f>Year_2040!AC131/Year_2032!AC131</f>
        <v>#DIV/0!</v>
      </c>
      <c r="AD128" t="e">
        <f>Year_2040!AD131/Year_2032!AD131</f>
        <v>#DIV/0!</v>
      </c>
      <c r="AE128" t="e">
        <f>Year_2040!AE131/Year_2032!AE131</f>
        <v>#DIV/0!</v>
      </c>
      <c r="AF128" t="e">
        <f>Year_2040!AF131/Year_2032!AF131</f>
        <v>#DIV/0!</v>
      </c>
      <c r="AG128" t="e">
        <f>Year_2040!AG131/Year_2032!AG131</f>
        <v>#DIV/0!</v>
      </c>
      <c r="AH128" t="e">
        <f>Year_2040!AH131/Year_2032!AH131</f>
        <v>#DIV/0!</v>
      </c>
      <c r="AI128" t="e">
        <f>Year_2040!AI131/Year_2032!AI131</f>
        <v>#DIV/0!</v>
      </c>
      <c r="AJ128" t="e">
        <f>Year_2040!AJ131/Year_2032!AJ131</f>
        <v>#DIV/0!</v>
      </c>
      <c r="AK128" t="e">
        <f>Year_2040!AK131/Year_2032!AK131</f>
        <v>#DIV/0!</v>
      </c>
      <c r="AL128" t="e">
        <f>Year_2040!AL131/Year_2032!AL131</f>
        <v>#DIV/0!</v>
      </c>
      <c r="AM128" t="e">
        <f>Year_2040!AM131/Year_2032!AM131</f>
        <v>#DIV/0!</v>
      </c>
      <c r="AN128" t="e">
        <f>Year_2040!AN131/Year_2032!AN131</f>
        <v>#DIV/0!</v>
      </c>
      <c r="AO128" t="e">
        <f>Year_2040!AO131/Year_2032!AO131</f>
        <v>#DIV/0!</v>
      </c>
      <c r="AP128" t="e">
        <f>Year_2040!AP131/Year_2032!AP131</f>
        <v>#DIV/0!</v>
      </c>
      <c r="AQ128" t="e">
        <f>Year_2040!AQ131/Year_2032!AQ131</f>
        <v>#DIV/0!</v>
      </c>
      <c r="AR128" t="e">
        <f>Year_2040!AR131/Year_2032!AR131</f>
        <v>#DIV/0!</v>
      </c>
      <c r="AS128" t="e">
        <f>Year_2040!AS131/Year_2032!AS131</f>
        <v>#DIV/0!</v>
      </c>
      <c r="AT128" t="e">
        <f>Year_2040!AT131/Year_2032!AT131</f>
        <v>#DIV/0!</v>
      </c>
      <c r="AU128" t="e">
        <f>Year_2040!AU131/Year_2032!AU131</f>
        <v>#DIV/0!</v>
      </c>
      <c r="AV128" t="e">
        <f>Year_2040!AV131/Year_2032!AV131</f>
        <v>#DIV/0!</v>
      </c>
      <c r="AW128" t="e">
        <f>Year_2040!AW131/Year_2032!AW131</f>
        <v>#DIV/0!</v>
      </c>
      <c r="AX128" t="e">
        <f>Year_2040!AX131/Year_2032!AX131</f>
        <v>#DIV/0!</v>
      </c>
    </row>
    <row r="129" spans="2:50" x14ac:dyDescent="0.3">
      <c r="B129">
        <f>Year_2032!B132</f>
        <v>0</v>
      </c>
      <c r="C129" t="e">
        <f>Year_2040!C132/Year_2032!C132</f>
        <v>#DIV/0!</v>
      </c>
      <c r="D129" t="e">
        <f>Year_2040!D132/Year_2032!D132</f>
        <v>#DIV/0!</v>
      </c>
      <c r="E129" t="e">
        <f>Year_2040!E132/Year_2032!E132</f>
        <v>#DIV/0!</v>
      </c>
      <c r="F129" t="e">
        <f>Year_2040!F132/Year_2032!F132</f>
        <v>#DIV/0!</v>
      </c>
      <c r="G129" t="e">
        <f>Year_2040!G132/Year_2032!G132</f>
        <v>#DIV/0!</v>
      </c>
      <c r="H129" t="e">
        <f>Year_2040!H132/Year_2032!H132</f>
        <v>#DIV/0!</v>
      </c>
      <c r="I129" t="e">
        <f>Year_2040!I132/Year_2032!I132</f>
        <v>#DIV/0!</v>
      </c>
      <c r="J129" t="e">
        <f>Year_2040!J132/Year_2032!J132</f>
        <v>#DIV/0!</v>
      </c>
      <c r="K129" t="e">
        <f>Year_2040!K132/Year_2032!K132</f>
        <v>#DIV/0!</v>
      </c>
      <c r="L129" t="e">
        <f>Year_2040!L132/Year_2032!L132</f>
        <v>#DIV/0!</v>
      </c>
      <c r="M129" t="e">
        <f>Year_2040!M132/Year_2032!M132</f>
        <v>#DIV/0!</v>
      </c>
      <c r="N129" t="str">
        <f>Year_2040!N132</f>
        <v>Direction</v>
      </c>
      <c r="O129" t="e">
        <f>Year_2040!O132/Year_2032!O132</f>
        <v>#VALUE!</v>
      </c>
      <c r="P129" t="e">
        <f>Year_2040!P132/Year_2032!P132</f>
        <v>#VALUE!</v>
      </c>
      <c r="Q129" t="e">
        <f>Year_2040!Q132/Year_2032!Q132</f>
        <v>#VALUE!</v>
      </c>
      <c r="R129" t="e">
        <f>Year_2040!R132/Year_2032!R132</f>
        <v>#VALUE!</v>
      </c>
      <c r="S129" t="e">
        <f>Year_2040!S132/Year_2032!S132</f>
        <v>#VALUE!</v>
      </c>
      <c r="T129" t="e">
        <f>Year_2040!T132/Year_2032!T132</f>
        <v>#VALUE!</v>
      </c>
      <c r="U129" t="e">
        <f>Year_2040!U132/Year_2032!U132</f>
        <v>#VALUE!</v>
      </c>
      <c r="V129" t="e">
        <f>Year_2040!V132/Year_2032!V132</f>
        <v>#VALUE!</v>
      </c>
      <c r="W129" t="e">
        <f>Year_2040!W132/Year_2032!W132</f>
        <v>#VALUE!</v>
      </c>
      <c r="X129" t="e">
        <f>Year_2040!X132/Year_2032!X132</f>
        <v>#VALUE!</v>
      </c>
      <c r="Y129" t="e">
        <f>Year_2040!Y132/Year_2032!Y132</f>
        <v>#DIV/0!</v>
      </c>
      <c r="Z129" t="e">
        <f>Year_2040!Z132/Year_2032!Z132</f>
        <v>#DIV/0!</v>
      </c>
      <c r="AA129" t="e">
        <f>Year_2040!AA132/Year_2032!AA132</f>
        <v>#VALUE!</v>
      </c>
      <c r="AB129" t="e">
        <f>Year_2040!AB132/Year_2032!AB132</f>
        <v>#VALUE!</v>
      </c>
      <c r="AC129" t="e">
        <f>Year_2040!AC132/Year_2032!AC132</f>
        <v>#VALUE!</v>
      </c>
      <c r="AD129" t="e">
        <f>Year_2040!AD132/Year_2032!AD132</f>
        <v>#VALUE!</v>
      </c>
      <c r="AE129" t="e">
        <f>Year_2040!AE132/Year_2032!AE132</f>
        <v>#VALUE!</v>
      </c>
      <c r="AF129" t="e">
        <f>Year_2040!AF132/Year_2032!AF132</f>
        <v>#VALUE!</v>
      </c>
      <c r="AG129" t="e">
        <f>Year_2040!AG132/Year_2032!AG132</f>
        <v>#VALUE!</v>
      </c>
      <c r="AH129" t="e">
        <f>Year_2040!AH132/Year_2032!AH132</f>
        <v>#VALUE!</v>
      </c>
      <c r="AI129" t="e">
        <f>Year_2040!AI132/Year_2032!AI132</f>
        <v>#VALUE!</v>
      </c>
      <c r="AJ129" t="e">
        <f>Year_2040!AJ132/Year_2032!AJ132</f>
        <v>#VALUE!</v>
      </c>
      <c r="AK129" t="e">
        <f>Year_2040!AK132/Year_2032!AK132</f>
        <v>#VALUE!</v>
      </c>
      <c r="AL129" t="e">
        <f>Year_2040!AL132/Year_2032!AL132</f>
        <v>#DIV/0!</v>
      </c>
      <c r="AM129" t="e">
        <f>Year_2040!AM132/Year_2032!AM132</f>
        <v>#DIV/0!</v>
      </c>
      <c r="AN129" t="e">
        <f>Year_2040!AN132/Year_2032!AN132</f>
        <v>#DIV/0!</v>
      </c>
      <c r="AO129" t="e">
        <f>Year_2040!AO132/Year_2032!AO132</f>
        <v>#DIV/0!</v>
      </c>
      <c r="AP129" t="e">
        <f>Year_2040!AP132/Year_2032!AP132</f>
        <v>#DIV/0!</v>
      </c>
      <c r="AQ129" t="e">
        <f>Year_2040!AQ132/Year_2032!AQ132</f>
        <v>#DIV/0!</v>
      </c>
      <c r="AR129" t="e">
        <f>Year_2040!AR132/Year_2032!AR132</f>
        <v>#DIV/0!</v>
      </c>
      <c r="AS129" t="e">
        <f>Year_2040!AS132/Year_2032!AS132</f>
        <v>#DIV/0!</v>
      </c>
      <c r="AT129" t="e">
        <f>Year_2040!AT132/Year_2032!AT132</f>
        <v>#DIV/0!</v>
      </c>
      <c r="AU129" t="e">
        <f>Year_2040!AU132/Year_2032!AU132</f>
        <v>#DIV/0!</v>
      </c>
      <c r="AV129" t="e">
        <f>Year_2040!AV132/Year_2032!AV132</f>
        <v>#DIV/0!</v>
      </c>
      <c r="AW129" t="e">
        <f>Year_2040!AW132/Year_2032!AW132</f>
        <v>#DIV/0!</v>
      </c>
      <c r="AX129" t="e">
        <f>Year_2040!AX132/Year_2032!AX132</f>
        <v>#DIV/0!</v>
      </c>
    </row>
    <row r="130" spans="2:50" x14ac:dyDescent="0.3">
      <c r="B130">
        <f>Year_2032!B133</f>
        <v>0</v>
      </c>
      <c r="C130" t="e">
        <f>Year_2040!C133/Year_2032!C133</f>
        <v>#DIV/0!</v>
      </c>
      <c r="D130" t="e">
        <f>Year_2040!D133/Year_2032!D133</f>
        <v>#DIV/0!</v>
      </c>
      <c r="E130" t="e">
        <f>Year_2040!E133/Year_2032!E133</f>
        <v>#DIV/0!</v>
      </c>
      <c r="F130" t="e">
        <f>Year_2040!F133/Year_2032!F133</f>
        <v>#DIV/0!</v>
      </c>
      <c r="G130" t="e">
        <f>Year_2040!G133/Year_2032!G133</f>
        <v>#DIV/0!</v>
      </c>
      <c r="H130" t="e">
        <f>Year_2040!H133/Year_2032!H133</f>
        <v>#DIV/0!</v>
      </c>
      <c r="I130" t="e">
        <f>Year_2040!I133/Year_2032!I133</f>
        <v>#DIV/0!</v>
      </c>
      <c r="J130" t="e">
        <f>Year_2040!J133/Year_2032!J133</f>
        <v>#DIV/0!</v>
      </c>
      <c r="K130" t="e">
        <f>Year_2040!K133/Year_2032!K133</f>
        <v>#DIV/0!</v>
      </c>
      <c r="L130" t="e">
        <f>Year_2040!L133/Year_2032!L133</f>
        <v>#DIV/0!</v>
      </c>
      <c r="M130" t="e">
        <f>Year_2040!M133/Year_2032!M133</f>
        <v>#DIV/0!</v>
      </c>
      <c r="N130" t="str">
        <f>Year_2040!N133</f>
        <v>Segment</v>
      </c>
      <c r="O130">
        <f>Year_2040!O133/Year_2032!O133</f>
        <v>1</v>
      </c>
      <c r="P130">
        <f>Year_2040!P133/Year_2032!P133</f>
        <v>1</v>
      </c>
      <c r="Q130">
        <f>Year_2040!Q133/Year_2032!Q133</f>
        <v>1</v>
      </c>
      <c r="R130">
        <f>Year_2040!R133/Year_2032!R133</f>
        <v>1</v>
      </c>
      <c r="S130">
        <f>Year_2040!S133/Year_2032!S133</f>
        <v>1</v>
      </c>
      <c r="T130">
        <f>Year_2040!T133/Year_2032!T133</f>
        <v>1</v>
      </c>
      <c r="U130">
        <f>Year_2040!U133/Year_2032!U133</f>
        <v>1</v>
      </c>
      <c r="V130">
        <f>Year_2040!V133/Year_2032!V133</f>
        <v>1</v>
      </c>
      <c r="W130">
        <f>Year_2040!W133/Year_2032!W133</f>
        <v>1</v>
      </c>
      <c r="X130">
        <f>Year_2040!X133/Year_2032!X133</f>
        <v>1</v>
      </c>
      <c r="Y130" t="e">
        <f>Year_2040!Y133/Year_2032!Y133</f>
        <v>#DIV/0!</v>
      </c>
      <c r="Z130" t="e">
        <f>Year_2040!Z133/Year_2032!Z133</f>
        <v>#DIV/0!</v>
      </c>
      <c r="AA130" t="e">
        <f>Year_2040!AA133/Year_2032!AA133</f>
        <v>#VALUE!</v>
      </c>
      <c r="AB130">
        <f>Year_2040!AB133/Year_2032!AB133</f>
        <v>1</v>
      </c>
      <c r="AC130">
        <f>Year_2040!AC133/Year_2032!AC133</f>
        <v>1</v>
      </c>
      <c r="AD130">
        <f>Year_2040!AD133/Year_2032!AD133</f>
        <v>1</v>
      </c>
      <c r="AE130">
        <f>Year_2040!AE133/Year_2032!AE133</f>
        <v>1</v>
      </c>
      <c r="AF130">
        <f>Year_2040!AF133/Year_2032!AF133</f>
        <v>1</v>
      </c>
      <c r="AG130">
        <f>Year_2040!AG133/Year_2032!AG133</f>
        <v>1</v>
      </c>
      <c r="AH130">
        <f>Year_2040!AH133/Year_2032!AH133</f>
        <v>1</v>
      </c>
      <c r="AI130">
        <f>Year_2040!AI133/Year_2032!AI133</f>
        <v>1</v>
      </c>
      <c r="AJ130">
        <f>Year_2040!AJ133/Year_2032!AJ133</f>
        <v>1</v>
      </c>
      <c r="AK130">
        <f>Year_2040!AK133/Year_2032!AK133</f>
        <v>1</v>
      </c>
      <c r="AL130" t="e">
        <f>Year_2040!AL133/Year_2032!AL133</f>
        <v>#DIV/0!</v>
      </c>
      <c r="AM130" t="e">
        <f>Year_2040!AM133/Year_2032!AM133</f>
        <v>#DIV/0!</v>
      </c>
      <c r="AN130" t="e">
        <f>Year_2040!AN133/Year_2032!AN133</f>
        <v>#DIV/0!</v>
      </c>
      <c r="AO130" t="e">
        <f>Year_2040!AO133/Year_2032!AO133</f>
        <v>#DIV/0!</v>
      </c>
      <c r="AP130" t="e">
        <f>Year_2040!AP133/Year_2032!AP133</f>
        <v>#DIV/0!</v>
      </c>
      <c r="AQ130" t="e">
        <f>Year_2040!AQ133/Year_2032!AQ133</f>
        <v>#DIV/0!</v>
      </c>
      <c r="AR130" t="e">
        <f>Year_2040!AR133/Year_2032!AR133</f>
        <v>#DIV/0!</v>
      </c>
      <c r="AS130" t="e">
        <f>Year_2040!AS133/Year_2032!AS133</f>
        <v>#DIV/0!</v>
      </c>
      <c r="AT130" t="e">
        <f>Year_2040!AT133/Year_2032!AT133</f>
        <v>#DIV/0!</v>
      </c>
      <c r="AU130" t="e">
        <f>Year_2040!AU133/Year_2032!AU133</f>
        <v>#DIV/0!</v>
      </c>
      <c r="AV130" t="e">
        <f>Year_2040!AV133/Year_2032!AV133</f>
        <v>#DIV/0!</v>
      </c>
      <c r="AW130" t="e">
        <f>Year_2040!AW133/Year_2032!AW133</f>
        <v>#DIV/0!</v>
      </c>
      <c r="AX130" t="e">
        <f>Year_2040!AX133/Year_2032!AX133</f>
        <v>#DIV/0!</v>
      </c>
    </row>
    <row r="131" spans="2:50" x14ac:dyDescent="0.3">
      <c r="B131">
        <f>Year_2032!B134</f>
        <v>0</v>
      </c>
      <c r="C131" t="e">
        <f>Year_2040!C134/Year_2032!C134</f>
        <v>#DIV/0!</v>
      </c>
      <c r="D131" t="e">
        <f>Year_2040!D134/Year_2032!D134</f>
        <v>#DIV/0!</v>
      </c>
      <c r="E131" t="e">
        <f>Year_2040!E134/Year_2032!E134</f>
        <v>#DIV/0!</v>
      </c>
      <c r="F131" t="e">
        <f>Year_2040!F134/Year_2032!F134</f>
        <v>#DIV/0!</v>
      </c>
      <c r="G131" t="e">
        <f>Year_2040!G134/Year_2032!G134</f>
        <v>#DIV/0!</v>
      </c>
      <c r="H131" t="e">
        <f>Year_2040!H134/Year_2032!H134</f>
        <v>#DIV/0!</v>
      </c>
      <c r="I131" t="e">
        <f>Year_2040!I134/Year_2032!I134</f>
        <v>#DIV/0!</v>
      </c>
      <c r="J131" t="e">
        <f>Year_2040!J134/Year_2032!J134</f>
        <v>#DIV/0!</v>
      </c>
      <c r="K131" t="e">
        <f>Year_2040!K134/Year_2032!K134</f>
        <v>#DIV/0!</v>
      </c>
      <c r="L131" t="e">
        <f>Year_2040!L134/Year_2032!L134</f>
        <v>#DIV/0!</v>
      </c>
      <c r="M131" t="e">
        <f>Year_2040!M134/Year_2032!M134</f>
        <v>#DIV/0!</v>
      </c>
      <c r="N131" t="str">
        <f>Year_2040!N134</f>
        <v>Period</v>
      </c>
      <c r="O131" t="e">
        <f>Year_2040!O134/Year_2032!O134</f>
        <v>#DIV/0!</v>
      </c>
      <c r="P131" t="e">
        <f>Year_2040!P134/Year_2032!P134</f>
        <v>#DIV/0!</v>
      </c>
      <c r="Q131" t="e">
        <f>Year_2040!Q134/Year_2032!Q134</f>
        <v>#DIV/0!</v>
      </c>
      <c r="R131" t="e">
        <f>Year_2040!R134/Year_2032!R134</f>
        <v>#DIV/0!</v>
      </c>
      <c r="S131" t="e">
        <f>Year_2040!S134/Year_2032!S134</f>
        <v>#DIV/0!</v>
      </c>
      <c r="T131" t="e">
        <f>Year_2040!T134/Year_2032!T134</f>
        <v>#DIV/0!</v>
      </c>
      <c r="U131" t="e">
        <f>Year_2040!U134/Year_2032!U134</f>
        <v>#DIV/0!</v>
      </c>
      <c r="V131" t="e">
        <f>Year_2040!V134/Year_2032!V134</f>
        <v>#DIV/0!</v>
      </c>
      <c r="W131" t="e">
        <f>Year_2040!W134/Year_2032!W134</f>
        <v>#DIV/0!</v>
      </c>
      <c r="X131" t="e">
        <f>Year_2040!X134/Year_2032!X134</f>
        <v>#DIV/0!</v>
      </c>
      <c r="Y131" t="e">
        <f>Year_2040!Y134/Year_2032!Y134</f>
        <v>#DIV/0!</v>
      </c>
      <c r="Z131" t="e">
        <f>Year_2040!Z134/Year_2032!Z134</f>
        <v>#DIV/0!</v>
      </c>
      <c r="AA131" t="e">
        <f>Year_2040!AA134/Year_2032!AA134</f>
        <v>#VALUE!</v>
      </c>
      <c r="AB131" t="e">
        <f>Year_2040!AB134/Year_2032!AB134</f>
        <v>#DIV/0!</v>
      </c>
      <c r="AC131" t="e">
        <f>Year_2040!AC134/Year_2032!AC134</f>
        <v>#DIV/0!</v>
      </c>
      <c r="AD131" t="e">
        <f>Year_2040!AD134/Year_2032!AD134</f>
        <v>#DIV/0!</v>
      </c>
      <c r="AE131" t="e">
        <f>Year_2040!AE134/Year_2032!AE134</f>
        <v>#DIV/0!</v>
      </c>
      <c r="AF131" t="e">
        <f>Year_2040!AF134/Year_2032!AF134</f>
        <v>#DIV/0!</v>
      </c>
      <c r="AG131" t="e">
        <f>Year_2040!AG134/Year_2032!AG134</f>
        <v>#DIV/0!</v>
      </c>
      <c r="AH131" t="e">
        <f>Year_2040!AH134/Year_2032!AH134</f>
        <v>#DIV/0!</v>
      </c>
      <c r="AI131" t="e">
        <f>Year_2040!AI134/Year_2032!AI134</f>
        <v>#DIV/0!</v>
      </c>
      <c r="AJ131" t="e">
        <f>Year_2040!AJ134/Year_2032!AJ134</f>
        <v>#DIV/0!</v>
      </c>
      <c r="AK131" t="e">
        <f>Year_2040!AK134/Year_2032!AK134</f>
        <v>#DIV/0!</v>
      </c>
      <c r="AL131" t="e">
        <f>Year_2040!AL134/Year_2032!AL134</f>
        <v>#DIV/0!</v>
      </c>
      <c r="AM131" t="e">
        <f>Year_2040!AM134/Year_2032!AM134</f>
        <v>#DIV/0!</v>
      </c>
      <c r="AN131" t="e">
        <f>Year_2040!AN134/Year_2032!AN134</f>
        <v>#DIV/0!</v>
      </c>
      <c r="AO131" t="e">
        <f>Year_2040!AO134/Year_2032!AO134</f>
        <v>#DIV/0!</v>
      </c>
      <c r="AP131" t="e">
        <f>Year_2040!AP134/Year_2032!AP134</f>
        <v>#DIV/0!</v>
      </c>
      <c r="AQ131" t="e">
        <f>Year_2040!AQ134/Year_2032!AQ134</f>
        <v>#DIV/0!</v>
      </c>
      <c r="AR131" t="e">
        <f>Year_2040!AR134/Year_2032!AR134</f>
        <v>#DIV/0!</v>
      </c>
      <c r="AS131" t="e">
        <f>Year_2040!AS134/Year_2032!AS134</f>
        <v>#DIV/0!</v>
      </c>
      <c r="AT131" t="e">
        <f>Year_2040!AT134/Year_2032!AT134</f>
        <v>#DIV/0!</v>
      </c>
      <c r="AU131" t="e">
        <f>Year_2040!AU134/Year_2032!AU134</f>
        <v>#DIV/0!</v>
      </c>
      <c r="AV131" t="e">
        <f>Year_2040!AV134/Year_2032!AV134</f>
        <v>#DIV/0!</v>
      </c>
      <c r="AW131" t="e">
        <f>Year_2040!AW134/Year_2032!AW134</f>
        <v>#DIV/0!</v>
      </c>
      <c r="AX131" t="e">
        <f>Year_2040!AX134/Year_2032!AX134</f>
        <v>#DIV/0!</v>
      </c>
    </row>
    <row r="132" spans="2:50" x14ac:dyDescent="0.3">
      <c r="B132">
        <f>Year_2032!B135</f>
        <v>0</v>
      </c>
      <c r="C132" t="e">
        <f>Year_2040!C135/Year_2032!C135</f>
        <v>#DIV/0!</v>
      </c>
      <c r="D132" t="e">
        <f>Year_2040!D135/Year_2032!D135</f>
        <v>#DIV/0!</v>
      </c>
      <c r="E132" t="e">
        <f>Year_2040!E135/Year_2032!E135</f>
        <v>#DIV/0!</v>
      </c>
      <c r="F132" t="e">
        <f>Year_2040!F135/Year_2032!F135</f>
        <v>#DIV/0!</v>
      </c>
      <c r="G132" t="e">
        <f>Year_2040!G135/Year_2032!G135</f>
        <v>#DIV/0!</v>
      </c>
      <c r="H132" t="e">
        <f>Year_2040!H135/Year_2032!H135</f>
        <v>#DIV/0!</v>
      </c>
      <c r="I132" t="e">
        <f>Year_2040!I135/Year_2032!I135</f>
        <v>#DIV/0!</v>
      </c>
      <c r="J132" t="e">
        <f>Year_2040!J135/Year_2032!J135</f>
        <v>#DIV/0!</v>
      </c>
      <c r="K132" t="e">
        <f>Year_2040!K135/Year_2032!K135</f>
        <v>#DIV/0!</v>
      </c>
      <c r="L132" t="e">
        <f>Year_2040!L135/Year_2032!L135</f>
        <v>#DIV/0!</v>
      </c>
      <c r="M132" t="e">
        <f>Year_2040!M135/Year_2032!M135</f>
        <v>#DIV/0!</v>
      </c>
      <c r="N132" t="str">
        <f>Year_2040!N135</f>
        <v>Night</v>
      </c>
      <c r="O132">
        <f>Year_2040!O135/Year_2032!O135</f>
        <v>1.0964285714285715</v>
      </c>
      <c r="P132">
        <f>Year_2040!P135/Year_2032!P135</f>
        <v>1.2935714285714286</v>
      </c>
      <c r="Q132">
        <f>Year_2040!Q135/Year_2032!Q135</f>
        <v>1.4140127388535033</v>
      </c>
      <c r="R132">
        <f>Year_2040!R135/Year_2032!R135</f>
        <v>1.1104432757325318</v>
      </c>
      <c r="S132">
        <f>Year_2040!S135/Year_2032!S135</f>
        <v>1.900537634408602</v>
      </c>
      <c r="T132">
        <f>Year_2040!T135/Year_2032!T135</f>
        <v>1.8796542553191491</v>
      </c>
      <c r="U132">
        <f>Year_2040!U135/Year_2032!U135</f>
        <v>1.1170298627925745</v>
      </c>
      <c r="V132">
        <f>Year_2040!V135/Year_2032!V135</f>
        <v>1.116245487364621</v>
      </c>
      <c r="W132">
        <f>Year_2040!W135/Year_2032!W135</f>
        <v>1.0163434903047091</v>
      </c>
      <c r="X132">
        <f>Year_2040!X135/Year_2032!X135</f>
        <v>0.99214542190305199</v>
      </c>
      <c r="Y132" t="e">
        <f>Year_2040!Y135/Year_2032!Y135</f>
        <v>#DIV/0!</v>
      </c>
      <c r="Z132" t="e">
        <f>Year_2040!Z135/Year_2032!Z135</f>
        <v>#DIV/0!</v>
      </c>
      <c r="AA132" t="e">
        <f>Year_2040!AA135/Year_2032!AA135</f>
        <v>#VALUE!</v>
      </c>
      <c r="AB132">
        <f>Year_2040!AB135/Year_2032!AB135</f>
        <v>1.1116138225863912</v>
      </c>
      <c r="AC132">
        <f>Year_2040!AC135/Year_2032!AC135</f>
        <v>1.0938394938394937</v>
      </c>
      <c r="AD132">
        <f>Year_2040!AD135/Year_2032!AD135</f>
        <v>1.0849497578861926</v>
      </c>
      <c r="AE132">
        <f>Year_2040!AE135/Year_2032!AE135</f>
        <v>1.1103971962616823</v>
      </c>
      <c r="AF132">
        <f>Year_2040!AF135/Year_2032!AF135</f>
        <v>1.0698102165370789</v>
      </c>
      <c r="AG132">
        <f>Year_2040!AG135/Year_2032!AG135</f>
        <v>1.0705680582280599</v>
      </c>
      <c r="AH132">
        <f>Year_2040!AH135/Year_2032!AH135</f>
        <v>1.116826093774502</v>
      </c>
      <c r="AI132">
        <f>Year_2040!AI135/Year_2032!AI135</f>
        <v>1.1159650824442289</v>
      </c>
      <c r="AJ132">
        <f>Year_2040!AJ135/Year_2032!AJ135</f>
        <v>0.99823828008360715</v>
      </c>
      <c r="AK132">
        <f>Year_2040!AK135/Year_2032!AK135</f>
        <v>1.0008527433973298</v>
      </c>
      <c r="AL132" t="e">
        <f>Year_2040!AL135/Year_2032!AL135</f>
        <v>#DIV/0!</v>
      </c>
      <c r="AM132" t="e">
        <f>Year_2040!AM135/Year_2032!AM135</f>
        <v>#DIV/0!</v>
      </c>
      <c r="AN132" t="e">
        <f>Year_2040!AN135/Year_2032!AN135</f>
        <v>#DIV/0!</v>
      </c>
      <c r="AO132" t="e">
        <f>Year_2040!AO135/Year_2032!AO135</f>
        <v>#DIV/0!</v>
      </c>
      <c r="AP132" t="e">
        <f>Year_2040!AP135/Year_2032!AP135</f>
        <v>#DIV/0!</v>
      </c>
      <c r="AQ132" t="e">
        <f>Year_2040!AQ135/Year_2032!AQ135</f>
        <v>#DIV/0!</v>
      </c>
      <c r="AR132" t="e">
        <f>Year_2040!AR135/Year_2032!AR135</f>
        <v>#DIV/0!</v>
      </c>
      <c r="AS132" t="e">
        <f>Year_2040!AS135/Year_2032!AS135</f>
        <v>#DIV/0!</v>
      </c>
      <c r="AT132" t="e">
        <f>Year_2040!AT135/Year_2032!AT135</f>
        <v>#DIV/0!</v>
      </c>
      <c r="AU132" t="e">
        <f>Year_2040!AU135/Year_2032!AU135</f>
        <v>#DIV/0!</v>
      </c>
      <c r="AV132" t="e">
        <f>Year_2040!AV135/Year_2032!AV135</f>
        <v>#DIV/0!</v>
      </c>
      <c r="AW132" t="e">
        <f>Year_2040!AW135/Year_2032!AW135</f>
        <v>#DIV/0!</v>
      </c>
      <c r="AX132" t="e">
        <f>Year_2040!AX135/Year_2032!AX135</f>
        <v>#DIV/0!</v>
      </c>
    </row>
    <row r="133" spans="2:50" x14ac:dyDescent="0.3">
      <c r="B133">
        <f>Year_2032!B136</f>
        <v>0</v>
      </c>
      <c r="C133" t="e">
        <f>Year_2040!C136/Year_2032!C136</f>
        <v>#DIV/0!</v>
      </c>
      <c r="D133" t="e">
        <f>Year_2040!D136/Year_2032!D136</f>
        <v>#DIV/0!</v>
      </c>
      <c r="E133" t="e">
        <f>Year_2040!E136/Year_2032!E136</f>
        <v>#DIV/0!</v>
      </c>
      <c r="F133" t="e">
        <f>Year_2040!F136/Year_2032!F136</f>
        <v>#DIV/0!</v>
      </c>
      <c r="G133" t="e">
        <f>Year_2040!G136/Year_2032!G136</f>
        <v>#DIV/0!</v>
      </c>
      <c r="H133" t="e">
        <f>Year_2040!H136/Year_2032!H136</f>
        <v>#DIV/0!</v>
      </c>
      <c r="I133" t="e">
        <f>Year_2040!I136/Year_2032!I136</f>
        <v>#DIV/0!</v>
      </c>
      <c r="J133" t="e">
        <f>Year_2040!J136/Year_2032!J136</f>
        <v>#DIV/0!</v>
      </c>
      <c r="K133" t="e">
        <f>Year_2040!K136/Year_2032!K136</f>
        <v>#DIV/0!</v>
      </c>
      <c r="L133" t="e">
        <f>Year_2040!L136/Year_2032!L136</f>
        <v>#DIV/0!</v>
      </c>
      <c r="M133" t="e">
        <f>Year_2040!M136/Year_2032!M136</f>
        <v>#DIV/0!</v>
      </c>
      <c r="N133" t="str">
        <f>Year_2040!N136</f>
        <v>AM-Early</v>
      </c>
      <c r="O133">
        <f>Year_2040!O136/Year_2032!O136</f>
        <v>1.2947686116700201</v>
      </c>
      <c r="P133">
        <f>Year_2040!P136/Year_2032!P136</f>
        <v>1.1061983471074381</v>
      </c>
      <c r="Q133">
        <f>Year_2040!Q136/Year_2032!Q136</f>
        <v>1.0829254247048663</v>
      </c>
      <c r="R133">
        <f>Year_2040!R136/Year_2032!R136</f>
        <v>1.308041237113402</v>
      </c>
      <c r="S133">
        <f>Year_2040!S136/Year_2032!S136</f>
        <v>1.4102457309454393</v>
      </c>
      <c r="T133">
        <f>Year_2040!T136/Year_2032!T136</f>
        <v>1.3465832961143367</v>
      </c>
      <c r="U133">
        <f>Year_2040!U136/Year_2032!U136</f>
        <v>1.2846681922196796</v>
      </c>
      <c r="V133">
        <f>Year_2040!V136/Year_2032!V136</f>
        <v>2.1573770491803281</v>
      </c>
      <c r="W133">
        <f>Year_2040!W136/Year_2032!W136</f>
        <v>1.2254035942735302</v>
      </c>
      <c r="X133">
        <f>Year_2040!X136/Year_2032!X136</f>
        <v>0.99860286412853649</v>
      </c>
      <c r="Y133" t="e">
        <f>Year_2040!Y136/Year_2032!Y136</f>
        <v>#DIV/0!</v>
      </c>
      <c r="Z133" t="e">
        <f>Year_2040!Z136/Year_2032!Z136</f>
        <v>#DIV/0!</v>
      </c>
      <c r="AA133" t="e">
        <f>Year_2040!AA136/Year_2032!AA136</f>
        <v>#VALUE!</v>
      </c>
      <c r="AB133">
        <f>Year_2040!AB136/Year_2032!AB136</f>
        <v>0.9964929859719438</v>
      </c>
      <c r="AC133">
        <f>Year_2040!AC136/Year_2032!AC136</f>
        <v>1.1112699747687131</v>
      </c>
      <c r="AD133">
        <f>Year_2040!AD136/Year_2032!AD136</f>
        <v>1.1154918794772244</v>
      </c>
      <c r="AE133">
        <f>Year_2040!AE136/Year_2032!AE136</f>
        <v>0.9805636540330418</v>
      </c>
      <c r="AF133">
        <f>Year_2040!AF136/Year_2032!AF136</f>
        <v>1.0495239619169534</v>
      </c>
      <c r="AG133">
        <f>Year_2040!AG136/Year_2032!AG136</f>
        <v>1.071395627709621</v>
      </c>
      <c r="AH133">
        <f>Year_2040!AH136/Year_2032!AH136</f>
        <v>1.001477923517458</v>
      </c>
      <c r="AI133">
        <f>Year_2040!AI136/Year_2032!AI136</f>
        <v>1.0643639427127212</v>
      </c>
      <c r="AJ133">
        <f>Year_2040!AJ136/Year_2032!AJ136</f>
        <v>0.98569017887276411</v>
      </c>
      <c r="AK133">
        <f>Year_2040!AK136/Year_2032!AK136</f>
        <v>1.0002976854952741</v>
      </c>
      <c r="AL133" t="e">
        <f>Year_2040!AL136/Year_2032!AL136</f>
        <v>#DIV/0!</v>
      </c>
      <c r="AM133" t="e">
        <f>Year_2040!AM136/Year_2032!AM136</f>
        <v>#DIV/0!</v>
      </c>
      <c r="AN133" t="e">
        <f>Year_2040!AN136/Year_2032!AN136</f>
        <v>#DIV/0!</v>
      </c>
      <c r="AO133" t="e">
        <f>Year_2040!AO136/Year_2032!AO136</f>
        <v>#DIV/0!</v>
      </c>
      <c r="AP133" t="e">
        <f>Year_2040!AP136/Year_2032!AP136</f>
        <v>#DIV/0!</v>
      </c>
      <c r="AQ133" t="e">
        <f>Year_2040!AQ136/Year_2032!AQ136</f>
        <v>#DIV/0!</v>
      </c>
      <c r="AR133" t="e">
        <f>Year_2040!AR136/Year_2032!AR136</f>
        <v>#DIV/0!</v>
      </c>
      <c r="AS133" t="e">
        <f>Year_2040!AS136/Year_2032!AS136</f>
        <v>#DIV/0!</v>
      </c>
      <c r="AT133" t="e">
        <f>Year_2040!AT136/Year_2032!AT136</f>
        <v>#DIV/0!</v>
      </c>
      <c r="AU133" t="e">
        <f>Year_2040!AU136/Year_2032!AU136</f>
        <v>#DIV/0!</v>
      </c>
      <c r="AV133" t="e">
        <f>Year_2040!AV136/Year_2032!AV136</f>
        <v>#DIV/0!</v>
      </c>
      <c r="AW133" t="e">
        <f>Year_2040!AW136/Year_2032!AW136</f>
        <v>#DIV/0!</v>
      </c>
      <c r="AX133" t="e">
        <f>Year_2040!AX136/Year_2032!AX136</f>
        <v>#DIV/0!</v>
      </c>
    </row>
    <row r="134" spans="2:50" x14ac:dyDescent="0.3">
      <c r="B134">
        <f>Year_2032!B137</f>
        <v>0</v>
      </c>
      <c r="C134" t="e">
        <f>Year_2040!C137/Year_2032!C137</f>
        <v>#DIV/0!</v>
      </c>
      <c r="D134" t="e">
        <f>Year_2040!D137/Year_2032!D137</f>
        <v>#DIV/0!</v>
      </c>
      <c r="E134" t="e">
        <f>Year_2040!E137/Year_2032!E137</f>
        <v>#DIV/0!</v>
      </c>
      <c r="F134" t="e">
        <f>Year_2040!F137/Year_2032!F137</f>
        <v>#DIV/0!</v>
      </c>
      <c r="G134" t="e">
        <f>Year_2040!G137/Year_2032!G137</f>
        <v>#DIV/0!</v>
      </c>
      <c r="H134" t="e">
        <f>Year_2040!H137/Year_2032!H137</f>
        <v>#DIV/0!</v>
      </c>
      <c r="I134" t="e">
        <f>Year_2040!I137/Year_2032!I137</f>
        <v>#DIV/0!</v>
      </c>
      <c r="J134" t="e">
        <f>Year_2040!J137/Year_2032!J137</f>
        <v>#DIV/0!</v>
      </c>
      <c r="K134" t="e">
        <f>Year_2040!K137/Year_2032!K137</f>
        <v>#DIV/0!</v>
      </c>
      <c r="L134" t="e">
        <f>Year_2040!L137/Year_2032!L137</f>
        <v>#DIV/0!</v>
      </c>
      <c r="M134" t="e">
        <f>Year_2040!M137/Year_2032!M137</f>
        <v>#DIV/0!</v>
      </c>
      <c r="N134" t="str">
        <f>Year_2040!N137</f>
        <v>AM-Peak</v>
      </c>
      <c r="O134">
        <f>Year_2040!O137/Year_2032!O137</f>
        <v>1.3253411196585996</v>
      </c>
      <c r="P134">
        <f>Year_2040!P137/Year_2032!P137</f>
        <v>1.403139198678232</v>
      </c>
      <c r="Q134">
        <f>Year_2040!Q137/Year_2032!Q137</f>
        <v>1.0281465407199386</v>
      </c>
      <c r="R134">
        <f>Year_2040!R137/Year_2032!R137</f>
        <v>1.0620832103865447</v>
      </c>
      <c r="S134">
        <f>Year_2040!S137/Year_2032!S137</f>
        <v>1.3025283894849113</v>
      </c>
      <c r="T134">
        <f>Year_2040!T137/Year_2032!T137</f>
        <v>1.4020905450349554</v>
      </c>
      <c r="U134">
        <f>Year_2040!U137/Year_2032!U137</f>
        <v>1.2410187467323923</v>
      </c>
      <c r="V134">
        <f>Year_2040!V137/Year_2032!V137</f>
        <v>1.0812196083585226</v>
      </c>
      <c r="W134">
        <f>Year_2040!W137/Year_2032!W137</f>
        <v>1.0826126242416421</v>
      </c>
      <c r="X134">
        <f>Year_2040!X137/Year_2032!X137</f>
        <v>1.1188781562447043</v>
      </c>
      <c r="Y134" t="e">
        <f>Year_2040!Y137/Year_2032!Y137</f>
        <v>#DIV/0!</v>
      </c>
      <c r="Z134" t="e">
        <f>Year_2040!Z137/Year_2032!Z137</f>
        <v>#DIV/0!</v>
      </c>
      <c r="AA134" t="e">
        <f>Year_2040!AA137/Year_2032!AA137</f>
        <v>#VALUE!</v>
      </c>
      <c r="AB134">
        <f>Year_2040!AB137/Year_2032!AB137</f>
        <v>1.0657857952121008</v>
      </c>
      <c r="AC134">
        <f>Year_2040!AC137/Year_2032!AC137</f>
        <v>1.032673697944982</v>
      </c>
      <c r="AD134">
        <f>Year_2040!AD137/Year_2032!AD137</f>
        <v>1.1258310380852881</v>
      </c>
      <c r="AE134">
        <f>Year_2040!AE137/Year_2032!AE137</f>
        <v>1.1527282563257677</v>
      </c>
      <c r="AF134">
        <f>Year_2040!AF137/Year_2032!AF137</f>
        <v>1.075685510443827</v>
      </c>
      <c r="AG134">
        <f>Year_2040!AG137/Year_2032!AG137</f>
        <v>1.0618535957181376</v>
      </c>
      <c r="AH134">
        <f>Year_2040!AH137/Year_2032!AH137</f>
        <v>1.0956192420294917</v>
      </c>
      <c r="AI134">
        <f>Year_2040!AI137/Year_2032!AI137</f>
        <v>1.1254125841411753</v>
      </c>
      <c r="AJ134">
        <f>Year_2040!AJ137/Year_2032!AJ137</f>
        <v>0.98239485049376951</v>
      </c>
      <c r="AK134">
        <f>Year_2040!AK137/Year_2032!AK137</f>
        <v>0.9642073575182406</v>
      </c>
      <c r="AL134" t="e">
        <f>Year_2040!AL137/Year_2032!AL137</f>
        <v>#DIV/0!</v>
      </c>
      <c r="AM134" t="e">
        <f>Year_2040!AM137/Year_2032!AM137</f>
        <v>#DIV/0!</v>
      </c>
      <c r="AN134" t="e">
        <f>Year_2040!AN137/Year_2032!AN137</f>
        <v>#DIV/0!</v>
      </c>
      <c r="AO134" t="e">
        <f>Year_2040!AO137/Year_2032!AO137</f>
        <v>#DIV/0!</v>
      </c>
      <c r="AP134" t="e">
        <f>Year_2040!AP137/Year_2032!AP137</f>
        <v>#DIV/0!</v>
      </c>
      <c r="AQ134" t="e">
        <f>Year_2040!AQ137/Year_2032!AQ137</f>
        <v>#DIV/0!</v>
      </c>
      <c r="AR134" t="e">
        <f>Year_2040!AR137/Year_2032!AR137</f>
        <v>#DIV/0!</v>
      </c>
      <c r="AS134" t="e">
        <f>Year_2040!AS137/Year_2032!AS137</f>
        <v>#DIV/0!</v>
      </c>
      <c r="AT134" t="e">
        <f>Year_2040!AT137/Year_2032!AT137</f>
        <v>#DIV/0!</v>
      </c>
      <c r="AU134" t="e">
        <f>Year_2040!AU137/Year_2032!AU137</f>
        <v>#DIV/0!</v>
      </c>
      <c r="AV134" t="e">
        <f>Year_2040!AV137/Year_2032!AV137</f>
        <v>#DIV/0!</v>
      </c>
      <c r="AW134" t="e">
        <f>Year_2040!AW137/Year_2032!AW137</f>
        <v>#DIV/0!</v>
      </c>
      <c r="AX134" t="e">
        <f>Year_2040!AX137/Year_2032!AX137</f>
        <v>#DIV/0!</v>
      </c>
    </row>
    <row r="135" spans="2:50" x14ac:dyDescent="0.3">
      <c r="B135">
        <f>Year_2032!B138</f>
        <v>0</v>
      </c>
      <c r="C135" t="e">
        <f>Year_2040!C138/Year_2032!C138</f>
        <v>#DIV/0!</v>
      </c>
      <c r="D135" t="e">
        <f>Year_2040!D138/Year_2032!D138</f>
        <v>#DIV/0!</v>
      </c>
      <c r="E135" t="e">
        <f>Year_2040!E138/Year_2032!E138</f>
        <v>#DIV/0!</v>
      </c>
      <c r="F135" t="e">
        <f>Year_2040!F138/Year_2032!F138</f>
        <v>#DIV/0!</v>
      </c>
      <c r="G135" t="e">
        <f>Year_2040!G138/Year_2032!G138</f>
        <v>#DIV/0!</v>
      </c>
      <c r="H135" t="e">
        <f>Year_2040!H138/Year_2032!H138</f>
        <v>#DIV/0!</v>
      </c>
      <c r="I135" t="e">
        <f>Year_2040!I138/Year_2032!I138</f>
        <v>#DIV/0!</v>
      </c>
      <c r="J135" t="e">
        <f>Year_2040!J138/Year_2032!J138</f>
        <v>#DIV/0!</v>
      </c>
      <c r="K135" t="e">
        <f>Year_2040!K138/Year_2032!K138</f>
        <v>#DIV/0!</v>
      </c>
      <c r="L135" t="e">
        <f>Year_2040!L138/Year_2032!L138</f>
        <v>#DIV/0!</v>
      </c>
      <c r="M135" t="e">
        <f>Year_2040!M138/Year_2032!M138</f>
        <v>#DIV/0!</v>
      </c>
      <c r="N135" t="str">
        <f>Year_2040!N138</f>
        <v>AM-Shoulder</v>
      </c>
      <c r="O135">
        <f>Year_2040!O138/Year_2032!O138</f>
        <v>1.1889410760034158</v>
      </c>
      <c r="P135">
        <f>Year_2040!P138/Year_2032!P138</f>
        <v>1.5815542271562766</v>
      </c>
      <c r="Q135">
        <f>Year_2040!Q138/Year_2032!Q138</f>
        <v>1.3088966660526802</v>
      </c>
      <c r="R135">
        <f>Year_2040!R138/Year_2032!R138</f>
        <v>1.1825313807531381</v>
      </c>
      <c r="S135">
        <f>Year_2040!S138/Year_2032!S138</f>
        <v>0.99170486793276569</v>
      </c>
      <c r="T135">
        <f>Year_2040!T138/Year_2032!T138</f>
        <v>1.4486780715396579</v>
      </c>
      <c r="U135">
        <f>Year_2040!U138/Year_2032!U138</f>
        <v>1.0792393026941363</v>
      </c>
      <c r="V135">
        <f>Year_2040!V138/Year_2032!V138</f>
        <v>1.0960345292689506</v>
      </c>
      <c r="W135">
        <f>Year_2040!W138/Year_2032!W138</f>
        <v>0.99964272954626654</v>
      </c>
      <c r="X135">
        <f>Year_2040!X138/Year_2032!X138</f>
        <v>1.0790807705305847</v>
      </c>
      <c r="Y135" t="e">
        <f>Year_2040!Y138/Year_2032!Y138</f>
        <v>#DIV/0!</v>
      </c>
      <c r="Z135" t="e">
        <f>Year_2040!Z138/Year_2032!Z138</f>
        <v>#DIV/0!</v>
      </c>
      <c r="AA135" t="e">
        <f>Year_2040!AA138/Year_2032!AA138</f>
        <v>#VALUE!</v>
      </c>
      <c r="AB135">
        <f>Year_2040!AB138/Year_2032!AB138</f>
        <v>0.97890912760482363</v>
      </c>
      <c r="AC135">
        <f>Year_2040!AC138/Year_2032!AC138</f>
        <v>1.0146328717010713</v>
      </c>
      <c r="AD135">
        <f>Year_2040!AD138/Year_2032!AD138</f>
        <v>1.0720831431480635</v>
      </c>
      <c r="AE135">
        <f>Year_2040!AE138/Year_2032!AE138</f>
        <v>0.97995071216741159</v>
      </c>
      <c r="AF135">
        <f>Year_2040!AF138/Year_2032!AF138</f>
        <v>1.0240842950326141</v>
      </c>
      <c r="AG135">
        <f>Year_2040!AG138/Year_2032!AG138</f>
        <v>1.0361609570418706</v>
      </c>
      <c r="AH135">
        <f>Year_2040!AH138/Year_2032!AH138</f>
        <v>1.1254683579113816</v>
      </c>
      <c r="AI135">
        <f>Year_2040!AI138/Year_2032!AI138</f>
        <v>1.1223354958294718</v>
      </c>
      <c r="AJ135">
        <f>Year_2040!AJ138/Year_2032!AJ138</f>
        <v>1.0000763300511413</v>
      </c>
      <c r="AK135">
        <f>Year_2040!AK138/Year_2032!AK138</f>
        <v>0.98304106227899257</v>
      </c>
      <c r="AL135" t="e">
        <f>Year_2040!AL138/Year_2032!AL138</f>
        <v>#DIV/0!</v>
      </c>
      <c r="AM135" t="e">
        <f>Year_2040!AM138/Year_2032!AM138</f>
        <v>#DIV/0!</v>
      </c>
      <c r="AN135" t="e">
        <f>Year_2040!AN138/Year_2032!AN138</f>
        <v>#DIV/0!</v>
      </c>
      <c r="AO135" t="e">
        <f>Year_2040!AO138/Year_2032!AO138</f>
        <v>#DIV/0!</v>
      </c>
      <c r="AP135" t="e">
        <f>Year_2040!AP138/Year_2032!AP138</f>
        <v>#DIV/0!</v>
      </c>
      <c r="AQ135" t="e">
        <f>Year_2040!AQ138/Year_2032!AQ138</f>
        <v>#DIV/0!</v>
      </c>
      <c r="AR135" t="e">
        <f>Year_2040!AR138/Year_2032!AR138</f>
        <v>#DIV/0!</v>
      </c>
      <c r="AS135" t="e">
        <f>Year_2040!AS138/Year_2032!AS138</f>
        <v>#DIV/0!</v>
      </c>
      <c r="AT135" t="e">
        <f>Year_2040!AT138/Year_2032!AT138</f>
        <v>#DIV/0!</v>
      </c>
      <c r="AU135" t="e">
        <f>Year_2040!AU138/Year_2032!AU138</f>
        <v>#DIV/0!</v>
      </c>
      <c r="AV135" t="e">
        <f>Year_2040!AV138/Year_2032!AV138</f>
        <v>#DIV/0!</v>
      </c>
      <c r="AW135" t="e">
        <f>Year_2040!AW138/Year_2032!AW138</f>
        <v>#DIV/0!</v>
      </c>
      <c r="AX135" t="e">
        <f>Year_2040!AX138/Year_2032!AX138</f>
        <v>#DIV/0!</v>
      </c>
    </row>
    <row r="136" spans="2:50" x14ac:dyDescent="0.3">
      <c r="B136">
        <f>Year_2032!B139</f>
        <v>0</v>
      </c>
      <c r="C136" t="e">
        <f>Year_2040!C139/Year_2032!C139</f>
        <v>#DIV/0!</v>
      </c>
      <c r="D136" t="e">
        <f>Year_2040!D139/Year_2032!D139</f>
        <v>#DIV/0!</v>
      </c>
      <c r="E136" t="e">
        <f>Year_2040!E139/Year_2032!E139</f>
        <v>#DIV/0!</v>
      </c>
      <c r="F136" t="e">
        <f>Year_2040!F139/Year_2032!F139</f>
        <v>#DIV/0!</v>
      </c>
      <c r="G136" t="e">
        <f>Year_2040!G139/Year_2032!G139</f>
        <v>#DIV/0!</v>
      </c>
      <c r="H136" t="e">
        <f>Year_2040!H139/Year_2032!H139</f>
        <v>#DIV/0!</v>
      </c>
      <c r="I136" t="e">
        <f>Year_2040!I139/Year_2032!I139</f>
        <v>#DIV/0!</v>
      </c>
      <c r="J136" t="e">
        <f>Year_2040!J139/Year_2032!J139</f>
        <v>#DIV/0!</v>
      </c>
      <c r="K136" t="e">
        <f>Year_2040!K139/Year_2032!K139</f>
        <v>#DIV/0!</v>
      </c>
      <c r="L136" t="e">
        <f>Year_2040!L139/Year_2032!L139</f>
        <v>#DIV/0!</v>
      </c>
      <c r="M136" t="e">
        <f>Year_2040!M139/Year_2032!M139</f>
        <v>#DIV/0!</v>
      </c>
      <c r="N136" t="str">
        <f>Year_2040!N139</f>
        <v>MD</v>
      </c>
      <c r="O136">
        <f>Year_2040!O139/Year_2032!O139</f>
        <v>1.2015375025971329</v>
      </c>
      <c r="P136">
        <f>Year_2040!P139/Year_2032!P139</f>
        <v>0.85248488035761238</v>
      </c>
      <c r="Q136">
        <f>Year_2040!Q139/Year_2032!Q139</f>
        <v>1.3199416962740274</v>
      </c>
      <c r="R136">
        <f>Year_2040!R139/Year_2032!R139</f>
        <v>1.1899734962490451</v>
      </c>
      <c r="S136">
        <f>Year_2040!S139/Year_2032!S139</f>
        <v>1.3884962701217118</v>
      </c>
      <c r="T136">
        <f>Year_2040!T139/Year_2032!T139</f>
        <v>1.3480569362855852</v>
      </c>
      <c r="U136">
        <f>Year_2040!U139/Year_2032!U139</f>
        <v>1.1049534756431307</v>
      </c>
      <c r="V136">
        <f>Year_2040!V139/Year_2032!V139</f>
        <v>1.0943362408889949</v>
      </c>
      <c r="W136">
        <f>Year_2040!W139/Year_2032!W139</f>
        <v>1.1449226791784362</v>
      </c>
      <c r="X136">
        <f>Year_2040!X139/Year_2032!X139</f>
        <v>1.156401908754404</v>
      </c>
      <c r="Y136" t="e">
        <f>Year_2040!Y139/Year_2032!Y139</f>
        <v>#DIV/0!</v>
      </c>
      <c r="Z136" t="e">
        <f>Year_2040!Z139/Year_2032!Z139</f>
        <v>#DIV/0!</v>
      </c>
      <c r="AA136" t="e">
        <f>Year_2040!AA139/Year_2032!AA139</f>
        <v>#VALUE!</v>
      </c>
      <c r="AB136">
        <f>Year_2040!AB139/Year_2032!AB139</f>
        <v>0.97231128983684389</v>
      </c>
      <c r="AC136">
        <f>Year_2040!AC139/Year_2032!AC139</f>
        <v>1.0611729942396122</v>
      </c>
      <c r="AD136">
        <f>Year_2040!AD139/Year_2032!AD139</f>
        <v>0.99351957353300235</v>
      </c>
      <c r="AE136">
        <f>Year_2040!AE139/Year_2032!AE139</f>
        <v>0.97665508729210182</v>
      </c>
      <c r="AF136">
        <f>Year_2040!AF139/Year_2032!AF139</f>
        <v>1.0636909803091255</v>
      </c>
      <c r="AG136">
        <f>Year_2040!AG139/Year_2032!AG139</f>
        <v>1.0710480389455315</v>
      </c>
      <c r="AH136">
        <f>Year_2040!AH139/Year_2032!AH139</f>
        <v>1.1210824627695042</v>
      </c>
      <c r="AI136">
        <f>Year_2040!AI139/Year_2032!AI139</f>
        <v>1.1227991025703556</v>
      </c>
      <c r="AJ136">
        <f>Year_2040!AJ139/Year_2032!AJ139</f>
        <v>0.96640884223142054</v>
      </c>
      <c r="AK136">
        <f>Year_2040!AK139/Year_2032!AK139</f>
        <v>0.97126118089543612</v>
      </c>
      <c r="AL136" t="e">
        <f>Year_2040!AL139/Year_2032!AL139</f>
        <v>#DIV/0!</v>
      </c>
      <c r="AM136" t="e">
        <f>Year_2040!AM139/Year_2032!AM139</f>
        <v>#DIV/0!</v>
      </c>
      <c r="AN136" t="e">
        <f>Year_2040!AN139/Year_2032!AN139</f>
        <v>#DIV/0!</v>
      </c>
      <c r="AO136" t="e">
        <f>Year_2040!AO139/Year_2032!AO139</f>
        <v>#DIV/0!</v>
      </c>
      <c r="AP136" t="e">
        <f>Year_2040!AP139/Year_2032!AP139</f>
        <v>#DIV/0!</v>
      </c>
      <c r="AQ136" t="e">
        <f>Year_2040!AQ139/Year_2032!AQ139</f>
        <v>#DIV/0!</v>
      </c>
      <c r="AR136" t="e">
        <f>Year_2040!AR139/Year_2032!AR139</f>
        <v>#DIV/0!</v>
      </c>
      <c r="AS136" t="e">
        <f>Year_2040!AS139/Year_2032!AS139</f>
        <v>#DIV/0!</v>
      </c>
      <c r="AT136" t="e">
        <f>Year_2040!AT139/Year_2032!AT139</f>
        <v>#DIV/0!</v>
      </c>
      <c r="AU136" t="e">
        <f>Year_2040!AU139/Year_2032!AU139</f>
        <v>#DIV/0!</v>
      </c>
      <c r="AV136" t="e">
        <f>Year_2040!AV139/Year_2032!AV139</f>
        <v>#DIV/0!</v>
      </c>
      <c r="AW136" t="e">
        <f>Year_2040!AW139/Year_2032!AW139</f>
        <v>#DIV/0!</v>
      </c>
      <c r="AX136" t="e">
        <f>Year_2040!AX139/Year_2032!AX139</f>
        <v>#DIV/0!</v>
      </c>
    </row>
    <row r="137" spans="2:50" x14ac:dyDescent="0.3">
      <c r="B137">
        <f>Year_2032!B140</f>
        <v>0</v>
      </c>
      <c r="C137" t="e">
        <f>Year_2040!C140/Year_2032!C140</f>
        <v>#DIV/0!</v>
      </c>
      <c r="D137" t="e">
        <f>Year_2040!D140/Year_2032!D140</f>
        <v>#DIV/0!</v>
      </c>
      <c r="E137" t="e">
        <f>Year_2040!E140/Year_2032!E140</f>
        <v>#DIV/0!</v>
      </c>
      <c r="F137" t="e">
        <f>Year_2040!F140/Year_2032!F140</f>
        <v>#DIV/0!</v>
      </c>
      <c r="G137" t="e">
        <f>Year_2040!G140/Year_2032!G140</f>
        <v>#DIV/0!</v>
      </c>
      <c r="H137" t="e">
        <f>Year_2040!H140/Year_2032!H140</f>
        <v>#DIV/0!</v>
      </c>
      <c r="I137" t="e">
        <f>Year_2040!I140/Year_2032!I140</f>
        <v>#DIV/0!</v>
      </c>
      <c r="J137" t="e">
        <f>Year_2040!J140/Year_2032!J140</f>
        <v>#DIV/0!</v>
      </c>
      <c r="K137" t="e">
        <f>Year_2040!K140/Year_2032!K140</f>
        <v>#DIV/0!</v>
      </c>
      <c r="L137" t="e">
        <f>Year_2040!L140/Year_2032!L140</f>
        <v>#DIV/0!</v>
      </c>
      <c r="M137" t="e">
        <f>Year_2040!M140/Year_2032!M140</f>
        <v>#DIV/0!</v>
      </c>
      <c r="N137" t="str">
        <f>Year_2040!N140</f>
        <v>PM-Shoulder</v>
      </c>
      <c r="O137">
        <f>Year_2040!O140/Year_2032!O140</f>
        <v>1.2010948905109489</v>
      </c>
      <c r="P137">
        <f>Year_2040!P140/Year_2032!P140</f>
        <v>0.98807495741056217</v>
      </c>
      <c r="Q137">
        <f>Year_2040!Q140/Year_2032!Q140</f>
        <v>1.1889175257731961</v>
      </c>
      <c r="R137">
        <f>Year_2040!R140/Year_2032!R140</f>
        <v>1.1039426523297491</v>
      </c>
      <c r="S137">
        <f>Year_2040!S140/Year_2032!S140</f>
        <v>1.1622911694510738</v>
      </c>
      <c r="T137">
        <f>Year_2040!T140/Year_2032!T140</f>
        <v>0.96085892905680903</v>
      </c>
      <c r="U137">
        <f>Year_2040!U140/Year_2032!U140</f>
        <v>1.0658935160780179</v>
      </c>
      <c r="V137">
        <f>Year_2040!V140/Year_2032!V140</f>
        <v>0.96002422774076301</v>
      </c>
      <c r="W137">
        <f>Year_2040!W140/Year_2032!W140</f>
        <v>1.1218974076116934</v>
      </c>
      <c r="X137">
        <f>Year_2040!X140/Year_2032!X140</f>
        <v>1.2613240418118468</v>
      </c>
      <c r="Y137" t="e">
        <f>Year_2040!Y140/Year_2032!Y140</f>
        <v>#DIV/0!</v>
      </c>
      <c r="Z137" t="e">
        <f>Year_2040!Z140/Year_2032!Z140</f>
        <v>#DIV/0!</v>
      </c>
      <c r="AA137" t="e">
        <f>Year_2040!AA140/Year_2032!AA140</f>
        <v>#VALUE!</v>
      </c>
      <c r="AB137">
        <f>Year_2040!AB140/Year_2032!AB140</f>
        <v>0.97194258016405666</v>
      </c>
      <c r="AC137">
        <f>Year_2040!AC140/Year_2032!AC140</f>
        <v>1.0271213144271889</v>
      </c>
      <c r="AD137">
        <f>Year_2040!AD140/Year_2032!AD140</f>
        <v>0.97701954293716964</v>
      </c>
      <c r="AE137">
        <f>Year_2040!AE140/Year_2032!AE140</f>
        <v>0.99868319132455474</v>
      </c>
      <c r="AF137">
        <f>Year_2040!AF140/Year_2032!AF140</f>
        <v>0.98538192299773519</v>
      </c>
      <c r="AG137">
        <f>Year_2040!AG140/Year_2032!AG140</f>
        <v>1.0328045685279188</v>
      </c>
      <c r="AH137">
        <f>Year_2040!AH140/Year_2032!AH140</f>
        <v>1.1313542624458164</v>
      </c>
      <c r="AI137">
        <f>Year_2040!AI140/Year_2032!AI140</f>
        <v>1.1473988439306357</v>
      </c>
      <c r="AJ137">
        <f>Year_2040!AJ140/Year_2032!AJ140</f>
        <v>0.96245965687107182</v>
      </c>
      <c r="AK137">
        <f>Year_2040!AK140/Year_2032!AK140</f>
        <v>0.97174254317111464</v>
      </c>
      <c r="AL137" t="e">
        <f>Year_2040!AL140/Year_2032!AL140</f>
        <v>#DIV/0!</v>
      </c>
      <c r="AM137" t="e">
        <f>Year_2040!AM140/Year_2032!AM140</f>
        <v>#DIV/0!</v>
      </c>
      <c r="AN137" t="e">
        <f>Year_2040!AN140/Year_2032!AN140</f>
        <v>#DIV/0!</v>
      </c>
      <c r="AO137" t="e">
        <f>Year_2040!AO140/Year_2032!AO140</f>
        <v>#DIV/0!</v>
      </c>
      <c r="AP137" t="e">
        <f>Year_2040!AP140/Year_2032!AP140</f>
        <v>#DIV/0!</v>
      </c>
      <c r="AQ137" t="e">
        <f>Year_2040!AQ140/Year_2032!AQ140</f>
        <v>#DIV/0!</v>
      </c>
      <c r="AR137" t="e">
        <f>Year_2040!AR140/Year_2032!AR140</f>
        <v>#DIV/0!</v>
      </c>
      <c r="AS137" t="e">
        <f>Year_2040!AS140/Year_2032!AS140</f>
        <v>#DIV/0!</v>
      </c>
      <c r="AT137" t="e">
        <f>Year_2040!AT140/Year_2032!AT140</f>
        <v>#DIV/0!</v>
      </c>
      <c r="AU137" t="e">
        <f>Year_2040!AU140/Year_2032!AU140</f>
        <v>#DIV/0!</v>
      </c>
      <c r="AV137" t="e">
        <f>Year_2040!AV140/Year_2032!AV140</f>
        <v>#DIV/0!</v>
      </c>
      <c r="AW137" t="e">
        <f>Year_2040!AW140/Year_2032!AW140</f>
        <v>#DIV/0!</v>
      </c>
      <c r="AX137" t="e">
        <f>Year_2040!AX140/Year_2032!AX140</f>
        <v>#DIV/0!</v>
      </c>
    </row>
    <row r="138" spans="2:50" x14ac:dyDescent="0.3">
      <c r="B138">
        <f>Year_2032!B141</f>
        <v>0</v>
      </c>
      <c r="C138" t="e">
        <f>Year_2040!C141/Year_2032!C141</f>
        <v>#DIV/0!</v>
      </c>
      <c r="D138" t="e">
        <f>Year_2040!D141/Year_2032!D141</f>
        <v>#DIV/0!</v>
      </c>
      <c r="E138" t="e">
        <f>Year_2040!E141/Year_2032!E141</f>
        <v>#DIV/0!</v>
      </c>
      <c r="F138" t="e">
        <f>Year_2040!F141/Year_2032!F141</f>
        <v>#DIV/0!</v>
      </c>
      <c r="G138" t="e">
        <f>Year_2040!G141/Year_2032!G141</f>
        <v>#DIV/0!</v>
      </c>
      <c r="H138" t="e">
        <f>Year_2040!H141/Year_2032!H141</f>
        <v>#DIV/0!</v>
      </c>
      <c r="I138" t="e">
        <f>Year_2040!I141/Year_2032!I141</f>
        <v>#DIV/0!</v>
      </c>
      <c r="J138" t="e">
        <f>Year_2040!J141/Year_2032!J141</f>
        <v>#DIV/0!</v>
      </c>
      <c r="K138" t="e">
        <f>Year_2040!K141/Year_2032!K141</f>
        <v>#DIV/0!</v>
      </c>
      <c r="L138" t="e">
        <f>Year_2040!L141/Year_2032!L141</f>
        <v>#DIV/0!</v>
      </c>
      <c r="M138" t="e">
        <f>Year_2040!M141/Year_2032!M141</f>
        <v>#DIV/0!</v>
      </c>
      <c r="N138" t="str">
        <f>Year_2040!N141</f>
        <v>PM-Peak</v>
      </c>
      <c r="O138">
        <f>Year_2040!O141/Year_2032!O141</f>
        <v>0.93638025594149898</v>
      </c>
      <c r="P138">
        <f>Year_2040!P141/Year_2032!P141</f>
        <v>0.923648983639068</v>
      </c>
      <c r="Q138">
        <f>Year_2040!Q141/Year_2032!Q141</f>
        <v>1.385746008247859</v>
      </c>
      <c r="R138">
        <f>Year_2040!R141/Year_2032!R141</f>
        <v>1.3389106443574226</v>
      </c>
      <c r="S138">
        <f>Year_2040!S141/Year_2032!S141</f>
        <v>1.0586514164117569</v>
      </c>
      <c r="T138">
        <f>Year_2040!T141/Year_2032!T141</f>
        <v>1.0993295257015148</v>
      </c>
      <c r="U138">
        <f>Year_2040!U141/Year_2032!U141</f>
        <v>1.0611057225994178</v>
      </c>
      <c r="V138">
        <f>Year_2040!V141/Year_2032!V141</f>
        <v>1.03359758399396</v>
      </c>
      <c r="W138">
        <f>Year_2040!W141/Year_2032!W141</f>
        <v>1.1521136521136521</v>
      </c>
      <c r="X138">
        <f>Year_2040!X141/Year_2032!X141</f>
        <v>1.234375</v>
      </c>
      <c r="Y138" t="e">
        <f>Year_2040!Y141/Year_2032!Y141</f>
        <v>#DIV/0!</v>
      </c>
      <c r="Z138" t="e">
        <f>Year_2040!Z141/Year_2032!Z141</f>
        <v>#DIV/0!</v>
      </c>
      <c r="AA138" t="e">
        <f>Year_2040!AA141/Year_2032!AA141</f>
        <v>#VALUE!</v>
      </c>
      <c r="AB138">
        <f>Year_2040!AB141/Year_2032!AB141</f>
        <v>1.1748401566632074</v>
      </c>
      <c r="AC138">
        <f>Year_2040!AC141/Year_2032!AC141</f>
        <v>1.1779417056495141</v>
      </c>
      <c r="AD138">
        <f>Year_2040!AD141/Year_2032!AD141</f>
        <v>1.0286727008038483</v>
      </c>
      <c r="AE138">
        <f>Year_2040!AE141/Year_2032!AE141</f>
        <v>1.0534223706176962</v>
      </c>
      <c r="AF138">
        <f>Year_2040!AF141/Year_2032!AF141</f>
        <v>1.1325926629316621</v>
      </c>
      <c r="AG138">
        <f>Year_2040!AG141/Year_2032!AG141</f>
        <v>1.122556124585306</v>
      </c>
      <c r="AH138">
        <f>Year_2040!AH141/Year_2032!AH141</f>
        <v>1.1316465757053915</v>
      </c>
      <c r="AI138">
        <f>Year_2040!AI141/Year_2032!AI141</f>
        <v>1.1376238523770565</v>
      </c>
      <c r="AJ138">
        <f>Year_2040!AJ141/Year_2032!AJ141</f>
        <v>0.94834686433698079</v>
      </c>
      <c r="AK138">
        <f>Year_2040!AK141/Year_2032!AK141</f>
        <v>0.93526510480887803</v>
      </c>
      <c r="AL138" t="e">
        <f>Year_2040!AL141/Year_2032!AL141</f>
        <v>#DIV/0!</v>
      </c>
      <c r="AM138" t="e">
        <f>Year_2040!AM141/Year_2032!AM141</f>
        <v>#DIV/0!</v>
      </c>
      <c r="AN138" t="e">
        <f>Year_2040!AN141/Year_2032!AN141</f>
        <v>#DIV/0!</v>
      </c>
      <c r="AO138" t="e">
        <f>Year_2040!AO141/Year_2032!AO141</f>
        <v>#DIV/0!</v>
      </c>
      <c r="AP138" t="e">
        <f>Year_2040!AP141/Year_2032!AP141</f>
        <v>#DIV/0!</v>
      </c>
      <c r="AQ138" t="e">
        <f>Year_2040!AQ141/Year_2032!AQ141</f>
        <v>#DIV/0!</v>
      </c>
      <c r="AR138" t="e">
        <f>Year_2040!AR141/Year_2032!AR141</f>
        <v>#DIV/0!</v>
      </c>
      <c r="AS138" t="e">
        <f>Year_2040!AS141/Year_2032!AS141</f>
        <v>#DIV/0!</v>
      </c>
      <c r="AT138" t="e">
        <f>Year_2040!AT141/Year_2032!AT141</f>
        <v>#DIV/0!</v>
      </c>
      <c r="AU138" t="e">
        <f>Year_2040!AU141/Year_2032!AU141</f>
        <v>#DIV/0!</v>
      </c>
      <c r="AV138" t="e">
        <f>Year_2040!AV141/Year_2032!AV141</f>
        <v>#DIV/0!</v>
      </c>
      <c r="AW138" t="e">
        <f>Year_2040!AW141/Year_2032!AW141</f>
        <v>#DIV/0!</v>
      </c>
      <c r="AX138" t="e">
        <f>Year_2040!AX141/Year_2032!AX141</f>
        <v>#DIV/0!</v>
      </c>
    </row>
    <row r="139" spans="2:50" x14ac:dyDescent="0.3">
      <c r="B139">
        <f>Year_2032!B142</f>
        <v>0</v>
      </c>
      <c r="C139" t="e">
        <f>Year_2040!C142/Year_2032!C142</f>
        <v>#DIV/0!</v>
      </c>
      <c r="D139" t="e">
        <f>Year_2040!D142/Year_2032!D142</f>
        <v>#DIV/0!</v>
      </c>
      <c r="E139" t="e">
        <f>Year_2040!E142/Year_2032!E142</f>
        <v>#DIV/0!</v>
      </c>
      <c r="F139" t="e">
        <f>Year_2040!F142/Year_2032!F142</f>
        <v>#DIV/0!</v>
      </c>
      <c r="G139" t="e">
        <f>Year_2040!G142/Year_2032!G142</f>
        <v>#DIV/0!</v>
      </c>
      <c r="H139" t="e">
        <f>Year_2040!H142/Year_2032!H142</f>
        <v>#DIV/0!</v>
      </c>
      <c r="I139" t="e">
        <f>Year_2040!I142/Year_2032!I142</f>
        <v>#DIV/0!</v>
      </c>
      <c r="J139" t="e">
        <f>Year_2040!J142/Year_2032!J142</f>
        <v>#DIV/0!</v>
      </c>
      <c r="K139" t="e">
        <f>Year_2040!K142/Year_2032!K142</f>
        <v>#DIV/0!</v>
      </c>
      <c r="L139" t="e">
        <f>Year_2040!L142/Year_2032!L142</f>
        <v>#DIV/0!</v>
      </c>
      <c r="M139" t="e">
        <f>Year_2040!M142/Year_2032!M142</f>
        <v>#DIV/0!</v>
      </c>
      <c r="N139" t="str">
        <f>Year_2040!N142</f>
        <v>PM-Late</v>
      </c>
      <c r="O139">
        <f>Year_2040!O142/Year_2032!O142</f>
        <v>1.1076051779935276</v>
      </c>
      <c r="P139">
        <f>Year_2040!P142/Year_2032!P142</f>
        <v>1.1019500513171399</v>
      </c>
      <c r="Q139">
        <f>Year_2040!Q142/Year_2032!Q142</f>
        <v>1.1110159817351599</v>
      </c>
      <c r="R139">
        <f>Year_2040!R142/Year_2032!R142</f>
        <v>1.1056877773295684</v>
      </c>
      <c r="S139">
        <f>Year_2040!S142/Year_2032!S142</f>
        <v>1.1914813418771202</v>
      </c>
      <c r="T139">
        <f>Year_2040!T142/Year_2032!T142</f>
        <v>1.1115490737091052</v>
      </c>
      <c r="U139">
        <f>Year_2040!U142/Year_2032!U142</f>
        <v>1.1173421300659756</v>
      </c>
      <c r="V139">
        <f>Year_2040!V142/Year_2032!V142</f>
        <v>1.1186440677966101</v>
      </c>
      <c r="W139">
        <f>Year_2040!W142/Year_2032!W142</f>
        <v>1</v>
      </c>
      <c r="X139">
        <f>Year_2040!X142/Year_2032!X142</f>
        <v>1.2106741573033708</v>
      </c>
      <c r="Y139" t="e">
        <f>Year_2040!Y142/Year_2032!Y142</f>
        <v>#DIV/0!</v>
      </c>
      <c r="Z139" t="e">
        <f>Year_2040!Z142/Year_2032!Z142</f>
        <v>#DIV/0!</v>
      </c>
      <c r="AA139" t="e">
        <f>Year_2040!AA142/Year_2032!AA142</f>
        <v>#VALUE!</v>
      </c>
      <c r="AB139">
        <f>Year_2040!AB142/Year_2032!AB142</f>
        <v>1.111769513690233</v>
      </c>
      <c r="AC139">
        <f>Year_2040!AC142/Year_2032!AC142</f>
        <v>1.1132143177536558</v>
      </c>
      <c r="AD139">
        <f>Year_2040!AD142/Year_2032!AD142</f>
        <v>1.1108938142836449</v>
      </c>
      <c r="AE139">
        <f>Year_2040!AE142/Year_2032!AE142</f>
        <v>1.1121832255328172</v>
      </c>
      <c r="AF139">
        <f>Year_2040!AF142/Year_2032!AF142</f>
        <v>1.0985397834508792</v>
      </c>
      <c r="AG139">
        <f>Year_2040!AG142/Year_2032!AG142</f>
        <v>1.1190954242840538</v>
      </c>
      <c r="AH139">
        <f>Year_2040!AH142/Year_2032!AH142</f>
        <v>1.118166003976143</v>
      </c>
      <c r="AI139">
        <f>Year_2040!AI142/Year_2032!AI142</f>
        <v>1.1155516941789749</v>
      </c>
      <c r="AJ139">
        <f>Year_2040!AJ142/Year_2032!AJ142</f>
        <v>1</v>
      </c>
      <c r="AK139">
        <f>Year_2040!AK142/Year_2032!AK142</f>
        <v>0.96520675855935978</v>
      </c>
      <c r="AL139" t="e">
        <f>Year_2040!AL142/Year_2032!AL142</f>
        <v>#DIV/0!</v>
      </c>
      <c r="AM139" t="e">
        <f>Year_2040!AM142/Year_2032!AM142</f>
        <v>#DIV/0!</v>
      </c>
      <c r="AN139" t="e">
        <f>Year_2040!AN142/Year_2032!AN142</f>
        <v>#DIV/0!</v>
      </c>
      <c r="AO139" t="e">
        <f>Year_2040!AO142/Year_2032!AO142</f>
        <v>#DIV/0!</v>
      </c>
      <c r="AP139" t="e">
        <f>Year_2040!AP142/Year_2032!AP142</f>
        <v>#DIV/0!</v>
      </c>
      <c r="AQ139" t="e">
        <f>Year_2040!AQ142/Year_2032!AQ142</f>
        <v>#DIV/0!</v>
      </c>
      <c r="AR139" t="e">
        <f>Year_2040!AR142/Year_2032!AR142</f>
        <v>#DIV/0!</v>
      </c>
      <c r="AS139" t="e">
        <f>Year_2040!AS142/Year_2032!AS142</f>
        <v>#DIV/0!</v>
      </c>
      <c r="AT139" t="e">
        <f>Year_2040!AT142/Year_2032!AT142</f>
        <v>#DIV/0!</v>
      </c>
      <c r="AU139" t="e">
        <f>Year_2040!AU142/Year_2032!AU142</f>
        <v>#DIV/0!</v>
      </c>
      <c r="AV139" t="e">
        <f>Year_2040!AV142/Year_2032!AV142</f>
        <v>#DIV/0!</v>
      </c>
      <c r="AW139" t="e">
        <f>Year_2040!AW142/Year_2032!AW142</f>
        <v>#DIV/0!</v>
      </c>
      <c r="AX139" t="e">
        <f>Year_2040!AX142/Year_2032!AX142</f>
        <v>#DIV/0!</v>
      </c>
    </row>
    <row r="140" spans="2:50" x14ac:dyDescent="0.3">
      <c r="B140">
        <f>Year_2032!B143</f>
        <v>0</v>
      </c>
      <c r="C140" t="e">
        <f>Year_2040!C143/Year_2032!C143</f>
        <v>#DIV/0!</v>
      </c>
      <c r="D140" t="e">
        <f>Year_2040!D143/Year_2032!D143</f>
        <v>#DIV/0!</v>
      </c>
      <c r="E140" t="e">
        <f>Year_2040!E143/Year_2032!E143</f>
        <v>#DIV/0!</v>
      </c>
      <c r="F140" t="e">
        <f>Year_2040!F143/Year_2032!F143</f>
        <v>#DIV/0!</v>
      </c>
      <c r="G140" t="e">
        <f>Year_2040!G143/Year_2032!G143</f>
        <v>#DIV/0!</v>
      </c>
      <c r="H140" t="e">
        <f>Year_2040!H143/Year_2032!H143</f>
        <v>#DIV/0!</v>
      </c>
      <c r="I140" t="e">
        <f>Year_2040!I143/Year_2032!I143</f>
        <v>#DIV/0!</v>
      </c>
      <c r="J140" t="e">
        <f>Year_2040!J143/Year_2032!J143</f>
        <v>#DIV/0!</v>
      </c>
      <c r="K140" t="e">
        <f>Year_2040!K143/Year_2032!K143</f>
        <v>#DIV/0!</v>
      </c>
      <c r="L140" t="e">
        <f>Year_2040!L143/Year_2032!L143</f>
        <v>#DIV/0!</v>
      </c>
      <c r="M140" t="e">
        <f>Year_2040!M143/Year_2032!M143</f>
        <v>#DIV/0!</v>
      </c>
      <c r="N140">
        <f>Year_2040!N143</f>
        <v>0</v>
      </c>
      <c r="O140" t="e">
        <f>Year_2040!O143/Year_2032!O143</f>
        <v>#DIV/0!</v>
      </c>
      <c r="P140" t="e">
        <f>Year_2040!P143/Year_2032!P143</f>
        <v>#DIV/0!</v>
      </c>
      <c r="Q140" t="e">
        <f>Year_2040!Q143/Year_2032!Q143</f>
        <v>#DIV/0!</v>
      </c>
      <c r="R140" t="e">
        <f>Year_2040!R143/Year_2032!R143</f>
        <v>#DIV/0!</v>
      </c>
      <c r="S140" t="e">
        <f>Year_2040!S143/Year_2032!S143</f>
        <v>#DIV/0!</v>
      </c>
      <c r="T140" t="e">
        <f>Year_2040!T143/Year_2032!T143</f>
        <v>#DIV/0!</v>
      </c>
      <c r="U140" t="e">
        <f>Year_2040!U143/Year_2032!U143</f>
        <v>#DIV/0!</v>
      </c>
      <c r="V140" t="e">
        <f>Year_2040!V143/Year_2032!V143</f>
        <v>#DIV/0!</v>
      </c>
      <c r="W140" t="e">
        <f>Year_2040!W143/Year_2032!W143</f>
        <v>#DIV/0!</v>
      </c>
      <c r="X140" t="e">
        <f>Year_2040!X143/Year_2032!X143</f>
        <v>#DIV/0!</v>
      </c>
      <c r="Y140" t="e">
        <f>Year_2040!Y143/Year_2032!Y143</f>
        <v>#DIV/0!</v>
      </c>
      <c r="Z140" t="e">
        <f>Year_2040!Z143/Year_2032!Z143</f>
        <v>#DIV/0!</v>
      </c>
      <c r="AA140" t="e">
        <f>Year_2040!AA143/Year_2032!AA143</f>
        <v>#DIV/0!</v>
      </c>
      <c r="AB140" t="e">
        <f>Year_2040!AB143/Year_2032!AB143</f>
        <v>#DIV/0!</v>
      </c>
      <c r="AC140" t="e">
        <f>Year_2040!AC143/Year_2032!AC143</f>
        <v>#DIV/0!</v>
      </c>
      <c r="AD140" t="e">
        <f>Year_2040!AD143/Year_2032!AD143</f>
        <v>#DIV/0!</v>
      </c>
      <c r="AE140" t="e">
        <f>Year_2040!AE143/Year_2032!AE143</f>
        <v>#DIV/0!</v>
      </c>
      <c r="AF140" t="e">
        <f>Year_2040!AF143/Year_2032!AF143</f>
        <v>#DIV/0!</v>
      </c>
      <c r="AG140" t="e">
        <f>Year_2040!AG143/Year_2032!AG143</f>
        <v>#DIV/0!</v>
      </c>
      <c r="AH140" t="e">
        <f>Year_2040!AH143/Year_2032!AH143</f>
        <v>#DIV/0!</v>
      </c>
      <c r="AI140" t="e">
        <f>Year_2040!AI143/Year_2032!AI143</f>
        <v>#DIV/0!</v>
      </c>
      <c r="AJ140" t="e">
        <f>Year_2040!AJ143/Year_2032!AJ143</f>
        <v>#DIV/0!</v>
      </c>
      <c r="AK140" t="e">
        <f>Year_2040!AK143/Year_2032!AK143</f>
        <v>#DIV/0!</v>
      </c>
      <c r="AL140" t="e">
        <f>Year_2040!AL143/Year_2032!AL143</f>
        <v>#DIV/0!</v>
      </c>
      <c r="AM140" t="e">
        <f>Year_2040!AM143/Year_2032!AM143</f>
        <v>#DIV/0!</v>
      </c>
      <c r="AN140" t="e">
        <f>Year_2040!AN143/Year_2032!AN143</f>
        <v>#DIV/0!</v>
      </c>
      <c r="AO140" t="e">
        <f>Year_2040!AO143/Year_2032!AO143</f>
        <v>#DIV/0!</v>
      </c>
      <c r="AP140" t="e">
        <f>Year_2040!AP143/Year_2032!AP143</f>
        <v>#DIV/0!</v>
      </c>
      <c r="AQ140" t="e">
        <f>Year_2040!AQ143/Year_2032!AQ143</f>
        <v>#DIV/0!</v>
      </c>
      <c r="AR140" t="e">
        <f>Year_2040!AR143/Year_2032!AR143</f>
        <v>#DIV/0!</v>
      </c>
      <c r="AS140" t="e">
        <f>Year_2040!AS143/Year_2032!AS143</f>
        <v>#DIV/0!</v>
      </c>
      <c r="AT140" t="e">
        <f>Year_2040!AT143/Year_2032!AT143</f>
        <v>#DIV/0!</v>
      </c>
      <c r="AU140" t="e">
        <f>Year_2040!AU143/Year_2032!AU143</f>
        <v>#DIV/0!</v>
      </c>
      <c r="AV140" t="e">
        <f>Year_2040!AV143/Year_2032!AV143</f>
        <v>#DIV/0!</v>
      </c>
      <c r="AW140" t="e">
        <f>Year_2040!AW143/Year_2032!AW143</f>
        <v>#DIV/0!</v>
      </c>
      <c r="AX140" t="e">
        <f>Year_2040!AX143/Year_2032!AX143</f>
        <v>#DIV/0!</v>
      </c>
    </row>
    <row r="141" spans="2:50" x14ac:dyDescent="0.3">
      <c r="B141">
        <f>Year_2032!B144</f>
        <v>0</v>
      </c>
      <c r="C141" t="e">
        <f>Year_2040!C144/Year_2032!C144</f>
        <v>#DIV/0!</v>
      </c>
      <c r="D141" t="e">
        <f>Year_2040!D144/Year_2032!D144</f>
        <v>#DIV/0!</v>
      </c>
      <c r="E141" t="e">
        <f>Year_2040!E144/Year_2032!E144</f>
        <v>#DIV/0!</v>
      </c>
      <c r="F141" t="e">
        <f>Year_2040!F144/Year_2032!F144</f>
        <v>#DIV/0!</v>
      </c>
      <c r="G141" t="e">
        <f>Year_2040!G144/Year_2032!G144</f>
        <v>#DIV/0!</v>
      </c>
      <c r="H141" t="e">
        <f>Year_2040!H144/Year_2032!H144</f>
        <v>#DIV/0!</v>
      </c>
      <c r="I141" t="e">
        <f>Year_2040!I144/Year_2032!I144</f>
        <v>#DIV/0!</v>
      </c>
      <c r="J141" t="e">
        <f>Year_2040!J144/Year_2032!J144</f>
        <v>#DIV/0!</v>
      </c>
      <c r="K141" t="e">
        <f>Year_2040!K144/Year_2032!K144</f>
        <v>#DIV/0!</v>
      </c>
      <c r="L141" t="e">
        <f>Year_2040!L144/Year_2032!L144</f>
        <v>#DIV/0!</v>
      </c>
      <c r="M141" t="e">
        <f>Year_2040!M144/Year_2032!M144</f>
        <v>#DIV/0!</v>
      </c>
      <c r="N141">
        <f>Year_2040!N144</f>
        <v>0</v>
      </c>
      <c r="O141" t="e">
        <f>Year_2040!O144/Year_2032!O144</f>
        <v>#DIV/0!</v>
      </c>
      <c r="P141" t="e">
        <f>Year_2040!P144/Year_2032!P144</f>
        <v>#DIV/0!</v>
      </c>
      <c r="Q141" t="e">
        <f>Year_2040!Q144/Year_2032!Q144</f>
        <v>#DIV/0!</v>
      </c>
      <c r="R141" t="e">
        <f>Year_2040!R144/Year_2032!R144</f>
        <v>#DIV/0!</v>
      </c>
      <c r="S141" t="e">
        <f>Year_2040!S144/Year_2032!S144</f>
        <v>#DIV/0!</v>
      </c>
      <c r="T141" t="e">
        <f>Year_2040!T144/Year_2032!T144</f>
        <v>#DIV/0!</v>
      </c>
      <c r="U141" t="e">
        <f>Year_2040!U144/Year_2032!U144</f>
        <v>#DIV/0!</v>
      </c>
      <c r="V141" t="e">
        <f>Year_2040!V144/Year_2032!V144</f>
        <v>#DIV/0!</v>
      </c>
      <c r="W141" t="e">
        <f>Year_2040!W144/Year_2032!W144</f>
        <v>#DIV/0!</v>
      </c>
      <c r="X141" t="e">
        <f>Year_2040!X144/Year_2032!X144</f>
        <v>#DIV/0!</v>
      </c>
      <c r="Y141" t="e">
        <f>Year_2040!Y144/Year_2032!Y144</f>
        <v>#DIV/0!</v>
      </c>
      <c r="Z141" t="e">
        <f>Year_2040!Z144/Year_2032!Z144</f>
        <v>#DIV/0!</v>
      </c>
      <c r="AA141" t="e">
        <f>Year_2040!AA144/Year_2032!AA144</f>
        <v>#DIV/0!</v>
      </c>
      <c r="AB141" t="e">
        <f>Year_2040!AB144/Year_2032!AB144</f>
        <v>#DIV/0!</v>
      </c>
      <c r="AC141" t="e">
        <f>Year_2040!AC144/Year_2032!AC144</f>
        <v>#DIV/0!</v>
      </c>
      <c r="AD141" t="e">
        <f>Year_2040!AD144/Year_2032!AD144</f>
        <v>#DIV/0!</v>
      </c>
      <c r="AE141" t="e">
        <f>Year_2040!AE144/Year_2032!AE144</f>
        <v>#DIV/0!</v>
      </c>
      <c r="AF141" t="e">
        <f>Year_2040!AF144/Year_2032!AF144</f>
        <v>#DIV/0!</v>
      </c>
      <c r="AG141" t="e">
        <f>Year_2040!AG144/Year_2032!AG144</f>
        <v>#DIV/0!</v>
      </c>
      <c r="AH141" t="e">
        <f>Year_2040!AH144/Year_2032!AH144</f>
        <v>#DIV/0!</v>
      </c>
      <c r="AI141" t="e">
        <f>Year_2040!AI144/Year_2032!AI144</f>
        <v>#DIV/0!</v>
      </c>
      <c r="AJ141" t="e">
        <f>Year_2040!AJ144/Year_2032!AJ144</f>
        <v>#DIV/0!</v>
      </c>
      <c r="AK141" t="e">
        <f>Year_2040!AK144/Year_2032!AK144</f>
        <v>#DIV/0!</v>
      </c>
      <c r="AL141" t="e">
        <f>Year_2040!AL144/Year_2032!AL144</f>
        <v>#DIV/0!</v>
      </c>
      <c r="AM141" t="e">
        <f>Year_2040!AM144/Year_2032!AM144</f>
        <v>#DIV/0!</v>
      </c>
      <c r="AN141" t="e">
        <f>Year_2040!AN144/Year_2032!AN144</f>
        <v>#DIV/0!</v>
      </c>
      <c r="AO141" t="e">
        <f>Year_2040!AO144/Year_2032!AO144</f>
        <v>#DIV/0!</v>
      </c>
      <c r="AP141" t="e">
        <f>Year_2040!AP144/Year_2032!AP144</f>
        <v>#DIV/0!</v>
      </c>
      <c r="AQ141" t="e">
        <f>Year_2040!AQ144/Year_2032!AQ144</f>
        <v>#DIV/0!</v>
      </c>
      <c r="AR141" t="e">
        <f>Year_2040!AR144/Year_2032!AR144</f>
        <v>#DIV/0!</v>
      </c>
      <c r="AS141" t="e">
        <f>Year_2040!AS144/Year_2032!AS144</f>
        <v>#DIV/0!</v>
      </c>
      <c r="AT141" t="e">
        <f>Year_2040!AT144/Year_2032!AT144</f>
        <v>#DIV/0!</v>
      </c>
      <c r="AU141" t="e">
        <f>Year_2040!AU144/Year_2032!AU144</f>
        <v>#DIV/0!</v>
      </c>
      <c r="AV141" t="e">
        <f>Year_2040!AV144/Year_2032!AV144</f>
        <v>#DIV/0!</v>
      </c>
      <c r="AW141" t="e">
        <f>Year_2040!AW144/Year_2032!AW144</f>
        <v>#DIV/0!</v>
      </c>
      <c r="AX141" t="e">
        <f>Year_2040!AX144/Year_2032!AX144</f>
        <v>#DIV/0!</v>
      </c>
    </row>
    <row r="142" spans="2:50" x14ac:dyDescent="0.3">
      <c r="B142">
        <f>Year_2032!B145</f>
        <v>0</v>
      </c>
      <c r="C142" t="e">
        <f>Year_2040!C145/Year_2032!C145</f>
        <v>#DIV/0!</v>
      </c>
      <c r="D142" t="e">
        <f>Year_2040!D145/Year_2032!D145</f>
        <v>#DIV/0!</v>
      </c>
      <c r="E142" t="e">
        <f>Year_2040!E145/Year_2032!E145</f>
        <v>#DIV/0!</v>
      </c>
      <c r="F142" t="e">
        <f>Year_2040!F145/Year_2032!F145</f>
        <v>#DIV/0!</v>
      </c>
      <c r="G142" t="e">
        <f>Year_2040!G145/Year_2032!G145</f>
        <v>#DIV/0!</v>
      </c>
      <c r="H142" t="e">
        <f>Year_2040!H145/Year_2032!H145</f>
        <v>#DIV/0!</v>
      </c>
      <c r="I142" t="e">
        <f>Year_2040!I145/Year_2032!I145</f>
        <v>#DIV/0!</v>
      </c>
      <c r="J142" t="e">
        <f>Year_2040!J145/Year_2032!J145</f>
        <v>#DIV/0!</v>
      </c>
      <c r="K142" t="e">
        <f>Year_2040!K145/Year_2032!K145</f>
        <v>#DIV/0!</v>
      </c>
      <c r="L142" t="e">
        <f>Year_2040!L145/Year_2032!L145</f>
        <v>#DIV/0!</v>
      </c>
      <c r="M142" t="e">
        <f>Year_2040!M145/Year_2032!M145</f>
        <v>#DIV/0!</v>
      </c>
      <c r="N142" t="str">
        <f>Year_2040!N145</f>
        <v>ML medium B veh.Miles</v>
      </c>
      <c r="O142" t="e">
        <f>Year_2040!O145/Year_2032!O145</f>
        <v>#DIV/0!</v>
      </c>
      <c r="P142" t="e">
        <f>Year_2040!P145/Year_2032!P145</f>
        <v>#DIV/0!</v>
      </c>
      <c r="Q142" t="e">
        <f>Year_2040!Q145/Year_2032!Q145</f>
        <v>#DIV/0!</v>
      </c>
      <c r="R142" t="e">
        <f>Year_2040!R145/Year_2032!R145</f>
        <v>#DIV/0!</v>
      </c>
      <c r="S142" t="e">
        <f>Year_2040!S145/Year_2032!S145</f>
        <v>#DIV/0!</v>
      </c>
      <c r="T142" t="e">
        <f>Year_2040!T145/Year_2032!T145</f>
        <v>#DIV/0!</v>
      </c>
      <c r="U142" t="e">
        <f>Year_2040!U145/Year_2032!U145</f>
        <v>#DIV/0!</v>
      </c>
      <c r="V142" t="e">
        <f>Year_2040!V145/Year_2032!V145</f>
        <v>#DIV/0!</v>
      </c>
      <c r="W142" t="e">
        <f>Year_2040!W145/Year_2032!W145</f>
        <v>#DIV/0!</v>
      </c>
      <c r="X142" t="e">
        <f>Year_2040!X145/Year_2032!X145</f>
        <v>#DIV/0!</v>
      </c>
      <c r="Y142" t="e">
        <f>Year_2040!Y145/Year_2032!Y145</f>
        <v>#DIV/0!</v>
      </c>
      <c r="Z142" t="e">
        <f>Year_2040!Z145/Year_2032!Z145</f>
        <v>#DIV/0!</v>
      </c>
      <c r="AA142" t="e">
        <f>Year_2040!AA145/Year_2032!AA145</f>
        <v>#VALUE!</v>
      </c>
      <c r="AB142" t="e">
        <f>Year_2040!AB145/Year_2032!AB145</f>
        <v>#DIV/0!</v>
      </c>
      <c r="AC142" t="e">
        <f>Year_2040!AC145/Year_2032!AC145</f>
        <v>#DIV/0!</v>
      </c>
      <c r="AD142" t="e">
        <f>Year_2040!AD145/Year_2032!AD145</f>
        <v>#DIV/0!</v>
      </c>
      <c r="AE142" t="e">
        <f>Year_2040!AE145/Year_2032!AE145</f>
        <v>#DIV/0!</v>
      </c>
      <c r="AF142" t="e">
        <f>Year_2040!AF145/Year_2032!AF145</f>
        <v>#DIV/0!</v>
      </c>
      <c r="AG142" t="e">
        <f>Year_2040!AG145/Year_2032!AG145</f>
        <v>#DIV/0!</v>
      </c>
      <c r="AH142" t="e">
        <f>Year_2040!AH145/Year_2032!AH145</f>
        <v>#DIV/0!</v>
      </c>
      <c r="AI142" t="e">
        <f>Year_2040!AI145/Year_2032!AI145</f>
        <v>#DIV/0!</v>
      </c>
      <c r="AJ142" t="e">
        <f>Year_2040!AJ145/Year_2032!AJ145</f>
        <v>#DIV/0!</v>
      </c>
      <c r="AK142" t="e">
        <f>Year_2040!AK145/Year_2032!AK145</f>
        <v>#DIV/0!</v>
      </c>
      <c r="AL142" t="e">
        <f>Year_2040!AL145/Year_2032!AL145</f>
        <v>#DIV/0!</v>
      </c>
      <c r="AM142" t="e">
        <f>Year_2040!AM145/Year_2032!AM145</f>
        <v>#DIV/0!</v>
      </c>
      <c r="AN142" t="e">
        <f>Year_2040!AN145/Year_2032!AN145</f>
        <v>#DIV/0!</v>
      </c>
      <c r="AO142" t="e">
        <f>Year_2040!AO145/Year_2032!AO145</f>
        <v>#DIV/0!</v>
      </c>
      <c r="AP142" t="e">
        <f>Year_2040!AP145/Year_2032!AP145</f>
        <v>#DIV/0!</v>
      </c>
      <c r="AQ142" t="e">
        <f>Year_2040!AQ145/Year_2032!AQ145</f>
        <v>#DIV/0!</v>
      </c>
      <c r="AR142" t="e">
        <f>Year_2040!AR145/Year_2032!AR145</f>
        <v>#DIV/0!</v>
      </c>
      <c r="AS142" t="e">
        <f>Year_2040!AS145/Year_2032!AS145</f>
        <v>#DIV/0!</v>
      </c>
      <c r="AT142" t="e">
        <f>Year_2040!AT145/Year_2032!AT145</f>
        <v>#DIV/0!</v>
      </c>
      <c r="AU142" t="e">
        <f>Year_2040!AU145/Year_2032!AU145</f>
        <v>#DIV/0!</v>
      </c>
      <c r="AV142" t="e">
        <f>Year_2040!AV145/Year_2032!AV145</f>
        <v>#DIV/0!</v>
      </c>
      <c r="AW142" t="e">
        <f>Year_2040!AW145/Year_2032!AW145</f>
        <v>#DIV/0!</v>
      </c>
      <c r="AX142" t="e">
        <f>Year_2040!AX145/Year_2032!AX145</f>
        <v>#DIV/0!</v>
      </c>
    </row>
    <row r="143" spans="2:50" x14ac:dyDescent="0.3">
      <c r="B143">
        <f>Year_2032!B146</f>
        <v>0</v>
      </c>
      <c r="C143" t="e">
        <f>Year_2040!C146/Year_2032!C146</f>
        <v>#DIV/0!</v>
      </c>
      <c r="D143" t="e">
        <f>Year_2040!D146/Year_2032!D146</f>
        <v>#DIV/0!</v>
      </c>
      <c r="E143" t="e">
        <f>Year_2040!E146/Year_2032!E146</f>
        <v>#DIV/0!</v>
      </c>
      <c r="F143" t="e">
        <f>Year_2040!F146/Year_2032!F146</f>
        <v>#DIV/0!</v>
      </c>
      <c r="G143" t="e">
        <f>Year_2040!G146/Year_2032!G146</f>
        <v>#DIV/0!</v>
      </c>
      <c r="H143" t="e">
        <f>Year_2040!H146/Year_2032!H146</f>
        <v>#DIV/0!</v>
      </c>
      <c r="I143" t="e">
        <f>Year_2040!I146/Year_2032!I146</f>
        <v>#DIV/0!</v>
      </c>
      <c r="J143" t="e">
        <f>Year_2040!J146/Year_2032!J146</f>
        <v>#DIV/0!</v>
      </c>
      <c r="K143" t="e">
        <f>Year_2040!K146/Year_2032!K146</f>
        <v>#DIV/0!</v>
      </c>
      <c r="L143" t="e">
        <f>Year_2040!L146/Year_2032!L146</f>
        <v>#DIV/0!</v>
      </c>
      <c r="M143" t="e">
        <f>Year_2040!M146/Year_2032!M146</f>
        <v>#DIV/0!</v>
      </c>
      <c r="N143" t="str">
        <f>Year_2040!N146</f>
        <v>Direction</v>
      </c>
      <c r="O143" t="e">
        <f>Year_2040!O146/Year_2032!O146</f>
        <v>#VALUE!</v>
      </c>
      <c r="P143" t="e">
        <f>Year_2040!P146/Year_2032!P146</f>
        <v>#DIV/0!</v>
      </c>
      <c r="Q143" t="e">
        <f>Year_2040!Q146/Year_2032!Q146</f>
        <v>#DIV/0!</v>
      </c>
      <c r="R143" t="e">
        <f>Year_2040!R146/Year_2032!R146</f>
        <v>#DIV/0!</v>
      </c>
      <c r="S143" t="e">
        <f>Year_2040!S146/Year_2032!S146</f>
        <v>#DIV/0!</v>
      </c>
      <c r="T143" t="e">
        <f>Year_2040!T146/Year_2032!T146</f>
        <v>#VALUE!</v>
      </c>
      <c r="U143" t="e">
        <f>Year_2040!U146/Year_2032!U146</f>
        <v>#DIV/0!</v>
      </c>
      <c r="V143" t="e">
        <f>Year_2040!V146/Year_2032!V146</f>
        <v>#DIV/0!</v>
      </c>
      <c r="W143" t="e">
        <f>Year_2040!W146/Year_2032!W146</f>
        <v>#DIV/0!</v>
      </c>
      <c r="X143" t="e">
        <f>Year_2040!X146/Year_2032!X146</f>
        <v>#DIV/0!</v>
      </c>
      <c r="Y143" t="e">
        <f>Year_2040!Y146/Year_2032!Y146</f>
        <v>#DIV/0!</v>
      </c>
      <c r="Z143" t="e">
        <f>Year_2040!Z146/Year_2032!Z146</f>
        <v>#DIV/0!</v>
      </c>
      <c r="AA143" t="e">
        <f>Year_2040!AA146/Year_2032!AA146</f>
        <v>#VALUE!</v>
      </c>
      <c r="AB143" t="e">
        <f>Year_2040!AB146/Year_2032!AB146</f>
        <v>#VALUE!</v>
      </c>
      <c r="AC143" t="e">
        <f>Year_2040!AC146/Year_2032!AC146</f>
        <v>#DIV/0!</v>
      </c>
      <c r="AD143" t="e">
        <f>Year_2040!AD146/Year_2032!AD146</f>
        <v>#DIV/0!</v>
      </c>
      <c r="AE143" t="e">
        <f>Year_2040!AE146/Year_2032!AE146</f>
        <v>#DIV/0!</v>
      </c>
      <c r="AF143" t="e">
        <f>Year_2040!AF146/Year_2032!AF146</f>
        <v>#DIV/0!</v>
      </c>
      <c r="AG143" t="e">
        <f>Year_2040!AG146/Year_2032!AG146</f>
        <v>#VALUE!</v>
      </c>
      <c r="AH143" t="e">
        <f>Year_2040!AH146/Year_2032!AH146</f>
        <v>#DIV/0!</v>
      </c>
      <c r="AI143" t="e">
        <f>Year_2040!AI146/Year_2032!AI146</f>
        <v>#DIV/0!</v>
      </c>
      <c r="AJ143" t="e">
        <f>Year_2040!AJ146/Year_2032!AJ146</f>
        <v>#DIV/0!</v>
      </c>
      <c r="AK143" t="e">
        <f>Year_2040!AK146/Year_2032!AK146</f>
        <v>#DIV/0!</v>
      </c>
      <c r="AL143" t="e">
        <f>Year_2040!AL146/Year_2032!AL146</f>
        <v>#DIV/0!</v>
      </c>
      <c r="AM143" t="e">
        <f>Year_2040!AM146/Year_2032!AM146</f>
        <v>#DIV/0!</v>
      </c>
      <c r="AN143" t="e">
        <f>Year_2040!AN146/Year_2032!AN146</f>
        <v>#DIV/0!</v>
      </c>
      <c r="AO143" t="e">
        <f>Year_2040!AO146/Year_2032!AO146</f>
        <v>#DIV/0!</v>
      </c>
      <c r="AP143" t="e">
        <f>Year_2040!AP146/Year_2032!AP146</f>
        <v>#DIV/0!</v>
      </c>
      <c r="AQ143" t="e">
        <f>Year_2040!AQ146/Year_2032!AQ146</f>
        <v>#DIV/0!</v>
      </c>
      <c r="AR143" t="e">
        <f>Year_2040!AR146/Year_2032!AR146</f>
        <v>#DIV/0!</v>
      </c>
      <c r="AS143" t="e">
        <f>Year_2040!AS146/Year_2032!AS146</f>
        <v>#DIV/0!</v>
      </c>
      <c r="AT143" t="e">
        <f>Year_2040!AT146/Year_2032!AT146</f>
        <v>#DIV/0!</v>
      </c>
      <c r="AU143" t="e">
        <f>Year_2040!AU146/Year_2032!AU146</f>
        <v>#DIV/0!</v>
      </c>
      <c r="AV143" t="e">
        <f>Year_2040!AV146/Year_2032!AV146</f>
        <v>#DIV/0!</v>
      </c>
      <c r="AW143" t="e">
        <f>Year_2040!AW146/Year_2032!AW146</f>
        <v>#DIV/0!</v>
      </c>
      <c r="AX143" t="e">
        <f>Year_2040!AX146/Year_2032!AX146</f>
        <v>#DIV/0!</v>
      </c>
    </row>
    <row r="144" spans="2:50" x14ac:dyDescent="0.3">
      <c r="B144">
        <f>Year_2032!B147</f>
        <v>0</v>
      </c>
      <c r="C144" t="e">
        <f>Year_2040!C147/Year_2032!C147</f>
        <v>#DIV/0!</v>
      </c>
      <c r="D144" t="e">
        <f>Year_2040!D147/Year_2032!D147</f>
        <v>#DIV/0!</v>
      </c>
      <c r="E144" t="e">
        <f>Year_2040!E147/Year_2032!E147</f>
        <v>#DIV/0!</v>
      </c>
      <c r="F144" t="e">
        <f>Year_2040!F147/Year_2032!F147</f>
        <v>#DIV/0!</v>
      </c>
      <c r="G144" t="e">
        <f>Year_2040!G147/Year_2032!G147</f>
        <v>#DIV/0!</v>
      </c>
      <c r="H144" t="e">
        <f>Year_2040!H147/Year_2032!H147</f>
        <v>#DIV/0!</v>
      </c>
      <c r="I144" t="e">
        <f>Year_2040!I147/Year_2032!I147</f>
        <v>#DIV/0!</v>
      </c>
      <c r="J144" t="e">
        <f>Year_2040!J147/Year_2032!J147</f>
        <v>#DIV/0!</v>
      </c>
      <c r="K144" t="e">
        <f>Year_2040!K147/Year_2032!K147</f>
        <v>#DIV/0!</v>
      </c>
      <c r="L144" t="e">
        <f>Year_2040!L147/Year_2032!L147</f>
        <v>#DIV/0!</v>
      </c>
      <c r="M144" t="e">
        <f>Year_2040!M147/Year_2032!M147</f>
        <v>#DIV/0!</v>
      </c>
      <c r="N144" t="str">
        <f>Year_2040!N147</f>
        <v>Segment</v>
      </c>
      <c r="O144">
        <f>Year_2040!O147/Year_2032!O147</f>
        <v>1</v>
      </c>
      <c r="P144">
        <f>Year_2040!P147/Year_2032!P147</f>
        <v>1</v>
      </c>
      <c r="Q144">
        <f>Year_2040!Q147/Year_2032!Q147</f>
        <v>1</v>
      </c>
      <c r="R144">
        <f>Year_2040!R147/Year_2032!R147</f>
        <v>1</v>
      </c>
      <c r="S144">
        <f>Year_2040!S147/Year_2032!S147</f>
        <v>1</v>
      </c>
      <c r="T144">
        <f>Year_2040!T147/Year_2032!T147</f>
        <v>1</v>
      </c>
      <c r="U144">
        <f>Year_2040!U147/Year_2032!U147</f>
        <v>1</v>
      </c>
      <c r="V144">
        <f>Year_2040!V147/Year_2032!V147</f>
        <v>1</v>
      </c>
      <c r="W144">
        <f>Year_2040!W147/Year_2032!W147</f>
        <v>1</v>
      </c>
      <c r="X144">
        <f>Year_2040!X147/Year_2032!X147</f>
        <v>1</v>
      </c>
      <c r="Y144" t="e">
        <f>Year_2040!Y147/Year_2032!Y147</f>
        <v>#DIV/0!</v>
      </c>
      <c r="Z144" t="e">
        <f>Year_2040!Z147/Year_2032!Z147</f>
        <v>#DIV/0!</v>
      </c>
      <c r="AA144" t="e">
        <f>Year_2040!AA147/Year_2032!AA147</f>
        <v>#VALUE!</v>
      </c>
      <c r="AB144">
        <f>Year_2040!AB147/Year_2032!AB147</f>
        <v>1</v>
      </c>
      <c r="AC144">
        <f>Year_2040!AC147/Year_2032!AC147</f>
        <v>1</v>
      </c>
      <c r="AD144">
        <f>Year_2040!AD147/Year_2032!AD147</f>
        <v>1</v>
      </c>
      <c r="AE144">
        <f>Year_2040!AE147/Year_2032!AE147</f>
        <v>1</v>
      </c>
      <c r="AF144">
        <f>Year_2040!AF147/Year_2032!AF147</f>
        <v>1</v>
      </c>
      <c r="AG144">
        <f>Year_2040!AG147/Year_2032!AG147</f>
        <v>1</v>
      </c>
      <c r="AH144">
        <f>Year_2040!AH147/Year_2032!AH147</f>
        <v>1</v>
      </c>
      <c r="AI144">
        <f>Year_2040!AI147/Year_2032!AI147</f>
        <v>1</v>
      </c>
      <c r="AJ144">
        <f>Year_2040!AJ147/Year_2032!AJ147</f>
        <v>1</v>
      </c>
      <c r="AK144">
        <f>Year_2040!AK147/Year_2032!AK147</f>
        <v>1</v>
      </c>
      <c r="AL144" t="e">
        <f>Year_2040!AL147/Year_2032!AL147</f>
        <v>#DIV/0!</v>
      </c>
      <c r="AM144" t="e">
        <f>Year_2040!AM147/Year_2032!AM147</f>
        <v>#DIV/0!</v>
      </c>
      <c r="AN144" t="e">
        <f>Year_2040!AN147/Year_2032!AN147</f>
        <v>#DIV/0!</v>
      </c>
      <c r="AO144" t="e">
        <f>Year_2040!AO147/Year_2032!AO147</f>
        <v>#DIV/0!</v>
      </c>
      <c r="AP144" t="e">
        <f>Year_2040!AP147/Year_2032!AP147</f>
        <v>#DIV/0!</v>
      </c>
      <c r="AQ144" t="e">
        <f>Year_2040!AQ147/Year_2032!AQ147</f>
        <v>#DIV/0!</v>
      </c>
      <c r="AR144" t="e">
        <f>Year_2040!AR147/Year_2032!AR147</f>
        <v>#DIV/0!</v>
      </c>
      <c r="AS144" t="e">
        <f>Year_2040!AS147/Year_2032!AS147</f>
        <v>#DIV/0!</v>
      </c>
      <c r="AT144" t="e">
        <f>Year_2040!AT147/Year_2032!AT147</f>
        <v>#DIV/0!</v>
      </c>
      <c r="AU144" t="e">
        <f>Year_2040!AU147/Year_2032!AU147</f>
        <v>#DIV/0!</v>
      </c>
      <c r="AV144" t="e">
        <f>Year_2040!AV147/Year_2032!AV147</f>
        <v>#DIV/0!</v>
      </c>
      <c r="AW144" t="e">
        <f>Year_2040!AW147/Year_2032!AW147</f>
        <v>#DIV/0!</v>
      </c>
      <c r="AX144" t="e">
        <f>Year_2040!AX147/Year_2032!AX147</f>
        <v>#DIV/0!</v>
      </c>
    </row>
    <row r="145" spans="2:50" x14ac:dyDescent="0.3">
      <c r="B145">
        <f>Year_2032!B148</f>
        <v>0</v>
      </c>
      <c r="C145" t="e">
        <f>Year_2040!C148/Year_2032!C148</f>
        <v>#DIV/0!</v>
      </c>
      <c r="D145" t="e">
        <f>Year_2040!D148/Year_2032!D148</f>
        <v>#DIV/0!</v>
      </c>
      <c r="E145" t="e">
        <f>Year_2040!E148/Year_2032!E148</f>
        <v>#DIV/0!</v>
      </c>
      <c r="F145" t="e">
        <f>Year_2040!F148/Year_2032!F148</f>
        <v>#DIV/0!</v>
      </c>
      <c r="G145" t="e">
        <f>Year_2040!G148/Year_2032!G148</f>
        <v>#DIV/0!</v>
      </c>
      <c r="H145" t="e">
        <f>Year_2040!H148/Year_2032!H148</f>
        <v>#DIV/0!</v>
      </c>
      <c r="I145" t="e">
        <f>Year_2040!I148/Year_2032!I148</f>
        <v>#DIV/0!</v>
      </c>
      <c r="J145" t="e">
        <f>Year_2040!J148/Year_2032!J148</f>
        <v>#DIV/0!</v>
      </c>
      <c r="K145" t="e">
        <f>Year_2040!K148/Year_2032!K148</f>
        <v>#DIV/0!</v>
      </c>
      <c r="L145" t="e">
        <f>Year_2040!L148/Year_2032!L148</f>
        <v>#DIV/0!</v>
      </c>
      <c r="M145" t="e">
        <f>Year_2040!M148/Year_2032!M148</f>
        <v>#DIV/0!</v>
      </c>
      <c r="N145" t="str">
        <f>Year_2040!N148</f>
        <v>Period</v>
      </c>
      <c r="O145" t="e">
        <f>Year_2040!O148/Year_2032!O148</f>
        <v>#DIV/0!</v>
      </c>
      <c r="P145" t="e">
        <f>Year_2040!P148/Year_2032!P148</f>
        <v>#DIV/0!</v>
      </c>
      <c r="Q145" t="e">
        <f>Year_2040!Q148/Year_2032!Q148</f>
        <v>#DIV/0!</v>
      </c>
      <c r="R145" t="e">
        <f>Year_2040!R148/Year_2032!R148</f>
        <v>#DIV/0!</v>
      </c>
      <c r="S145" t="e">
        <f>Year_2040!S148/Year_2032!S148</f>
        <v>#DIV/0!</v>
      </c>
      <c r="T145" t="e">
        <f>Year_2040!T148/Year_2032!T148</f>
        <v>#DIV/0!</v>
      </c>
      <c r="U145" t="e">
        <f>Year_2040!U148/Year_2032!U148</f>
        <v>#DIV/0!</v>
      </c>
      <c r="V145" t="e">
        <f>Year_2040!V148/Year_2032!V148</f>
        <v>#DIV/0!</v>
      </c>
      <c r="W145" t="e">
        <f>Year_2040!W148/Year_2032!W148</f>
        <v>#DIV/0!</v>
      </c>
      <c r="X145" t="e">
        <f>Year_2040!X148/Year_2032!X148</f>
        <v>#DIV/0!</v>
      </c>
      <c r="Y145" t="e">
        <f>Year_2040!Y148/Year_2032!Y148</f>
        <v>#DIV/0!</v>
      </c>
      <c r="Z145" t="e">
        <f>Year_2040!Z148/Year_2032!Z148</f>
        <v>#DIV/0!</v>
      </c>
      <c r="AA145" t="e">
        <f>Year_2040!AA148/Year_2032!AA148</f>
        <v>#VALUE!</v>
      </c>
      <c r="AB145" t="e">
        <f>Year_2040!AB148/Year_2032!AB148</f>
        <v>#DIV/0!</v>
      </c>
      <c r="AC145" t="e">
        <f>Year_2040!AC148/Year_2032!AC148</f>
        <v>#DIV/0!</v>
      </c>
      <c r="AD145" t="e">
        <f>Year_2040!AD148/Year_2032!AD148</f>
        <v>#DIV/0!</v>
      </c>
      <c r="AE145" t="e">
        <f>Year_2040!AE148/Year_2032!AE148</f>
        <v>#DIV/0!</v>
      </c>
      <c r="AF145" t="e">
        <f>Year_2040!AF148/Year_2032!AF148</f>
        <v>#DIV/0!</v>
      </c>
      <c r="AG145" t="e">
        <f>Year_2040!AG148/Year_2032!AG148</f>
        <v>#DIV/0!</v>
      </c>
      <c r="AH145" t="e">
        <f>Year_2040!AH148/Year_2032!AH148</f>
        <v>#DIV/0!</v>
      </c>
      <c r="AI145" t="e">
        <f>Year_2040!AI148/Year_2032!AI148</f>
        <v>#DIV/0!</v>
      </c>
      <c r="AJ145" t="e">
        <f>Year_2040!AJ148/Year_2032!AJ148</f>
        <v>#DIV/0!</v>
      </c>
      <c r="AK145" t="e">
        <f>Year_2040!AK148/Year_2032!AK148</f>
        <v>#DIV/0!</v>
      </c>
      <c r="AL145" t="e">
        <f>Year_2040!AL148/Year_2032!AL148</f>
        <v>#DIV/0!</v>
      </c>
      <c r="AM145" t="e">
        <f>Year_2040!AM148/Year_2032!AM148</f>
        <v>#DIV/0!</v>
      </c>
      <c r="AN145" t="e">
        <f>Year_2040!AN148/Year_2032!AN148</f>
        <v>#DIV/0!</v>
      </c>
      <c r="AO145" t="e">
        <f>Year_2040!AO148/Year_2032!AO148</f>
        <v>#DIV/0!</v>
      </c>
      <c r="AP145" t="e">
        <f>Year_2040!AP148/Year_2032!AP148</f>
        <v>#DIV/0!</v>
      </c>
      <c r="AQ145" t="e">
        <f>Year_2040!AQ148/Year_2032!AQ148</f>
        <v>#DIV/0!</v>
      </c>
      <c r="AR145" t="e">
        <f>Year_2040!AR148/Year_2032!AR148</f>
        <v>#DIV/0!</v>
      </c>
      <c r="AS145" t="e">
        <f>Year_2040!AS148/Year_2032!AS148</f>
        <v>#DIV/0!</v>
      </c>
      <c r="AT145" t="e">
        <f>Year_2040!AT148/Year_2032!AT148</f>
        <v>#DIV/0!</v>
      </c>
      <c r="AU145" t="e">
        <f>Year_2040!AU148/Year_2032!AU148</f>
        <v>#DIV/0!</v>
      </c>
      <c r="AV145" t="e">
        <f>Year_2040!AV148/Year_2032!AV148</f>
        <v>#DIV/0!</v>
      </c>
      <c r="AW145" t="e">
        <f>Year_2040!AW148/Year_2032!AW148</f>
        <v>#DIV/0!</v>
      </c>
      <c r="AX145" t="e">
        <f>Year_2040!AX148/Year_2032!AX148</f>
        <v>#DIV/0!</v>
      </c>
    </row>
    <row r="146" spans="2:50" x14ac:dyDescent="0.3">
      <c r="B146">
        <f>Year_2032!B149</f>
        <v>0</v>
      </c>
      <c r="C146" t="e">
        <f>Year_2040!C149/Year_2032!C149</f>
        <v>#DIV/0!</v>
      </c>
      <c r="D146" t="e">
        <f>Year_2040!D149/Year_2032!D149</f>
        <v>#DIV/0!</v>
      </c>
      <c r="E146" t="e">
        <f>Year_2040!E149/Year_2032!E149</f>
        <v>#DIV/0!</v>
      </c>
      <c r="F146" t="e">
        <f>Year_2040!F149/Year_2032!F149</f>
        <v>#DIV/0!</v>
      </c>
      <c r="G146" t="e">
        <f>Year_2040!G149/Year_2032!G149</f>
        <v>#DIV/0!</v>
      </c>
      <c r="H146" t="e">
        <f>Year_2040!H149/Year_2032!H149</f>
        <v>#DIV/0!</v>
      </c>
      <c r="I146" t="e">
        <f>Year_2040!I149/Year_2032!I149</f>
        <v>#DIV/0!</v>
      </c>
      <c r="J146" t="e">
        <f>Year_2040!J149/Year_2032!J149</f>
        <v>#DIV/0!</v>
      </c>
      <c r="K146" t="e">
        <f>Year_2040!K149/Year_2032!K149</f>
        <v>#DIV/0!</v>
      </c>
      <c r="L146" t="e">
        <f>Year_2040!L149/Year_2032!L149</f>
        <v>#DIV/0!</v>
      </c>
      <c r="M146" t="e">
        <f>Year_2040!M149/Year_2032!M149</f>
        <v>#DIV/0!</v>
      </c>
      <c r="N146" t="str">
        <f>Year_2040!N149</f>
        <v>Night</v>
      </c>
      <c r="O146">
        <f>Year_2040!O149/Year_2032!O149</f>
        <v>1.0823848238482385</v>
      </c>
      <c r="P146">
        <f>Year_2040!P149/Year_2032!P149</f>
        <v>1.480327868852459</v>
      </c>
      <c r="Q146">
        <f>Year_2040!Q149/Year_2032!Q149</f>
        <v>1.8985655737704921</v>
      </c>
      <c r="R146">
        <f>Year_2040!R149/Year_2032!R149</f>
        <v>1.1155192532088682</v>
      </c>
      <c r="S146">
        <f>Year_2040!S149/Year_2032!S149</f>
        <v>1.0147058823529411</v>
      </c>
      <c r="T146">
        <f>Year_2040!T149/Year_2032!T149</f>
        <v>1.4069468267581475</v>
      </c>
      <c r="U146">
        <f>Year_2040!U149/Year_2032!U149</f>
        <v>1.114481409001957</v>
      </c>
      <c r="V146">
        <f>Year_2040!V149/Year_2032!V149</f>
        <v>1.8826960466623461</v>
      </c>
      <c r="W146">
        <f>Year_2040!W149/Year_2032!W149</f>
        <v>1.1391509433962264</v>
      </c>
      <c r="X146">
        <f>Year_2040!X149/Year_2032!X149</f>
        <v>1</v>
      </c>
      <c r="Y146" t="e">
        <f>Year_2040!Y149/Year_2032!Y149</f>
        <v>#DIV/0!</v>
      </c>
      <c r="Z146" t="e">
        <f>Year_2040!Z149/Year_2032!Z149</f>
        <v>#DIV/0!</v>
      </c>
      <c r="AA146" t="e">
        <f>Year_2040!AA149/Year_2032!AA149</f>
        <v>#VALUE!</v>
      </c>
      <c r="AB146">
        <f>Year_2040!AB149/Year_2032!AB149</f>
        <v>1.1112113014727982</v>
      </c>
      <c r="AC146">
        <f>Year_2040!AC149/Year_2032!AC149</f>
        <v>1.0747111681643131</v>
      </c>
      <c r="AD146">
        <f>Year_2040!AD149/Year_2032!AD149</f>
        <v>1.0690512624330526</v>
      </c>
      <c r="AE146">
        <f>Year_2040!AE149/Year_2032!AE149</f>
        <v>1.1147045488892249</v>
      </c>
      <c r="AF146">
        <f>Year_2040!AF149/Year_2032!AF149</f>
        <v>0.99841772151898722</v>
      </c>
      <c r="AG146">
        <f>Year_2040!AG149/Year_2032!AG149</f>
        <v>1.0895505948009987</v>
      </c>
      <c r="AH146">
        <f>Year_2040!AH149/Year_2032!AH149</f>
        <v>1.1145899353530233</v>
      </c>
      <c r="AI146">
        <f>Year_2040!AI149/Year_2032!AI149</f>
        <v>1.0723343527013252</v>
      </c>
      <c r="AJ146">
        <f>Year_2040!AJ149/Year_2032!AJ149</f>
        <v>1.1388748099341104</v>
      </c>
      <c r="AK146">
        <f>Year_2040!AK149/Year_2032!AK149</f>
        <v>1</v>
      </c>
      <c r="AL146" t="e">
        <f>Year_2040!AL149/Year_2032!AL149</f>
        <v>#DIV/0!</v>
      </c>
      <c r="AM146" t="e">
        <f>Year_2040!AM149/Year_2032!AM149</f>
        <v>#DIV/0!</v>
      </c>
      <c r="AN146" t="e">
        <f>Year_2040!AN149/Year_2032!AN149</f>
        <v>#DIV/0!</v>
      </c>
      <c r="AO146" t="e">
        <f>Year_2040!AO149/Year_2032!AO149</f>
        <v>#DIV/0!</v>
      </c>
      <c r="AP146" t="e">
        <f>Year_2040!AP149/Year_2032!AP149</f>
        <v>#DIV/0!</v>
      </c>
      <c r="AQ146" t="e">
        <f>Year_2040!AQ149/Year_2032!AQ149</f>
        <v>#DIV/0!</v>
      </c>
      <c r="AR146" t="e">
        <f>Year_2040!AR149/Year_2032!AR149</f>
        <v>#DIV/0!</v>
      </c>
      <c r="AS146" t="e">
        <f>Year_2040!AS149/Year_2032!AS149</f>
        <v>#DIV/0!</v>
      </c>
      <c r="AT146" t="e">
        <f>Year_2040!AT149/Year_2032!AT149</f>
        <v>#DIV/0!</v>
      </c>
      <c r="AU146" t="e">
        <f>Year_2040!AU149/Year_2032!AU149</f>
        <v>#DIV/0!</v>
      </c>
      <c r="AV146" t="e">
        <f>Year_2040!AV149/Year_2032!AV149</f>
        <v>#DIV/0!</v>
      </c>
      <c r="AW146" t="e">
        <f>Year_2040!AW149/Year_2032!AW149</f>
        <v>#DIV/0!</v>
      </c>
      <c r="AX146" t="e">
        <f>Year_2040!AX149/Year_2032!AX149</f>
        <v>#DIV/0!</v>
      </c>
    </row>
    <row r="147" spans="2:50" x14ac:dyDescent="0.3">
      <c r="B147">
        <f>Year_2032!B150</f>
        <v>0</v>
      </c>
      <c r="C147" t="e">
        <f>Year_2040!C150/Year_2032!C150</f>
        <v>#DIV/0!</v>
      </c>
      <c r="D147" t="e">
        <f>Year_2040!D150/Year_2032!D150</f>
        <v>#DIV/0!</v>
      </c>
      <c r="E147" t="e">
        <f>Year_2040!E150/Year_2032!E150</f>
        <v>#DIV/0!</v>
      </c>
      <c r="F147" t="e">
        <f>Year_2040!F150/Year_2032!F150</f>
        <v>#DIV/0!</v>
      </c>
      <c r="G147" t="e">
        <f>Year_2040!G150/Year_2032!G150</f>
        <v>#DIV/0!</v>
      </c>
      <c r="H147" t="e">
        <f>Year_2040!H150/Year_2032!H150</f>
        <v>#DIV/0!</v>
      </c>
      <c r="I147" t="e">
        <f>Year_2040!I150/Year_2032!I150</f>
        <v>#DIV/0!</v>
      </c>
      <c r="J147" t="e">
        <f>Year_2040!J150/Year_2032!J150</f>
        <v>#DIV/0!</v>
      </c>
      <c r="K147" t="e">
        <f>Year_2040!K150/Year_2032!K150</f>
        <v>#DIV/0!</v>
      </c>
      <c r="L147" t="e">
        <f>Year_2040!L150/Year_2032!L150</f>
        <v>#DIV/0!</v>
      </c>
      <c r="M147" t="e">
        <f>Year_2040!M150/Year_2032!M150</f>
        <v>#DIV/0!</v>
      </c>
      <c r="N147" t="str">
        <f>Year_2040!N150</f>
        <v>AM-Early</v>
      </c>
      <c r="O147">
        <f>Year_2040!O150/Year_2032!O150</f>
        <v>1.2943231441048035</v>
      </c>
      <c r="P147">
        <f>Year_2040!P150/Year_2032!P150</f>
        <v>1.0830518018018016</v>
      </c>
      <c r="Q147">
        <f>Year_2040!Q150/Year_2032!Q150</f>
        <v>1.4102810935695034</v>
      </c>
      <c r="R147">
        <f>Year_2040!R150/Year_2032!R150</f>
        <v>1.2836000688349682</v>
      </c>
      <c r="S147">
        <f>Year_2040!S150/Year_2032!S150</f>
        <v>1.2256267409470751</v>
      </c>
      <c r="T147">
        <f>Year_2040!T150/Year_2032!T150</f>
        <v>1.1059071729957806</v>
      </c>
      <c r="U147">
        <f>Year_2040!U150/Year_2032!U150</f>
        <v>1.3075845156770012</v>
      </c>
      <c r="V147">
        <f>Year_2040!V150/Year_2032!V150</f>
        <v>1.346054519368723</v>
      </c>
      <c r="W147">
        <f>Year_2040!W150/Year_2032!W150</f>
        <v>2.1674290942360477</v>
      </c>
      <c r="X147">
        <f>Year_2040!X150/Year_2032!X150</f>
        <v>0.99862258953168037</v>
      </c>
      <c r="Y147" t="e">
        <f>Year_2040!Y150/Year_2032!Y150</f>
        <v>#DIV/0!</v>
      </c>
      <c r="Z147" t="e">
        <f>Year_2040!Z150/Year_2032!Z150</f>
        <v>#DIV/0!</v>
      </c>
      <c r="AA147" t="e">
        <f>Year_2040!AA150/Year_2032!AA150</f>
        <v>#VALUE!</v>
      </c>
      <c r="AB147">
        <f>Year_2040!AB150/Year_2032!AB150</f>
        <v>0.99633267031327699</v>
      </c>
      <c r="AC147">
        <f>Year_2040!AC150/Year_2032!AC150</f>
        <v>1.1152529682318966</v>
      </c>
      <c r="AD147">
        <f>Year_2040!AD150/Year_2032!AD150</f>
        <v>1.0495672116593919</v>
      </c>
      <c r="AE147">
        <f>Year_2040!AE150/Year_2032!AE150</f>
        <v>1.0006947339169099</v>
      </c>
      <c r="AF147">
        <f>Year_2040!AF150/Year_2032!AF150</f>
        <v>0.98579954723194063</v>
      </c>
      <c r="AG147">
        <f>Year_2040!AG150/Year_2032!AG150</f>
        <v>1.1107007901064927</v>
      </c>
      <c r="AH147">
        <f>Year_2040!AH150/Year_2032!AH150</f>
        <v>0.98009630818619586</v>
      </c>
      <c r="AI147">
        <f>Year_2040!AI150/Year_2032!AI150</f>
        <v>1.0712465176930828</v>
      </c>
      <c r="AJ147">
        <f>Year_2040!AJ150/Year_2032!AJ150</f>
        <v>1.0656454113998401</v>
      </c>
      <c r="AK147">
        <f>Year_2040!AK150/Year_2032!AK150</f>
        <v>1.0002934846409706</v>
      </c>
      <c r="AL147" t="e">
        <f>Year_2040!AL150/Year_2032!AL150</f>
        <v>#DIV/0!</v>
      </c>
      <c r="AM147" t="e">
        <f>Year_2040!AM150/Year_2032!AM150</f>
        <v>#DIV/0!</v>
      </c>
      <c r="AN147" t="e">
        <f>Year_2040!AN150/Year_2032!AN150</f>
        <v>#DIV/0!</v>
      </c>
      <c r="AO147" t="e">
        <f>Year_2040!AO150/Year_2032!AO150</f>
        <v>#DIV/0!</v>
      </c>
      <c r="AP147" t="e">
        <f>Year_2040!AP150/Year_2032!AP150</f>
        <v>#DIV/0!</v>
      </c>
      <c r="AQ147" t="e">
        <f>Year_2040!AQ150/Year_2032!AQ150</f>
        <v>#DIV/0!</v>
      </c>
      <c r="AR147" t="e">
        <f>Year_2040!AR150/Year_2032!AR150</f>
        <v>#DIV/0!</v>
      </c>
      <c r="AS147" t="e">
        <f>Year_2040!AS150/Year_2032!AS150</f>
        <v>#DIV/0!</v>
      </c>
      <c r="AT147" t="e">
        <f>Year_2040!AT150/Year_2032!AT150</f>
        <v>#DIV/0!</v>
      </c>
      <c r="AU147" t="e">
        <f>Year_2040!AU150/Year_2032!AU150</f>
        <v>#DIV/0!</v>
      </c>
      <c r="AV147" t="e">
        <f>Year_2040!AV150/Year_2032!AV150</f>
        <v>#DIV/0!</v>
      </c>
      <c r="AW147" t="e">
        <f>Year_2040!AW150/Year_2032!AW150</f>
        <v>#DIV/0!</v>
      </c>
      <c r="AX147" t="e">
        <f>Year_2040!AX150/Year_2032!AX150</f>
        <v>#DIV/0!</v>
      </c>
    </row>
    <row r="148" spans="2:50" x14ac:dyDescent="0.3">
      <c r="B148">
        <f>Year_2032!B151</f>
        <v>0</v>
      </c>
      <c r="C148" t="e">
        <f>Year_2040!C151/Year_2032!C151</f>
        <v>#DIV/0!</v>
      </c>
      <c r="D148" t="e">
        <f>Year_2040!D151/Year_2032!D151</f>
        <v>#DIV/0!</v>
      </c>
      <c r="E148" t="e">
        <f>Year_2040!E151/Year_2032!E151</f>
        <v>#DIV/0!</v>
      </c>
      <c r="F148" t="e">
        <f>Year_2040!F151/Year_2032!F151</f>
        <v>#DIV/0!</v>
      </c>
      <c r="G148" t="e">
        <f>Year_2040!G151/Year_2032!G151</f>
        <v>#DIV/0!</v>
      </c>
      <c r="H148" t="e">
        <f>Year_2040!H151/Year_2032!H151</f>
        <v>#DIV/0!</v>
      </c>
      <c r="I148" t="e">
        <f>Year_2040!I151/Year_2032!I151</f>
        <v>#DIV/0!</v>
      </c>
      <c r="J148" t="e">
        <f>Year_2040!J151/Year_2032!J151</f>
        <v>#DIV/0!</v>
      </c>
      <c r="K148" t="e">
        <f>Year_2040!K151/Year_2032!K151</f>
        <v>#DIV/0!</v>
      </c>
      <c r="L148" t="e">
        <f>Year_2040!L151/Year_2032!L151</f>
        <v>#DIV/0!</v>
      </c>
      <c r="M148" t="e">
        <f>Year_2040!M151/Year_2032!M151</f>
        <v>#DIV/0!</v>
      </c>
      <c r="N148" t="str">
        <f>Year_2040!N151</f>
        <v>AM-Peak</v>
      </c>
      <c r="O148">
        <f>Year_2040!O151/Year_2032!O151</f>
        <v>1.3252987227029254</v>
      </c>
      <c r="P148">
        <f>Year_2040!P151/Year_2032!P151</f>
        <v>1.0299983380422137</v>
      </c>
      <c r="Q148">
        <f>Year_2040!Q151/Year_2032!Q151</f>
        <v>1.3028875691173458</v>
      </c>
      <c r="R148">
        <f>Year_2040!R151/Year_2032!R151</f>
        <v>1.2417404797310403</v>
      </c>
      <c r="S148">
        <f>Year_2040!S151/Year_2032!S151</f>
        <v>1.0827622561939905</v>
      </c>
      <c r="T148">
        <f>Year_2040!T151/Year_2032!T151</f>
        <v>1.4045019544412995</v>
      </c>
      <c r="U148">
        <f>Year_2040!U151/Year_2032!U151</f>
        <v>1.0622295649437496</v>
      </c>
      <c r="V148">
        <f>Year_2040!V151/Year_2032!V151</f>
        <v>1.4011590880142655</v>
      </c>
      <c r="W148">
        <f>Year_2040!W151/Year_2032!W151</f>
        <v>1.0818505338078293</v>
      </c>
      <c r="X148">
        <f>Year_2040!X151/Year_2032!X151</f>
        <v>1.1190133237306445</v>
      </c>
      <c r="Y148" t="e">
        <f>Year_2040!Y151/Year_2032!Y151</f>
        <v>#DIV/0!</v>
      </c>
      <c r="Z148" t="e">
        <f>Year_2040!Z151/Year_2032!Z151</f>
        <v>#DIV/0!</v>
      </c>
      <c r="AA148" t="e">
        <f>Year_2040!AA151/Year_2032!AA151</f>
        <v>#VALUE!</v>
      </c>
      <c r="AB148">
        <f>Year_2040!AB151/Year_2032!AB151</f>
        <v>1.0651480760916558</v>
      </c>
      <c r="AC148">
        <f>Year_2040!AC151/Year_2032!AC151</f>
        <v>1.1255726135941562</v>
      </c>
      <c r="AD148">
        <f>Year_2040!AD151/Year_2032!AD151</f>
        <v>1.0752943655048106</v>
      </c>
      <c r="AE148">
        <f>Year_2040!AE151/Year_2032!AE151</f>
        <v>1.0958468315193326</v>
      </c>
      <c r="AF148">
        <f>Year_2040!AF151/Year_2032!AF151</f>
        <v>0.98236549477704138</v>
      </c>
      <c r="AG148">
        <f>Year_2040!AG151/Year_2032!AG151</f>
        <v>1.0335722904393501</v>
      </c>
      <c r="AH148">
        <f>Year_2040!AH151/Year_2032!AH151</f>
        <v>1.1521012259883301</v>
      </c>
      <c r="AI148">
        <f>Year_2040!AI151/Year_2032!AI151</f>
        <v>1.0613502343631873</v>
      </c>
      <c r="AJ148">
        <f>Year_2040!AJ151/Year_2032!AJ151</f>
        <v>1.1250408835886985</v>
      </c>
      <c r="AK148">
        <f>Year_2040!AK151/Year_2032!AK151</f>
        <v>0.9641656727745852</v>
      </c>
      <c r="AL148" t="e">
        <f>Year_2040!AL151/Year_2032!AL151</f>
        <v>#DIV/0!</v>
      </c>
      <c r="AM148" t="e">
        <f>Year_2040!AM151/Year_2032!AM151</f>
        <v>#DIV/0!</v>
      </c>
      <c r="AN148" t="e">
        <f>Year_2040!AN151/Year_2032!AN151</f>
        <v>#DIV/0!</v>
      </c>
      <c r="AO148" t="e">
        <f>Year_2040!AO151/Year_2032!AO151</f>
        <v>#DIV/0!</v>
      </c>
      <c r="AP148" t="e">
        <f>Year_2040!AP151/Year_2032!AP151</f>
        <v>#DIV/0!</v>
      </c>
      <c r="AQ148" t="e">
        <f>Year_2040!AQ151/Year_2032!AQ151</f>
        <v>#DIV/0!</v>
      </c>
      <c r="AR148" t="e">
        <f>Year_2040!AR151/Year_2032!AR151</f>
        <v>#DIV/0!</v>
      </c>
      <c r="AS148" t="e">
        <f>Year_2040!AS151/Year_2032!AS151</f>
        <v>#DIV/0!</v>
      </c>
      <c r="AT148" t="e">
        <f>Year_2040!AT151/Year_2032!AT151</f>
        <v>#DIV/0!</v>
      </c>
      <c r="AU148" t="e">
        <f>Year_2040!AU151/Year_2032!AU151</f>
        <v>#DIV/0!</v>
      </c>
      <c r="AV148" t="e">
        <f>Year_2040!AV151/Year_2032!AV151</f>
        <v>#DIV/0!</v>
      </c>
      <c r="AW148" t="e">
        <f>Year_2040!AW151/Year_2032!AW151</f>
        <v>#DIV/0!</v>
      </c>
      <c r="AX148" t="e">
        <f>Year_2040!AX151/Year_2032!AX151</f>
        <v>#DIV/0!</v>
      </c>
    </row>
    <row r="149" spans="2:50" x14ac:dyDescent="0.3">
      <c r="B149">
        <f>Year_2032!B152</f>
        <v>0</v>
      </c>
      <c r="C149" t="e">
        <f>Year_2040!C152/Year_2032!C152</f>
        <v>#DIV/0!</v>
      </c>
      <c r="D149" t="e">
        <f>Year_2040!D152/Year_2032!D152</f>
        <v>#DIV/0!</v>
      </c>
      <c r="E149" t="e">
        <f>Year_2040!E152/Year_2032!E152</f>
        <v>#DIV/0!</v>
      </c>
      <c r="F149" t="e">
        <f>Year_2040!F152/Year_2032!F152</f>
        <v>#DIV/0!</v>
      </c>
      <c r="G149" t="e">
        <f>Year_2040!G152/Year_2032!G152</f>
        <v>#DIV/0!</v>
      </c>
      <c r="H149" t="e">
        <f>Year_2040!H152/Year_2032!H152</f>
        <v>#DIV/0!</v>
      </c>
      <c r="I149" t="e">
        <f>Year_2040!I152/Year_2032!I152</f>
        <v>#DIV/0!</v>
      </c>
      <c r="J149" t="e">
        <f>Year_2040!J152/Year_2032!J152</f>
        <v>#DIV/0!</v>
      </c>
      <c r="K149" t="e">
        <f>Year_2040!K152/Year_2032!K152</f>
        <v>#DIV/0!</v>
      </c>
      <c r="L149" t="e">
        <f>Year_2040!L152/Year_2032!L152</f>
        <v>#DIV/0!</v>
      </c>
      <c r="M149" t="e">
        <f>Year_2040!M152/Year_2032!M152</f>
        <v>#DIV/0!</v>
      </c>
      <c r="N149" t="str">
        <f>Year_2040!N152</f>
        <v>AM-Shoulder</v>
      </c>
      <c r="O149">
        <f>Year_2040!O152/Year_2032!O152</f>
        <v>1.1899265477439664</v>
      </c>
      <c r="P149">
        <f>Year_2040!P152/Year_2032!P152</f>
        <v>1.3088432335864224</v>
      </c>
      <c r="Q149">
        <f>Year_2040!Q152/Year_2032!Q152</f>
        <v>0.99302075876879026</v>
      </c>
      <c r="R149">
        <f>Year_2040!R152/Year_2032!R152</f>
        <v>1.0806122448979592</v>
      </c>
      <c r="S149">
        <f>Year_2040!S152/Year_2032!S152</f>
        <v>1</v>
      </c>
      <c r="T149">
        <f>Year_2040!T152/Year_2032!T152</f>
        <v>1.5818000994530084</v>
      </c>
      <c r="U149">
        <f>Year_2040!U152/Year_2032!U152</f>
        <v>1.1822050804628275</v>
      </c>
      <c r="V149">
        <f>Year_2040!V152/Year_2032!V152</f>
        <v>1.448127229488704</v>
      </c>
      <c r="W149">
        <f>Year_2040!W152/Year_2032!W152</f>
        <v>1.0962722298221614</v>
      </c>
      <c r="X149">
        <f>Year_2040!X152/Year_2032!X152</f>
        <v>1.0792239288601455</v>
      </c>
      <c r="Y149" t="e">
        <f>Year_2040!Y152/Year_2032!Y152</f>
        <v>#DIV/0!</v>
      </c>
      <c r="Z149" t="e">
        <f>Year_2040!Z152/Year_2032!Z152</f>
        <v>#DIV/0!</v>
      </c>
      <c r="AA149" t="e">
        <f>Year_2040!AA152/Year_2032!AA152</f>
        <v>#VALUE!</v>
      </c>
      <c r="AB149">
        <f>Year_2040!AB152/Year_2032!AB152</f>
        <v>0.9794112783198281</v>
      </c>
      <c r="AC149">
        <f>Year_2040!AC152/Year_2032!AC152</f>
        <v>1.0720858895705521</v>
      </c>
      <c r="AD149">
        <f>Year_2040!AD152/Year_2032!AD152</f>
        <v>1.0246371341316955</v>
      </c>
      <c r="AE149">
        <f>Year_2040!AE152/Year_2032!AE152</f>
        <v>1.1257228315054837</v>
      </c>
      <c r="AF149">
        <f>Year_2040!AF152/Year_2032!AF152</f>
        <v>1</v>
      </c>
      <c r="AG149">
        <f>Year_2040!AG152/Year_2032!AG152</f>
        <v>1.0148148148148148</v>
      </c>
      <c r="AH149">
        <f>Year_2040!AH152/Year_2032!AH152</f>
        <v>0.97966080081611839</v>
      </c>
      <c r="AI149">
        <f>Year_2040!AI152/Year_2032!AI152</f>
        <v>1.0358713742272943</v>
      </c>
      <c r="AJ149">
        <f>Year_2040!AJ152/Year_2032!AJ152</f>
        <v>1.1219672357779775</v>
      </c>
      <c r="AK149">
        <f>Year_2040!AK152/Year_2032!AK152</f>
        <v>0.98308303124460561</v>
      </c>
      <c r="AL149" t="e">
        <f>Year_2040!AL152/Year_2032!AL152</f>
        <v>#DIV/0!</v>
      </c>
      <c r="AM149" t="e">
        <f>Year_2040!AM152/Year_2032!AM152</f>
        <v>#DIV/0!</v>
      </c>
      <c r="AN149" t="e">
        <f>Year_2040!AN152/Year_2032!AN152</f>
        <v>#DIV/0!</v>
      </c>
      <c r="AO149" t="e">
        <f>Year_2040!AO152/Year_2032!AO152</f>
        <v>#DIV/0!</v>
      </c>
      <c r="AP149" t="e">
        <f>Year_2040!AP152/Year_2032!AP152</f>
        <v>#DIV/0!</v>
      </c>
      <c r="AQ149" t="e">
        <f>Year_2040!AQ152/Year_2032!AQ152</f>
        <v>#DIV/0!</v>
      </c>
      <c r="AR149" t="e">
        <f>Year_2040!AR152/Year_2032!AR152</f>
        <v>#DIV/0!</v>
      </c>
      <c r="AS149" t="e">
        <f>Year_2040!AS152/Year_2032!AS152</f>
        <v>#DIV/0!</v>
      </c>
      <c r="AT149" t="e">
        <f>Year_2040!AT152/Year_2032!AT152</f>
        <v>#DIV/0!</v>
      </c>
      <c r="AU149" t="e">
        <f>Year_2040!AU152/Year_2032!AU152</f>
        <v>#DIV/0!</v>
      </c>
      <c r="AV149" t="e">
        <f>Year_2040!AV152/Year_2032!AV152</f>
        <v>#DIV/0!</v>
      </c>
      <c r="AW149" t="e">
        <f>Year_2040!AW152/Year_2032!AW152</f>
        <v>#DIV/0!</v>
      </c>
      <c r="AX149" t="e">
        <f>Year_2040!AX152/Year_2032!AX152</f>
        <v>#DIV/0!</v>
      </c>
    </row>
    <row r="150" spans="2:50" x14ac:dyDescent="0.3">
      <c r="B150">
        <f>Year_2032!B153</f>
        <v>0</v>
      </c>
      <c r="C150" t="e">
        <f>Year_2040!C153/Year_2032!C153</f>
        <v>#DIV/0!</v>
      </c>
      <c r="D150" t="e">
        <f>Year_2040!D153/Year_2032!D153</f>
        <v>#DIV/0!</v>
      </c>
      <c r="E150" t="e">
        <f>Year_2040!E153/Year_2032!E153</f>
        <v>#DIV/0!</v>
      </c>
      <c r="F150" t="e">
        <f>Year_2040!F153/Year_2032!F153</f>
        <v>#DIV/0!</v>
      </c>
      <c r="G150" t="e">
        <f>Year_2040!G153/Year_2032!G153</f>
        <v>#DIV/0!</v>
      </c>
      <c r="H150" t="e">
        <f>Year_2040!H153/Year_2032!H153</f>
        <v>#DIV/0!</v>
      </c>
      <c r="I150" t="e">
        <f>Year_2040!I153/Year_2032!I153</f>
        <v>#DIV/0!</v>
      </c>
      <c r="J150" t="e">
        <f>Year_2040!J153/Year_2032!J153</f>
        <v>#DIV/0!</v>
      </c>
      <c r="K150" t="e">
        <f>Year_2040!K153/Year_2032!K153</f>
        <v>#DIV/0!</v>
      </c>
      <c r="L150" t="e">
        <f>Year_2040!L153/Year_2032!L153</f>
        <v>#DIV/0!</v>
      </c>
      <c r="M150" t="e">
        <f>Year_2040!M153/Year_2032!M153</f>
        <v>#DIV/0!</v>
      </c>
      <c r="N150" t="str">
        <f>Year_2040!N153</f>
        <v>MD</v>
      </c>
      <c r="O150">
        <f>Year_2040!O153/Year_2032!O153</f>
        <v>1.2020994347675626</v>
      </c>
      <c r="P150">
        <f>Year_2040!P153/Year_2032!P153</f>
        <v>1.3197221755447264</v>
      </c>
      <c r="Q150">
        <f>Year_2040!Q153/Year_2032!Q153</f>
        <v>1.387769821235382</v>
      </c>
      <c r="R150">
        <f>Year_2040!R153/Year_2032!R153</f>
        <v>1.1053638015106606</v>
      </c>
      <c r="S150">
        <f>Year_2040!S153/Year_2032!S153</f>
        <v>1.1450184501845018</v>
      </c>
      <c r="T150">
        <f>Year_2040!T153/Year_2032!T153</f>
        <v>0.85284248873549984</v>
      </c>
      <c r="U150">
        <f>Year_2040!U153/Year_2032!U153</f>
        <v>1.1896683478526671</v>
      </c>
      <c r="V150">
        <f>Year_2040!V153/Year_2032!V153</f>
        <v>1.3471070486241992</v>
      </c>
      <c r="W150">
        <f>Year_2040!W153/Year_2032!W153</f>
        <v>1.0951451689671585</v>
      </c>
      <c r="X150">
        <f>Year_2040!X153/Year_2032!X153</f>
        <v>1.1564033560234288</v>
      </c>
      <c r="Y150" t="e">
        <f>Year_2040!Y153/Year_2032!Y153</f>
        <v>#DIV/0!</v>
      </c>
      <c r="Z150" t="e">
        <f>Year_2040!Z153/Year_2032!Z153</f>
        <v>#DIV/0!</v>
      </c>
      <c r="AA150" t="e">
        <f>Year_2040!AA153/Year_2032!AA153</f>
        <v>#VALUE!</v>
      </c>
      <c r="AB150">
        <f>Year_2040!AB153/Year_2032!AB153</f>
        <v>0.97281742518151237</v>
      </c>
      <c r="AC150">
        <f>Year_2040!AC153/Year_2032!AC153</f>
        <v>0.99329136262938533</v>
      </c>
      <c r="AD150">
        <f>Year_2040!AD153/Year_2032!AD153</f>
        <v>1.0630855975570355</v>
      </c>
      <c r="AE150">
        <f>Year_2040!AE153/Year_2032!AE153</f>
        <v>1.1211782867462159</v>
      </c>
      <c r="AF150">
        <f>Year_2040!AF153/Year_2032!AF153</f>
        <v>0.96638152266894772</v>
      </c>
      <c r="AG150">
        <f>Year_2040!AG153/Year_2032!AG153</f>
        <v>1.0610441183592425</v>
      </c>
      <c r="AH150">
        <f>Year_2040!AH153/Year_2032!AH153</f>
        <v>0.97633953464794432</v>
      </c>
      <c r="AI150">
        <f>Year_2040!AI153/Year_2032!AI153</f>
        <v>1.0702690789221512</v>
      </c>
      <c r="AJ150">
        <f>Year_2040!AJ153/Year_2032!AJ153</f>
        <v>1.1232787522472185</v>
      </c>
      <c r="AK150">
        <f>Year_2040!AK153/Year_2032!AK153</f>
        <v>0.97124149441520091</v>
      </c>
      <c r="AL150" t="e">
        <f>Year_2040!AL153/Year_2032!AL153</f>
        <v>#DIV/0!</v>
      </c>
      <c r="AM150" t="e">
        <f>Year_2040!AM153/Year_2032!AM153</f>
        <v>#DIV/0!</v>
      </c>
      <c r="AN150" t="e">
        <f>Year_2040!AN153/Year_2032!AN153</f>
        <v>#DIV/0!</v>
      </c>
      <c r="AO150" t="e">
        <f>Year_2040!AO153/Year_2032!AO153</f>
        <v>#DIV/0!</v>
      </c>
      <c r="AP150" t="e">
        <f>Year_2040!AP153/Year_2032!AP153</f>
        <v>#DIV/0!</v>
      </c>
      <c r="AQ150" t="e">
        <f>Year_2040!AQ153/Year_2032!AQ153</f>
        <v>#DIV/0!</v>
      </c>
      <c r="AR150" t="e">
        <f>Year_2040!AR153/Year_2032!AR153</f>
        <v>#DIV/0!</v>
      </c>
      <c r="AS150" t="e">
        <f>Year_2040!AS153/Year_2032!AS153</f>
        <v>#DIV/0!</v>
      </c>
      <c r="AT150" t="e">
        <f>Year_2040!AT153/Year_2032!AT153</f>
        <v>#DIV/0!</v>
      </c>
      <c r="AU150" t="e">
        <f>Year_2040!AU153/Year_2032!AU153</f>
        <v>#DIV/0!</v>
      </c>
      <c r="AV150" t="e">
        <f>Year_2040!AV153/Year_2032!AV153</f>
        <v>#DIV/0!</v>
      </c>
      <c r="AW150" t="e">
        <f>Year_2040!AW153/Year_2032!AW153</f>
        <v>#DIV/0!</v>
      </c>
      <c r="AX150" t="e">
        <f>Year_2040!AX153/Year_2032!AX153</f>
        <v>#DIV/0!</v>
      </c>
    </row>
    <row r="151" spans="2:50" x14ac:dyDescent="0.3">
      <c r="B151">
        <f>Year_2032!B154</f>
        <v>0</v>
      </c>
      <c r="C151" t="e">
        <f>Year_2040!C154/Year_2032!C154</f>
        <v>#DIV/0!</v>
      </c>
      <c r="D151" t="e">
        <f>Year_2040!D154/Year_2032!D154</f>
        <v>#DIV/0!</v>
      </c>
      <c r="E151" t="e">
        <f>Year_2040!E154/Year_2032!E154</f>
        <v>#DIV/0!</v>
      </c>
      <c r="F151" t="e">
        <f>Year_2040!F154/Year_2032!F154</f>
        <v>#DIV/0!</v>
      </c>
      <c r="G151" t="e">
        <f>Year_2040!G154/Year_2032!G154</f>
        <v>#DIV/0!</v>
      </c>
      <c r="H151" t="e">
        <f>Year_2040!H154/Year_2032!H154</f>
        <v>#DIV/0!</v>
      </c>
      <c r="I151" t="e">
        <f>Year_2040!I154/Year_2032!I154</f>
        <v>#DIV/0!</v>
      </c>
      <c r="J151" t="e">
        <f>Year_2040!J154/Year_2032!J154</f>
        <v>#DIV/0!</v>
      </c>
      <c r="K151" t="e">
        <f>Year_2040!K154/Year_2032!K154</f>
        <v>#DIV/0!</v>
      </c>
      <c r="L151" t="e">
        <f>Year_2040!L154/Year_2032!L154</f>
        <v>#DIV/0!</v>
      </c>
      <c r="M151" t="e">
        <f>Year_2040!M154/Year_2032!M154</f>
        <v>#DIV/0!</v>
      </c>
      <c r="N151" t="str">
        <f>Year_2040!N154</f>
        <v>PM-Shoulder</v>
      </c>
      <c r="O151">
        <f>Year_2040!O154/Year_2032!O154</f>
        <v>1.2027627035027133</v>
      </c>
      <c r="P151">
        <f>Year_2040!P154/Year_2032!P154</f>
        <v>1.1892846629378864</v>
      </c>
      <c r="Q151">
        <f>Year_2040!Q154/Year_2032!Q154</f>
        <v>1.1629989764585467</v>
      </c>
      <c r="R151">
        <f>Year_2040!R154/Year_2032!R154</f>
        <v>1.064772380079438</v>
      </c>
      <c r="S151">
        <f>Year_2040!S154/Year_2032!S154</f>
        <v>1.1222444889779557</v>
      </c>
      <c r="T151">
        <f>Year_2040!T154/Year_2032!T154</f>
        <v>0.98852223816355811</v>
      </c>
      <c r="U151">
        <f>Year_2040!U154/Year_2032!U154</f>
        <v>1.1039325842696628</v>
      </c>
      <c r="V151">
        <f>Year_2040!V154/Year_2032!V154</f>
        <v>0.96225557071396095</v>
      </c>
      <c r="W151">
        <f>Year_2040!W154/Year_2032!W154</f>
        <v>0.96138996138996147</v>
      </c>
      <c r="X151">
        <f>Year_2040!X154/Year_2032!X154</f>
        <v>1.2620599739243807</v>
      </c>
      <c r="Y151" t="e">
        <f>Year_2040!Y154/Year_2032!Y154</f>
        <v>#DIV/0!</v>
      </c>
      <c r="Z151" t="e">
        <f>Year_2040!Z154/Year_2032!Z154</f>
        <v>#DIV/0!</v>
      </c>
      <c r="AA151" t="e">
        <f>Year_2040!AA154/Year_2032!AA154</f>
        <v>#VALUE!</v>
      </c>
      <c r="AB151">
        <f>Year_2040!AB154/Year_2032!AB154</f>
        <v>0.97290485192186527</v>
      </c>
      <c r="AC151">
        <f>Year_2040!AC154/Year_2032!AC154</f>
        <v>0.97723305208030264</v>
      </c>
      <c r="AD151">
        <f>Year_2040!AD154/Year_2032!AD154</f>
        <v>0.98644788817988438</v>
      </c>
      <c r="AE151">
        <f>Year_2040!AE154/Year_2032!AE154</f>
        <v>1.1296465569774528</v>
      </c>
      <c r="AF151">
        <f>Year_2040!AF154/Year_2032!AF154</f>
        <v>0.96236890808143116</v>
      </c>
      <c r="AG151">
        <f>Year_2040!AG154/Year_2032!AG154</f>
        <v>1.0276934749620636</v>
      </c>
      <c r="AH151">
        <f>Year_2040!AH154/Year_2032!AH154</f>
        <v>0.99877519207215237</v>
      </c>
      <c r="AI151">
        <f>Year_2040!AI154/Year_2032!AI154</f>
        <v>1.0336983097693206</v>
      </c>
      <c r="AJ151">
        <f>Year_2040!AJ154/Year_2032!AJ154</f>
        <v>1.147564849126522</v>
      </c>
      <c r="AK151">
        <f>Year_2040!AK154/Year_2032!AK154</f>
        <v>0.97181858212241301</v>
      </c>
      <c r="AL151" t="e">
        <f>Year_2040!AL154/Year_2032!AL154</f>
        <v>#DIV/0!</v>
      </c>
      <c r="AM151" t="e">
        <f>Year_2040!AM154/Year_2032!AM154</f>
        <v>#DIV/0!</v>
      </c>
      <c r="AN151" t="e">
        <f>Year_2040!AN154/Year_2032!AN154</f>
        <v>#DIV/0!</v>
      </c>
      <c r="AO151" t="e">
        <f>Year_2040!AO154/Year_2032!AO154</f>
        <v>#DIV/0!</v>
      </c>
      <c r="AP151" t="e">
        <f>Year_2040!AP154/Year_2032!AP154</f>
        <v>#DIV/0!</v>
      </c>
      <c r="AQ151" t="e">
        <f>Year_2040!AQ154/Year_2032!AQ154</f>
        <v>#DIV/0!</v>
      </c>
      <c r="AR151" t="e">
        <f>Year_2040!AR154/Year_2032!AR154</f>
        <v>#DIV/0!</v>
      </c>
      <c r="AS151" t="e">
        <f>Year_2040!AS154/Year_2032!AS154</f>
        <v>#DIV/0!</v>
      </c>
      <c r="AT151" t="e">
        <f>Year_2040!AT154/Year_2032!AT154</f>
        <v>#DIV/0!</v>
      </c>
      <c r="AU151" t="e">
        <f>Year_2040!AU154/Year_2032!AU154</f>
        <v>#DIV/0!</v>
      </c>
      <c r="AV151" t="e">
        <f>Year_2040!AV154/Year_2032!AV154</f>
        <v>#DIV/0!</v>
      </c>
      <c r="AW151" t="e">
        <f>Year_2040!AW154/Year_2032!AW154</f>
        <v>#DIV/0!</v>
      </c>
      <c r="AX151" t="e">
        <f>Year_2040!AX154/Year_2032!AX154</f>
        <v>#DIV/0!</v>
      </c>
    </row>
    <row r="152" spans="2:50" x14ac:dyDescent="0.3">
      <c r="B152">
        <f>Year_2032!B155</f>
        <v>0</v>
      </c>
      <c r="C152" t="e">
        <f>Year_2040!C155/Year_2032!C155</f>
        <v>#DIV/0!</v>
      </c>
      <c r="D152" t="e">
        <f>Year_2040!D155/Year_2032!D155</f>
        <v>#DIV/0!</v>
      </c>
      <c r="E152" t="e">
        <f>Year_2040!E155/Year_2032!E155</f>
        <v>#DIV/0!</v>
      </c>
      <c r="F152" t="e">
        <f>Year_2040!F155/Year_2032!F155</f>
        <v>#DIV/0!</v>
      </c>
      <c r="G152" t="e">
        <f>Year_2040!G155/Year_2032!G155</f>
        <v>#DIV/0!</v>
      </c>
      <c r="H152" t="e">
        <f>Year_2040!H155/Year_2032!H155</f>
        <v>#DIV/0!</v>
      </c>
      <c r="I152" t="e">
        <f>Year_2040!I155/Year_2032!I155</f>
        <v>#DIV/0!</v>
      </c>
      <c r="J152" t="e">
        <f>Year_2040!J155/Year_2032!J155</f>
        <v>#DIV/0!</v>
      </c>
      <c r="K152" t="e">
        <f>Year_2040!K155/Year_2032!K155</f>
        <v>#DIV/0!</v>
      </c>
      <c r="L152" t="e">
        <f>Year_2040!L155/Year_2032!L155</f>
        <v>#DIV/0!</v>
      </c>
      <c r="M152" t="e">
        <f>Year_2040!M155/Year_2032!M155</f>
        <v>#DIV/0!</v>
      </c>
      <c r="N152" t="str">
        <f>Year_2040!N155</f>
        <v>PM-Peak</v>
      </c>
      <c r="O152">
        <f>Year_2040!O155/Year_2032!O155</f>
        <v>0.93451930355791069</v>
      </c>
      <c r="P152">
        <f>Year_2040!P155/Year_2032!P155</f>
        <v>1.3860777187587363</v>
      </c>
      <c r="Q152">
        <f>Year_2040!Q155/Year_2032!Q155</f>
        <v>1.0590751680586676</v>
      </c>
      <c r="R152">
        <f>Year_2040!R155/Year_2032!R155</f>
        <v>1.0608421750663131</v>
      </c>
      <c r="S152">
        <f>Year_2040!S155/Year_2032!S155</f>
        <v>1.1523809523809523</v>
      </c>
      <c r="T152">
        <f>Year_2040!T155/Year_2032!T155</f>
        <v>0.92165354330708671</v>
      </c>
      <c r="U152">
        <f>Year_2040!U155/Year_2032!U155</f>
        <v>1.33859368757491</v>
      </c>
      <c r="V152">
        <f>Year_2040!V155/Year_2032!V155</f>
        <v>1.0984251968503937</v>
      </c>
      <c r="W152">
        <f>Year_2040!W155/Year_2032!W155</f>
        <v>1.0339680905815749</v>
      </c>
      <c r="X152">
        <f>Year_2040!X155/Year_2032!X155</f>
        <v>1.2343096234309623</v>
      </c>
      <c r="Y152" t="e">
        <f>Year_2040!Y155/Year_2032!Y155</f>
        <v>#DIV/0!</v>
      </c>
      <c r="Z152" t="e">
        <f>Year_2040!Z155/Year_2032!Z155</f>
        <v>#DIV/0!</v>
      </c>
      <c r="AA152" t="e">
        <f>Year_2040!AA155/Year_2032!AA155</f>
        <v>#VALUE!</v>
      </c>
      <c r="AB152">
        <f>Year_2040!AB155/Year_2032!AB155</f>
        <v>1.1719356627842483</v>
      </c>
      <c r="AC152">
        <f>Year_2040!AC155/Year_2032!AC155</f>
        <v>1.0287914295279545</v>
      </c>
      <c r="AD152">
        <f>Year_2040!AD155/Year_2032!AD155</f>
        <v>1.1321624375333559</v>
      </c>
      <c r="AE152">
        <f>Year_2040!AE155/Year_2032!AE155</f>
        <v>1.1305819501651646</v>
      </c>
      <c r="AF152">
        <f>Year_2040!AF155/Year_2032!AF155</f>
        <v>0.94822006472491904</v>
      </c>
      <c r="AG152">
        <f>Year_2040!AG155/Year_2032!AG155</f>
        <v>1.1746462769758468</v>
      </c>
      <c r="AH152">
        <f>Year_2040!AH155/Year_2032!AH155</f>
        <v>1.0532833390892498</v>
      </c>
      <c r="AI152">
        <f>Year_2040!AI155/Year_2032!AI155</f>
        <v>1.1207248870724886</v>
      </c>
      <c r="AJ152">
        <f>Year_2040!AJ155/Year_2032!AJ155</f>
        <v>1.137603305785124</v>
      </c>
      <c r="AK152">
        <f>Year_2040!AK155/Year_2032!AK155</f>
        <v>0.93526011560693634</v>
      </c>
      <c r="AL152" t="e">
        <f>Year_2040!AL155/Year_2032!AL155</f>
        <v>#DIV/0!</v>
      </c>
      <c r="AM152" t="e">
        <f>Year_2040!AM155/Year_2032!AM155</f>
        <v>#DIV/0!</v>
      </c>
      <c r="AN152" t="e">
        <f>Year_2040!AN155/Year_2032!AN155</f>
        <v>#DIV/0!</v>
      </c>
      <c r="AO152" t="e">
        <f>Year_2040!AO155/Year_2032!AO155</f>
        <v>#DIV/0!</v>
      </c>
      <c r="AP152" t="e">
        <f>Year_2040!AP155/Year_2032!AP155</f>
        <v>#DIV/0!</v>
      </c>
      <c r="AQ152" t="e">
        <f>Year_2040!AQ155/Year_2032!AQ155</f>
        <v>#DIV/0!</v>
      </c>
      <c r="AR152" t="e">
        <f>Year_2040!AR155/Year_2032!AR155</f>
        <v>#DIV/0!</v>
      </c>
      <c r="AS152" t="e">
        <f>Year_2040!AS155/Year_2032!AS155</f>
        <v>#DIV/0!</v>
      </c>
      <c r="AT152" t="e">
        <f>Year_2040!AT155/Year_2032!AT155</f>
        <v>#DIV/0!</v>
      </c>
      <c r="AU152" t="e">
        <f>Year_2040!AU155/Year_2032!AU155</f>
        <v>#DIV/0!</v>
      </c>
      <c r="AV152" t="e">
        <f>Year_2040!AV155/Year_2032!AV155</f>
        <v>#DIV/0!</v>
      </c>
      <c r="AW152" t="e">
        <f>Year_2040!AW155/Year_2032!AW155</f>
        <v>#DIV/0!</v>
      </c>
      <c r="AX152" t="e">
        <f>Year_2040!AX155/Year_2032!AX155</f>
        <v>#DIV/0!</v>
      </c>
    </row>
    <row r="153" spans="2:50" x14ac:dyDescent="0.3">
      <c r="B153">
        <f>Year_2032!B156</f>
        <v>0</v>
      </c>
      <c r="C153" t="e">
        <f>Year_2040!C156/Year_2032!C156</f>
        <v>#DIV/0!</v>
      </c>
      <c r="D153" t="e">
        <f>Year_2040!D156/Year_2032!D156</f>
        <v>#DIV/0!</v>
      </c>
      <c r="E153" t="e">
        <f>Year_2040!E156/Year_2032!E156</f>
        <v>#DIV/0!</v>
      </c>
      <c r="F153" t="e">
        <f>Year_2040!F156/Year_2032!F156</f>
        <v>#DIV/0!</v>
      </c>
      <c r="G153" t="e">
        <f>Year_2040!G156/Year_2032!G156</f>
        <v>#DIV/0!</v>
      </c>
      <c r="H153" t="e">
        <f>Year_2040!H156/Year_2032!H156</f>
        <v>#DIV/0!</v>
      </c>
      <c r="I153" t="e">
        <f>Year_2040!I156/Year_2032!I156</f>
        <v>#DIV/0!</v>
      </c>
      <c r="J153" t="e">
        <f>Year_2040!J156/Year_2032!J156</f>
        <v>#DIV/0!</v>
      </c>
      <c r="K153" t="e">
        <f>Year_2040!K156/Year_2032!K156</f>
        <v>#DIV/0!</v>
      </c>
      <c r="L153" t="e">
        <f>Year_2040!L156/Year_2032!L156</f>
        <v>#DIV/0!</v>
      </c>
      <c r="M153" t="e">
        <f>Year_2040!M156/Year_2032!M156</f>
        <v>#DIV/0!</v>
      </c>
      <c r="N153" t="str">
        <f>Year_2040!N156</f>
        <v>PM-Late</v>
      </c>
      <c r="O153">
        <f>Year_2040!O156/Year_2032!O156</f>
        <v>1.1126408010012516</v>
      </c>
      <c r="P153">
        <f>Year_2040!P156/Year_2032!P156</f>
        <v>1.1163556531284304</v>
      </c>
      <c r="Q153">
        <f>Year_2040!Q156/Year_2032!Q156</f>
        <v>1.1914036265950301</v>
      </c>
      <c r="R153">
        <f>Year_2040!R156/Year_2032!R156</f>
        <v>1.1653225806451613</v>
      </c>
      <c r="S153">
        <f>Year_2040!S156/Year_2032!S156</f>
        <v>1</v>
      </c>
      <c r="T153">
        <f>Year_2040!T156/Year_2032!T156</f>
        <v>1.101958136394328</v>
      </c>
      <c r="U153">
        <f>Year_2040!U156/Year_2032!U156</f>
        <v>1.1055753262158956</v>
      </c>
      <c r="V153">
        <f>Year_2040!V156/Year_2032!V156</f>
        <v>1.1176242236024845</v>
      </c>
      <c r="W153">
        <f>Year_2040!W156/Year_2032!W156</f>
        <v>1.1724137931034484</v>
      </c>
      <c r="X153">
        <f>Year_2040!X156/Year_2032!X156</f>
        <v>1.2113502935420744</v>
      </c>
      <c r="Y153" t="e">
        <f>Year_2040!Y156/Year_2032!Y156</f>
        <v>#DIV/0!</v>
      </c>
      <c r="Z153" t="e">
        <f>Year_2040!Z156/Year_2032!Z156</f>
        <v>#DIV/0!</v>
      </c>
      <c r="AA153" t="e">
        <f>Year_2040!AA156/Year_2032!AA156</f>
        <v>#VALUE!</v>
      </c>
      <c r="AB153">
        <f>Year_2040!AB156/Year_2032!AB156</f>
        <v>1.1176842771274913</v>
      </c>
      <c r="AC153">
        <f>Year_2040!AC156/Year_2032!AC156</f>
        <v>1.1167456115909724</v>
      </c>
      <c r="AD153">
        <f>Year_2040!AD156/Year_2032!AD156</f>
        <v>1.0982127057158027</v>
      </c>
      <c r="AE153">
        <f>Year_2040!AE156/Year_2032!AE156</f>
        <v>1.1670212765957446</v>
      </c>
      <c r="AF153">
        <f>Year_2040!AF156/Year_2032!AF156</f>
        <v>1</v>
      </c>
      <c r="AG153">
        <f>Year_2040!AG156/Year_2032!AG156</f>
        <v>1.1135115990791571</v>
      </c>
      <c r="AH153">
        <f>Year_2040!AH156/Year_2032!AH156</f>
        <v>1.1125662613033989</v>
      </c>
      <c r="AI153">
        <f>Year_2040!AI156/Year_2032!AI156</f>
        <v>1.1258850478967095</v>
      </c>
      <c r="AJ153">
        <f>Year_2040!AJ156/Year_2032!AJ156</f>
        <v>1.1663716814159291</v>
      </c>
      <c r="AK153">
        <f>Year_2040!AK156/Year_2032!AK156</f>
        <v>0.96531165311653111</v>
      </c>
      <c r="AL153" t="e">
        <f>Year_2040!AL156/Year_2032!AL156</f>
        <v>#DIV/0!</v>
      </c>
      <c r="AM153" t="e">
        <f>Year_2040!AM156/Year_2032!AM156</f>
        <v>#DIV/0!</v>
      </c>
      <c r="AN153" t="e">
        <f>Year_2040!AN156/Year_2032!AN156</f>
        <v>#DIV/0!</v>
      </c>
      <c r="AO153" t="e">
        <f>Year_2040!AO156/Year_2032!AO156</f>
        <v>#DIV/0!</v>
      </c>
      <c r="AP153" t="e">
        <f>Year_2040!AP156/Year_2032!AP156</f>
        <v>#DIV/0!</v>
      </c>
      <c r="AQ153" t="e">
        <f>Year_2040!AQ156/Year_2032!AQ156</f>
        <v>#DIV/0!</v>
      </c>
      <c r="AR153" t="e">
        <f>Year_2040!AR156/Year_2032!AR156</f>
        <v>#DIV/0!</v>
      </c>
      <c r="AS153" t="e">
        <f>Year_2040!AS156/Year_2032!AS156</f>
        <v>#DIV/0!</v>
      </c>
      <c r="AT153" t="e">
        <f>Year_2040!AT156/Year_2032!AT156</f>
        <v>#DIV/0!</v>
      </c>
      <c r="AU153" t="e">
        <f>Year_2040!AU156/Year_2032!AU156</f>
        <v>#DIV/0!</v>
      </c>
      <c r="AV153" t="e">
        <f>Year_2040!AV156/Year_2032!AV156</f>
        <v>#DIV/0!</v>
      </c>
      <c r="AW153" t="e">
        <f>Year_2040!AW156/Year_2032!AW156</f>
        <v>#DIV/0!</v>
      </c>
      <c r="AX153" t="e">
        <f>Year_2040!AX156/Year_2032!AX156</f>
        <v>#DIV/0!</v>
      </c>
    </row>
    <row r="154" spans="2:50" x14ac:dyDescent="0.3">
      <c r="B154">
        <f>Year_2032!B157</f>
        <v>0</v>
      </c>
      <c r="C154" t="e">
        <f>Year_2040!C157/Year_2032!C157</f>
        <v>#DIV/0!</v>
      </c>
      <c r="D154" t="e">
        <f>Year_2040!D157/Year_2032!D157</f>
        <v>#DIV/0!</v>
      </c>
      <c r="E154" t="e">
        <f>Year_2040!E157/Year_2032!E157</f>
        <v>#DIV/0!</v>
      </c>
      <c r="F154" t="e">
        <f>Year_2040!F157/Year_2032!F157</f>
        <v>#DIV/0!</v>
      </c>
      <c r="G154" t="e">
        <f>Year_2040!G157/Year_2032!G157</f>
        <v>#DIV/0!</v>
      </c>
      <c r="H154" t="e">
        <f>Year_2040!H157/Year_2032!H157</f>
        <v>#DIV/0!</v>
      </c>
      <c r="I154" t="e">
        <f>Year_2040!I157/Year_2032!I157</f>
        <v>#DIV/0!</v>
      </c>
      <c r="J154" t="e">
        <f>Year_2040!J157/Year_2032!J157</f>
        <v>#DIV/0!</v>
      </c>
      <c r="K154" t="e">
        <f>Year_2040!K157/Year_2032!K157</f>
        <v>#DIV/0!</v>
      </c>
      <c r="L154" t="e">
        <f>Year_2040!L157/Year_2032!L157</f>
        <v>#DIV/0!</v>
      </c>
      <c r="M154" t="e">
        <f>Year_2040!M157/Year_2032!M157</f>
        <v>#DIV/0!</v>
      </c>
      <c r="N154">
        <f>Year_2040!N157</f>
        <v>0</v>
      </c>
      <c r="O154" t="e">
        <f>Year_2040!O157/Year_2032!O157</f>
        <v>#DIV/0!</v>
      </c>
      <c r="P154" t="e">
        <f>Year_2040!P157/Year_2032!P157</f>
        <v>#DIV/0!</v>
      </c>
      <c r="Q154" t="e">
        <f>Year_2040!Q157/Year_2032!Q157</f>
        <v>#DIV/0!</v>
      </c>
      <c r="R154" t="e">
        <f>Year_2040!R157/Year_2032!R157</f>
        <v>#DIV/0!</v>
      </c>
      <c r="S154" t="e">
        <f>Year_2040!S157/Year_2032!S157</f>
        <v>#DIV/0!</v>
      </c>
      <c r="T154" t="e">
        <f>Year_2040!T157/Year_2032!T157</f>
        <v>#DIV/0!</v>
      </c>
      <c r="U154" t="e">
        <f>Year_2040!U157/Year_2032!U157</f>
        <v>#DIV/0!</v>
      </c>
      <c r="V154" t="e">
        <f>Year_2040!V157/Year_2032!V157</f>
        <v>#DIV/0!</v>
      </c>
      <c r="W154" t="e">
        <f>Year_2040!W157/Year_2032!W157</f>
        <v>#DIV/0!</v>
      </c>
      <c r="X154" t="e">
        <f>Year_2040!X157/Year_2032!X157</f>
        <v>#DIV/0!</v>
      </c>
      <c r="Y154" t="e">
        <f>Year_2040!Y157/Year_2032!Y157</f>
        <v>#DIV/0!</v>
      </c>
      <c r="Z154" t="e">
        <f>Year_2040!Z157/Year_2032!Z157</f>
        <v>#DIV/0!</v>
      </c>
      <c r="AA154" t="e">
        <f>Year_2040!AA157/Year_2032!AA157</f>
        <v>#DIV/0!</v>
      </c>
      <c r="AB154" t="e">
        <f>Year_2040!AB157/Year_2032!AB157</f>
        <v>#DIV/0!</v>
      </c>
      <c r="AC154" t="e">
        <f>Year_2040!AC157/Year_2032!AC157</f>
        <v>#DIV/0!</v>
      </c>
      <c r="AD154" t="e">
        <f>Year_2040!AD157/Year_2032!AD157</f>
        <v>#DIV/0!</v>
      </c>
      <c r="AE154" t="e">
        <f>Year_2040!AE157/Year_2032!AE157</f>
        <v>#DIV/0!</v>
      </c>
      <c r="AF154" t="e">
        <f>Year_2040!AF157/Year_2032!AF157</f>
        <v>#DIV/0!</v>
      </c>
      <c r="AG154" t="e">
        <f>Year_2040!AG157/Year_2032!AG157</f>
        <v>#DIV/0!</v>
      </c>
      <c r="AH154" t="e">
        <f>Year_2040!AH157/Year_2032!AH157</f>
        <v>#DIV/0!</v>
      </c>
      <c r="AI154" t="e">
        <f>Year_2040!AI157/Year_2032!AI157</f>
        <v>#DIV/0!</v>
      </c>
      <c r="AJ154" t="e">
        <f>Year_2040!AJ157/Year_2032!AJ157</f>
        <v>#DIV/0!</v>
      </c>
      <c r="AK154" t="e">
        <f>Year_2040!AK157/Year_2032!AK157</f>
        <v>#DIV/0!</v>
      </c>
      <c r="AL154" t="e">
        <f>Year_2040!AL157/Year_2032!AL157</f>
        <v>#DIV/0!</v>
      </c>
      <c r="AM154" t="e">
        <f>Year_2040!AM157/Year_2032!AM157</f>
        <v>#DIV/0!</v>
      </c>
      <c r="AN154" t="e">
        <f>Year_2040!AN157/Year_2032!AN157</f>
        <v>#DIV/0!</v>
      </c>
      <c r="AO154" t="e">
        <f>Year_2040!AO157/Year_2032!AO157</f>
        <v>#DIV/0!</v>
      </c>
      <c r="AP154" t="e">
        <f>Year_2040!AP157/Year_2032!AP157</f>
        <v>#DIV/0!</v>
      </c>
      <c r="AQ154" t="e">
        <f>Year_2040!AQ157/Year_2032!AQ157</f>
        <v>#DIV/0!</v>
      </c>
      <c r="AR154" t="e">
        <f>Year_2040!AR157/Year_2032!AR157</f>
        <v>#DIV/0!</v>
      </c>
      <c r="AS154" t="e">
        <f>Year_2040!AS157/Year_2032!AS157</f>
        <v>#DIV/0!</v>
      </c>
      <c r="AT154" t="e">
        <f>Year_2040!AT157/Year_2032!AT157</f>
        <v>#DIV/0!</v>
      </c>
      <c r="AU154" t="e">
        <f>Year_2040!AU157/Year_2032!AU157</f>
        <v>#DIV/0!</v>
      </c>
      <c r="AV154" t="e">
        <f>Year_2040!AV157/Year_2032!AV157</f>
        <v>#DIV/0!</v>
      </c>
      <c r="AW154" t="e">
        <f>Year_2040!AW157/Year_2032!AW157</f>
        <v>#DIV/0!</v>
      </c>
      <c r="AX154" t="e">
        <f>Year_2040!AX157/Year_2032!AX157</f>
        <v>#DIV/0!</v>
      </c>
    </row>
    <row r="155" spans="2:50" x14ac:dyDescent="0.3">
      <c r="B155">
        <f>Year_2032!B158</f>
        <v>0</v>
      </c>
      <c r="C155" t="e">
        <f>Year_2040!C158/Year_2032!C158</f>
        <v>#DIV/0!</v>
      </c>
      <c r="D155" t="e">
        <f>Year_2040!D158/Year_2032!D158</f>
        <v>#DIV/0!</v>
      </c>
      <c r="E155" t="e">
        <f>Year_2040!E158/Year_2032!E158</f>
        <v>#DIV/0!</v>
      </c>
      <c r="F155" t="e">
        <f>Year_2040!F158/Year_2032!F158</f>
        <v>#DIV/0!</v>
      </c>
      <c r="G155" t="e">
        <f>Year_2040!G158/Year_2032!G158</f>
        <v>#DIV/0!</v>
      </c>
      <c r="H155" t="e">
        <f>Year_2040!H158/Year_2032!H158</f>
        <v>#DIV/0!</v>
      </c>
      <c r="I155" t="e">
        <f>Year_2040!I158/Year_2032!I158</f>
        <v>#DIV/0!</v>
      </c>
      <c r="J155" t="e">
        <f>Year_2040!J158/Year_2032!J158</f>
        <v>#DIV/0!</v>
      </c>
      <c r="K155" t="e">
        <f>Year_2040!K158/Year_2032!K158</f>
        <v>#DIV/0!</v>
      </c>
      <c r="L155" t="e">
        <f>Year_2040!L158/Year_2032!L158</f>
        <v>#DIV/0!</v>
      </c>
      <c r="M155" t="e">
        <f>Year_2040!M158/Year_2032!M158</f>
        <v>#DIV/0!</v>
      </c>
      <c r="N155">
        <f>Year_2040!N158</f>
        <v>0</v>
      </c>
      <c r="O155" t="e">
        <f>Year_2040!O158/Year_2032!O158</f>
        <v>#DIV/0!</v>
      </c>
      <c r="P155" t="e">
        <f>Year_2040!P158/Year_2032!P158</f>
        <v>#DIV/0!</v>
      </c>
      <c r="Q155" t="e">
        <f>Year_2040!Q158/Year_2032!Q158</f>
        <v>#DIV/0!</v>
      </c>
      <c r="R155" t="e">
        <f>Year_2040!R158/Year_2032!R158</f>
        <v>#DIV/0!</v>
      </c>
      <c r="S155" t="e">
        <f>Year_2040!S158/Year_2032!S158</f>
        <v>#DIV/0!</v>
      </c>
      <c r="T155" t="e">
        <f>Year_2040!T158/Year_2032!T158</f>
        <v>#DIV/0!</v>
      </c>
      <c r="U155" t="e">
        <f>Year_2040!U158/Year_2032!U158</f>
        <v>#DIV/0!</v>
      </c>
      <c r="V155" t="e">
        <f>Year_2040!V158/Year_2032!V158</f>
        <v>#DIV/0!</v>
      </c>
      <c r="W155" t="e">
        <f>Year_2040!W158/Year_2032!W158</f>
        <v>#DIV/0!</v>
      </c>
      <c r="X155" t="e">
        <f>Year_2040!X158/Year_2032!X158</f>
        <v>#DIV/0!</v>
      </c>
      <c r="Y155" t="e">
        <f>Year_2040!Y158/Year_2032!Y158</f>
        <v>#DIV/0!</v>
      </c>
      <c r="Z155" t="e">
        <f>Year_2040!Z158/Year_2032!Z158</f>
        <v>#DIV/0!</v>
      </c>
      <c r="AA155" t="e">
        <f>Year_2040!AA158/Year_2032!AA158</f>
        <v>#DIV/0!</v>
      </c>
      <c r="AB155" t="e">
        <f>Year_2040!AB158/Year_2032!AB158</f>
        <v>#DIV/0!</v>
      </c>
      <c r="AC155" t="e">
        <f>Year_2040!AC158/Year_2032!AC158</f>
        <v>#DIV/0!</v>
      </c>
      <c r="AD155" t="e">
        <f>Year_2040!AD158/Year_2032!AD158</f>
        <v>#DIV/0!</v>
      </c>
      <c r="AE155" t="e">
        <f>Year_2040!AE158/Year_2032!AE158</f>
        <v>#DIV/0!</v>
      </c>
      <c r="AF155" t="e">
        <f>Year_2040!AF158/Year_2032!AF158</f>
        <v>#DIV/0!</v>
      </c>
      <c r="AG155" t="e">
        <f>Year_2040!AG158/Year_2032!AG158</f>
        <v>#DIV/0!</v>
      </c>
      <c r="AH155" t="e">
        <f>Year_2040!AH158/Year_2032!AH158</f>
        <v>#DIV/0!</v>
      </c>
      <c r="AI155" t="e">
        <f>Year_2040!AI158/Year_2032!AI158</f>
        <v>#DIV/0!</v>
      </c>
      <c r="AJ155" t="e">
        <f>Year_2040!AJ158/Year_2032!AJ158</f>
        <v>#DIV/0!</v>
      </c>
      <c r="AK155" t="e">
        <f>Year_2040!AK158/Year_2032!AK158</f>
        <v>#DIV/0!</v>
      </c>
      <c r="AL155" t="e">
        <f>Year_2040!AL158/Year_2032!AL158</f>
        <v>#DIV/0!</v>
      </c>
      <c r="AM155" t="e">
        <f>Year_2040!AM158/Year_2032!AM158</f>
        <v>#DIV/0!</v>
      </c>
      <c r="AN155" t="e">
        <f>Year_2040!AN158/Year_2032!AN158</f>
        <v>#DIV/0!</v>
      </c>
      <c r="AO155" t="e">
        <f>Year_2040!AO158/Year_2032!AO158</f>
        <v>#DIV/0!</v>
      </c>
      <c r="AP155" t="e">
        <f>Year_2040!AP158/Year_2032!AP158</f>
        <v>#DIV/0!</v>
      </c>
      <c r="AQ155" t="e">
        <f>Year_2040!AQ158/Year_2032!AQ158</f>
        <v>#DIV/0!</v>
      </c>
      <c r="AR155" t="e">
        <f>Year_2040!AR158/Year_2032!AR158</f>
        <v>#DIV/0!</v>
      </c>
      <c r="AS155" t="e">
        <f>Year_2040!AS158/Year_2032!AS158</f>
        <v>#DIV/0!</v>
      </c>
      <c r="AT155" t="e">
        <f>Year_2040!AT158/Year_2032!AT158</f>
        <v>#DIV/0!</v>
      </c>
      <c r="AU155" t="e">
        <f>Year_2040!AU158/Year_2032!AU158</f>
        <v>#DIV/0!</v>
      </c>
      <c r="AV155" t="e">
        <f>Year_2040!AV158/Year_2032!AV158</f>
        <v>#DIV/0!</v>
      </c>
      <c r="AW155" t="e">
        <f>Year_2040!AW158/Year_2032!AW158</f>
        <v>#DIV/0!</v>
      </c>
      <c r="AX155" t="e">
        <f>Year_2040!AX158/Year_2032!AX158</f>
        <v>#DIV/0!</v>
      </c>
    </row>
    <row r="156" spans="2:50" x14ac:dyDescent="0.3">
      <c r="B156">
        <f>Year_2032!B159</f>
        <v>0</v>
      </c>
      <c r="C156" t="e">
        <f>Year_2040!C159/Year_2032!C159</f>
        <v>#DIV/0!</v>
      </c>
      <c r="D156" t="e">
        <f>Year_2040!D159/Year_2032!D159</f>
        <v>#DIV/0!</v>
      </c>
      <c r="E156" t="e">
        <f>Year_2040!E159/Year_2032!E159</f>
        <v>#DIV/0!</v>
      </c>
      <c r="F156" t="e">
        <f>Year_2040!F159/Year_2032!F159</f>
        <v>#DIV/0!</v>
      </c>
      <c r="G156" t="e">
        <f>Year_2040!G159/Year_2032!G159</f>
        <v>#DIV/0!</v>
      </c>
      <c r="H156" t="e">
        <f>Year_2040!H159/Year_2032!H159</f>
        <v>#DIV/0!</v>
      </c>
      <c r="I156" t="e">
        <f>Year_2040!I159/Year_2032!I159</f>
        <v>#DIV/0!</v>
      </c>
      <c r="J156" t="e">
        <f>Year_2040!J159/Year_2032!J159</f>
        <v>#DIV/0!</v>
      </c>
      <c r="K156" t="e">
        <f>Year_2040!K159/Year_2032!K159</f>
        <v>#DIV/0!</v>
      </c>
      <c r="L156" t="e">
        <f>Year_2040!L159/Year_2032!L159</f>
        <v>#DIV/0!</v>
      </c>
      <c r="M156" t="e">
        <f>Year_2040!M159/Year_2032!M159</f>
        <v>#DIV/0!</v>
      </c>
      <c r="N156" t="str">
        <f>Year_2040!N159</f>
        <v>ML medium B veh/period</v>
      </c>
      <c r="O156" t="e">
        <f>Year_2040!O159/Year_2032!O159</f>
        <v>#DIV/0!</v>
      </c>
      <c r="P156" t="e">
        <f>Year_2040!P159/Year_2032!P159</f>
        <v>#DIV/0!</v>
      </c>
      <c r="Q156" t="e">
        <f>Year_2040!Q159/Year_2032!Q159</f>
        <v>#DIV/0!</v>
      </c>
      <c r="R156" t="e">
        <f>Year_2040!R159/Year_2032!R159</f>
        <v>#DIV/0!</v>
      </c>
      <c r="S156" t="e">
        <f>Year_2040!S159/Year_2032!S159</f>
        <v>#DIV/0!</v>
      </c>
      <c r="T156" t="e">
        <f>Year_2040!T159/Year_2032!T159</f>
        <v>#DIV/0!</v>
      </c>
      <c r="U156" t="e">
        <f>Year_2040!U159/Year_2032!U159</f>
        <v>#DIV/0!</v>
      </c>
      <c r="V156" t="e">
        <f>Year_2040!V159/Year_2032!V159</f>
        <v>#DIV/0!</v>
      </c>
      <c r="W156" t="e">
        <f>Year_2040!W159/Year_2032!W159</f>
        <v>#DIV/0!</v>
      </c>
      <c r="X156" t="e">
        <f>Year_2040!X159/Year_2032!X159</f>
        <v>#DIV/0!</v>
      </c>
      <c r="Y156" t="e">
        <f>Year_2040!Y159/Year_2032!Y159</f>
        <v>#DIV/0!</v>
      </c>
      <c r="Z156" t="e">
        <f>Year_2040!Z159/Year_2032!Z159</f>
        <v>#DIV/0!</v>
      </c>
      <c r="AA156" t="e">
        <f>Year_2040!AA159/Year_2032!AA159</f>
        <v>#VALUE!</v>
      </c>
      <c r="AB156" t="e">
        <f>Year_2040!AB159/Year_2032!AB159</f>
        <v>#DIV/0!</v>
      </c>
      <c r="AC156" t="e">
        <f>Year_2040!AC159/Year_2032!AC159</f>
        <v>#DIV/0!</v>
      </c>
      <c r="AD156" t="e">
        <f>Year_2040!AD159/Year_2032!AD159</f>
        <v>#DIV/0!</v>
      </c>
      <c r="AE156" t="e">
        <f>Year_2040!AE159/Year_2032!AE159</f>
        <v>#DIV/0!</v>
      </c>
      <c r="AF156" t="e">
        <f>Year_2040!AF159/Year_2032!AF159</f>
        <v>#DIV/0!</v>
      </c>
      <c r="AG156" t="e">
        <f>Year_2040!AG159/Year_2032!AG159</f>
        <v>#DIV/0!</v>
      </c>
      <c r="AH156" t="e">
        <f>Year_2040!AH159/Year_2032!AH159</f>
        <v>#DIV/0!</v>
      </c>
      <c r="AI156" t="e">
        <f>Year_2040!AI159/Year_2032!AI159</f>
        <v>#DIV/0!</v>
      </c>
      <c r="AJ156" t="e">
        <f>Year_2040!AJ159/Year_2032!AJ159</f>
        <v>#DIV/0!</v>
      </c>
      <c r="AK156" t="e">
        <f>Year_2040!AK159/Year_2032!AK159</f>
        <v>#DIV/0!</v>
      </c>
      <c r="AL156" t="e">
        <f>Year_2040!AL159/Year_2032!AL159</f>
        <v>#DIV/0!</v>
      </c>
      <c r="AM156" t="e">
        <f>Year_2040!AM159/Year_2032!AM159</f>
        <v>#DIV/0!</v>
      </c>
      <c r="AN156" t="e">
        <f>Year_2040!AN159/Year_2032!AN159</f>
        <v>#DIV/0!</v>
      </c>
      <c r="AO156" t="e">
        <f>Year_2040!AO159/Year_2032!AO159</f>
        <v>#DIV/0!</v>
      </c>
      <c r="AP156" t="e">
        <f>Year_2040!AP159/Year_2032!AP159</f>
        <v>#DIV/0!</v>
      </c>
      <c r="AQ156" t="e">
        <f>Year_2040!AQ159/Year_2032!AQ159</f>
        <v>#DIV/0!</v>
      </c>
      <c r="AR156" t="e">
        <f>Year_2040!AR159/Year_2032!AR159</f>
        <v>#DIV/0!</v>
      </c>
      <c r="AS156" t="e">
        <f>Year_2040!AS159/Year_2032!AS159</f>
        <v>#DIV/0!</v>
      </c>
      <c r="AT156" t="e">
        <f>Year_2040!AT159/Year_2032!AT159</f>
        <v>#DIV/0!</v>
      </c>
      <c r="AU156" t="e">
        <f>Year_2040!AU159/Year_2032!AU159</f>
        <v>#DIV/0!</v>
      </c>
      <c r="AV156" t="e">
        <f>Year_2040!AV159/Year_2032!AV159</f>
        <v>#DIV/0!</v>
      </c>
      <c r="AW156" t="e">
        <f>Year_2040!AW159/Year_2032!AW159</f>
        <v>#DIV/0!</v>
      </c>
      <c r="AX156" t="e">
        <f>Year_2040!AX159/Year_2032!AX159</f>
        <v>#DIV/0!</v>
      </c>
    </row>
    <row r="157" spans="2:50" x14ac:dyDescent="0.3">
      <c r="B157">
        <f>Year_2032!B160</f>
        <v>0</v>
      </c>
      <c r="C157" t="e">
        <f>Year_2040!C160/Year_2032!C160</f>
        <v>#DIV/0!</v>
      </c>
      <c r="D157" t="e">
        <f>Year_2040!D160/Year_2032!D160</f>
        <v>#DIV/0!</v>
      </c>
      <c r="E157" t="e">
        <f>Year_2040!E160/Year_2032!E160</f>
        <v>#DIV/0!</v>
      </c>
      <c r="F157" t="e">
        <f>Year_2040!F160/Year_2032!F160</f>
        <v>#DIV/0!</v>
      </c>
      <c r="G157" t="e">
        <f>Year_2040!G160/Year_2032!G160</f>
        <v>#DIV/0!</v>
      </c>
      <c r="H157" t="e">
        <f>Year_2040!H160/Year_2032!H160</f>
        <v>#DIV/0!</v>
      </c>
      <c r="I157" t="e">
        <f>Year_2040!I160/Year_2032!I160</f>
        <v>#DIV/0!</v>
      </c>
      <c r="J157" t="e">
        <f>Year_2040!J160/Year_2032!J160</f>
        <v>#DIV/0!</v>
      </c>
      <c r="K157" t="e">
        <f>Year_2040!K160/Year_2032!K160</f>
        <v>#DIV/0!</v>
      </c>
      <c r="L157" t="e">
        <f>Year_2040!L160/Year_2032!L160</f>
        <v>#DIV/0!</v>
      </c>
      <c r="M157" t="e">
        <f>Year_2040!M160/Year_2032!M160</f>
        <v>#DIV/0!</v>
      </c>
      <c r="N157" t="str">
        <f>Year_2040!N160</f>
        <v>Direction</v>
      </c>
      <c r="O157" t="e">
        <f>Year_2040!O160/Year_2032!O160</f>
        <v>#VALUE!</v>
      </c>
      <c r="P157" t="e">
        <f>Year_2040!P160/Year_2032!P160</f>
        <v>#VALUE!</v>
      </c>
      <c r="Q157" t="e">
        <f>Year_2040!Q160/Year_2032!Q160</f>
        <v>#VALUE!</v>
      </c>
      <c r="R157" t="e">
        <f>Year_2040!R160/Year_2032!R160</f>
        <v>#VALUE!</v>
      </c>
      <c r="S157" t="e">
        <f>Year_2040!S160/Year_2032!S160</f>
        <v>#VALUE!</v>
      </c>
      <c r="T157" t="e">
        <f>Year_2040!T160/Year_2032!T160</f>
        <v>#VALUE!</v>
      </c>
      <c r="U157" t="e">
        <f>Year_2040!U160/Year_2032!U160</f>
        <v>#VALUE!</v>
      </c>
      <c r="V157" t="e">
        <f>Year_2040!V160/Year_2032!V160</f>
        <v>#VALUE!</v>
      </c>
      <c r="W157" t="e">
        <f>Year_2040!W160/Year_2032!W160</f>
        <v>#VALUE!</v>
      </c>
      <c r="X157" t="e">
        <f>Year_2040!X160/Year_2032!X160</f>
        <v>#VALUE!</v>
      </c>
      <c r="Y157" t="e">
        <f>Year_2040!Y160/Year_2032!Y160</f>
        <v>#DIV/0!</v>
      </c>
      <c r="Z157" t="e">
        <f>Year_2040!Z160/Year_2032!Z160</f>
        <v>#DIV/0!</v>
      </c>
      <c r="AA157" t="e">
        <f>Year_2040!AA160/Year_2032!AA160</f>
        <v>#VALUE!</v>
      </c>
      <c r="AB157" t="e">
        <f>Year_2040!AB160/Year_2032!AB160</f>
        <v>#VALUE!</v>
      </c>
      <c r="AC157" t="e">
        <f>Year_2040!AC160/Year_2032!AC160</f>
        <v>#VALUE!</v>
      </c>
      <c r="AD157" t="e">
        <f>Year_2040!AD160/Year_2032!AD160</f>
        <v>#VALUE!</v>
      </c>
      <c r="AE157" t="e">
        <f>Year_2040!AE160/Year_2032!AE160</f>
        <v>#VALUE!</v>
      </c>
      <c r="AF157" t="e">
        <f>Year_2040!AF160/Year_2032!AF160</f>
        <v>#VALUE!</v>
      </c>
      <c r="AG157" t="e">
        <f>Year_2040!AG160/Year_2032!AG160</f>
        <v>#VALUE!</v>
      </c>
      <c r="AH157" t="e">
        <f>Year_2040!AH160/Year_2032!AH160</f>
        <v>#VALUE!</v>
      </c>
      <c r="AI157" t="e">
        <f>Year_2040!AI160/Year_2032!AI160</f>
        <v>#VALUE!</v>
      </c>
      <c r="AJ157" t="e">
        <f>Year_2040!AJ160/Year_2032!AJ160</f>
        <v>#VALUE!</v>
      </c>
      <c r="AK157" t="e">
        <f>Year_2040!AK160/Year_2032!AK160</f>
        <v>#VALUE!</v>
      </c>
      <c r="AL157" t="e">
        <f>Year_2040!AL160/Year_2032!AL160</f>
        <v>#DIV/0!</v>
      </c>
      <c r="AM157" t="e">
        <f>Year_2040!AM160/Year_2032!AM160</f>
        <v>#DIV/0!</v>
      </c>
      <c r="AN157" t="e">
        <f>Year_2040!AN160/Year_2032!AN160</f>
        <v>#DIV/0!</v>
      </c>
      <c r="AO157" t="e">
        <f>Year_2040!AO160/Year_2032!AO160</f>
        <v>#DIV/0!</v>
      </c>
      <c r="AP157" t="e">
        <f>Year_2040!AP160/Year_2032!AP160</f>
        <v>#DIV/0!</v>
      </c>
      <c r="AQ157" t="e">
        <f>Year_2040!AQ160/Year_2032!AQ160</f>
        <v>#DIV/0!</v>
      </c>
      <c r="AR157" t="e">
        <f>Year_2040!AR160/Year_2032!AR160</f>
        <v>#DIV/0!</v>
      </c>
      <c r="AS157" t="e">
        <f>Year_2040!AS160/Year_2032!AS160</f>
        <v>#DIV/0!</v>
      </c>
      <c r="AT157" t="e">
        <f>Year_2040!AT160/Year_2032!AT160</f>
        <v>#DIV/0!</v>
      </c>
      <c r="AU157" t="e">
        <f>Year_2040!AU160/Year_2032!AU160</f>
        <v>#DIV/0!</v>
      </c>
      <c r="AV157" t="e">
        <f>Year_2040!AV160/Year_2032!AV160</f>
        <v>#DIV/0!</v>
      </c>
      <c r="AW157" t="e">
        <f>Year_2040!AW160/Year_2032!AW160</f>
        <v>#DIV/0!</v>
      </c>
      <c r="AX157" t="e">
        <f>Year_2040!AX160/Year_2032!AX160</f>
        <v>#DIV/0!</v>
      </c>
    </row>
    <row r="158" spans="2:50" x14ac:dyDescent="0.3">
      <c r="B158">
        <f>Year_2032!B161</f>
        <v>0</v>
      </c>
      <c r="C158" t="e">
        <f>Year_2040!C161/Year_2032!C161</f>
        <v>#DIV/0!</v>
      </c>
      <c r="D158" t="e">
        <f>Year_2040!D161/Year_2032!D161</f>
        <v>#DIV/0!</v>
      </c>
      <c r="E158" t="e">
        <f>Year_2040!E161/Year_2032!E161</f>
        <v>#DIV/0!</v>
      </c>
      <c r="F158" t="e">
        <f>Year_2040!F161/Year_2032!F161</f>
        <v>#DIV/0!</v>
      </c>
      <c r="G158" t="e">
        <f>Year_2040!G161/Year_2032!G161</f>
        <v>#DIV/0!</v>
      </c>
      <c r="H158" t="e">
        <f>Year_2040!H161/Year_2032!H161</f>
        <v>#DIV/0!</v>
      </c>
      <c r="I158" t="e">
        <f>Year_2040!I161/Year_2032!I161</f>
        <v>#DIV/0!</v>
      </c>
      <c r="J158" t="e">
        <f>Year_2040!J161/Year_2032!J161</f>
        <v>#DIV/0!</v>
      </c>
      <c r="K158" t="e">
        <f>Year_2040!K161/Year_2032!K161</f>
        <v>#DIV/0!</v>
      </c>
      <c r="L158" t="e">
        <f>Year_2040!L161/Year_2032!L161</f>
        <v>#DIV/0!</v>
      </c>
      <c r="M158" t="e">
        <f>Year_2040!M161/Year_2032!M161</f>
        <v>#DIV/0!</v>
      </c>
      <c r="N158" t="str">
        <f>Year_2040!N161</f>
        <v>Segment</v>
      </c>
      <c r="O158">
        <f>Year_2040!O161/Year_2032!O161</f>
        <v>1</v>
      </c>
      <c r="P158">
        <f>Year_2040!P161/Year_2032!P161</f>
        <v>1</v>
      </c>
      <c r="Q158">
        <f>Year_2040!Q161/Year_2032!Q161</f>
        <v>1</v>
      </c>
      <c r="R158">
        <f>Year_2040!R161/Year_2032!R161</f>
        <v>1</v>
      </c>
      <c r="S158">
        <f>Year_2040!S161/Year_2032!S161</f>
        <v>1</v>
      </c>
      <c r="T158">
        <f>Year_2040!T161/Year_2032!T161</f>
        <v>1</v>
      </c>
      <c r="U158">
        <f>Year_2040!U161/Year_2032!U161</f>
        <v>1</v>
      </c>
      <c r="V158">
        <f>Year_2040!V161/Year_2032!V161</f>
        <v>1</v>
      </c>
      <c r="W158">
        <f>Year_2040!W161/Year_2032!W161</f>
        <v>1</v>
      </c>
      <c r="X158">
        <f>Year_2040!X161/Year_2032!X161</f>
        <v>1</v>
      </c>
      <c r="Y158" t="e">
        <f>Year_2040!Y161/Year_2032!Y161</f>
        <v>#DIV/0!</v>
      </c>
      <c r="Z158" t="e">
        <f>Year_2040!Z161/Year_2032!Z161</f>
        <v>#DIV/0!</v>
      </c>
      <c r="AA158" t="e">
        <f>Year_2040!AA161/Year_2032!AA161</f>
        <v>#VALUE!</v>
      </c>
      <c r="AB158">
        <f>Year_2040!AB161/Year_2032!AB161</f>
        <v>1</v>
      </c>
      <c r="AC158">
        <f>Year_2040!AC161/Year_2032!AC161</f>
        <v>1</v>
      </c>
      <c r="AD158">
        <f>Year_2040!AD161/Year_2032!AD161</f>
        <v>1</v>
      </c>
      <c r="AE158">
        <f>Year_2040!AE161/Year_2032!AE161</f>
        <v>1</v>
      </c>
      <c r="AF158">
        <f>Year_2040!AF161/Year_2032!AF161</f>
        <v>1</v>
      </c>
      <c r="AG158">
        <f>Year_2040!AG161/Year_2032!AG161</f>
        <v>1</v>
      </c>
      <c r="AH158">
        <f>Year_2040!AH161/Year_2032!AH161</f>
        <v>1</v>
      </c>
      <c r="AI158">
        <f>Year_2040!AI161/Year_2032!AI161</f>
        <v>1</v>
      </c>
      <c r="AJ158">
        <f>Year_2040!AJ161/Year_2032!AJ161</f>
        <v>1</v>
      </c>
      <c r="AK158">
        <f>Year_2040!AK161/Year_2032!AK161</f>
        <v>1</v>
      </c>
      <c r="AL158" t="e">
        <f>Year_2040!AL161/Year_2032!AL161</f>
        <v>#DIV/0!</v>
      </c>
      <c r="AM158" t="e">
        <f>Year_2040!AM161/Year_2032!AM161</f>
        <v>#DIV/0!</v>
      </c>
      <c r="AN158" t="e">
        <f>Year_2040!AN161/Year_2032!AN161</f>
        <v>#DIV/0!</v>
      </c>
      <c r="AO158" t="e">
        <f>Year_2040!AO161/Year_2032!AO161</f>
        <v>#DIV/0!</v>
      </c>
      <c r="AP158" t="e">
        <f>Year_2040!AP161/Year_2032!AP161</f>
        <v>#DIV/0!</v>
      </c>
      <c r="AQ158" t="e">
        <f>Year_2040!AQ161/Year_2032!AQ161</f>
        <v>#DIV/0!</v>
      </c>
      <c r="AR158" t="e">
        <f>Year_2040!AR161/Year_2032!AR161</f>
        <v>#DIV/0!</v>
      </c>
      <c r="AS158" t="e">
        <f>Year_2040!AS161/Year_2032!AS161</f>
        <v>#DIV/0!</v>
      </c>
      <c r="AT158" t="e">
        <f>Year_2040!AT161/Year_2032!AT161</f>
        <v>#DIV/0!</v>
      </c>
      <c r="AU158" t="e">
        <f>Year_2040!AU161/Year_2032!AU161</f>
        <v>#DIV/0!</v>
      </c>
      <c r="AV158" t="e">
        <f>Year_2040!AV161/Year_2032!AV161</f>
        <v>#DIV/0!</v>
      </c>
      <c r="AW158" t="e">
        <f>Year_2040!AW161/Year_2032!AW161</f>
        <v>#DIV/0!</v>
      </c>
      <c r="AX158" t="e">
        <f>Year_2040!AX161/Year_2032!AX161</f>
        <v>#DIV/0!</v>
      </c>
    </row>
    <row r="159" spans="2:50" x14ac:dyDescent="0.3">
      <c r="B159">
        <f>Year_2032!B162</f>
        <v>0</v>
      </c>
      <c r="C159" t="e">
        <f>Year_2040!C162/Year_2032!C162</f>
        <v>#DIV/0!</v>
      </c>
      <c r="D159" t="e">
        <f>Year_2040!D162/Year_2032!D162</f>
        <v>#DIV/0!</v>
      </c>
      <c r="E159" t="e">
        <f>Year_2040!E162/Year_2032!E162</f>
        <v>#DIV/0!</v>
      </c>
      <c r="F159" t="e">
        <f>Year_2040!F162/Year_2032!F162</f>
        <v>#DIV/0!</v>
      </c>
      <c r="G159" t="e">
        <f>Year_2040!G162/Year_2032!G162</f>
        <v>#DIV/0!</v>
      </c>
      <c r="H159" t="e">
        <f>Year_2040!H162/Year_2032!H162</f>
        <v>#DIV/0!</v>
      </c>
      <c r="I159" t="e">
        <f>Year_2040!I162/Year_2032!I162</f>
        <v>#DIV/0!</v>
      </c>
      <c r="J159" t="e">
        <f>Year_2040!J162/Year_2032!J162</f>
        <v>#DIV/0!</v>
      </c>
      <c r="K159" t="e">
        <f>Year_2040!K162/Year_2032!K162</f>
        <v>#DIV/0!</v>
      </c>
      <c r="L159" t="e">
        <f>Year_2040!L162/Year_2032!L162</f>
        <v>#DIV/0!</v>
      </c>
      <c r="M159" t="e">
        <f>Year_2040!M162/Year_2032!M162</f>
        <v>#DIV/0!</v>
      </c>
      <c r="N159" t="str">
        <f>Year_2040!N162</f>
        <v>Period</v>
      </c>
      <c r="O159" t="e">
        <f>Year_2040!O162/Year_2032!O162</f>
        <v>#DIV/0!</v>
      </c>
      <c r="P159" t="e">
        <f>Year_2040!P162/Year_2032!P162</f>
        <v>#DIV/0!</v>
      </c>
      <c r="Q159" t="e">
        <f>Year_2040!Q162/Year_2032!Q162</f>
        <v>#DIV/0!</v>
      </c>
      <c r="R159" t="e">
        <f>Year_2040!R162/Year_2032!R162</f>
        <v>#DIV/0!</v>
      </c>
      <c r="S159" t="e">
        <f>Year_2040!S162/Year_2032!S162</f>
        <v>#DIV/0!</v>
      </c>
      <c r="T159" t="e">
        <f>Year_2040!T162/Year_2032!T162</f>
        <v>#DIV/0!</v>
      </c>
      <c r="U159" t="e">
        <f>Year_2040!U162/Year_2032!U162</f>
        <v>#DIV/0!</v>
      </c>
      <c r="V159" t="e">
        <f>Year_2040!V162/Year_2032!V162</f>
        <v>#DIV/0!</v>
      </c>
      <c r="W159" t="e">
        <f>Year_2040!W162/Year_2032!W162</f>
        <v>#DIV/0!</v>
      </c>
      <c r="X159" t="e">
        <f>Year_2040!X162/Year_2032!X162</f>
        <v>#DIV/0!</v>
      </c>
      <c r="Y159" t="e">
        <f>Year_2040!Y162/Year_2032!Y162</f>
        <v>#DIV/0!</v>
      </c>
      <c r="Z159" t="e">
        <f>Year_2040!Z162/Year_2032!Z162</f>
        <v>#DIV/0!</v>
      </c>
      <c r="AA159" t="e">
        <f>Year_2040!AA162/Year_2032!AA162</f>
        <v>#VALUE!</v>
      </c>
      <c r="AB159" t="e">
        <f>Year_2040!AB162/Year_2032!AB162</f>
        <v>#DIV/0!</v>
      </c>
      <c r="AC159" t="e">
        <f>Year_2040!AC162/Year_2032!AC162</f>
        <v>#DIV/0!</v>
      </c>
      <c r="AD159" t="e">
        <f>Year_2040!AD162/Year_2032!AD162</f>
        <v>#DIV/0!</v>
      </c>
      <c r="AE159" t="e">
        <f>Year_2040!AE162/Year_2032!AE162</f>
        <v>#DIV/0!</v>
      </c>
      <c r="AF159" t="e">
        <f>Year_2040!AF162/Year_2032!AF162</f>
        <v>#DIV/0!</v>
      </c>
      <c r="AG159" t="e">
        <f>Year_2040!AG162/Year_2032!AG162</f>
        <v>#DIV/0!</v>
      </c>
      <c r="AH159" t="e">
        <f>Year_2040!AH162/Year_2032!AH162</f>
        <v>#DIV/0!</v>
      </c>
      <c r="AI159" t="e">
        <f>Year_2040!AI162/Year_2032!AI162</f>
        <v>#DIV/0!</v>
      </c>
      <c r="AJ159" t="e">
        <f>Year_2040!AJ162/Year_2032!AJ162</f>
        <v>#DIV/0!</v>
      </c>
      <c r="AK159" t="e">
        <f>Year_2040!AK162/Year_2032!AK162</f>
        <v>#DIV/0!</v>
      </c>
      <c r="AL159" t="e">
        <f>Year_2040!AL162/Year_2032!AL162</f>
        <v>#DIV/0!</v>
      </c>
      <c r="AM159" t="e">
        <f>Year_2040!AM162/Year_2032!AM162</f>
        <v>#DIV/0!</v>
      </c>
      <c r="AN159" t="e">
        <f>Year_2040!AN162/Year_2032!AN162</f>
        <v>#DIV/0!</v>
      </c>
      <c r="AO159" t="e">
        <f>Year_2040!AO162/Year_2032!AO162</f>
        <v>#DIV/0!</v>
      </c>
      <c r="AP159" t="e">
        <f>Year_2040!AP162/Year_2032!AP162</f>
        <v>#DIV/0!</v>
      </c>
      <c r="AQ159" t="e">
        <f>Year_2040!AQ162/Year_2032!AQ162</f>
        <v>#DIV/0!</v>
      </c>
      <c r="AR159" t="e">
        <f>Year_2040!AR162/Year_2032!AR162</f>
        <v>#DIV/0!</v>
      </c>
      <c r="AS159" t="e">
        <f>Year_2040!AS162/Year_2032!AS162</f>
        <v>#DIV/0!</v>
      </c>
      <c r="AT159" t="e">
        <f>Year_2040!AT162/Year_2032!AT162</f>
        <v>#DIV/0!</v>
      </c>
      <c r="AU159" t="e">
        <f>Year_2040!AU162/Year_2032!AU162</f>
        <v>#DIV/0!</v>
      </c>
      <c r="AV159" t="e">
        <f>Year_2040!AV162/Year_2032!AV162</f>
        <v>#DIV/0!</v>
      </c>
      <c r="AW159" t="e">
        <f>Year_2040!AW162/Year_2032!AW162</f>
        <v>#DIV/0!</v>
      </c>
      <c r="AX159" t="e">
        <f>Year_2040!AX162/Year_2032!AX162</f>
        <v>#DIV/0!</v>
      </c>
    </row>
  </sheetData>
  <conditionalFormatting sqref="A1:XFD1048576">
    <cfRule type="cellIs" dxfId="0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Year_2025</vt:lpstr>
      <vt:lpstr>Year_2032</vt:lpstr>
      <vt:lpstr>Year_2040</vt:lpstr>
      <vt:lpstr>Year_2050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2026-01-16T10:57:21Z</dcterms:created>
  <dcterms:modified xsi:type="dcterms:W3CDTF">2026-01-16T12:34:11Z</dcterms:modified>
</cp:coreProperties>
</file>