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vot4.5_toll7_medium2.5pce_4toll\"/>
    </mc:Choice>
  </mc:AlternateContent>
  <xr:revisionPtr revIDLastSave="0" documentId="13_ncr:1_{9A29F812-BEBE-4480-AA78-00E8C708B7BA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2" l="1"/>
  <c r="W59" i="2" s="1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Y333" i="2"/>
  <c r="Y334" i="2"/>
  <c r="Y335" i="2"/>
  <c r="Y336" i="2"/>
  <c r="Y337" i="2"/>
  <c r="Y338" i="2"/>
  <c r="Y339" i="2"/>
  <c r="Y332" i="2"/>
  <c r="Z318" i="2"/>
  <c r="AA318" i="2"/>
  <c r="AB318" i="2"/>
  <c r="AS326" i="2" s="1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Y319" i="2"/>
  <c r="Y320" i="2"/>
  <c r="Y321" i="2"/>
  <c r="Y322" i="2"/>
  <c r="Y323" i="2"/>
  <c r="Y324" i="2"/>
  <c r="Y325" i="2"/>
  <c r="Y318" i="2"/>
  <c r="Y248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S312" i="2" s="1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AS298" i="2" s="1"/>
  <c r="Z290" i="2"/>
  <c r="Y290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S284" i="2" s="1"/>
  <c r="AA276" i="2"/>
  <c r="Z276" i="2"/>
  <c r="Y276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S270" i="2" s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AS256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101" i="2" l="1"/>
  <c r="W87" i="2"/>
  <c r="W73" i="2"/>
  <c r="AS340" i="2"/>
  <c r="W116" i="2" l="1"/>
</calcChain>
</file>

<file path=xl/sharedStrings.xml><?xml version="1.0" encoding="utf-8"?>
<sst xmlns="http://schemas.openxmlformats.org/spreadsheetml/2006/main" count="3408" uniqueCount="82">
  <si>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</si>
  <si>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</si>
  <si>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</si>
  <si>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</si>
  <si>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</si>
  <si>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</si>
  <si>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</si>
  <si>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</si>
  <si>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</si>
  <si>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</si>
  <si>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</si>
  <si>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</si>
  <si>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</si>
  <si>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</si>
  <si>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</si>
  <si>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</si>
  <si>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</si>
  <si>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</si>
  <si>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</si>
  <si>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</si>
  <si>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</si>
  <si>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</si>
  <si>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</si>
  <si>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</si>
  <si>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</si>
  <si>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</si>
  <si>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</si>
  <si>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</si>
  <si>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</si>
  <si>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</si>
  <si>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</si>
  <si>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</si>
  <si>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</si>
  <si>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</si>
  <si>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</si>
  <si>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</si>
  <si>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</si>
  <si>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</si>
  <si>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</si>
  <si>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</si>
  <si>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</si>
  <si>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</si>
  <si>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</si>
  <si>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</si>
  <si>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</si>
  <si>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</si>
  <si>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</si>
  <si>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</si>
  <si>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</si>
  <si>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</si>
  <si>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</si>
  <si>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</si>
  <si>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</si>
  <si>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</si>
  <si>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</si>
  <si>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</si>
  <si>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</si>
  <si>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</si>
  <si>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</si>
  <si>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</si>
  <si>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</si>
  <si>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</si>
  <si>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</si>
  <si>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</si>
  <si>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</si>
  <si>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</si>
  <si>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</si>
  <si>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</si>
  <si>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</si>
  <si>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</si>
  <si>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</si>
  <si>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</si>
  <si>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</si>
  <si>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</si>
  <si>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ML Medium A</t>
  </si>
  <si>
    <t>ML Medium B</t>
  </si>
  <si>
    <t>ML Heavy A</t>
  </si>
  <si>
    <t>ML Lights</t>
  </si>
  <si>
    <t>Capture Heavies</t>
  </si>
  <si>
    <t>Capture Medium</t>
  </si>
  <si>
    <t>Capture Medium A</t>
  </si>
  <si>
    <t>Capture Medium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</si>
</sst>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164" fontId="0" fillId="0" borderId="0" xfId="1" applyNumberFormat="1" applyFont="1"/>
    <xf numFmtId="0" fontId="1" fillId="0" borderId="0" xfId="0" applyFont="1" applyAlignment="1">
      <alignment horizontal="center" vertical="top"/>
    </xf>
    <xf numFmtId="164" fontId="0" fillId="0" borderId="2" xfId="1" applyNumberFormat="1" applyFont="1" applyBorder="1"/>
    <xf numFmtId="164" fontId="0" fillId="0" borderId="0" xfId="0" applyNumberFormat="1"/>
    <xf numFmtId="9" fontId="0" fillId="0" borderId="2" xfId="1" applyFont="1" applyBorder="1"/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40"/>
  <sheetViews>
    <sheetView tabSelected="1" topLeftCell="K68" zoomScale="51" workbookViewId="0">
      <selection activeCell="X229" sqref="X229:AS34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4547.2700000000004</v>
      </c>
      <c r="Z9" s="2">
        <v>4327.96</v>
      </c>
      <c r="AA9" s="2">
        <v>970.25</v>
      </c>
      <c r="AB9" s="2">
        <v>884.24</v>
      </c>
      <c r="AC9" s="2">
        <v>295.57</v>
      </c>
      <c r="AD9" s="2">
        <v>492.8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2362.36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66</v>
      </c>
      <c r="AV9" s="2">
        <v>21840</v>
      </c>
      <c r="AW9" s="2">
        <v>21840</v>
      </c>
      <c r="AX9" s="2">
        <v>18672.099999999999</v>
      </c>
      <c r="AY9" s="2">
        <v>17482.29</v>
      </c>
      <c r="AZ9" s="2">
        <v>6811.18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60441.08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66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67</v>
      </c>
      <c r="C10" s="2">
        <v>1.22</v>
      </c>
      <c r="D10" s="2">
        <v>0.71</v>
      </c>
      <c r="E10" s="2">
        <v>0.97</v>
      </c>
      <c r="F10" s="2">
        <v>0.61</v>
      </c>
      <c r="G10" s="2">
        <v>0.98</v>
      </c>
      <c r="H10" s="2">
        <v>0.79</v>
      </c>
      <c r="I10" s="2">
        <v>1.1599999999999999</v>
      </c>
      <c r="J10" s="2">
        <v>1.34</v>
      </c>
      <c r="K10" s="2">
        <v>1.28</v>
      </c>
      <c r="L10" s="2">
        <v>1.04</v>
      </c>
      <c r="M10" s="2">
        <v>1.62</v>
      </c>
      <c r="N10" s="2">
        <v>1.07</v>
      </c>
      <c r="O10" s="2">
        <v>1.46</v>
      </c>
      <c r="P10" s="2">
        <v>1.19</v>
      </c>
      <c r="Q10" s="2">
        <v>1.38</v>
      </c>
      <c r="R10" s="2">
        <v>1.03</v>
      </c>
      <c r="S10" s="2">
        <v>1.3</v>
      </c>
      <c r="T10" s="2">
        <v>0.86</v>
      </c>
      <c r="U10" s="2">
        <v>1.06</v>
      </c>
      <c r="V10" s="2">
        <v>0.62</v>
      </c>
      <c r="X10" s="1" t="s">
        <v>67</v>
      </c>
      <c r="Y10" s="2">
        <v>1327.72</v>
      </c>
      <c r="Z10" s="2">
        <v>807.75</v>
      </c>
      <c r="AA10" s="2">
        <v>1399.02</v>
      </c>
      <c r="AB10" s="2">
        <v>883.51</v>
      </c>
      <c r="AC10" s="2">
        <v>331.33</v>
      </c>
      <c r="AD10" s="2">
        <v>419.28</v>
      </c>
      <c r="AE10" s="2">
        <v>1872.01</v>
      </c>
      <c r="AF10" s="2">
        <v>1171.27</v>
      </c>
      <c r="AG10" s="2">
        <v>2181.94</v>
      </c>
      <c r="AH10" s="2">
        <v>1351.7</v>
      </c>
      <c r="AI10" s="2">
        <v>3782.08</v>
      </c>
      <c r="AJ10" s="2">
        <v>2464.69</v>
      </c>
      <c r="AK10" s="2">
        <v>2516.5</v>
      </c>
      <c r="AL10" s="2">
        <v>2172.5</v>
      </c>
      <c r="AM10" s="2">
        <v>3180.69</v>
      </c>
      <c r="AN10" s="2">
        <v>2911.39</v>
      </c>
      <c r="AO10" s="2">
        <v>2789.04</v>
      </c>
      <c r="AP10" s="2">
        <v>2000.5</v>
      </c>
      <c r="AQ10" s="2">
        <v>4390.9799999999996</v>
      </c>
      <c r="AR10" s="2">
        <v>2662.52</v>
      </c>
      <c r="AU10" s="1" t="s">
        <v>67</v>
      </c>
      <c r="AV10" s="2">
        <v>9363.94</v>
      </c>
      <c r="AW10" s="2">
        <v>6120.28</v>
      </c>
      <c r="AX10" s="2">
        <v>8591.2199999999993</v>
      </c>
      <c r="AY10" s="2">
        <v>5723.35</v>
      </c>
      <c r="AZ10" s="2">
        <v>2154.65</v>
      </c>
      <c r="BA10" s="2">
        <v>2775.19</v>
      </c>
      <c r="BB10" s="2">
        <v>11890.71</v>
      </c>
      <c r="BC10" s="2">
        <v>8168.01</v>
      </c>
      <c r="BD10" s="2">
        <v>15002.66</v>
      </c>
      <c r="BE10" s="2">
        <v>10121.799999999999</v>
      </c>
      <c r="BF10" s="2">
        <v>26282.78</v>
      </c>
      <c r="BG10" s="2">
        <v>18544.009999999998</v>
      </c>
      <c r="BH10" s="2">
        <v>17743.189999999999</v>
      </c>
      <c r="BI10" s="2">
        <v>15949.46</v>
      </c>
      <c r="BJ10" s="2">
        <v>22627.77</v>
      </c>
      <c r="BK10" s="2">
        <v>21002.2</v>
      </c>
      <c r="BL10" s="2">
        <v>19727.63</v>
      </c>
      <c r="BM10" s="2">
        <v>15039.45</v>
      </c>
      <c r="BN10" s="2">
        <v>32207.3</v>
      </c>
      <c r="BO10" s="2">
        <v>20484.810000000001</v>
      </c>
      <c r="BR10" s="1" t="s">
        <v>67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3194.48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18121.95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36598.269999999997</v>
      </c>
      <c r="CL10" s="2">
        <v>23147.32</v>
      </c>
    </row>
    <row r="11" spans="2:90" x14ac:dyDescent="0.3">
      <c r="B11" s="1" t="s">
        <v>68</v>
      </c>
      <c r="C11" s="2">
        <v>3.6</v>
      </c>
      <c r="D11" s="2">
        <v>0.91</v>
      </c>
      <c r="E11" s="2">
        <v>3.73</v>
      </c>
      <c r="F11" s="2">
        <v>0.7</v>
      </c>
      <c r="G11" s="2">
        <v>1.8</v>
      </c>
      <c r="H11" s="2">
        <v>1.8</v>
      </c>
      <c r="I11" s="2">
        <v>3.6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1.53</v>
      </c>
      <c r="U11" s="2">
        <v>1.53</v>
      </c>
      <c r="V11" s="2">
        <v>1.32</v>
      </c>
      <c r="X11" s="1" t="s">
        <v>68</v>
      </c>
      <c r="Y11" s="2">
        <v>7201.65</v>
      </c>
      <c r="Z11" s="2">
        <v>2010.42</v>
      </c>
      <c r="AA11" s="2">
        <v>7105.13</v>
      </c>
      <c r="AB11" s="2">
        <v>1989.27</v>
      </c>
      <c r="AC11" s="2">
        <v>3038.99</v>
      </c>
      <c r="AD11" s="2">
        <v>2690.97</v>
      </c>
      <c r="AE11" s="2">
        <v>7075.72</v>
      </c>
      <c r="AF11" s="2">
        <v>4626.67</v>
      </c>
      <c r="AG11" s="2">
        <v>13242.78</v>
      </c>
      <c r="AH11" s="2">
        <v>4763.37</v>
      </c>
      <c r="AI11" s="2">
        <v>25473.53</v>
      </c>
      <c r="AJ11" s="2">
        <v>8572.65</v>
      </c>
      <c r="AK11" s="2">
        <v>19439.990000000002</v>
      </c>
      <c r="AL11" s="2">
        <v>7192.28</v>
      </c>
      <c r="AM11" s="2">
        <v>24609.759999999998</v>
      </c>
      <c r="AN11" s="2">
        <v>8647.9</v>
      </c>
      <c r="AO11" s="2">
        <v>9862.67</v>
      </c>
      <c r="AP11" s="2">
        <v>6569.98</v>
      </c>
      <c r="AQ11" s="2">
        <v>8549.9599999999991</v>
      </c>
      <c r="AR11" s="2">
        <v>7771.41</v>
      </c>
      <c r="AU11" s="1" t="s">
        <v>68</v>
      </c>
      <c r="AV11" s="2">
        <v>30403.16</v>
      </c>
      <c r="AW11" s="2">
        <v>15652.1</v>
      </c>
      <c r="AX11" s="2">
        <v>29042.86</v>
      </c>
      <c r="AY11" s="2">
        <v>12997.45</v>
      </c>
      <c r="AZ11" s="2">
        <v>8082.29</v>
      </c>
      <c r="BA11" s="2">
        <v>9830.7900000000009</v>
      </c>
      <c r="BB11" s="2">
        <v>38271.39</v>
      </c>
      <c r="BC11" s="2">
        <v>28325.31</v>
      </c>
      <c r="BD11" s="2">
        <v>45932.52</v>
      </c>
      <c r="BE11" s="2">
        <v>34521.4</v>
      </c>
      <c r="BF11" s="2">
        <v>84254.47</v>
      </c>
      <c r="BG11" s="2">
        <v>62270.87</v>
      </c>
      <c r="BH11" s="2">
        <v>62571.34</v>
      </c>
      <c r="BI11" s="2">
        <v>50786.42</v>
      </c>
      <c r="BJ11" s="2">
        <v>77568.2</v>
      </c>
      <c r="BK11" s="2">
        <v>64473.2</v>
      </c>
      <c r="BL11" s="2">
        <v>62020.33</v>
      </c>
      <c r="BM11" s="2">
        <v>51316.3</v>
      </c>
      <c r="BN11" s="2">
        <v>66924.240000000005</v>
      </c>
      <c r="BO11" s="2">
        <v>60328.85</v>
      </c>
      <c r="BR11" s="1" t="s">
        <v>68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69</v>
      </c>
      <c r="C12" s="2">
        <v>1.8</v>
      </c>
      <c r="D12" s="2">
        <v>0.88</v>
      </c>
      <c r="E12" s="2">
        <v>1.8</v>
      </c>
      <c r="F12" s="2">
        <v>0.6</v>
      </c>
      <c r="G12" s="2">
        <v>1.8</v>
      </c>
      <c r="H12" s="2">
        <v>1.8</v>
      </c>
      <c r="I12" s="2">
        <v>1.8</v>
      </c>
      <c r="J12" s="2">
        <v>1.71</v>
      </c>
      <c r="K12" s="2">
        <v>1.8</v>
      </c>
      <c r="L12" s="2">
        <v>1.45</v>
      </c>
      <c r="M12" s="2">
        <v>1.8</v>
      </c>
      <c r="N12" s="2">
        <v>1.37</v>
      </c>
      <c r="O12" s="2">
        <v>1.8</v>
      </c>
      <c r="P12" s="2">
        <v>1.4</v>
      </c>
      <c r="Q12" s="2">
        <v>1.8</v>
      </c>
      <c r="R12" s="2">
        <v>1.25</v>
      </c>
      <c r="S12" s="2">
        <v>1.25</v>
      </c>
      <c r="T12" s="2">
        <v>1.0900000000000001</v>
      </c>
      <c r="U12" s="2">
        <v>1.07</v>
      </c>
      <c r="V12" s="2">
        <v>0.98</v>
      </c>
      <c r="X12" s="1" t="s">
        <v>69</v>
      </c>
      <c r="Y12" s="2">
        <v>2099.64</v>
      </c>
      <c r="Z12" s="2">
        <v>775.46</v>
      </c>
      <c r="AA12" s="2">
        <v>2107.09</v>
      </c>
      <c r="AB12" s="2">
        <v>797.86</v>
      </c>
      <c r="AC12" s="2">
        <v>697.29</v>
      </c>
      <c r="AD12" s="2">
        <v>851.34</v>
      </c>
      <c r="AE12" s="2">
        <v>2500.46</v>
      </c>
      <c r="AF12" s="2">
        <v>1371.09</v>
      </c>
      <c r="AG12" s="2">
        <v>3016.97</v>
      </c>
      <c r="AH12" s="2">
        <v>1505.35</v>
      </c>
      <c r="AI12" s="2">
        <v>5425.04</v>
      </c>
      <c r="AJ12" s="2">
        <v>2624.09</v>
      </c>
      <c r="AK12" s="2">
        <v>4351.49</v>
      </c>
      <c r="AL12" s="2">
        <v>2130.9</v>
      </c>
      <c r="AM12" s="2">
        <v>3960.48</v>
      </c>
      <c r="AN12" s="2">
        <v>2667.72</v>
      </c>
      <c r="AO12" s="2">
        <v>2386.56</v>
      </c>
      <c r="AP12" s="2">
        <v>2261.4</v>
      </c>
      <c r="AQ12" s="2">
        <v>2950.73</v>
      </c>
      <c r="AR12" s="2">
        <v>2819.97</v>
      </c>
      <c r="AU12" s="1" t="s">
        <v>69</v>
      </c>
      <c r="AV12" s="2">
        <v>9027.9500000000007</v>
      </c>
      <c r="AW12" s="2">
        <v>5521.68</v>
      </c>
      <c r="AX12" s="2">
        <v>8448.11</v>
      </c>
      <c r="AY12" s="2">
        <v>5398.85</v>
      </c>
      <c r="AZ12" s="2">
        <v>2772.06</v>
      </c>
      <c r="BA12" s="2">
        <v>3588.66</v>
      </c>
      <c r="BB12" s="2">
        <v>11572.9</v>
      </c>
      <c r="BC12" s="2">
        <v>10107</v>
      </c>
      <c r="BD12" s="2">
        <v>14743.03</v>
      </c>
      <c r="BE12" s="2">
        <v>12027.68</v>
      </c>
      <c r="BF12" s="2">
        <v>26542.959999999999</v>
      </c>
      <c r="BG12" s="2">
        <v>21096.34</v>
      </c>
      <c r="BH12" s="2">
        <v>21400.51</v>
      </c>
      <c r="BI12" s="2">
        <v>17149.46</v>
      </c>
      <c r="BJ12" s="2">
        <v>26175.23</v>
      </c>
      <c r="BK12" s="2">
        <v>21290.52</v>
      </c>
      <c r="BL12" s="2">
        <v>18988.560000000001</v>
      </c>
      <c r="BM12" s="2">
        <v>17809.990000000002</v>
      </c>
      <c r="BN12" s="2">
        <v>23244.45</v>
      </c>
      <c r="BO12" s="2">
        <v>22063.81</v>
      </c>
      <c r="BR12" s="1" t="s">
        <v>69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1.0900000000000001</v>
      </c>
      <c r="G13" s="2">
        <v>1.8</v>
      </c>
      <c r="H13" s="2">
        <v>1.8</v>
      </c>
      <c r="I13" s="2">
        <v>1.0900000000000001</v>
      </c>
      <c r="J13" s="2">
        <v>1.8</v>
      </c>
      <c r="K13" s="2">
        <v>1.8</v>
      </c>
      <c r="L13" s="2">
        <v>1.8</v>
      </c>
      <c r="M13" s="2">
        <v>1.8</v>
      </c>
      <c r="N13" s="2">
        <v>1.67</v>
      </c>
      <c r="O13" s="2">
        <v>1.6</v>
      </c>
      <c r="P13" s="2">
        <v>1.51</v>
      </c>
      <c r="Q13" s="2">
        <v>1.33</v>
      </c>
      <c r="R13" s="2">
        <v>1.36</v>
      </c>
      <c r="S13" s="2">
        <v>1.22</v>
      </c>
      <c r="T13" s="2">
        <v>1.0900000000000001</v>
      </c>
      <c r="U13" s="2">
        <v>1.1599999999999999</v>
      </c>
      <c r="V13" s="2">
        <v>0.85</v>
      </c>
      <c r="X13" s="1" t="s">
        <v>70</v>
      </c>
      <c r="Y13" s="2">
        <v>7167.18</v>
      </c>
      <c r="Z13" s="2">
        <v>7293.47</v>
      </c>
      <c r="AA13" s="2">
        <v>9080.77</v>
      </c>
      <c r="AB13" s="2">
        <v>7183.55</v>
      </c>
      <c r="AC13" s="2">
        <v>2711.65</v>
      </c>
      <c r="AD13" s="2">
        <v>3002.72</v>
      </c>
      <c r="AE13" s="2">
        <v>7428.39</v>
      </c>
      <c r="AF13" s="2">
        <v>9192.58</v>
      </c>
      <c r="AG13" s="2">
        <v>10588.56</v>
      </c>
      <c r="AH13" s="2">
        <v>11367.93</v>
      </c>
      <c r="AI13" s="2">
        <v>16593.32</v>
      </c>
      <c r="AJ13" s="2">
        <v>16627.22</v>
      </c>
      <c r="AK13" s="2">
        <v>12196.72</v>
      </c>
      <c r="AL13" s="2">
        <v>13138.36</v>
      </c>
      <c r="AM13" s="2">
        <v>14533.51</v>
      </c>
      <c r="AN13" s="2">
        <v>14861.1</v>
      </c>
      <c r="AO13" s="2">
        <v>11941.88</v>
      </c>
      <c r="AP13" s="2">
        <v>12544.29</v>
      </c>
      <c r="AQ13" s="2">
        <v>16038.93</v>
      </c>
      <c r="AR13" s="2">
        <v>18089.009999999998</v>
      </c>
      <c r="AU13" s="1" t="s">
        <v>70</v>
      </c>
      <c r="AV13" s="2">
        <v>30681.03</v>
      </c>
      <c r="AW13" s="2">
        <v>40138</v>
      </c>
      <c r="AX13" s="2">
        <v>39552.879999999997</v>
      </c>
      <c r="AY13" s="2">
        <v>45632.85</v>
      </c>
      <c r="AZ13" s="2">
        <v>11201.97</v>
      </c>
      <c r="BA13" s="2">
        <v>12553.48</v>
      </c>
      <c r="BB13" s="2">
        <v>51032.01</v>
      </c>
      <c r="BC13" s="2">
        <v>48022.62</v>
      </c>
      <c r="BD13" s="2">
        <v>68695.94</v>
      </c>
      <c r="BE13" s="2">
        <v>67996.070000000007</v>
      </c>
      <c r="BF13" s="2">
        <v>120385.78</v>
      </c>
      <c r="BG13" s="2">
        <v>123706.18</v>
      </c>
      <c r="BH13" s="2">
        <v>91947.35</v>
      </c>
      <c r="BI13" s="2">
        <v>97669.19</v>
      </c>
      <c r="BJ13" s="2">
        <v>110630.89</v>
      </c>
      <c r="BK13" s="2">
        <v>111886.95</v>
      </c>
      <c r="BL13" s="2">
        <v>92205.22</v>
      </c>
      <c r="BM13" s="2">
        <v>94331.31</v>
      </c>
      <c r="BN13" s="2">
        <v>125159.82</v>
      </c>
      <c r="BO13" s="2">
        <v>139491.99</v>
      </c>
      <c r="BR13" s="1" t="s">
        <v>70</v>
      </c>
      <c r="BS13" s="2">
        <v>37848.21</v>
      </c>
      <c r="BT13" s="2">
        <v>47431.47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71</v>
      </c>
      <c r="C14" s="2">
        <v>3.22</v>
      </c>
      <c r="D14" s="2">
        <v>3.15</v>
      </c>
      <c r="E14" s="2">
        <v>1.8</v>
      </c>
      <c r="F14" s="2">
        <v>2.62</v>
      </c>
      <c r="G14" s="2">
        <v>1.8</v>
      </c>
      <c r="H14" s="2">
        <v>1.8</v>
      </c>
      <c r="I14" s="2">
        <v>1.0900000000000001</v>
      </c>
      <c r="J14" s="2">
        <v>1.8</v>
      </c>
      <c r="K14" s="2">
        <v>1.07</v>
      </c>
      <c r="L14" s="2">
        <v>1.8</v>
      </c>
      <c r="M14" s="2">
        <v>1.27</v>
      </c>
      <c r="N14" s="2">
        <v>1.8</v>
      </c>
      <c r="O14" s="2">
        <v>1.25</v>
      </c>
      <c r="P14" s="2">
        <v>1.8</v>
      </c>
      <c r="Q14" s="2">
        <v>1.24</v>
      </c>
      <c r="R14" s="2">
        <v>1.8</v>
      </c>
      <c r="S14" s="2">
        <v>1.1499999999999999</v>
      </c>
      <c r="T14" s="2">
        <v>1.69</v>
      </c>
      <c r="U14" s="2">
        <v>1</v>
      </c>
      <c r="V14" s="2">
        <v>0.86</v>
      </c>
      <c r="X14" s="1" t="s">
        <v>71</v>
      </c>
      <c r="Y14" s="2">
        <v>1261.69</v>
      </c>
      <c r="Z14" s="2">
        <v>1317.38</v>
      </c>
      <c r="AA14" s="2">
        <v>2336.84</v>
      </c>
      <c r="AB14" s="2">
        <v>1913.77</v>
      </c>
      <c r="AC14" s="2">
        <v>636.97</v>
      </c>
      <c r="AD14" s="2">
        <v>710.27</v>
      </c>
      <c r="AE14" s="2">
        <v>1647.17</v>
      </c>
      <c r="AF14" s="2">
        <v>1888.86</v>
      </c>
      <c r="AG14" s="2">
        <v>1932.25</v>
      </c>
      <c r="AH14" s="2">
        <v>3132.75</v>
      </c>
      <c r="AI14" s="2">
        <v>3656.57</v>
      </c>
      <c r="AJ14" s="2">
        <v>5768.93</v>
      </c>
      <c r="AK14" s="2">
        <v>2934.24</v>
      </c>
      <c r="AL14" s="2">
        <v>3895.66</v>
      </c>
      <c r="AM14" s="2">
        <v>3771.13</v>
      </c>
      <c r="AN14" s="2">
        <v>4972.76</v>
      </c>
      <c r="AO14" s="2">
        <v>3186.75</v>
      </c>
      <c r="AP14" s="2">
        <v>3993.21</v>
      </c>
      <c r="AQ14" s="2">
        <v>3869.73</v>
      </c>
      <c r="AR14" s="2">
        <v>3838.81</v>
      </c>
      <c r="AU14" s="1" t="s">
        <v>71</v>
      </c>
      <c r="AV14" s="2">
        <v>7717.17</v>
      </c>
      <c r="AW14" s="2">
        <v>7833</v>
      </c>
      <c r="AX14" s="2">
        <v>9188.6</v>
      </c>
      <c r="AY14" s="2">
        <v>9630.23</v>
      </c>
      <c r="AZ14" s="2">
        <v>2251.4</v>
      </c>
      <c r="BA14" s="2">
        <v>2567.7199999999998</v>
      </c>
      <c r="BB14" s="2">
        <v>8795.23</v>
      </c>
      <c r="BC14" s="2">
        <v>7023.01</v>
      </c>
      <c r="BD14" s="2">
        <v>11184.85</v>
      </c>
      <c r="BE14" s="2">
        <v>14185.25</v>
      </c>
      <c r="BF14" s="2">
        <v>21684.01</v>
      </c>
      <c r="BG14" s="2">
        <v>26199.07</v>
      </c>
      <c r="BH14" s="2">
        <v>17329.41</v>
      </c>
      <c r="BI14" s="2">
        <v>20395.7</v>
      </c>
      <c r="BJ14" s="2">
        <v>22551.41</v>
      </c>
      <c r="BK14" s="2">
        <v>26653.15</v>
      </c>
      <c r="BL14" s="2">
        <v>19428.57</v>
      </c>
      <c r="BM14" s="2">
        <v>22910.48</v>
      </c>
      <c r="BN14" s="2">
        <v>23903.759999999998</v>
      </c>
      <c r="BO14" s="2">
        <v>22199.31</v>
      </c>
      <c r="BR14" s="1" t="s">
        <v>71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3.2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1.75</v>
      </c>
      <c r="T15" s="2">
        <v>1.8</v>
      </c>
      <c r="U15" s="2">
        <v>1.58</v>
      </c>
      <c r="V15" s="2">
        <v>1.52</v>
      </c>
      <c r="X15" s="1" t="s">
        <v>72</v>
      </c>
      <c r="Y15" s="2">
        <v>6977.04</v>
      </c>
      <c r="Z15" s="2">
        <v>7285.35</v>
      </c>
      <c r="AA15" s="2">
        <v>5415.22</v>
      </c>
      <c r="AB15" s="2">
        <v>7432.15</v>
      </c>
      <c r="AC15" s="2">
        <v>2261.5700000000002</v>
      </c>
      <c r="AD15" s="2">
        <v>2700.44</v>
      </c>
      <c r="AE15" s="2">
        <v>6688.83</v>
      </c>
      <c r="AF15" s="2">
        <v>9480.25</v>
      </c>
      <c r="AG15" s="2">
        <v>6312.43</v>
      </c>
      <c r="AH15" s="2">
        <v>14604.33</v>
      </c>
      <c r="AI15" s="2">
        <v>12478.58</v>
      </c>
      <c r="AJ15" s="2">
        <v>26305.89</v>
      </c>
      <c r="AK15" s="2">
        <v>10125.32</v>
      </c>
      <c r="AL15" s="2">
        <v>18543.72</v>
      </c>
      <c r="AM15" s="2">
        <v>14688.55</v>
      </c>
      <c r="AN15" s="2">
        <v>17553.29</v>
      </c>
      <c r="AO15" s="2">
        <v>9817.3799999999992</v>
      </c>
      <c r="AP15" s="2">
        <v>10277.14</v>
      </c>
      <c r="AQ15" s="2">
        <v>12158.79</v>
      </c>
      <c r="AR15" s="2">
        <v>12118.61</v>
      </c>
      <c r="AU15" s="1" t="s">
        <v>72</v>
      </c>
      <c r="AV15" s="2">
        <v>27216.81</v>
      </c>
      <c r="AW15" s="2">
        <v>28975.95</v>
      </c>
      <c r="AX15" s="2">
        <v>27856.400000000001</v>
      </c>
      <c r="AY15" s="2">
        <v>31114.2</v>
      </c>
      <c r="AZ15" s="2">
        <v>6891.84</v>
      </c>
      <c r="BA15" s="2">
        <v>10275.26</v>
      </c>
      <c r="BB15" s="2">
        <v>29930.31</v>
      </c>
      <c r="BC15" s="2">
        <v>24529.91</v>
      </c>
      <c r="BD15" s="2">
        <v>36451.78</v>
      </c>
      <c r="BE15" s="2">
        <v>46355.67</v>
      </c>
      <c r="BF15" s="2">
        <v>67519.83</v>
      </c>
      <c r="BG15" s="2">
        <v>83422.11</v>
      </c>
      <c r="BH15" s="2">
        <v>54512.14</v>
      </c>
      <c r="BI15" s="2">
        <v>64628.72</v>
      </c>
      <c r="BJ15" s="2">
        <v>73712.98</v>
      </c>
      <c r="BK15" s="2">
        <v>77459.649999999994</v>
      </c>
      <c r="BL15" s="2">
        <v>60039.05</v>
      </c>
      <c r="BM15" s="2">
        <v>61249.58</v>
      </c>
      <c r="BN15" s="2">
        <v>74654.350000000006</v>
      </c>
      <c r="BO15" s="2">
        <v>73311.320000000007</v>
      </c>
      <c r="BR15" s="1" t="s">
        <v>72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83172.429999999993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73</v>
      </c>
      <c r="C16" s="2">
        <v>1.02</v>
      </c>
      <c r="D16" s="2">
        <v>1.39</v>
      </c>
      <c r="E16" s="2">
        <v>0.39</v>
      </c>
      <c r="F16" s="2">
        <v>0.41</v>
      </c>
      <c r="G16" s="2">
        <v>0.2</v>
      </c>
      <c r="H16" s="2">
        <v>0.47</v>
      </c>
      <c r="I16" s="2">
        <v>0.5</v>
      </c>
      <c r="J16" s="2">
        <v>1.8</v>
      </c>
      <c r="K16" s="2">
        <v>0.98</v>
      </c>
      <c r="L16" s="2">
        <v>1.8</v>
      </c>
      <c r="M16" s="2">
        <v>1.4</v>
      </c>
      <c r="N16" s="2">
        <v>1.8</v>
      </c>
      <c r="O16" s="2">
        <v>1.56</v>
      </c>
      <c r="P16" s="2">
        <v>1.62</v>
      </c>
      <c r="Q16" s="2">
        <v>1.34</v>
      </c>
      <c r="R16" s="2">
        <v>1.25</v>
      </c>
      <c r="S16" s="2">
        <v>1.18</v>
      </c>
      <c r="T16" s="2">
        <v>0.98</v>
      </c>
      <c r="U16" s="2">
        <v>1.1599999999999999</v>
      </c>
      <c r="V16" s="2">
        <v>0.83</v>
      </c>
      <c r="X16" s="1" t="s">
        <v>73</v>
      </c>
      <c r="Y16" s="2">
        <v>2556.7800000000002</v>
      </c>
      <c r="Z16" s="2">
        <v>3204.21</v>
      </c>
      <c r="AA16" s="2">
        <v>2647.54</v>
      </c>
      <c r="AB16" s="2">
        <v>2812.45</v>
      </c>
      <c r="AC16" s="2">
        <v>225.09</v>
      </c>
      <c r="AD16" s="2">
        <v>1130.02</v>
      </c>
      <c r="AE16" s="2">
        <v>1957.92</v>
      </c>
      <c r="AF16" s="2">
        <v>3885.55</v>
      </c>
      <c r="AG16" s="2">
        <v>3462.27</v>
      </c>
      <c r="AH16" s="2">
        <v>4555.26</v>
      </c>
      <c r="AI16" s="2">
        <v>6279.1</v>
      </c>
      <c r="AJ16" s="2">
        <v>8404.4</v>
      </c>
      <c r="AK16" s="2">
        <v>5013.26</v>
      </c>
      <c r="AL16" s="2">
        <v>6136.9</v>
      </c>
      <c r="AM16" s="2">
        <v>6457.6</v>
      </c>
      <c r="AN16" s="2">
        <v>6762.4</v>
      </c>
      <c r="AO16" s="2">
        <v>5589.72</v>
      </c>
      <c r="AP16" s="2">
        <v>5573.05</v>
      </c>
      <c r="AQ16" s="2">
        <v>6521.08</v>
      </c>
      <c r="AR16" s="2">
        <v>7434.47</v>
      </c>
      <c r="AU16" s="1" t="s">
        <v>73</v>
      </c>
      <c r="AV16" s="2">
        <v>15497.88</v>
      </c>
      <c r="AW16" s="2">
        <v>18953.830000000002</v>
      </c>
      <c r="AX16" s="2">
        <v>13241.26</v>
      </c>
      <c r="AY16" s="2">
        <v>14115.7</v>
      </c>
      <c r="AZ16" s="2">
        <v>4407.21</v>
      </c>
      <c r="BA16" s="2">
        <v>6025.2</v>
      </c>
      <c r="BB16" s="2">
        <v>14976</v>
      </c>
      <c r="BC16" s="2">
        <v>19495.02</v>
      </c>
      <c r="BD16" s="2">
        <v>19901.73</v>
      </c>
      <c r="BE16" s="2">
        <v>25179</v>
      </c>
      <c r="BF16" s="2">
        <v>34839.199999999997</v>
      </c>
      <c r="BG16" s="2">
        <v>46810.79</v>
      </c>
      <c r="BH16" s="2">
        <v>28063.27</v>
      </c>
      <c r="BI16" s="2">
        <v>36285.61</v>
      </c>
      <c r="BJ16" s="2">
        <v>34957.46</v>
      </c>
      <c r="BK16" s="2">
        <v>37960.370000000003</v>
      </c>
      <c r="BL16" s="2">
        <v>29141.79</v>
      </c>
      <c r="BM16" s="2">
        <v>29876.03</v>
      </c>
      <c r="BN16" s="2">
        <v>41599.67</v>
      </c>
      <c r="BO16" s="2">
        <v>43322.16</v>
      </c>
      <c r="BR16" s="1" t="s">
        <v>73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0.22</v>
      </c>
      <c r="D23" s="2">
        <v>0.21</v>
      </c>
      <c r="E23" s="2">
        <v>0.06</v>
      </c>
      <c r="F23" s="2">
        <v>0.06</v>
      </c>
      <c r="G23" s="2">
        <v>0.06</v>
      </c>
      <c r="H23" s="2">
        <v>0.08</v>
      </c>
      <c r="I23" s="2">
        <v>0.14000000000000001</v>
      </c>
      <c r="J23" s="2">
        <v>7.0000000000000007E-2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0.12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3497.9</v>
      </c>
      <c r="Z23" s="2">
        <v>3329.2</v>
      </c>
      <c r="AA23" s="2">
        <v>746.34</v>
      </c>
      <c r="AB23" s="2">
        <v>680.18</v>
      </c>
      <c r="AC23" s="2">
        <v>591.14</v>
      </c>
      <c r="AD23" s="2">
        <v>985.6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656.21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66</v>
      </c>
      <c r="AV23" s="2">
        <v>16800</v>
      </c>
      <c r="AW23" s="2">
        <v>16800</v>
      </c>
      <c r="AX23" s="2">
        <v>14363.16</v>
      </c>
      <c r="AY23" s="2">
        <v>13447.92</v>
      </c>
      <c r="AZ23" s="2">
        <v>13622.36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16789.189999999999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66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67</v>
      </c>
      <c r="C24" s="2">
        <v>0.14000000000000001</v>
      </c>
      <c r="D24" s="2">
        <v>0.14000000000000001</v>
      </c>
      <c r="E24" s="2">
        <v>0.15</v>
      </c>
      <c r="F24" s="2">
        <v>0.15</v>
      </c>
      <c r="G24" s="2">
        <v>0.15</v>
      </c>
      <c r="H24" s="2">
        <v>0.15</v>
      </c>
      <c r="I24" s="2">
        <v>0.15</v>
      </c>
      <c r="J24" s="2">
        <v>0.15</v>
      </c>
      <c r="K24" s="2">
        <v>0.14000000000000001</v>
      </c>
      <c r="L24" s="2">
        <v>0.14000000000000001</v>
      </c>
      <c r="M24" s="2">
        <v>0.14000000000000001</v>
      </c>
      <c r="N24" s="2">
        <v>0.14000000000000001</v>
      </c>
      <c r="O24" s="2">
        <v>0.14000000000000001</v>
      </c>
      <c r="P24" s="2">
        <v>0.14000000000000001</v>
      </c>
      <c r="Q24" s="2">
        <v>0.14000000000000001</v>
      </c>
      <c r="R24" s="2">
        <v>0.14000000000000001</v>
      </c>
      <c r="S24" s="2">
        <v>0.14000000000000001</v>
      </c>
      <c r="T24" s="2">
        <v>0.14000000000000001</v>
      </c>
      <c r="U24" s="2">
        <v>0.14000000000000001</v>
      </c>
      <c r="V24" s="2">
        <v>0.14000000000000001</v>
      </c>
      <c r="X24" s="1" t="s">
        <v>67</v>
      </c>
      <c r="Y24" s="2">
        <v>1021.32</v>
      </c>
      <c r="Z24" s="2">
        <v>621.34</v>
      </c>
      <c r="AA24" s="2">
        <v>1076.17</v>
      </c>
      <c r="AB24" s="2">
        <v>679.63</v>
      </c>
      <c r="AC24" s="2">
        <v>662.66</v>
      </c>
      <c r="AD24" s="2">
        <v>838.56</v>
      </c>
      <c r="AE24" s="2">
        <v>1170.01</v>
      </c>
      <c r="AF24" s="2">
        <v>732.04</v>
      </c>
      <c r="AG24" s="2">
        <v>1090.97</v>
      </c>
      <c r="AH24" s="2">
        <v>675.85</v>
      </c>
      <c r="AI24" s="2">
        <v>1050.58</v>
      </c>
      <c r="AJ24" s="2">
        <v>684.64</v>
      </c>
      <c r="AK24" s="2">
        <v>867.76</v>
      </c>
      <c r="AL24" s="2">
        <v>749.14</v>
      </c>
      <c r="AM24" s="2">
        <v>837.02</v>
      </c>
      <c r="AN24" s="2">
        <v>766.15</v>
      </c>
      <c r="AO24" s="2">
        <v>820.31</v>
      </c>
      <c r="AP24" s="2">
        <v>588.38</v>
      </c>
      <c r="AQ24" s="2">
        <v>975.77</v>
      </c>
      <c r="AR24" s="2">
        <v>591.66999999999996</v>
      </c>
      <c r="AU24" s="1" t="s">
        <v>67</v>
      </c>
      <c r="AV24" s="2">
        <v>7203.03</v>
      </c>
      <c r="AW24" s="2">
        <v>4707.91</v>
      </c>
      <c r="AX24" s="2">
        <v>6608.63</v>
      </c>
      <c r="AY24" s="2">
        <v>4402.57</v>
      </c>
      <c r="AZ24" s="2">
        <v>4309.29</v>
      </c>
      <c r="BA24" s="2">
        <v>5550.39</v>
      </c>
      <c r="BB24" s="2">
        <v>7431.69</v>
      </c>
      <c r="BC24" s="2">
        <v>5105.01</v>
      </c>
      <c r="BD24" s="2">
        <v>7501.33</v>
      </c>
      <c r="BE24" s="2">
        <v>5060.8999999999996</v>
      </c>
      <c r="BF24" s="2">
        <v>7300.77</v>
      </c>
      <c r="BG24" s="2">
        <v>5151.1099999999997</v>
      </c>
      <c r="BH24" s="2">
        <v>6118.34</v>
      </c>
      <c r="BI24" s="2">
        <v>5499.81</v>
      </c>
      <c r="BJ24" s="2">
        <v>5954.68</v>
      </c>
      <c r="BK24" s="2">
        <v>5526.9</v>
      </c>
      <c r="BL24" s="2">
        <v>5802.24</v>
      </c>
      <c r="BM24" s="2">
        <v>4423.37</v>
      </c>
      <c r="BN24" s="2">
        <v>7157.18</v>
      </c>
      <c r="BO24" s="2">
        <v>4552.18</v>
      </c>
      <c r="BR24" s="1" t="s">
        <v>67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68</v>
      </c>
      <c r="C25" s="2">
        <v>0.23</v>
      </c>
      <c r="D25" s="2">
        <v>0.14000000000000001</v>
      </c>
      <c r="E25" s="2">
        <v>0.22</v>
      </c>
      <c r="F25" s="2">
        <v>0.15</v>
      </c>
      <c r="G25" s="2">
        <v>0.32</v>
      </c>
      <c r="H25" s="2">
        <v>0.25</v>
      </c>
      <c r="I25" s="2">
        <v>0.18</v>
      </c>
      <c r="J25" s="2">
        <v>0.17</v>
      </c>
      <c r="K25" s="2">
        <v>0.26</v>
      </c>
      <c r="L25" s="2">
        <v>0.15</v>
      </c>
      <c r="M25" s="2">
        <v>0.27</v>
      </c>
      <c r="N25" s="2">
        <v>0.15</v>
      </c>
      <c r="O25" s="2">
        <v>0.28000000000000003</v>
      </c>
      <c r="P25" s="2">
        <v>0.16</v>
      </c>
      <c r="Q25" s="2">
        <v>0.28999999999999998</v>
      </c>
      <c r="R25" s="2">
        <v>0.15</v>
      </c>
      <c r="S25" s="2">
        <v>0.17</v>
      </c>
      <c r="T25" s="2">
        <v>0.15</v>
      </c>
      <c r="U25" s="2">
        <v>0.14000000000000001</v>
      </c>
      <c r="V25" s="2">
        <v>0.15</v>
      </c>
      <c r="X25" s="1" t="s">
        <v>68</v>
      </c>
      <c r="Y25" s="2">
        <v>5539.73</v>
      </c>
      <c r="Z25" s="2">
        <v>1546.48</v>
      </c>
      <c r="AA25" s="2">
        <v>5465.48</v>
      </c>
      <c r="AB25" s="2">
        <v>1530.21</v>
      </c>
      <c r="AC25" s="2">
        <v>6077.98</v>
      </c>
      <c r="AD25" s="2">
        <v>5381.94</v>
      </c>
      <c r="AE25" s="2">
        <v>4422.32</v>
      </c>
      <c r="AF25" s="2">
        <v>2891.67</v>
      </c>
      <c r="AG25" s="2">
        <v>6621.39</v>
      </c>
      <c r="AH25" s="2">
        <v>2381.6799999999998</v>
      </c>
      <c r="AI25" s="2">
        <v>7075.98</v>
      </c>
      <c r="AJ25" s="2">
        <v>2381.29</v>
      </c>
      <c r="AK25" s="2">
        <v>6703.45</v>
      </c>
      <c r="AL25" s="2">
        <v>2480.1</v>
      </c>
      <c r="AM25" s="2">
        <v>6476.25</v>
      </c>
      <c r="AN25" s="2">
        <v>2275.7600000000002</v>
      </c>
      <c r="AO25" s="2">
        <v>2900.79</v>
      </c>
      <c r="AP25" s="2">
        <v>1932.35</v>
      </c>
      <c r="AQ25" s="2">
        <v>1899.99</v>
      </c>
      <c r="AR25" s="2">
        <v>1726.98</v>
      </c>
      <c r="AU25" s="1" t="s">
        <v>68</v>
      </c>
      <c r="AV25" s="2">
        <v>23387.05</v>
      </c>
      <c r="AW25" s="2">
        <v>12040.07</v>
      </c>
      <c r="AX25" s="2">
        <v>22340.66</v>
      </c>
      <c r="AY25" s="2">
        <v>9998.0400000000009</v>
      </c>
      <c r="AZ25" s="2">
        <v>16164.58</v>
      </c>
      <c r="BA25" s="2">
        <v>19661.59</v>
      </c>
      <c r="BB25" s="2">
        <v>23919.62</v>
      </c>
      <c r="BC25" s="2">
        <v>17703.32</v>
      </c>
      <c r="BD25" s="2">
        <v>22966.26</v>
      </c>
      <c r="BE25" s="2">
        <v>17260.7</v>
      </c>
      <c r="BF25" s="2">
        <v>23404.02</v>
      </c>
      <c r="BG25" s="2">
        <v>17297.46</v>
      </c>
      <c r="BH25" s="2">
        <v>21576.32</v>
      </c>
      <c r="BI25" s="2">
        <v>17512.560000000001</v>
      </c>
      <c r="BJ25" s="2">
        <v>20412.68</v>
      </c>
      <c r="BK25" s="2">
        <v>16966.63</v>
      </c>
      <c r="BL25" s="2">
        <v>18241.27</v>
      </c>
      <c r="BM25" s="2">
        <v>15093.03</v>
      </c>
      <c r="BN25" s="2">
        <v>14872.05</v>
      </c>
      <c r="BO25" s="2">
        <v>13406.41</v>
      </c>
      <c r="BR25" s="1" t="s">
        <v>68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69</v>
      </c>
      <c r="C26" s="2">
        <v>0.23</v>
      </c>
      <c r="D26" s="2">
        <v>0.16</v>
      </c>
      <c r="E26" s="2">
        <v>0.22</v>
      </c>
      <c r="F26" s="2">
        <v>0.15</v>
      </c>
      <c r="G26" s="2">
        <v>0.25</v>
      </c>
      <c r="H26" s="2">
        <v>0.23</v>
      </c>
      <c r="I26" s="2">
        <v>0.22</v>
      </c>
      <c r="J26" s="2">
        <v>0.15</v>
      </c>
      <c r="K26" s="2">
        <v>0.21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0.17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69</v>
      </c>
      <c r="Y26" s="2">
        <v>1615.11</v>
      </c>
      <c r="Z26" s="2">
        <v>596.5</v>
      </c>
      <c r="AA26" s="2">
        <v>1620.84</v>
      </c>
      <c r="AB26" s="2">
        <v>613.74</v>
      </c>
      <c r="AC26" s="2">
        <v>1394.57</v>
      </c>
      <c r="AD26" s="2">
        <v>1702.67</v>
      </c>
      <c r="AE26" s="2">
        <v>1562.79</v>
      </c>
      <c r="AF26" s="2">
        <v>856.93</v>
      </c>
      <c r="AG26" s="2">
        <v>1508.48</v>
      </c>
      <c r="AH26" s="2">
        <v>752.67</v>
      </c>
      <c r="AI26" s="2">
        <v>1506.95</v>
      </c>
      <c r="AJ26" s="2">
        <v>728.91</v>
      </c>
      <c r="AK26" s="2">
        <v>1500.51</v>
      </c>
      <c r="AL26" s="2">
        <v>734.79</v>
      </c>
      <c r="AM26" s="2">
        <v>1042.23</v>
      </c>
      <c r="AN26" s="2">
        <v>702.03</v>
      </c>
      <c r="AO26" s="2">
        <v>701.93</v>
      </c>
      <c r="AP26" s="2">
        <v>665.12</v>
      </c>
      <c r="AQ26" s="2">
        <v>655.72</v>
      </c>
      <c r="AR26" s="2">
        <v>626.66</v>
      </c>
      <c r="AU26" s="1" t="s">
        <v>69</v>
      </c>
      <c r="AV26" s="2">
        <v>6944.58</v>
      </c>
      <c r="AW26" s="2">
        <v>4247.45</v>
      </c>
      <c r="AX26" s="2">
        <v>6498.54</v>
      </c>
      <c r="AY26" s="2">
        <v>4152.96</v>
      </c>
      <c r="AZ26" s="2">
        <v>5544.11</v>
      </c>
      <c r="BA26" s="2">
        <v>7177.33</v>
      </c>
      <c r="BB26" s="2">
        <v>7233.06</v>
      </c>
      <c r="BC26" s="2">
        <v>6316.88</v>
      </c>
      <c r="BD26" s="2">
        <v>7371.52</v>
      </c>
      <c r="BE26" s="2">
        <v>6013.84</v>
      </c>
      <c r="BF26" s="2">
        <v>7373.05</v>
      </c>
      <c r="BG26" s="2">
        <v>5860.1</v>
      </c>
      <c r="BH26" s="2">
        <v>7379.49</v>
      </c>
      <c r="BI26" s="2">
        <v>5913.61</v>
      </c>
      <c r="BJ26" s="2">
        <v>6888.22</v>
      </c>
      <c r="BK26" s="2">
        <v>5602.77</v>
      </c>
      <c r="BL26" s="2">
        <v>5584.87</v>
      </c>
      <c r="BM26" s="2">
        <v>5238.2299999999996</v>
      </c>
      <c r="BN26" s="2">
        <v>5165.43</v>
      </c>
      <c r="BO26" s="2">
        <v>4903.07</v>
      </c>
      <c r="BR26" s="1" t="s">
        <v>69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70</v>
      </c>
      <c r="C27" s="2">
        <v>0.23</v>
      </c>
      <c r="D27" s="2">
        <v>0.19</v>
      </c>
      <c r="E27" s="2">
        <v>0.21</v>
      </c>
      <c r="F27" s="2">
        <v>0.15</v>
      </c>
      <c r="G27" s="2">
        <v>0.23</v>
      </c>
      <c r="H27" s="2">
        <v>0.23</v>
      </c>
      <c r="I27" s="2">
        <v>0.15</v>
      </c>
      <c r="J27" s="2">
        <v>0.19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0.14000000000000001</v>
      </c>
      <c r="Q27" s="2">
        <v>0.14000000000000001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70</v>
      </c>
      <c r="Y27" s="2">
        <v>5513.22</v>
      </c>
      <c r="Z27" s="2">
        <v>5610.36</v>
      </c>
      <c r="AA27" s="2">
        <v>6985.21</v>
      </c>
      <c r="AB27" s="2">
        <v>5525.81</v>
      </c>
      <c r="AC27" s="2">
        <v>5423.31</v>
      </c>
      <c r="AD27" s="2">
        <v>6005.45</v>
      </c>
      <c r="AE27" s="2">
        <v>4642.74</v>
      </c>
      <c r="AF27" s="2">
        <v>5745.36</v>
      </c>
      <c r="AG27" s="2">
        <v>5294.28</v>
      </c>
      <c r="AH27" s="2">
        <v>5683.97</v>
      </c>
      <c r="AI27" s="2">
        <v>4609.26</v>
      </c>
      <c r="AJ27" s="2">
        <v>4618.67</v>
      </c>
      <c r="AK27" s="2">
        <v>4205.7700000000004</v>
      </c>
      <c r="AL27" s="2">
        <v>4530.47</v>
      </c>
      <c r="AM27" s="2">
        <v>3824.61</v>
      </c>
      <c r="AN27" s="2">
        <v>3910.81</v>
      </c>
      <c r="AO27" s="2">
        <v>3512.32</v>
      </c>
      <c r="AP27" s="2">
        <v>3689.5</v>
      </c>
      <c r="AQ27" s="2">
        <v>3564.21</v>
      </c>
      <c r="AR27" s="2">
        <v>4019.78</v>
      </c>
      <c r="AU27" s="1" t="s">
        <v>70</v>
      </c>
      <c r="AV27" s="2">
        <v>23600.799999999999</v>
      </c>
      <c r="AW27" s="2">
        <v>30875.39</v>
      </c>
      <c r="AX27" s="2">
        <v>30425.29</v>
      </c>
      <c r="AY27" s="2">
        <v>35102.19</v>
      </c>
      <c r="AZ27" s="2">
        <v>22403.94</v>
      </c>
      <c r="BA27" s="2">
        <v>25106.97</v>
      </c>
      <c r="BB27" s="2">
        <v>31895.01</v>
      </c>
      <c r="BC27" s="2">
        <v>30014.14</v>
      </c>
      <c r="BD27" s="2">
        <v>34347.97</v>
      </c>
      <c r="BE27" s="2">
        <v>33998.03</v>
      </c>
      <c r="BF27" s="2">
        <v>33440.49</v>
      </c>
      <c r="BG27" s="2">
        <v>34362.83</v>
      </c>
      <c r="BH27" s="2">
        <v>31705.98</v>
      </c>
      <c r="BI27" s="2">
        <v>33679.03</v>
      </c>
      <c r="BJ27" s="2">
        <v>29113.39</v>
      </c>
      <c r="BK27" s="2">
        <v>29443.94</v>
      </c>
      <c r="BL27" s="2">
        <v>27119.18</v>
      </c>
      <c r="BM27" s="2">
        <v>27744.5</v>
      </c>
      <c r="BN27" s="2">
        <v>27813.29</v>
      </c>
      <c r="BO27" s="2">
        <v>30998.22</v>
      </c>
      <c r="BR27" s="1" t="s">
        <v>70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71</v>
      </c>
      <c r="C28" s="2">
        <v>0.17</v>
      </c>
      <c r="D28" s="2">
        <v>0.17</v>
      </c>
      <c r="E28" s="2">
        <v>0.22</v>
      </c>
      <c r="F28" s="2">
        <v>0.18</v>
      </c>
      <c r="G28" s="2">
        <v>0.26</v>
      </c>
      <c r="H28" s="2">
        <v>0.25</v>
      </c>
      <c r="I28" s="2">
        <v>0.18</v>
      </c>
      <c r="J28" s="2">
        <v>0.25</v>
      </c>
      <c r="K28" s="2">
        <v>0.17</v>
      </c>
      <c r="L28" s="2">
        <v>0.21</v>
      </c>
      <c r="M28" s="2">
        <v>0.17</v>
      </c>
      <c r="N28" s="2">
        <v>0.21</v>
      </c>
      <c r="O28" s="2">
        <v>0.17</v>
      </c>
      <c r="P28" s="2">
        <v>0.18</v>
      </c>
      <c r="Q28" s="2">
        <v>0.17</v>
      </c>
      <c r="R28" s="2">
        <v>0.18</v>
      </c>
      <c r="S28" s="2">
        <v>0.17</v>
      </c>
      <c r="T28" s="2">
        <v>0.17</v>
      </c>
      <c r="U28" s="2">
        <v>0.17</v>
      </c>
      <c r="V28" s="2">
        <v>0.17</v>
      </c>
      <c r="X28" s="1" t="s">
        <v>71</v>
      </c>
      <c r="Y28" s="2">
        <v>970.53</v>
      </c>
      <c r="Z28" s="2">
        <v>1013.37</v>
      </c>
      <c r="AA28" s="2">
        <v>1797.57</v>
      </c>
      <c r="AB28" s="2">
        <v>1472.13</v>
      </c>
      <c r="AC28" s="2">
        <v>1273.94</v>
      </c>
      <c r="AD28" s="2">
        <v>1420.54</v>
      </c>
      <c r="AE28" s="2">
        <v>1029.48</v>
      </c>
      <c r="AF28" s="2">
        <v>1180.54</v>
      </c>
      <c r="AG28" s="2">
        <v>966.13</v>
      </c>
      <c r="AH28" s="2">
        <v>1566.37</v>
      </c>
      <c r="AI28" s="2">
        <v>1015.72</v>
      </c>
      <c r="AJ28" s="2">
        <v>1602.48</v>
      </c>
      <c r="AK28" s="2">
        <v>1011.81</v>
      </c>
      <c r="AL28" s="2">
        <v>1343.33</v>
      </c>
      <c r="AM28" s="2">
        <v>992.4</v>
      </c>
      <c r="AN28" s="2">
        <v>1308.6199999999999</v>
      </c>
      <c r="AO28" s="2">
        <v>937.28</v>
      </c>
      <c r="AP28" s="2">
        <v>1174.47</v>
      </c>
      <c r="AQ28" s="2">
        <v>859.94</v>
      </c>
      <c r="AR28" s="2">
        <v>853.07</v>
      </c>
      <c r="AU28" s="1" t="s">
        <v>71</v>
      </c>
      <c r="AV28" s="2">
        <v>5936.28</v>
      </c>
      <c r="AW28" s="2">
        <v>6025.39</v>
      </c>
      <c r="AX28" s="2">
        <v>7068.16</v>
      </c>
      <c r="AY28" s="2">
        <v>7407.87</v>
      </c>
      <c r="AZ28" s="2">
        <v>4502.79</v>
      </c>
      <c r="BA28" s="2">
        <v>5135.4399999999996</v>
      </c>
      <c r="BB28" s="2">
        <v>5497.02</v>
      </c>
      <c r="BC28" s="2">
        <v>4389.38</v>
      </c>
      <c r="BD28" s="2">
        <v>5592.42</v>
      </c>
      <c r="BE28" s="2">
        <v>7092.62</v>
      </c>
      <c r="BF28" s="2">
        <v>6023.33</v>
      </c>
      <c r="BG28" s="2">
        <v>7277.52</v>
      </c>
      <c r="BH28" s="2">
        <v>5975.66</v>
      </c>
      <c r="BI28" s="2">
        <v>7033</v>
      </c>
      <c r="BJ28" s="2">
        <v>5934.58</v>
      </c>
      <c r="BK28" s="2">
        <v>7013.99</v>
      </c>
      <c r="BL28" s="2">
        <v>5714.29</v>
      </c>
      <c r="BM28" s="2">
        <v>6738.38</v>
      </c>
      <c r="BN28" s="2">
        <v>5311.95</v>
      </c>
      <c r="BO28" s="2">
        <v>4933.18</v>
      </c>
      <c r="BR28" s="1" t="s">
        <v>71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72</v>
      </c>
      <c r="C29" s="2">
        <v>0.24</v>
      </c>
      <c r="D29" s="2">
        <v>0.24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0.28000000000000003</v>
      </c>
      <c r="M29" s="2">
        <v>0.18</v>
      </c>
      <c r="N29" s="2">
        <v>0.27</v>
      </c>
      <c r="O29" s="2">
        <v>0.18</v>
      </c>
      <c r="P29" s="2">
        <v>0.26</v>
      </c>
      <c r="Q29" s="2">
        <v>0.2</v>
      </c>
      <c r="R29" s="2">
        <v>0.22</v>
      </c>
      <c r="S29" s="2">
        <v>0.17</v>
      </c>
      <c r="T29" s="2">
        <v>0.17</v>
      </c>
      <c r="U29" s="2">
        <v>0.17</v>
      </c>
      <c r="V29" s="2">
        <v>0.17</v>
      </c>
      <c r="X29" s="1" t="s">
        <v>72</v>
      </c>
      <c r="Y29" s="2">
        <v>5366.95</v>
      </c>
      <c r="Z29" s="2">
        <v>5604.12</v>
      </c>
      <c r="AA29" s="2">
        <v>4165.5600000000004</v>
      </c>
      <c r="AB29" s="2">
        <v>5717.04</v>
      </c>
      <c r="AC29" s="2">
        <v>4523.1400000000003</v>
      </c>
      <c r="AD29" s="2">
        <v>5400.87</v>
      </c>
      <c r="AE29" s="2">
        <v>4180.5200000000004</v>
      </c>
      <c r="AF29" s="2">
        <v>5925.15</v>
      </c>
      <c r="AG29" s="2">
        <v>3156.21</v>
      </c>
      <c r="AH29" s="2">
        <v>7302.17</v>
      </c>
      <c r="AI29" s="2">
        <v>3466.27</v>
      </c>
      <c r="AJ29" s="2">
        <v>7307.19</v>
      </c>
      <c r="AK29" s="2">
        <v>3491.49</v>
      </c>
      <c r="AL29" s="2">
        <v>6394.39</v>
      </c>
      <c r="AM29" s="2">
        <v>3865.41</v>
      </c>
      <c r="AN29" s="2">
        <v>4619.29</v>
      </c>
      <c r="AO29" s="2">
        <v>2887.46</v>
      </c>
      <c r="AP29" s="2">
        <v>3022.69</v>
      </c>
      <c r="AQ29" s="2">
        <v>2701.95</v>
      </c>
      <c r="AR29" s="2">
        <v>2693.02</v>
      </c>
      <c r="AU29" s="1" t="s">
        <v>72</v>
      </c>
      <c r="AV29" s="2">
        <v>20936.009999999998</v>
      </c>
      <c r="AW29" s="2">
        <v>22289.19</v>
      </c>
      <c r="AX29" s="2">
        <v>21428</v>
      </c>
      <c r="AY29" s="2">
        <v>23934</v>
      </c>
      <c r="AZ29" s="2">
        <v>13783.68</v>
      </c>
      <c r="BA29" s="2">
        <v>20550.52</v>
      </c>
      <c r="BB29" s="2">
        <v>18706.439999999999</v>
      </c>
      <c r="BC29" s="2">
        <v>15331.19</v>
      </c>
      <c r="BD29" s="2">
        <v>18225.89</v>
      </c>
      <c r="BE29" s="2">
        <v>23177.83</v>
      </c>
      <c r="BF29" s="2">
        <v>18755.509999999998</v>
      </c>
      <c r="BG29" s="2">
        <v>23172.81</v>
      </c>
      <c r="BH29" s="2">
        <v>18797.29</v>
      </c>
      <c r="BI29" s="2">
        <v>22285.759999999998</v>
      </c>
      <c r="BJ29" s="2">
        <v>19398.150000000001</v>
      </c>
      <c r="BK29" s="2">
        <v>20384.12</v>
      </c>
      <c r="BL29" s="2">
        <v>17658.54</v>
      </c>
      <c r="BM29" s="2">
        <v>18014.580000000002</v>
      </c>
      <c r="BN29" s="2">
        <v>16589.86</v>
      </c>
      <c r="BO29" s="2">
        <v>16291.41</v>
      </c>
      <c r="BR29" s="1" t="s">
        <v>72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73</v>
      </c>
      <c r="C30" s="2">
        <v>0.18</v>
      </c>
      <c r="D30" s="2">
        <v>0.17</v>
      </c>
      <c r="E30" s="2">
        <v>0.18</v>
      </c>
      <c r="F30" s="2">
        <v>0.18</v>
      </c>
      <c r="G30" s="2">
        <v>0.05</v>
      </c>
      <c r="H30" s="2">
        <v>0.18</v>
      </c>
      <c r="I30" s="2">
        <v>0.15</v>
      </c>
      <c r="J30" s="2">
        <v>0.19</v>
      </c>
      <c r="K30" s="2">
        <v>0.19</v>
      </c>
      <c r="L30" s="2">
        <v>0.18</v>
      </c>
      <c r="M30" s="2">
        <v>0.19</v>
      </c>
      <c r="N30" s="2">
        <v>0.18</v>
      </c>
      <c r="O30" s="2">
        <v>0.19</v>
      </c>
      <c r="P30" s="2">
        <v>0.17</v>
      </c>
      <c r="Q30" s="2">
        <v>0.2</v>
      </c>
      <c r="R30" s="2">
        <v>0.19</v>
      </c>
      <c r="S30" s="2">
        <v>0.2</v>
      </c>
      <c r="T30" s="2">
        <v>0.2</v>
      </c>
      <c r="U30" s="2">
        <v>0.17</v>
      </c>
      <c r="V30" s="2">
        <v>0.19</v>
      </c>
      <c r="X30" s="1" t="s">
        <v>73</v>
      </c>
      <c r="Y30" s="2">
        <v>1966.75</v>
      </c>
      <c r="Z30" s="2">
        <v>2464.7800000000002</v>
      </c>
      <c r="AA30" s="2">
        <v>2036.57</v>
      </c>
      <c r="AB30" s="2">
        <v>2163.42</v>
      </c>
      <c r="AC30" s="2">
        <v>450.18</v>
      </c>
      <c r="AD30" s="2">
        <v>2260.04</v>
      </c>
      <c r="AE30" s="2">
        <v>1223.7</v>
      </c>
      <c r="AF30" s="2">
        <v>2428.4699999999998</v>
      </c>
      <c r="AG30" s="2">
        <v>1731.13</v>
      </c>
      <c r="AH30" s="2">
        <v>2277.63</v>
      </c>
      <c r="AI30" s="2">
        <v>1744.2</v>
      </c>
      <c r="AJ30" s="2">
        <v>2334.56</v>
      </c>
      <c r="AK30" s="2">
        <v>1728.71</v>
      </c>
      <c r="AL30" s="2">
        <v>2116.17</v>
      </c>
      <c r="AM30" s="2">
        <v>1699.37</v>
      </c>
      <c r="AN30" s="2">
        <v>1779.58</v>
      </c>
      <c r="AO30" s="2">
        <v>1644.03</v>
      </c>
      <c r="AP30" s="2">
        <v>1639.13</v>
      </c>
      <c r="AQ30" s="2">
        <v>1449.13</v>
      </c>
      <c r="AR30" s="2">
        <v>1652.1</v>
      </c>
      <c r="AU30" s="1" t="s">
        <v>73</v>
      </c>
      <c r="AV30" s="2">
        <v>11921.45</v>
      </c>
      <c r="AW30" s="2">
        <v>14579.87</v>
      </c>
      <c r="AX30" s="2">
        <v>10185.58</v>
      </c>
      <c r="AY30" s="2">
        <v>10858.23</v>
      </c>
      <c r="AZ30" s="2">
        <v>8814.42</v>
      </c>
      <c r="BA30" s="2">
        <v>12050.41</v>
      </c>
      <c r="BB30" s="2">
        <v>9360</v>
      </c>
      <c r="BC30" s="2">
        <v>12184.39</v>
      </c>
      <c r="BD30" s="2">
        <v>9950.8700000000008</v>
      </c>
      <c r="BE30" s="2">
        <v>12589.5</v>
      </c>
      <c r="BF30" s="2">
        <v>9677.5499999999993</v>
      </c>
      <c r="BG30" s="2">
        <v>13003</v>
      </c>
      <c r="BH30" s="2">
        <v>9676.99</v>
      </c>
      <c r="BI30" s="2">
        <v>12512.28</v>
      </c>
      <c r="BJ30" s="2">
        <v>9199.33</v>
      </c>
      <c r="BK30" s="2">
        <v>9989.57</v>
      </c>
      <c r="BL30" s="2">
        <v>8571.1200000000008</v>
      </c>
      <c r="BM30" s="2">
        <v>8787.07</v>
      </c>
      <c r="BN30" s="2">
        <v>9244.3700000000008</v>
      </c>
      <c r="BO30" s="2">
        <v>9627.15</v>
      </c>
      <c r="BR30" s="1" t="s">
        <v>73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1189.21</v>
      </c>
      <c r="D37" s="2">
        <v>1136.97</v>
      </c>
      <c r="E37" s="2">
        <v>212.28</v>
      </c>
      <c r="F37" s="2">
        <v>195.38</v>
      </c>
      <c r="G37" s="2">
        <v>69.33</v>
      </c>
      <c r="H37" s="2">
        <v>116.95</v>
      </c>
      <c r="I37" s="2">
        <v>938.2</v>
      </c>
      <c r="J37" s="2">
        <v>509.04</v>
      </c>
      <c r="K37" s="2">
        <v>1686.54</v>
      </c>
      <c r="L37" s="2">
        <v>530.13</v>
      </c>
      <c r="M37" s="2">
        <v>3164</v>
      </c>
      <c r="N37" s="2">
        <v>649.17999999999995</v>
      </c>
      <c r="O37" s="2">
        <v>2369.4499999999998</v>
      </c>
      <c r="P37" s="2">
        <v>145.16</v>
      </c>
      <c r="Q37" s="2">
        <v>2633.4</v>
      </c>
      <c r="R37" s="2">
        <v>696.1</v>
      </c>
      <c r="S37" s="2">
        <v>160.31</v>
      </c>
      <c r="T37" s="2">
        <v>135.32</v>
      </c>
      <c r="U37" s="2">
        <v>374.76</v>
      </c>
      <c r="V37" s="2">
        <v>196.26</v>
      </c>
      <c r="X37" s="1" t="s">
        <v>66</v>
      </c>
      <c r="Y37" s="2">
        <v>499.7</v>
      </c>
      <c r="Z37" s="2">
        <v>475.6</v>
      </c>
      <c r="AA37" s="2">
        <v>106.62</v>
      </c>
      <c r="AB37" s="2">
        <v>97.17</v>
      </c>
      <c r="AC37" s="2">
        <v>84.45</v>
      </c>
      <c r="AD37" s="2">
        <v>140.80000000000001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93.74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66</v>
      </c>
      <c r="AV37" s="2">
        <v>2400</v>
      </c>
      <c r="AW37" s="2">
        <v>2400</v>
      </c>
      <c r="AX37" s="2">
        <v>2051.88</v>
      </c>
      <c r="AY37" s="2">
        <v>1921.13</v>
      </c>
      <c r="AZ37" s="2">
        <v>1946.05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2398.46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66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67</v>
      </c>
      <c r="C38" s="2">
        <v>1768.91</v>
      </c>
      <c r="D38" s="2">
        <v>656.06</v>
      </c>
      <c r="E38" s="2">
        <v>1420.27</v>
      </c>
      <c r="F38" s="2">
        <v>588.30999999999995</v>
      </c>
      <c r="G38" s="2">
        <v>352.3</v>
      </c>
      <c r="H38" s="2">
        <v>363.59</v>
      </c>
      <c r="I38" s="2">
        <v>2305.16</v>
      </c>
      <c r="J38" s="2">
        <v>1771.29</v>
      </c>
      <c r="K38" s="2">
        <v>2972.32</v>
      </c>
      <c r="L38" s="2">
        <v>1572.1</v>
      </c>
      <c r="M38" s="2">
        <v>6526.61</v>
      </c>
      <c r="N38" s="2">
        <v>2970.47</v>
      </c>
      <c r="O38" s="2">
        <v>3984.09</v>
      </c>
      <c r="P38" s="2">
        <v>2859.16</v>
      </c>
      <c r="Q38" s="2">
        <v>4778.09</v>
      </c>
      <c r="R38" s="2">
        <v>3301.55</v>
      </c>
      <c r="S38" s="2">
        <v>3941.62</v>
      </c>
      <c r="T38" s="2">
        <v>1941.92</v>
      </c>
      <c r="U38" s="2">
        <v>5161.93</v>
      </c>
      <c r="V38" s="2">
        <v>1894.34</v>
      </c>
      <c r="X38" s="1" t="s">
        <v>67</v>
      </c>
      <c r="Y38" s="2">
        <v>1021.32</v>
      </c>
      <c r="Z38" s="2">
        <v>621.34</v>
      </c>
      <c r="AA38" s="2">
        <v>1076.17</v>
      </c>
      <c r="AB38" s="2">
        <v>679.63</v>
      </c>
      <c r="AC38" s="2">
        <v>662.66</v>
      </c>
      <c r="AD38" s="2">
        <v>838.56</v>
      </c>
      <c r="AE38" s="2">
        <v>1170.01</v>
      </c>
      <c r="AF38" s="2">
        <v>732.04</v>
      </c>
      <c r="AG38" s="2">
        <v>1090.97</v>
      </c>
      <c r="AH38" s="2">
        <v>675.85</v>
      </c>
      <c r="AI38" s="2">
        <v>1050.58</v>
      </c>
      <c r="AJ38" s="2">
        <v>684.64</v>
      </c>
      <c r="AK38" s="2">
        <v>867.76</v>
      </c>
      <c r="AL38" s="2">
        <v>749.14</v>
      </c>
      <c r="AM38" s="2">
        <v>837.02</v>
      </c>
      <c r="AN38" s="2">
        <v>766.15</v>
      </c>
      <c r="AO38" s="2">
        <v>820.31</v>
      </c>
      <c r="AP38" s="2">
        <v>588.38</v>
      </c>
      <c r="AQ38" s="2">
        <v>975.77</v>
      </c>
      <c r="AR38" s="2">
        <v>591.66999999999996</v>
      </c>
      <c r="AU38" s="1" t="s">
        <v>67</v>
      </c>
      <c r="AV38" s="2">
        <v>7203.03</v>
      </c>
      <c r="AW38" s="2">
        <v>4707.91</v>
      </c>
      <c r="AX38" s="2">
        <v>6608.63</v>
      </c>
      <c r="AY38" s="2">
        <v>4402.57</v>
      </c>
      <c r="AZ38" s="2">
        <v>4309.29</v>
      </c>
      <c r="BA38" s="2">
        <v>5550.39</v>
      </c>
      <c r="BB38" s="2">
        <v>7431.69</v>
      </c>
      <c r="BC38" s="2">
        <v>5105.01</v>
      </c>
      <c r="BD38" s="2">
        <v>7501.33</v>
      </c>
      <c r="BE38" s="2">
        <v>5060.8999999999996</v>
      </c>
      <c r="BF38" s="2">
        <v>7300.77</v>
      </c>
      <c r="BG38" s="2">
        <v>5151.1099999999997</v>
      </c>
      <c r="BH38" s="2">
        <v>6118.34</v>
      </c>
      <c r="BI38" s="2">
        <v>5499.81</v>
      </c>
      <c r="BJ38" s="2">
        <v>5954.68</v>
      </c>
      <c r="BK38" s="2">
        <v>5526.9</v>
      </c>
      <c r="BL38" s="2">
        <v>5802.24</v>
      </c>
      <c r="BM38" s="2">
        <v>4423.37</v>
      </c>
      <c r="BN38" s="2">
        <v>7157.18</v>
      </c>
      <c r="BO38" s="2">
        <v>4552.18</v>
      </c>
      <c r="BR38" s="1" t="s">
        <v>67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68</v>
      </c>
      <c r="C39" s="2">
        <v>29575.35</v>
      </c>
      <c r="D39" s="2">
        <v>2107.92</v>
      </c>
      <c r="E39" s="2">
        <v>28397.97</v>
      </c>
      <c r="F39" s="2">
        <v>1505.07</v>
      </c>
      <c r="G39" s="2">
        <v>6411.34</v>
      </c>
      <c r="H39" s="2">
        <v>5553.88</v>
      </c>
      <c r="I39" s="2">
        <v>28504.54</v>
      </c>
      <c r="J39" s="2">
        <v>9639.7999999999993</v>
      </c>
      <c r="K39" s="2">
        <v>27191.360000000001</v>
      </c>
      <c r="L39" s="2">
        <v>9987.11</v>
      </c>
      <c r="M39" s="2">
        <v>52309.09</v>
      </c>
      <c r="N39" s="2">
        <v>18098.68</v>
      </c>
      <c r="O39" s="2">
        <v>40896.980000000003</v>
      </c>
      <c r="P39" s="2">
        <v>15186.4</v>
      </c>
      <c r="Q39" s="2">
        <v>51796.93</v>
      </c>
      <c r="R39" s="2">
        <v>17945.169999999998</v>
      </c>
      <c r="S39" s="2">
        <v>20276.29</v>
      </c>
      <c r="T39" s="2">
        <v>12003.22</v>
      </c>
      <c r="U39" s="2">
        <v>15199.65</v>
      </c>
      <c r="V39" s="2">
        <v>12096.51</v>
      </c>
      <c r="X39" s="1" t="s">
        <v>68</v>
      </c>
      <c r="Y39" s="2">
        <v>1846.58</v>
      </c>
      <c r="Z39" s="2">
        <v>515.49</v>
      </c>
      <c r="AA39" s="2">
        <v>1821.83</v>
      </c>
      <c r="AB39" s="2">
        <v>510.07</v>
      </c>
      <c r="AC39" s="2">
        <v>2025.99</v>
      </c>
      <c r="AD39" s="2">
        <v>1793.98</v>
      </c>
      <c r="AE39" s="2">
        <v>1474.11</v>
      </c>
      <c r="AF39" s="2">
        <v>963.89</v>
      </c>
      <c r="AG39" s="2">
        <v>2207.13</v>
      </c>
      <c r="AH39" s="2">
        <v>793.89</v>
      </c>
      <c r="AI39" s="2">
        <v>2358.66</v>
      </c>
      <c r="AJ39" s="2">
        <v>793.76</v>
      </c>
      <c r="AK39" s="2">
        <v>2234.48</v>
      </c>
      <c r="AL39" s="2">
        <v>826.7</v>
      </c>
      <c r="AM39" s="2">
        <v>2158.75</v>
      </c>
      <c r="AN39" s="2">
        <v>758.59</v>
      </c>
      <c r="AO39" s="2">
        <v>966.93</v>
      </c>
      <c r="AP39" s="2">
        <v>644.12</v>
      </c>
      <c r="AQ39" s="2">
        <v>633.33000000000004</v>
      </c>
      <c r="AR39" s="2">
        <v>575.66</v>
      </c>
      <c r="AU39" s="1" t="s">
        <v>68</v>
      </c>
      <c r="AV39" s="2">
        <v>7795.68</v>
      </c>
      <c r="AW39" s="2">
        <v>4013.36</v>
      </c>
      <c r="AX39" s="2">
        <v>7446.89</v>
      </c>
      <c r="AY39" s="2">
        <v>3332.68</v>
      </c>
      <c r="AZ39" s="2">
        <v>5388.19</v>
      </c>
      <c r="BA39" s="2">
        <v>6553.86</v>
      </c>
      <c r="BB39" s="2">
        <v>7973.21</v>
      </c>
      <c r="BC39" s="2">
        <v>5901.11</v>
      </c>
      <c r="BD39" s="2">
        <v>7655.42</v>
      </c>
      <c r="BE39" s="2">
        <v>5753.57</v>
      </c>
      <c r="BF39" s="2">
        <v>7801.34</v>
      </c>
      <c r="BG39" s="2">
        <v>5765.82</v>
      </c>
      <c r="BH39" s="2">
        <v>7192.11</v>
      </c>
      <c r="BI39" s="2">
        <v>5837.52</v>
      </c>
      <c r="BJ39" s="2">
        <v>6804.23</v>
      </c>
      <c r="BK39" s="2">
        <v>5655.54</v>
      </c>
      <c r="BL39" s="2">
        <v>6080.42</v>
      </c>
      <c r="BM39" s="2">
        <v>5031.01</v>
      </c>
      <c r="BN39" s="2">
        <v>4957.3500000000004</v>
      </c>
      <c r="BO39" s="2">
        <v>4468.8</v>
      </c>
      <c r="BR39" s="1" t="s">
        <v>68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69</v>
      </c>
      <c r="C40" s="2">
        <v>4496.4399999999996</v>
      </c>
      <c r="D40" s="2">
        <v>811.54</v>
      </c>
      <c r="E40" s="2">
        <v>4137.8900000000003</v>
      </c>
      <c r="F40" s="2">
        <v>530.21</v>
      </c>
      <c r="G40" s="2">
        <v>1483.9</v>
      </c>
      <c r="H40" s="2">
        <v>1774.86</v>
      </c>
      <c r="I40" s="2">
        <v>5227.8</v>
      </c>
      <c r="J40" s="2">
        <v>2737.49</v>
      </c>
      <c r="K40" s="2">
        <v>6342.1</v>
      </c>
      <c r="L40" s="2">
        <v>2577</v>
      </c>
      <c r="M40" s="2">
        <v>11422.15</v>
      </c>
      <c r="N40" s="2">
        <v>4286.6000000000004</v>
      </c>
      <c r="O40" s="2">
        <v>9271.09</v>
      </c>
      <c r="P40" s="2">
        <v>3546.51</v>
      </c>
      <c r="Q40" s="2">
        <v>8380.75</v>
      </c>
      <c r="R40" s="2">
        <v>3963.7</v>
      </c>
      <c r="S40" s="2">
        <v>3496.37</v>
      </c>
      <c r="T40" s="2">
        <v>2980.19</v>
      </c>
      <c r="U40" s="2">
        <v>3788.02</v>
      </c>
      <c r="V40" s="2">
        <v>3329.3</v>
      </c>
      <c r="X40" s="1" t="s">
        <v>69</v>
      </c>
      <c r="Y40" s="2">
        <v>1615.11</v>
      </c>
      <c r="Z40" s="2">
        <v>596.5</v>
      </c>
      <c r="AA40" s="2">
        <v>1620.84</v>
      </c>
      <c r="AB40" s="2">
        <v>613.74</v>
      </c>
      <c r="AC40" s="2">
        <v>1394.57</v>
      </c>
      <c r="AD40" s="2">
        <v>1702.67</v>
      </c>
      <c r="AE40" s="2">
        <v>1562.79</v>
      </c>
      <c r="AF40" s="2">
        <v>856.93</v>
      </c>
      <c r="AG40" s="2">
        <v>1508.48</v>
      </c>
      <c r="AH40" s="2">
        <v>752.67</v>
      </c>
      <c r="AI40" s="2">
        <v>1506.95</v>
      </c>
      <c r="AJ40" s="2">
        <v>728.91</v>
      </c>
      <c r="AK40" s="2">
        <v>1500.51</v>
      </c>
      <c r="AL40" s="2">
        <v>734.79</v>
      </c>
      <c r="AM40" s="2">
        <v>1042.23</v>
      </c>
      <c r="AN40" s="2">
        <v>702.03</v>
      </c>
      <c r="AO40" s="2">
        <v>701.93</v>
      </c>
      <c r="AP40" s="2">
        <v>665.12</v>
      </c>
      <c r="AQ40" s="2">
        <v>655.72</v>
      </c>
      <c r="AR40" s="2">
        <v>626.66</v>
      </c>
      <c r="AU40" s="1" t="s">
        <v>69</v>
      </c>
      <c r="AV40" s="2">
        <v>6944.58</v>
      </c>
      <c r="AW40" s="2">
        <v>4247.45</v>
      </c>
      <c r="AX40" s="2">
        <v>6498.54</v>
      </c>
      <c r="AY40" s="2">
        <v>4152.96</v>
      </c>
      <c r="AZ40" s="2">
        <v>5544.11</v>
      </c>
      <c r="BA40" s="2">
        <v>7177.33</v>
      </c>
      <c r="BB40" s="2">
        <v>7233.06</v>
      </c>
      <c r="BC40" s="2">
        <v>6316.88</v>
      </c>
      <c r="BD40" s="2">
        <v>7371.52</v>
      </c>
      <c r="BE40" s="2">
        <v>6013.84</v>
      </c>
      <c r="BF40" s="2">
        <v>7373.05</v>
      </c>
      <c r="BG40" s="2">
        <v>5860.1</v>
      </c>
      <c r="BH40" s="2">
        <v>7379.49</v>
      </c>
      <c r="BI40" s="2">
        <v>5913.61</v>
      </c>
      <c r="BJ40" s="2">
        <v>6888.22</v>
      </c>
      <c r="BK40" s="2">
        <v>5602.77</v>
      </c>
      <c r="BL40" s="2">
        <v>5584.87</v>
      </c>
      <c r="BM40" s="2">
        <v>5238.2299999999996</v>
      </c>
      <c r="BN40" s="2">
        <v>5165.43</v>
      </c>
      <c r="BO40" s="2">
        <v>4903.07</v>
      </c>
      <c r="BR40" s="1" t="s">
        <v>69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70</v>
      </c>
      <c r="C41" s="2">
        <v>15023.31</v>
      </c>
      <c r="D41" s="2">
        <v>15147.15</v>
      </c>
      <c r="E41" s="2">
        <v>17630.54</v>
      </c>
      <c r="F41" s="2">
        <v>8425.67</v>
      </c>
      <c r="G41" s="2">
        <v>5580.19</v>
      </c>
      <c r="H41" s="2">
        <v>6097.01</v>
      </c>
      <c r="I41" s="2">
        <v>9131.15</v>
      </c>
      <c r="J41" s="2">
        <v>18862.47</v>
      </c>
      <c r="K41" s="2">
        <v>21575.51</v>
      </c>
      <c r="L41" s="2">
        <v>23188.34</v>
      </c>
      <c r="M41" s="2">
        <v>33746.269999999997</v>
      </c>
      <c r="N41" s="2">
        <v>31263.5</v>
      </c>
      <c r="O41" s="2">
        <v>22253.16</v>
      </c>
      <c r="P41" s="2">
        <v>22391.06</v>
      </c>
      <c r="Q41" s="2">
        <v>22122.59</v>
      </c>
      <c r="R41" s="2">
        <v>22925.07</v>
      </c>
      <c r="S41" s="2">
        <v>16801.52</v>
      </c>
      <c r="T41" s="2">
        <v>15541.14</v>
      </c>
      <c r="U41" s="2">
        <v>21697.09</v>
      </c>
      <c r="V41" s="2">
        <v>17644.66</v>
      </c>
      <c r="X41" s="1" t="s">
        <v>70</v>
      </c>
      <c r="Y41" s="2">
        <v>1102.6400000000001</v>
      </c>
      <c r="Z41" s="2">
        <v>1122.07</v>
      </c>
      <c r="AA41" s="2">
        <v>1397.04</v>
      </c>
      <c r="AB41" s="2">
        <v>1105.1600000000001</v>
      </c>
      <c r="AC41" s="2">
        <v>1084.6600000000001</v>
      </c>
      <c r="AD41" s="2">
        <v>1201.0899999999999</v>
      </c>
      <c r="AE41" s="2">
        <v>928.55</v>
      </c>
      <c r="AF41" s="2">
        <v>1149.07</v>
      </c>
      <c r="AG41" s="2">
        <v>1058.8599999999999</v>
      </c>
      <c r="AH41" s="2">
        <v>1136.79</v>
      </c>
      <c r="AI41" s="2">
        <v>921.85</v>
      </c>
      <c r="AJ41" s="2">
        <v>923.73</v>
      </c>
      <c r="AK41" s="2">
        <v>841.15</v>
      </c>
      <c r="AL41" s="2">
        <v>906.09</v>
      </c>
      <c r="AM41" s="2">
        <v>764.92</v>
      </c>
      <c r="AN41" s="2">
        <v>782.16</v>
      </c>
      <c r="AO41" s="2">
        <v>702.46</v>
      </c>
      <c r="AP41" s="2">
        <v>737.9</v>
      </c>
      <c r="AQ41" s="2">
        <v>712.84</v>
      </c>
      <c r="AR41" s="2">
        <v>803.96</v>
      </c>
      <c r="AU41" s="1" t="s">
        <v>70</v>
      </c>
      <c r="AV41" s="2">
        <v>4720.16</v>
      </c>
      <c r="AW41" s="2">
        <v>6175.08</v>
      </c>
      <c r="AX41" s="2">
        <v>6085.06</v>
      </c>
      <c r="AY41" s="2">
        <v>7020.44</v>
      </c>
      <c r="AZ41" s="2">
        <v>4480.79</v>
      </c>
      <c r="BA41" s="2">
        <v>5021.3900000000003</v>
      </c>
      <c r="BB41" s="2">
        <v>6379</v>
      </c>
      <c r="BC41" s="2">
        <v>6002.83</v>
      </c>
      <c r="BD41" s="2">
        <v>6869.59</v>
      </c>
      <c r="BE41" s="2">
        <v>6799.61</v>
      </c>
      <c r="BF41" s="2">
        <v>6688.1</v>
      </c>
      <c r="BG41" s="2">
        <v>6872.57</v>
      </c>
      <c r="BH41" s="2">
        <v>6341.2</v>
      </c>
      <c r="BI41" s="2">
        <v>6735.81</v>
      </c>
      <c r="BJ41" s="2">
        <v>5822.68</v>
      </c>
      <c r="BK41" s="2">
        <v>5888.79</v>
      </c>
      <c r="BL41" s="2">
        <v>5423.84</v>
      </c>
      <c r="BM41" s="2">
        <v>5548.9</v>
      </c>
      <c r="BN41" s="2">
        <v>5562.66</v>
      </c>
      <c r="BO41" s="2">
        <v>6199.64</v>
      </c>
      <c r="BR41" s="1" t="s">
        <v>70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71</v>
      </c>
      <c r="C42" s="2">
        <v>4504.42</v>
      </c>
      <c r="D42" s="2">
        <v>4540.8500000000004</v>
      </c>
      <c r="E42" s="2">
        <v>4424.33</v>
      </c>
      <c r="F42" s="2">
        <v>5196.37</v>
      </c>
      <c r="G42" s="2">
        <v>1270.7</v>
      </c>
      <c r="H42" s="2">
        <v>1387.13</v>
      </c>
      <c r="I42" s="2">
        <v>1930.39</v>
      </c>
      <c r="J42" s="2">
        <v>3720.89</v>
      </c>
      <c r="K42" s="2">
        <v>2235.54</v>
      </c>
      <c r="L42" s="2">
        <v>6126.12</v>
      </c>
      <c r="M42" s="2">
        <v>5063.25</v>
      </c>
      <c r="N42" s="2">
        <v>11149.63</v>
      </c>
      <c r="O42" s="2">
        <v>3979.18</v>
      </c>
      <c r="P42" s="2">
        <v>7470.55</v>
      </c>
      <c r="Q42" s="2">
        <v>5082.4399999999996</v>
      </c>
      <c r="R42" s="2">
        <v>9641.33</v>
      </c>
      <c r="S42" s="2">
        <v>4034.47</v>
      </c>
      <c r="T42" s="2">
        <v>7180.35</v>
      </c>
      <c r="U42" s="2">
        <v>4318.05</v>
      </c>
      <c r="V42" s="2">
        <v>3550.03</v>
      </c>
      <c r="X42" s="1" t="s">
        <v>71</v>
      </c>
      <c r="Y42" s="2">
        <v>970.53</v>
      </c>
      <c r="Z42" s="2">
        <v>1013.37</v>
      </c>
      <c r="AA42" s="2">
        <v>1797.57</v>
      </c>
      <c r="AB42" s="2">
        <v>1472.13</v>
      </c>
      <c r="AC42" s="2">
        <v>1273.94</v>
      </c>
      <c r="AD42" s="2">
        <v>1420.54</v>
      </c>
      <c r="AE42" s="2">
        <v>1029.48</v>
      </c>
      <c r="AF42" s="2">
        <v>1180.54</v>
      </c>
      <c r="AG42" s="2">
        <v>966.13</v>
      </c>
      <c r="AH42" s="2">
        <v>1566.37</v>
      </c>
      <c r="AI42" s="2">
        <v>1015.72</v>
      </c>
      <c r="AJ42" s="2">
        <v>1602.48</v>
      </c>
      <c r="AK42" s="2">
        <v>1011.81</v>
      </c>
      <c r="AL42" s="2">
        <v>1343.33</v>
      </c>
      <c r="AM42" s="2">
        <v>992.4</v>
      </c>
      <c r="AN42" s="2">
        <v>1308.6199999999999</v>
      </c>
      <c r="AO42" s="2">
        <v>937.28</v>
      </c>
      <c r="AP42" s="2">
        <v>1174.47</v>
      </c>
      <c r="AQ42" s="2">
        <v>859.94</v>
      </c>
      <c r="AR42" s="2">
        <v>853.07</v>
      </c>
      <c r="AU42" s="1" t="s">
        <v>71</v>
      </c>
      <c r="AV42" s="2">
        <v>5936.28</v>
      </c>
      <c r="AW42" s="2">
        <v>6025.39</v>
      </c>
      <c r="AX42" s="2">
        <v>7068.16</v>
      </c>
      <c r="AY42" s="2">
        <v>7407.87</v>
      </c>
      <c r="AZ42" s="2">
        <v>4502.79</v>
      </c>
      <c r="BA42" s="2">
        <v>5135.4399999999996</v>
      </c>
      <c r="BB42" s="2">
        <v>5497.02</v>
      </c>
      <c r="BC42" s="2">
        <v>4389.38</v>
      </c>
      <c r="BD42" s="2">
        <v>5592.42</v>
      </c>
      <c r="BE42" s="2">
        <v>7092.62</v>
      </c>
      <c r="BF42" s="2">
        <v>6023.33</v>
      </c>
      <c r="BG42" s="2">
        <v>7277.52</v>
      </c>
      <c r="BH42" s="2">
        <v>5975.66</v>
      </c>
      <c r="BI42" s="2">
        <v>7033</v>
      </c>
      <c r="BJ42" s="2">
        <v>5934.58</v>
      </c>
      <c r="BK42" s="2">
        <v>7013.99</v>
      </c>
      <c r="BL42" s="2">
        <v>5714.29</v>
      </c>
      <c r="BM42" s="2">
        <v>6738.38</v>
      </c>
      <c r="BN42" s="2">
        <v>5311.95</v>
      </c>
      <c r="BO42" s="2">
        <v>4933.18</v>
      </c>
      <c r="BR42" s="1" t="s">
        <v>71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72</v>
      </c>
      <c r="C43" s="2">
        <v>27601.58</v>
      </c>
      <c r="D43" s="2">
        <v>29014.75</v>
      </c>
      <c r="E43" s="2">
        <v>18102.84</v>
      </c>
      <c r="F43" s="2">
        <v>27873.67</v>
      </c>
      <c r="G43" s="2">
        <v>4460.29</v>
      </c>
      <c r="H43" s="2">
        <v>10577.82</v>
      </c>
      <c r="I43" s="2">
        <v>12996.93</v>
      </c>
      <c r="J43" s="2">
        <v>18900.21</v>
      </c>
      <c r="K43" s="2">
        <v>12273.94</v>
      </c>
      <c r="L43" s="2">
        <v>28786.77</v>
      </c>
      <c r="M43" s="2">
        <v>24321.02</v>
      </c>
      <c r="N43" s="2">
        <v>51573.5</v>
      </c>
      <c r="O43" s="2">
        <v>19750.740000000002</v>
      </c>
      <c r="P43" s="2">
        <v>36291.65</v>
      </c>
      <c r="Q43" s="2">
        <v>28923.37</v>
      </c>
      <c r="R43" s="2">
        <v>34477.440000000002</v>
      </c>
      <c r="S43" s="2">
        <v>18971.990000000002</v>
      </c>
      <c r="T43" s="2">
        <v>20063.759999999998</v>
      </c>
      <c r="U43" s="2">
        <v>21201.200000000001</v>
      </c>
      <c r="V43" s="2">
        <v>20186.11</v>
      </c>
      <c r="X43" s="1" t="s">
        <v>72</v>
      </c>
      <c r="Y43" s="2">
        <v>1788.98</v>
      </c>
      <c r="Z43" s="2">
        <v>1868.04</v>
      </c>
      <c r="AA43" s="2">
        <v>1388.52</v>
      </c>
      <c r="AB43" s="2">
        <v>1905.68</v>
      </c>
      <c r="AC43" s="2">
        <v>1507.71</v>
      </c>
      <c r="AD43" s="2">
        <v>1800.29</v>
      </c>
      <c r="AE43" s="2">
        <v>1393.51</v>
      </c>
      <c r="AF43" s="2">
        <v>1975.05</v>
      </c>
      <c r="AG43" s="2">
        <v>1052.07</v>
      </c>
      <c r="AH43" s="2">
        <v>2434.06</v>
      </c>
      <c r="AI43" s="2">
        <v>1155.42</v>
      </c>
      <c r="AJ43" s="2">
        <v>2435.73</v>
      </c>
      <c r="AK43" s="2">
        <v>1163.83</v>
      </c>
      <c r="AL43" s="2">
        <v>2131.46</v>
      </c>
      <c r="AM43" s="2">
        <v>1288.47</v>
      </c>
      <c r="AN43" s="2">
        <v>1539.76</v>
      </c>
      <c r="AO43" s="2">
        <v>962.49</v>
      </c>
      <c r="AP43" s="2">
        <v>1007.56</v>
      </c>
      <c r="AQ43" s="2">
        <v>900.65</v>
      </c>
      <c r="AR43" s="2">
        <v>897.67</v>
      </c>
      <c r="AU43" s="1" t="s">
        <v>72</v>
      </c>
      <c r="AV43" s="2">
        <v>6978.67</v>
      </c>
      <c r="AW43" s="2">
        <v>7429.73</v>
      </c>
      <c r="AX43" s="2">
        <v>7142.67</v>
      </c>
      <c r="AY43" s="2">
        <v>7978</v>
      </c>
      <c r="AZ43" s="2">
        <v>4594.5600000000004</v>
      </c>
      <c r="BA43" s="2">
        <v>6850.17</v>
      </c>
      <c r="BB43" s="2">
        <v>6235.48</v>
      </c>
      <c r="BC43" s="2">
        <v>5110.3999999999996</v>
      </c>
      <c r="BD43" s="2">
        <v>6075.3</v>
      </c>
      <c r="BE43" s="2">
        <v>7725.94</v>
      </c>
      <c r="BF43" s="2">
        <v>6251.84</v>
      </c>
      <c r="BG43" s="2">
        <v>7724.27</v>
      </c>
      <c r="BH43" s="2">
        <v>6265.76</v>
      </c>
      <c r="BI43" s="2">
        <v>7428.59</v>
      </c>
      <c r="BJ43" s="2">
        <v>6466.05</v>
      </c>
      <c r="BK43" s="2">
        <v>6794.71</v>
      </c>
      <c r="BL43" s="2">
        <v>5886.18</v>
      </c>
      <c r="BM43" s="2">
        <v>6004.86</v>
      </c>
      <c r="BN43" s="2">
        <v>5529.95</v>
      </c>
      <c r="BO43" s="2">
        <v>5430.47</v>
      </c>
      <c r="BR43" s="1" t="s">
        <v>72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73</v>
      </c>
      <c r="C44" s="2">
        <v>2898.95</v>
      </c>
      <c r="D44" s="2">
        <v>4835.87</v>
      </c>
      <c r="E44" s="2">
        <v>1083.1400000000001</v>
      </c>
      <c r="F44" s="2">
        <v>1213.5</v>
      </c>
      <c r="G44" s="2">
        <v>59.33</v>
      </c>
      <c r="H44" s="2">
        <v>574.01</v>
      </c>
      <c r="I44" s="2">
        <v>1108.2</v>
      </c>
      <c r="J44" s="2">
        <v>7532.33</v>
      </c>
      <c r="K44" s="2">
        <v>3788.52</v>
      </c>
      <c r="L44" s="2">
        <v>8817.36</v>
      </c>
      <c r="M44" s="2">
        <v>9796.15</v>
      </c>
      <c r="N44" s="2">
        <v>16287.84</v>
      </c>
      <c r="O44" s="2">
        <v>8746.93</v>
      </c>
      <c r="P44" s="2">
        <v>10792.4</v>
      </c>
      <c r="Q44" s="2">
        <v>9687.43</v>
      </c>
      <c r="R44" s="2">
        <v>9391.81</v>
      </c>
      <c r="S44" s="2">
        <v>7485.98</v>
      </c>
      <c r="T44" s="2">
        <v>6120.68</v>
      </c>
      <c r="U44" s="2">
        <v>8553.7000000000007</v>
      </c>
      <c r="V44" s="2">
        <v>7075.67</v>
      </c>
      <c r="X44" s="1" t="s">
        <v>73</v>
      </c>
      <c r="Y44" s="2">
        <v>655.58</v>
      </c>
      <c r="Z44" s="2">
        <v>821.59</v>
      </c>
      <c r="AA44" s="2">
        <v>678.86</v>
      </c>
      <c r="AB44" s="2">
        <v>721.14</v>
      </c>
      <c r="AC44" s="2">
        <v>150.06</v>
      </c>
      <c r="AD44" s="2">
        <v>753.35</v>
      </c>
      <c r="AE44" s="2">
        <v>407.9</v>
      </c>
      <c r="AF44" s="2">
        <v>809.49</v>
      </c>
      <c r="AG44" s="2">
        <v>577.04</v>
      </c>
      <c r="AH44" s="2">
        <v>759.21</v>
      </c>
      <c r="AI44" s="2">
        <v>581.4</v>
      </c>
      <c r="AJ44" s="2">
        <v>778.19</v>
      </c>
      <c r="AK44" s="2">
        <v>576.24</v>
      </c>
      <c r="AL44" s="2">
        <v>705.39</v>
      </c>
      <c r="AM44" s="2">
        <v>566.46</v>
      </c>
      <c r="AN44" s="2">
        <v>593.19000000000005</v>
      </c>
      <c r="AO44" s="2">
        <v>548.01</v>
      </c>
      <c r="AP44" s="2">
        <v>546.38</v>
      </c>
      <c r="AQ44" s="2">
        <v>483.04</v>
      </c>
      <c r="AR44" s="2">
        <v>550.70000000000005</v>
      </c>
      <c r="AU44" s="1" t="s">
        <v>73</v>
      </c>
      <c r="AV44" s="2">
        <v>3973.82</v>
      </c>
      <c r="AW44" s="2">
        <v>4859.96</v>
      </c>
      <c r="AX44" s="2">
        <v>3395.19</v>
      </c>
      <c r="AY44" s="2">
        <v>3619.41</v>
      </c>
      <c r="AZ44" s="2">
        <v>2938.14</v>
      </c>
      <c r="BA44" s="2">
        <v>4016.8</v>
      </c>
      <c r="BB44" s="2">
        <v>3120</v>
      </c>
      <c r="BC44" s="2">
        <v>4061.46</v>
      </c>
      <c r="BD44" s="2">
        <v>3316.96</v>
      </c>
      <c r="BE44" s="2">
        <v>4196.5</v>
      </c>
      <c r="BF44" s="2">
        <v>3225.85</v>
      </c>
      <c r="BG44" s="2">
        <v>4334.33</v>
      </c>
      <c r="BH44" s="2">
        <v>3225.66</v>
      </c>
      <c r="BI44" s="2">
        <v>4170.76</v>
      </c>
      <c r="BJ44" s="2">
        <v>3066.44</v>
      </c>
      <c r="BK44" s="2">
        <v>3329.86</v>
      </c>
      <c r="BL44" s="2">
        <v>2857.04</v>
      </c>
      <c r="BM44" s="2">
        <v>2929.02</v>
      </c>
      <c r="BN44" s="2">
        <v>3081.46</v>
      </c>
      <c r="BO44" s="2">
        <v>3209.05</v>
      </c>
      <c r="BR44" s="1" t="s">
        <v>73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1613558.0299999998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688.84</v>
      </c>
      <c r="D51" s="2">
        <v>642.87</v>
      </c>
      <c r="E51" s="2">
        <v>177.84</v>
      </c>
      <c r="F51" s="2">
        <v>160.41999999999999</v>
      </c>
      <c r="G51" s="2">
        <v>50.46</v>
      </c>
      <c r="H51" s="2">
        <v>83.25</v>
      </c>
      <c r="I51" s="2">
        <v>525.48</v>
      </c>
      <c r="J51" s="2">
        <v>249.48</v>
      </c>
      <c r="K51" s="2">
        <v>1053.9000000000001</v>
      </c>
      <c r="L51" s="2">
        <v>246.24</v>
      </c>
      <c r="M51" s="2">
        <v>1920.15</v>
      </c>
      <c r="N51" s="2">
        <v>331.91</v>
      </c>
      <c r="O51" s="2">
        <v>1401.62</v>
      </c>
      <c r="P51" s="2">
        <v>57.82</v>
      </c>
      <c r="Q51" s="2">
        <v>1095.23</v>
      </c>
      <c r="R51" s="2">
        <v>298.08</v>
      </c>
      <c r="S51" s="2">
        <v>72.78</v>
      </c>
      <c r="T51" s="2">
        <v>44.99</v>
      </c>
      <c r="U51" s="2">
        <v>153.63</v>
      </c>
      <c r="V51" s="2">
        <v>58.5</v>
      </c>
      <c r="X51" s="1" t="s">
        <v>66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1473.46</v>
      </c>
      <c r="D52" s="2">
        <v>498.3</v>
      </c>
      <c r="E52" s="2">
        <v>1286.6199999999999</v>
      </c>
      <c r="F52" s="2">
        <v>495.28</v>
      </c>
      <c r="G52" s="2">
        <v>296.64</v>
      </c>
      <c r="H52" s="2">
        <v>296.95999999999998</v>
      </c>
      <c r="I52" s="2">
        <v>2029.61</v>
      </c>
      <c r="J52" s="2">
        <v>1356.07</v>
      </c>
      <c r="K52" s="2">
        <v>2592.4699999999998</v>
      </c>
      <c r="L52" s="2">
        <v>1213.99</v>
      </c>
      <c r="M52" s="2">
        <v>5696.67</v>
      </c>
      <c r="N52" s="2">
        <v>2274.86</v>
      </c>
      <c r="O52" s="2">
        <v>3336.48</v>
      </c>
      <c r="P52" s="2">
        <v>2279.9699999999998</v>
      </c>
      <c r="Q52" s="2">
        <v>3964.51</v>
      </c>
      <c r="R52" s="2">
        <v>2689.91</v>
      </c>
      <c r="S52" s="2">
        <v>3308.8</v>
      </c>
      <c r="T52" s="2">
        <v>1479.13</v>
      </c>
      <c r="U52" s="2">
        <v>4198.28</v>
      </c>
      <c r="V52" s="2">
        <v>1405.84</v>
      </c>
      <c r="X52" s="1" t="s">
        <v>67</v>
      </c>
      <c r="Y52" s="2">
        <v>0.28000000000000003</v>
      </c>
      <c r="Z52" s="2">
        <v>0.17</v>
      </c>
      <c r="AA52" s="2">
        <v>0.3</v>
      </c>
      <c r="AB52" s="2">
        <v>0.19</v>
      </c>
      <c r="AC52" s="2">
        <v>0.18</v>
      </c>
      <c r="AD52" s="2">
        <v>0.23</v>
      </c>
      <c r="AE52" s="2">
        <v>0.33</v>
      </c>
      <c r="AF52" s="2">
        <v>0.2</v>
      </c>
      <c r="AG52" s="2">
        <v>0.3</v>
      </c>
      <c r="AH52" s="2">
        <v>0.19</v>
      </c>
      <c r="AI52" s="2">
        <v>0.28999999999999998</v>
      </c>
      <c r="AJ52" s="2">
        <v>0.19</v>
      </c>
      <c r="AK52" s="2">
        <v>0.24</v>
      </c>
      <c r="AL52" s="2">
        <v>0.21</v>
      </c>
      <c r="AM52" s="2">
        <v>0.23</v>
      </c>
      <c r="AN52" s="2">
        <v>0.21</v>
      </c>
      <c r="AO52" s="2">
        <v>0.23</v>
      </c>
      <c r="AP52" s="2">
        <v>0.16</v>
      </c>
      <c r="AQ52" s="2">
        <v>0.27</v>
      </c>
      <c r="AR52" s="2">
        <v>0.16</v>
      </c>
      <c r="AU52" s="1" t="s">
        <v>67</v>
      </c>
      <c r="AV52" s="2">
        <v>0.69</v>
      </c>
      <c r="AW52" s="2">
        <v>0.45</v>
      </c>
      <c r="AX52" s="2">
        <v>0.64</v>
      </c>
      <c r="AY52" s="2">
        <v>0.42</v>
      </c>
      <c r="AZ52" s="2">
        <v>0.56999999999999995</v>
      </c>
      <c r="BA52" s="2">
        <v>0.53</v>
      </c>
      <c r="BB52" s="2">
        <v>0.71</v>
      </c>
      <c r="BC52" s="2">
        <v>0.7</v>
      </c>
      <c r="BD52" s="2">
        <v>0.75</v>
      </c>
      <c r="BE52" s="2">
        <v>0.63</v>
      </c>
      <c r="BF52" s="2">
        <v>0.81</v>
      </c>
      <c r="BG52" s="2">
        <v>0.64</v>
      </c>
      <c r="BH52" s="2">
        <v>0.76</v>
      </c>
      <c r="BI52" s="2">
        <v>0.69</v>
      </c>
      <c r="BJ52" s="2">
        <v>0.74</v>
      </c>
      <c r="BK52" s="2">
        <v>0.65</v>
      </c>
      <c r="BL52" s="2">
        <v>0.73</v>
      </c>
      <c r="BM52" s="2">
        <v>0.55000000000000004</v>
      </c>
      <c r="BN52" s="2">
        <v>0.69</v>
      </c>
      <c r="BO52" s="2">
        <v>0.46</v>
      </c>
      <c r="BR52" s="1" t="s">
        <v>67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68</v>
      </c>
      <c r="C53" s="2">
        <v>22349.19</v>
      </c>
      <c r="D53" s="2">
        <v>1541</v>
      </c>
      <c r="E53" s="2">
        <v>24357.08</v>
      </c>
      <c r="F53" s="2">
        <v>1254.0899999999999</v>
      </c>
      <c r="G53" s="2">
        <v>4560.49</v>
      </c>
      <c r="H53" s="2">
        <v>4069.92</v>
      </c>
      <c r="I53" s="2">
        <v>22349.96</v>
      </c>
      <c r="J53" s="2">
        <v>6948.07</v>
      </c>
      <c r="K53" s="2">
        <v>20365.490000000002</v>
      </c>
      <c r="L53" s="2">
        <v>7084.46</v>
      </c>
      <c r="M53" s="2">
        <v>39267.19</v>
      </c>
      <c r="N53" s="2">
        <v>12639.14</v>
      </c>
      <c r="O53" s="2">
        <v>29034.68</v>
      </c>
      <c r="P53" s="2">
        <v>10668.23</v>
      </c>
      <c r="Q53" s="2">
        <v>36776.74</v>
      </c>
      <c r="R53" s="2">
        <v>13151.71</v>
      </c>
      <c r="S53" s="2">
        <v>15227.26</v>
      </c>
      <c r="T53" s="2">
        <v>8114.76</v>
      </c>
      <c r="U53" s="2">
        <v>10968.33</v>
      </c>
      <c r="V53" s="2">
        <v>8464.43</v>
      </c>
      <c r="X53" s="1" t="s">
        <v>68</v>
      </c>
      <c r="Y53" s="2">
        <v>0.51</v>
      </c>
      <c r="Z53" s="2">
        <v>0.14000000000000001</v>
      </c>
      <c r="AA53" s="2">
        <v>0.51</v>
      </c>
      <c r="AB53" s="2">
        <v>0.14000000000000001</v>
      </c>
      <c r="AC53" s="2">
        <v>0.56000000000000005</v>
      </c>
      <c r="AD53" s="2">
        <v>0.5</v>
      </c>
      <c r="AE53" s="2">
        <v>0.41</v>
      </c>
      <c r="AF53" s="2">
        <v>0.27</v>
      </c>
      <c r="AG53" s="2">
        <v>0.61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1.03</v>
      </c>
      <c r="AW53" s="2">
        <v>0.39</v>
      </c>
      <c r="AX53" s="2">
        <v>1.02</v>
      </c>
      <c r="AY53" s="2">
        <v>0.32</v>
      </c>
      <c r="AZ53" s="2">
        <v>0.92</v>
      </c>
      <c r="BA53" s="2">
        <v>0.87</v>
      </c>
      <c r="BB53" s="2">
        <v>1</v>
      </c>
      <c r="BC53" s="2">
        <v>0.74</v>
      </c>
      <c r="BD53" s="2">
        <v>0.96</v>
      </c>
      <c r="BE53" s="2">
        <v>0.72</v>
      </c>
      <c r="BF53" s="2">
        <v>0.98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69</v>
      </c>
      <c r="C54" s="2">
        <v>3105.42</v>
      </c>
      <c r="D54" s="2">
        <v>556.66</v>
      </c>
      <c r="E54" s="2">
        <v>3439.22</v>
      </c>
      <c r="F54" s="2">
        <v>423.46</v>
      </c>
      <c r="G54" s="2">
        <v>1040.5899999999999</v>
      </c>
      <c r="H54" s="2">
        <v>1298.28</v>
      </c>
      <c r="I54" s="2">
        <v>3761.12</v>
      </c>
      <c r="J54" s="2">
        <v>1963.78</v>
      </c>
      <c r="K54" s="2">
        <v>4512.42</v>
      </c>
      <c r="L54" s="2">
        <v>1803.94</v>
      </c>
      <c r="M54" s="2">
        <v>8093.81</v>
      </c>
      <c r="N54" s="2">
        <v>2928.22</v>
      </c>
      <c r="O54" s="2">
        <v>6386.64</v>
      </c>
      <c r="P54" s="2">
        <v>2452.5</v>
      </c>
      <c r="Q54" s="2">
        <v>5857.76</v>
      </c>
      <c r="R54" s="2">
        <v>2732.24</v>
      </c>
      <c r="S54" s="2">
        <v>2475.41</v>
      </c>
      <c r="T54" s="2">
        <v>1977.62</v>
      </c>
      <c r="U54" s="2">
        <v>2557.04</v>
      </c>
      <c r="V54" s="2">
        <v>2223.96</v>
      </c>
      <c r="X54" s="1" t="s">
        <v>69</v>
      </c>
      <c r="Y54" s="2">
        <v>0.45</v>
      </c>
      <c r="Z54" s="2">
        <v>0.17</v>
      </c>
      <c r="AA54" s="2">
        <v>0.45</v>
      </c>
      <c r="AB54" s="2">
        <v>0.17</v>
      </c>
      <c r="AC54" s="2">
        <v>0.39</v>
      </c>
      <c r="AD54" s="2">
        <v>0.47</v>
      </c>
      <c r="AE54" s="2">
        <v>0.43</v>
      </c>
      <c r="AF54" s="2">
        <v>0.24</v>
      </c>
      <c r="AG54" s="2">
        <v>0.42</v>
      </c>
      <c r="AH54" s="2">
        <v>0.21</v>
      </c>
      <c r="AI54" s="2">
        <v>0.42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0.2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69</v>
      </c>
      <c r="AV54" s="2">
        <v>0.9</v>
      </c>
      <c r="AW54" s="2">
        <v>0.53</v>
      </c>
      <c r="AX54" s="2">
        <v>0.89</v>
      </c>
      <c r="AY54" s="2">
        <v>0.4</v>
      </c>
      <c r="AZ54" s="2">
        <v>0.89</v>
      </c>
      <c r="BA54" s="2">
        <v>0.9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70</v>
      </c>
      <c r="C55" s="2">
        <v>10932.44</v>
      </c>
      <c r="D55" s="2">
        <v>11256.63</v>
      </c>
      <c r="E55" s="2">
        <v>14996.69</v>
      </c>
      <c r="F55" s="2">
        <v>7263</v>
      </c>
      <c r="G55" s="2">
        <v>4219.3900000000003</v>
      </c>
      <c r="H55" s="2">
        <v>4735.74</v>
      </c>
      <c r="I55" s="2">
        <v>7083.42</v>
      </c>
      <c r="J55" s="2">
        <v>14233.11</v>
      </c>
      <c r="K55" s="2">
        <v>16470.86</v>
      </c>
      <c r="L55" s="2">
        <v>17736.439999999999</v>
      </c>
      <c r="M55" s="2">
        <v>25924.77</v>
      </c>
      <c r="N55" s="2">
        <v>24340.74</v>
      </c>
      <c r="O55" s="2">
        <v>16833.27</v>
      </c>
      <c r="P55" s="2">
        <v>17391.78</v>
      </c>
      <c r="Q55" s="2">
        <v>16500.310000000001</v>
      </c>
      <c r="R55" s="2">
        <v>17385.240000000002</v>
      </c>
      <c r="S55" s="2">
        <v>12267.54</v>
      </c>
      <c r="T55" s="2">
        <v>11867.14</v>
      </c>
      <c r="U55" s="2">
        <v>15711.74</v>
      </c>
      <c r="V55" s="2">
        <v>13125.75</v>
      </c>
      <c r="X55" s="1" t="s">
        <v>70</v>
      </c>
      <c r="Y55" s="2">
        <v>0.31</v>
      </c>
      <c r="Z55" s="2">
        <v>0.31</v>
      </c>
      <c r="AA55" s="2">
        <v>0.39</v>
      </c>
      <c r="AB55" s="2">
        <v>0.31</v>
      </c>
      <c r="AC55" s="2">
        <v>0.3</v>
      </c>
      <c r="AD55" s="2">
        <v>0.33</v>
      </c>
      <c r="AE55" s="2">
        <v>0.26</v>
      </c>
      <c r="AF55" s="2">
        <v>0.32</v>
      </c>
      <c r="AG55" s="2">
        <v>0.28999999999999998</v>
      </c>
      <c r="AH55" s="2">
        <v>0.32</v>
      </c>
      <c r="AI55" s="2">
        <v>0.26</v>
      </c>
      <c r="AJ55" s="2">
        <v>0.26</v>
      </c>
      <c r="AK55" s="2">
        <v>0.23</v>
      </c>
      <c r="AL55" s="2">
        <v>0.25</v>
      </c>
      <c r="AM55" s="2">
        <v>0.21</v>
      </c>
      <c r="AN55" s="2">
        <v>0.22</v>
      </c>
      <c r="AO55" s="2">
        <v>0.2</v>
      </c>
      <c r="AP55" s="2">
        <v>0.2</v>
      </c>
      <c r="AQ55" s="2">
        <v>0.2</v>
      </c>
      <c r="AR55" s="2">
        <v>0.22</v>
      </c>
      <c r="AU55" s="1" t="s">
        <v>70</v>
      </c>
      <c r="AV55" s="2">
        <v>0.87</v>
      </c>
      <c r="AW55" s="2">
        <v>0.84</v>
      </c>
      <c r="AX55" s="2">
        <v>0.87</v>
      </c>
      <c r="AY55" s="2">
        <v>0.68</v>
      </c>
      <c r="AZ55" s="2">
        <v>0.86</v>
      </c>
      <c r="BA55" s="2">
        <v>0.86</v>
      </c>
      <c r="BB55" s="2">
        <v>0.67</v>
      </c>
      <c r="BC55" s="2">
        <v>0.86</v>
      </c>
      <c r="BD55" s="2">
        <v>0.86</v>
      </c>
      <c r="BE55" s="2">
        <v>0.87</v>
      </c>
      <c r="BF55" s="2">
        <v>0.84</v>
      </c>
      <c r="BG55" s="2">
        <v>0.81</v>
      </c>
      <c r="BH55" s="2">
        <v>0.79</v>
      </c>
      <c r="BI55" s="2">
        <v>0.78</v>
      </c>
      <c r="BJ55" s="2">
        <v>0.73</v>
      </c>
      <c r="BK55" s="2">
        <v>0.74</v>
      </c>
      <c r="BL55" s="2">
        <v>0.69</v>
      </c>
      <c r="BM55" s="2">
        <v>0.66</v>
      </c>
      <c r="BN55" s="2">
        <v>0.68</v>
      </c>
      <c r="BO55" s="2">
        <v>0.6</v>
      </c>
      <c r="BR55" s="1" t="s">
        <v>70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71</v>
      </c>
      <c r="C56" s="2">
        <v>3658.26</v>
      </c>
      <c r="D56" s="2">
        <v>3796.89</v>
      </c>
      <c r="E56" s="2">
        <v>3981.82</v>
      </c>
      <c r="F56" s="2">
        <v>4814</v>
      </c>
      <c r="G56" s="2">
        <v>1030.1600000000001</v>
      </c>
      <c r="H56" s="2">
        <v>1178.7</v>
      </c>
      <c r="I56" s="2">
        <v>1650.08</v>
      </c>
      <c r="J56" s="2">
        <v>3099.55</v>
      </c>
      <c r="K56" s="2">
        <v>1901.45</v>
      </c>
      <c r="L56" s="2">
        <v>5161.8900000000003</v>
      </c>
      <c r="M56" s="2">
        <v>4239.75</v>
      </c>
      <c r="N56" s="2">
        <v>9611.2000000000007</v>
      </c>
      <c r="O56" s="2">
        <v>3333.74</v>
      </c>
      <c r="P56" s="2">
        <v>6553.37</v>
      </c>
      <c r="Q56" s="2">
        <v>4231.8599999999997</v>
      </c>
      <c r="R56" s="2">
        <v>8250.1299999999992</v>
      </c>
      <c r="S56" s="2">
        <v>3279.13</v>
      </c>
      <c r="T56" s="2">
        <v>6325.67</v>
      </c>
      <c r="U56" s="2">
        <v>3469.12</v>
      </c>
      <c r="V56" s="2">
        <v>3041.89</v>
      </c>
      <c r="X56" s="1" t="s">
        <v>71</v>
      </c>
      <c r="Y56" s="2">
        <v>0.27</v>
      </c>
      <c r="Z56" s="2">
        <v>0.28000000000000003</v>
      </c>
      <c r="AA56" s="2">
        <v>0.5</v>
      </c>
      <c r="AB56" s="2">
        <v>0.41</v>
      </c>
      <c r="AC56" s="2">
        <v>0.35</v>
      </c>
      <c r="AD56" s="2">
        <v>0.39</v>
      </c>
      <c r="AE56" s="2">
        <v>0.28999999999999998</v>
      </c>
      <c r="AF56" s="2">
        <v>0.33</v>
      </c>
      <c r="AG56" s="2">
        <v>0.27</v>
      </c>
      <c r="AH56" s="2">
        <v>0.44</v>
      </c>
      <c r="AI56" s="2">
        <v>0.28000000000000003</v>
      </c>
      <c r="AJ56" s="2">
        <v>0.45</v>
      </c>
      <c r="AK56" s="2">
        <v>0.28000000000000003</v>
      </c>
      <c r="AL56" s="2">
        <v>0.37</v>
      </c>
      <c r="AM56" s="2">
        <v>0.28000000000000003</v>
      </c>
      <c r="AN56" s="2">
        <v>0.36</v>
      </c>
      <c r="AO56" s="2">
        <v>0.26</v>
      </c>
      <c r="AP56" s="2">
        <v>0.33</v>
      </c>
      <c r="AQ56" s="2">
        <v>0.24</v>
      </c>
      <c r="AR56" s="2">
        <v>0.24</v>
      </c>
      <c r="AU56" s="1" t="s">
        <v>71</v>
      </c>
      <c r="AV56" s="2">
        <v>0.95</v>
      </c>
      <c r="AW56" s="2">
        <v>0.95</v>
      </c>
      <c r="AX56" s="2">
        <v>0.88</v>
      </c>
      <c r="AY56" s="2">
        <v>0.93</v>
      </c>
      <c r="AZ56" s="2">
        <v>0.87</v>
      </c>
      <c r="BA56" s="2">
        <v>0.87</v>
      </c>
      <c r="BB56" s="2">
        <v>0.69</v>
      </c>
      <c r="BC56" s="2">
        <v>0.87</v>
      </c>
      <c r="BD56" s="2">
        <v>0.7</v>
      </c>
      <c r="BE56" s="2">
        <v>0.91</v>
      </c>
      <c r="BF56" s="2">
        <v>0.75</v>
      </c>
      <c r="BG56" s="2">
        <v>0.91</v>
      </c>
      <c r="BH56" s="2">
        <v>0.75</v>
      </c>
      <c r="BI56" s="2">
        <v>0.88</v>
      </c>
      <c r="BJ56" s="2">
        <v>0.74</v>
      </c>
      <c r="BK56" s="2">
        <v>0.88</v>
      </c>
      <c r="BL56" s="2">
        <v>0.71</v>
      </c>
      <c r="BM56" s="2">
        <v>0.84</v>
      </c>
      <c r="BN56" s="2">
        <v>0.66</v>
      </c>
      <c r="BO56" s="2">
        <v>0.62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72</v>
      </c>
      <c r="C57" s="2">
        <v>22898.93</v>
      </c>
      <c r="D57" s="2">
        <v>23723.72</v>
      </c>
      <c r="E57" s="2">
        <v>16540.78</v>
      </c>
      <c r="F57" s="2">
        <v>25633.62</v>
      </c>
      <c r="G57" s="2">
        <v>3712.18</v>
      </c>
      <c r="H57" s="2">
        <v>8951.74</v>
      </c>
      <c r="I57" s="2">
        <v>11119.88</v>
      </c>
      <c r="J57" s="2">
        <v>15383.9</v>
      </c>
      <c r="K57" s="2">
        <v>10482.879999999999</v>
      </c>
      <c r="L57" s="2">
        <v>23967.15</v>
      </c>
      <c r="M57" s="2">
        <v>20686.89</v>
      </c>
      <c r="N57" s="2">
        <v>43427.49</v>
      </c>
      <c r="O57" s="2">
        <v>16800.650000000001</v>
      </c>
      <c r="P57" s="2">
        <v>30712.89</v>
      </c>
      <c r="Q57" s="2">
        <v>24132.12</v>
      </c>
      <c r="R57" s="2">
        <v>28898.78</v>
      </c>
      <c r="S57" s="2">
        <v>15557.53</v>
      </c>
      <c r="T57" s="2">
        <v>17059.23</v>
      </c>
      <c r="U57" s="2">
        <v>17328.71</v>
      </c>
      <c r="V57" s="2">
        <v>16827.73</v>
      </c>
      <c r="X57" s="1" t="s">
        <v>72</v>
      </c>
      <c r="Y57" s="2">
        <v>0.5</v>
      </c>
      <c r="Z57" s="2">
        <v>0.52</v>
      </c>
      <c r="AA57" s="2">
        <v>0.39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0.68</v>
      </c>
      <c r="AI57" s="2">
        <v>0.32</v>
      </c>
      <c r="AJ57" s="2">
        <v>0.68</v>
      </c>
      <c r="AK57" s="2">
        <v>0.32</v>
      </c>
      <c r="AL57" s="2">
        <v>0.59</v>
      </c>
      <c r="AM57" s="2">
        <v>0.36</v>
      </c>
      <c r="AN57" s="2">
        <v>0.43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72</v>
      </c>
      <c r="AV57" s="2">
        <v>1.01</v>
      </c>
      <c r="AW57" s="2">
        <v>1.01</v>
      </c>
      <c r="AX57" s="2">
        <v>0.92</v>
      </c>
      <c r="AY57" s="2">
        <v>1</v>
      </c>
      <c r="AZ57" s="2">
        <v>0.84</v>
      </c>
      <c r="BA57" s="2">
        <v>1.01</v>
      </c>
      <c r="BB57" s="2">
        <v>0.8</v>
      </c>
      <c r="BC57" s="2">
        <v>0.92</v>
      </c>
      <c r="BD57" s="2">
        <v>0.76</v>
      </c>
      <c r="BE57" s="2">
        <v>0.97</v>
      </c>
      <c r="BF57" s="2">
        <v>0.78</v>
      </c>
      <c r="BG57" s="2">
        <v>0.97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0.69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73</v>
      </c>
      <c r="C58" s="2">
        <v>2370.17</v>
      </c>
      <c r="D58" s="2">
        <v>4111.97</v>
      </c>
      <c r="E58" s="2">
        <v>992.67</v>
      </c>
      <c r="F58" s="2">
        <v>1109.06</v>
      </c>
      <c r="G58" s="2">
        <v>33.53</v>
      </c>
      <c r="H58" s="2">
        <v>502.03</v>
      </c>
      <c r="I58" s="2">
        <v>856.94</v>
      </c>
      <c r="J58" s="2">
        <v>6545.04</v>
      </c>
      <c r="K58" s="2">
        <v>3065.81</v>
      </c>
      <c r="L58" s="2">
        <v>7689.26</v>
      </c>
      <c r="M58" s="2">
        <v>7924.5</v>
      </c>
      <c r="N58" s="2">
        <v>14172.15</v>
      </c>
      <c r="O58" s="2">
        <v>7025.85</v>
      </c>
      <c r="P58" s="2">
        <v>9202.66</v>
      </c>
      <c r="Q58" s="2">
        <v>7771.92</v>
      </c>
      <c r="R58" s="2">
        <v>7709.18</v>
      </c>
      <c r="S58" s="2">
        <v>5875.26</v>
      </c>
      <c r="T58" s="2">
        <v>4906.42</v>
      </c>
      <c r="U58" s="2">
        <v>6789.33</v>
      </c>
      <c r="V58" s="2">
        <v>5465.95</v>
      </c>
      <c r="X58" s="1" t="s">
        <v>73</v>
      </c>
      <c r="Y58" s="2">
        <v>0.18</v>
      </c>
      <c r="Z58" s="2">
        <v>0.23</v>
      </c>
      <c r="AA58" s="2">
        <v>0.19</v>
      </c>
      <c r="AB58" s="2">
        <v>0.2</v>
      </c>
      <c r="AC58" s="2">
        <v>0.04</v>
      </c>
      <c r="AD58" s="2">
        <v>0.21</v>
      </c>
      <c r="AE58" s="2">
        <v>0.11</v>
      </c>
      <c r="AF58" s="2">
        <v>0.22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0.2</v>
      </c>
      <c r="AM58" s="2">
        <v>0.16</v>
      </c>
      <c r="AN58" s="2">
        <v>0.16</v>
      </c>
      <c r="AO58" s="2">
        <v>0.15</v>
      </c>
      <c r="AP58" s="2">
        <v>0.15</v>
      </c>
      <c r="AQ58" s="2">
        <v>0.13</v>
      </c>
      <c r="AR58" s="2">
        <v>0.15</v>
      </c>
      <c r="AU58" s="1" t="s">
        <v>73</v>
      </c>
      <c r="AV58" s="2">
        <v>0.59</v>
      </c>
      <c r="AW58" s="2">
        <v>0.71</v>
      </c>
      <c r="AX58" s="2">
        <v>0.33</v>
      </c>
      <c r="AY58" s="2">
        <v>0.35</v>
      </c>
      <c r="AZ58" s="2">
        <v>0.3</v>
      </c>
      <c r="BA58" s="2">
        <v>0.39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0.79</v>
      </c>
      <c r="BJ58" s="2">
        <v>0.73</v>
      </c>
      <c r="BK58" s="2">
        <v>0.7</v>
      </c>
      <c r="BL58" s="2">
        <v>0.69</v>
      </c>
      <c r="BM58" s="2">
        <v>0.62</v>
      </c>
      <c r="BN58" s="2">
        <v>0.65</v>
      </c>
      <c r="BO58" s="2">
        <v>0.56000000000000005</v>
      </c>
      <c r="BR58" s="1" t="s">
        <v>73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3">
        <f>SUM(C51:V58)/$W$45</f>
        <v>0.78777508237494265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24.98</v>
      </c>
      <c r="D65" s="2">
        <v>42.6</v>
      </c>
      <c r="E65" s="2">
        <v>5.72</v>
      </c>
      <c r="F65" s="2">
        <v>5.69</v>
      </c>
      <c r="G65" s="2">
        <v>2.34</v>
      </c>
      <c r="H65" s="2">
        <v>3.3</v>
      </c>
      <c r="I65" s="2">
        <v>26.24</v>
      </c>
      <c r="J65" s="2">
        <v>25.95</v>
      </c>
      <c r="K65" s="2">
        <v>39.35</v>
      </c>
      <c r="L65" s="2">
        <v>20.39</v>
      </c>
      <c r="M65" s="2">
        <v>76.2</v>
      </c>
      <c r="N65" s="2">
        <v>17.09</v>
      </c>
      <c r="O65" s="2">
        <v>70.739999999999995</v>
      </c>
      <c r="P65" s="2">
        <v>6.64</v>
      </c>
      <c r="Q65" s="2">
        <v>124.63</v>
      </c>
      <c r="R65" s="2">
        <v>23.96</v>
      </c>
      <c r="S65" s="2">
        <v>8.66</v>
      </c>
      <c r="T65" s="2">
        <v>6.98</v>
      </c>
      <c r="U65" s="2">
        <v>18.45</v>
      </c>
      <c r="V65" s="2">
        <v>10.3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84.84</v>
      </c>
      <c r="D66" s="2">
        <v>39.200000000000003</v>
      </c>
      <c r="E66" s="2">
        <v>37.130000000000003</v>
      </c>
      <c r="F66" s="2">
        <v>26.17</v>
      </c>
      <c r="G66" s="2">
        <v>14.95</v>
      </c>
      <c r="H66" s="2">
        <v>21.99</v>
      </c>
      <c r="I66" s="2">
        <v>85.18</v>
      </c>
      <c r="J66" s="2">
        <v>132.13</v>
      </c>
      <c r="K66" s="2">
        <v>118.72</v>
      </c>
      <c r="L66" s="2">
        <v>118.07</v>
      </c>
      <c r="M66" s="2">
        <v>270.64999999999998</v>
      </c>
      <c r="N66" s="2">
        <v>242.69</v>
      </c>
      <c r="O66" s="2">
        <v>198.09</v>
      </c>
      <c r="P66" s="2">
        <v>179.14</v>
      </c>
      <c r="Q66" s="2">
        <v>233.44</v>
      </c>
      <c r="R66" s="2">
        <v>175.09</v>
      </c>
      <c r="S66" s="2">
        <v>167.86</v>
      </c>
      <c r="T66" s="2">
        <v>121.44</v>
      </c>
      <c r="U66" s="2">
        <v>248.91</v>
      </c>
      <c r="V66" s="2">
        <v>116.12</v>
      </c>
      <c r="X66" s="1" t="s">
        <v>67</v>
      </c>
      <c r="Y66" s="2">
        <v>59.97</v>
      </c>
      <c r="Z66" s="2">
        <v>60</v>
      </c>
      <c r="AA66" s="2">
        <v>59.95</v>
      </c>
      <c r="AB66" s="2">
        <v>60</v>
      </c>
      <c r="AC66" s="2">
        <v>60</v>
      </c>
      <c r="AD66" s="2">
        <v>59.99</v>
      </c>
      <c r="AE66" s="2">
        <v>69.91</v>
      </c>
      <c r="AF66" s="2">
        <v>70</v>
      </c>
      <c r="AG66" s="2">
        <v>69.94</v>
      </c>
      <c r="AH66" s="2">
        <v>70</v>
      </c>
      <c r="AI66" s="2">
        <v>69.95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69.97</v>
      </c>
      <c r="AR66" s="2">
        <v>70</v>
      </c>
      <c r="AU66" s="1" t="s">
        <v>67</v>
      </c>
      <c r="AV66" s="2">
        <v>49.53</v>
      </c>
      <c r="AW66" s="2">
        <v>54.53</v>
      </c>
      <c r="AX66" s="2">
        <v>51.6</v>
      </c>
      <c r="AY66" s="2">
        <v>54.69</v>
      </c>
      <c r="AZ66" s="2">
        <v>53.26</v>
      </c>
      <c r="BA66" s="2">
        <v>53.76</v>
      </c>
      <c r="BB66" s="2">
        <v>57.36</v>
      </c>
      <c r="BC66" s="2">
        <v>58.19</v>
      </c>
      <c r="BD66" s="2">
        <v>59.14</v>
      </c>
      <c r="BE66" s="2">
        <v>65.78</v>
      </c>
      <c r="BF66" s="2">
        <v>54.43</v>
      </c>
      <c r="BG66" s="2">
        <v>65.33</v>
      </c>
      <c r="BH66" s="2">
        <v>58.33</v>
      </c>
      <c r="BI66" s="2">
        <v>63.32</v>
      </c>
      <c r="BJ66" s="2">
        <v>59.83</v>
      </c>
      <c r="BK66" s="2">
        <v>65.260000000000005</v>
      </c>
      <c r="BL66" s="2">
        <v>61.11</v>
      </c>
      <c r="BM66" s="2">
        <v>68.06</v>
      </c>
      <c r="BN66" s="2">
        <v>63.28</v>
      </c>
      <c r="BO66" s="2">
        <v>69.37</v>
      </c>
      <c r="BR66" s="1" t="s">
        <v>67</v>
      </c>
      <c r="BS66" s="2">
        <v>-0.27</v>
      </c>
      <c r="BT66" s="2">
        <v>-0.13</v>
      </c>
      <c r="BU66" s="2">
        <v>-0.21</v>
      </c>
      <c r="BV66" s="2">
        <v>-0.13</v>
      </c>
      <c r="BW66" s="2">
        <v>-0.06</v>
      </c>
      <c r="BX66" s="2">
        <v>-0.06</v>
      </c>
      <c r="BY66" s="2">
        <v>-0.3</v>
      </c>
      <c r="BZ66" s="2">
        <v>-0.28000000000000003</v>
      </c>
      <c r="CA66" s="2">
        <v>-0.31</v>
      </c>
      <c r="CB66" s="2">
        <v>-0.11</v>
      </c>
      <c r="CC66" s="2">
        <v>-0.88</v>
      </c>
      <c r="CD66" s="2">
        <v>-0.22</v>
      </c>
      <c r="CE66" s="2">
        <v>-0.5</v>
      </c>
      <c r="CF66" s="2">
        <v>-0.26</v>
      </c>
      <c r="CG66" s="2">
        <v>-0.55000000000000004</v>
      </c>
      <c r="CH66" s="2">
        <v>-0.24</v>
      </c>
      <c r="CI66" s="2">
        <v>-0.42</v>
      </c>
      <c r="CJ66" s="2">
        <v>-0.08</v>
      </c>
      <c r="CK66" s="2">
        <v>-0.41</v>
      </c>
      <c r="CL66" s="2">
        <v>-0.03</v>
      </c>
    </row>
    <row r="67" spans="2:90" x14ac:dyDescent="0.3">
      <c r="B67" s="1" t="s">
        <v>68</v>
      </c>
      <c r="C67" s="2">
        <v>1957.94</v>
      </c>
      <c r="D67" s="2">
        <v>140.41999999999999</v>
      </c>
      <c r="E67" s="2">
        <v>1541.96</v>
      </c>
      <c r="F67" s="2">
        <v>84.67</v>
      </c>
      <c r="G67" s="2">
        <v>499.96</v>
      </c>
      <c r="H67" s="2">
        <v>547.11</v>
      </c>
      <c r="I67" s="2">
        <v>1847.11</v>
      </c>
      <c r="J67" s="2">
        <v>837.47</v>
      </c>
      <c r="K67" s="2">
        <v>2199.6799999999998</v>
      </c>
      <c r="L67" s="2">
        <v>955.96</v>
      </c>
      <c r="M67" s="2">
        <v>4024.86</v>
      </c>
      <c r="N67" s="2">
        <v>1818.12</v>
      </c>
      <c r="O67" s="2">
        <v>3494.73</v>
      </c>
      <c r="P67" s="2">
        <v>1330.42</v>
      </c>
      <c r="Q67" s="2">
        <v>4300.59</v>
      </c>
      <c r="R67" s="2">
        <v>1403.57</v>
      </c>
      <c r="S67" s="2">
        <v>1469.78</v>
      </c>
      <c r="T67" s="2">
        <v>1159</v>
      </c>
      <c r="U67" s="2">
        <v>1151.03</v>
      </c>
      <c r="V67" s="2">
        <v>950.3</v>
      </c>
      <c r="X67" s="1" t="s">
        <v>68</v>
      </c>
      <c r="Y67" s="2">
        <v>58.6</v>
      </c>
      <c r="Z67" s="2">
        <v>60</v>
      </c>
      <c r="AA67" s="2">
        <v>58.71</v>
      </c>
      <c r="AB67" s="2">
        <v>60</v>
      </c>
      <c r="AC67" s="2">
        <v>57.54</v>
      </c>
      <c r="AD67" s="2">
        <v>58.83</v>
      </c>
      <c r="AE67" s="2">
        <v>69.599999999999994</v>
      </c>
      <c r="AF67" s="2">
        <v>69.97</v>
      </c>
      <c r="AG67" s="2">
        <v>65.22</v>
      </c>
      <c r="AH67" s="2">
        <v>69.989999999999995</v>
      </c>
      <c r="AI67" s="2">
        <v>62.98</v>
      </c>
      <c r="AJ67" s="2">
        <v>69.989999999999995</v>
      </c>
      <c r="AK67" s="2">
        <v>64.86</v>
      </c>
      <c r="AL67" s="2">
        <v>69.989999999999995</v>
      </c>
      <c r="AM67" s="2">
        <v>65.8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68</v>
      </c>
      <c r="AV67" s="2">
        <v>25.32</v>
      </c>
      <c r="AW67" s="2">
        <v>54.82</v>
      </c>
      <c r="AX67" s="2">
        <v>25.84</v>
      </c>
      <c r="AY67" s="2">
        <v>54.94</v>
      </c>
      <c r="AZ67" s="2">
        <v>33.99</v>
      </c>
      <c r="BA67" s="2">
        <v>38.25</v>
      </c>
      <c r="BB67" s="2">
        <v>32.83</v>
      </c>
      <c r="BC67" s="2">
        <v>55.98</v>
      </c>
      <c r="BD67" s="2">
        <v>39.6</v>
      </c>
      <c r="BE67" s="2">
        <v>61.49</v>
      </c>
      <c r="BF67" s="2">
        <v>37.64</v>
      </c>
      <c r="BG67" s="2">
        <v>61.39</v>
      </c>
      <c r="BH67" s="2">
        <v>38.299999999999997</v>
      </c>
      <c r="BI67" s="2">
        <v>60.82</v>
      </c>
      <c r="BJ67" s="2">
        <v>38.82</v>
      </c>
      <c r="BK67" s="2">
        <v>62.23</v>
      </c>
      <c r="BL67" s="2">
        <v>58.69</v>
      </c>
      <c r="BM67" s="2">
        <v>65.92</v>
      </c>
      <c r="BN67" s="2">
        <v>66.25</v>
      </c>
      <c r="BO67" s="2">
        <v>67.94</v>
      </c>
      <c r="BR67" s="1" t="s">
        <v>68</v>
      </c>
      <c r="BS67" s="2">
        <v>-1.75</v>
      </c>
      <c r="BT67" s="2">
        <v>-0.12</v>
      </c>
      <c r="BU67" s="2">
        <v>-1.69</v>
      </c>
      <c r="BV67" s="2">
        <v>-0.12</v>
      </c>
      <c r="BW67" s="2">
        <v>-0.36</v>
      </c>
      <c r="BX67" s="2">
        <v>-0.27</v>
      </c>
      <c r="BY67" s="2">
        <v>-1.55</v>
      </c>
      <c r="BZ67" s="2">
        <v>-0.34</v>
      </c>
      <c r="CA67" s="2">
        <v>-1.19</v>
      </c>
      <c r="CB67" s="2">
        <v>-0.24</v>
      </c>
      <c r="CC67" s="2">
        <v>-2.31</v>
      </c>
      <c r="CD67" s="2">
        <v>-0.43</v>
      </c>
      <c r="CE67" s="2">
        <v>-1.86</v>
      </c>
      <c r="CF67" s="2">
        <v>-0.37</v>
      </c>
      <c r="CG67" s="2">
        <v>-2.41</v>
      </c>
      <c r="CH67" s="2">
        <v>-0.41</v>
      </c>
      <c r="CI67" s="2">
        <v>-0.56000000000000005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309.94</v>
      </c>
      <c r="D68" s="2">
        <v>46.3</v>
      </c>
      <c r="E68" s="2">
        <v>204.19</v>
      </c>
      <c r="F68" s="2">
        <v>31.59</v>
      </c>
      <c r="G68" s="2">
        <v>99.71</v>
      </c>
      <c r="H68" s="2">
        <v>115.21</v>
      </c>
      <c r="I68" s="2">
        <v>397.69</v>
      </c>
      <c r="J68" s="2">
        <v>170.51</v>
      </c>
      <c r="K68" s="2">
        <v>465.2</v>
      </c>
      <c r="L68" s="2">
        <v>206.41</v>
      </c>
      <c r="M68" s="2">
        <v>887.62</v>
      </c>
      <c r="N68" s="2">
        <v>362.97</v>
      </c>
      <c r="O68" s="2">
        <v>751.9</v>
      </c>
      <c r="P68" s="2">
        <v>251.11</v>
      </c>
      <c r="Q68" s="2">
        <v>664.71</v>
      </c>
      <c r="R68" s="2">
        <v>303.98</v>
      </c>
      <c r="S68" s="2">
        <v>256.62</v>
      </c>
      <c r="T68" s="2">
        <v>205.04</v>
      </c>
      <c r="U68" s="2">
        <v>277.88</v>
      </c>
      <c r="V68" s="2">
        <v>219.94</v>
      </c>
      <c r="X68" s="1" t="s">
        <v>69</v>
      </c>
      <c r="Y68" s="2">
        <v>59.39</v>
      </c>
      <c r="Z68" s="2">
        <v>60</v>
      </c>
      <c r="AA68" s="2">
        <v>59.38</v>
      </c>
      <c r="AB68" s="2">
        <v>60</v>
      </c>
      <c r="AC68" s="2">
        <v>59.76</v>
      </c>
      <c r="AD68" s="2">
        <v>59.15</v>
      </c>
      <c r="AE68" s="2">
        <v>69.42</v>
      </c>
      <c r="AF68" s="2">
        <v>69.989999999999995</v>
      </c>
      <c r="AG68" s="2">
        <v>69.540000000000006</v>
      </c>
      <c r="AH68" s="2">
        <v>69.989999999999995</v>
      </c>
      <c r="AI68" s="2">
        <v>69.540000000000006</v>
      </c>
      <c r="AJ68" s="2">
        <v>70</v>
      </c>
      <c r="AK68" s="2">
        <v>69.55</v>
      </c>
      <c r="AL68" s="2">
        <v>69.989999999999995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35.869999999999997</v>
      </c>
      <c r="AW68" s="2">
        <v>53.8</v>
      </c>
      <c r="AX68" s="2">
        <v>36.869999999999997</v>
      </c>
      <c r="AY68" s="2">
        <v>54.78</v>
      </c>
      <c r="AZ68" s="2">
        <v>36.99</v>
      </c>
      <c r="BA68" s="2">
        <v>36.15</v>
      </c>
      <c r="BB68" s="2">
        <v>42.04</v>
      </c>
      <c r="BC68" s="2">
        <v>52.32</v>
      </c>
      <c r="BD68" s="2">
        <v>43.42</v>
      </c>
      <c r="BE68" s="2">
        <v>59.3</v>
      </c>
      <c r="BF68" s="2">
        <v>43.4</v>
      </c>
      <c r="BG68" s="2">
        <v>60.63</v>
      </c>
      <c r="BH68" s="2">
        <v>43.32</v>
      </c>
      <c r="BI68" s="2">
        <v>60.18</v>
      </c>
      <c r="BJ68" s="2">
        <v>49.73</v>
      </c>
      <c r="BK68" s="2">
        <v>62.61</v>
      </c>
      <c r="BL68" s="2">
        <v>62.74</v>
      </c>
      <c r="BM68" s="2">
        <v>64.89</v>
      </c>
      <c r="BN68" s="2">
        <v>65.27</v>
      </c>
      <c r="BO68" s="2">
        <v>66.48</v>
      </c>
      <c r="BR68" s="1" t="s">
        <v>69</v>
      </c>
      <c r="BS68" s="2">
        <v>-0.86</v>
      </c>
      <c r="BT68" s="2">
        <v>-0.15</v>
      </c>
      <c r="BU68" s="2">
        <v>-0.8</v>
      </c>
      <c r="BV68" s="2">
        <v>-0.12</v>
      </c>
      <c r="BW68" s="2">
        <v>-0.31</v>
      </c>
      <c r="BX68" s="2">
        <v>-0.32</v>
      </c>
      <c r="BY68" s="2">
        <v>-0.9</v>
      </c>
      <c r="BZ68" s="2">
        <v>-0.46</v>
      </c>
      <c r="CA68" s="2">
        <v>-1.04</v>
      </c>
      <c r="CB68" s="2">
        <v>-0.31</v>
      </c>
      <c r="CC68" s="2">
        <v>-1.87</v>
      </c>
      <c r="CD68" s="2">
        <v>-0.48</v>
      </c>
      <c r="CE68" s="2">
        <v>-1.52</v>
      </c>
      <c r="CF68" s="2">
        <v>-0.41</v>
      </c>
      <c r="CG68" s="2">
        <v>-1.33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70</v>
      </c>
      <c r="C69" s="2">
        <v>860.79</v>
      </c>
      <c r="D69" s="2">
        <v>792.75</v>
      </c>
      <c r="E69" s="2">
        <v>899.54</v>
      </c>
      <c r="F69" s="2">
        <v>423.3</v>
      </c>
      <c r="G69" s="2">
        <v>318</v>
      </c>
      <c r="H69" s="2">
        <v>317.94</v>
      </c>
      <c r="I69" s="2">
        <v>601.96</v>
      </c>
      <c r="J69" s="2">
        <v>1248.95</v>
      </c>
      <c r="K69" s="2">
        <v>1526.5</v>
      </c>
      <c r="L69" s="2">
        <v>1456.16</v>
      </c>
      <c r="M69" s="2">
        <v>2344.91</v>
      </c>
      <c r="N69" s="2">
        <v>1870.73</v>
      </c>
      <c r="O69" s="2">
        <v>1541.04</v>
      </c>
      <c r="P69" s="2">
        <v>1277.43</v>
      </c>
      <c r="Q69" s="2">
        <v>1500.69</v>
      </c>
      <c r="R69" s="2">
        <v>1428.73</v>
      </c>
      <c r="S69" s="2">
        <v>1192.3399999999999</v>
      </c>
      <c r="T69" s="2">
        <v>788.48</v>
      </c>
      <c r="U69" s="2">
        <v>1364.28</v>
      </c>
      <c r="V69" s="2">
        <v>957.74</v>
      </c>
      <c r="X69" s="1" t="s">
        <v>70</v>
      </c>
      <c r="Y69" s="2">
        <v>59.94</v>
      </c>
      <c r="Z69" s="2">
        <v>59.94</v>
      </c>
      <c r="AA69" s="2">
        <v>59.75</v>
      </c>
      <c r="AB69" s="2">
        <v>59.94</v>
      </c>
      <c r="AC69" s="2">
        <v>59.95</v>
      </c>
      <c r="AD69" s="2">
        <v>59.9</v>
      </c>
      <c r="AE69" s="2">
        <v>69.98</v>
      </c>
      <c r="AF69" s="2">
        <v>69.92</v>
      </c>
      <c r="AG69" s="2">
        <v>69.95</v>
      </c>
      <c r="AH69" s="2">
        <v>69.92</v>
      </c>
      <c r="AI69" s="2">
        <v>69.98</v>
      </c>
      <c r="AJ69" s="2">
        <v>69.98</v>
      </c>
      <c r="AK69" s="2">
        <v>69.989999999999995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69.989999999999995</v>
      </c>
      <c r="AQ69" s="2">
        <v>70</v>
      </c>
      <c r="AR69" s="2">
        <v>69.989999999999995</v>
      </c>
      <c r="AU69" s="1" t="s">
        <v>70</v>
      </c>
      <c r="AV69" s="2">
        <v>38.57</v>
      </c>
      <c r="AW69" s="2">
        <v>40.549999999999997</v>
      </c>
      <c r="AX69" s="2">
        <v>38.68</v>
      </c>
      <c r="AY69" s="2">
        <v>50.25</v>
      </c>
      <c r="AZ69" s="2">
        <v>39.229999999999997</v>
      </c>
      <c r="BA69" s="2">
        <v>38.880000000000003</v>
      </c>
      <c r="BB69" s="2">
        <v>59.78</v>
      </c>
      <c r="BC69" s="2">
        <v>46.1</v>
      </c>
      <c r="BD69" s="2">
        <v>49.97</v>
      </c>
      <c r="BE69" s="2">
        <v>48.53</v>
      </c>
      <c r="BF69" s="2">
        <v>52.18</v>
      </c>
      <c r="BG69" s="2">
        <v>54.4</v>
      </c>
      <c r="BH69" s="2">
        <v>56.09</v>
      </c>
      <c r="BI69" s="2">
        <v>56.94</v>
      </c>
      <c r="BJ69" s="2">
        <v>60.94</v>
      </c>
      <c r="BK69" s="2">
        <v>60.39</v>
      </c>
      <c r="BL69" s="2">
        <v>63.09</v>
      </c>
      <c r="BM69" s="2">
        <v>64.58</v>
      </c>
      <c r="BN69" s="2">
        <v>63.77</v>
      </c>
      <c r="BO69" s="2">
        <v>66.989999999999995</v>
      </c>
      <c r="BR69" s="1" t="s">
        <v>70</v>
      </c>
      <c r="BS69" s="2">
        <v>-0.72</v>
      </c>
      <c r="BT69" s="2">
        <v>-0.62</v>
      </c>
      <c r="BU69" s="2">
        <v>-0.71</v>
      </c>
      <c r="BV69" s="2">
        <v>-0.25</v>
      </c>
      <c r="BW69" s="2">
        <v>-0.26</v>
      </c>
      <c r="BX69" s="2">
        <v>-0.27</v>
      </c>
      <c r="BY69" s="2">
        <v>-0.23</v>
      </c>
      <c r="BZ69" s="2">
        <v>-0.71</v>
      </c>
      <c r="CA69" s="2">
        <v>-0.69</v>
      </c>
      <c r="CB69" s="2">
        <v>-0.76</v>
      </c>
      <c r="CC69" s="2">
        <v>-1.05</v>
      </c>
      <c r="CD69" s="2">
        <v>-0.88</v>
      </c>
      <c r="CE69" s="2">
        <v>-0.62</v>
      </c>
      <c r="CF69" s="2">
        <v>-0.56999999999999995</v>
      </c>
      <c r="CG69" s="2">
        <v>-0.48</v>
      </c>
      <c r="CH69" s="2">
        <v>-0.52</v>
      </c>
      <c r="CI69" s="2">
        <v>-0.32</v>
      </c>
      <c r="CJ69" s="2">
        <v>-0.24</v>
      </c>
      <c r="CK69" s="2">
        <v>-0.38</v>
      </c>
      <c r="CL69" s="2">
        <v>-0.17</v>
      </c>
    </row>
    <row r="70" spans="2:90" x14ac:dyDescent="0.3">
      <c r="B70" s="1" t="s">
        <v>71</v>
      </c>
      <c r="C70" s="2">
        <v>162.44999999999999</v>
      </c>
      <c r="D70" s="2">
        <v>153.55000000000001</v>
      </c>
      <c r="E70" s="2">
        <v>135.57</v>
      </c>
      <c r="F70" s="2">
        <v>174.63</v>
      </c>
      <c r="G70" s="2">
        <v>54.17</v>
      </c>
      <c r="H70" s="2">
        <v>43.18</v>
      </c>
      <c r="I70" s="2">
        <v>92.4</v>
      </c>
      <c r="J70" s="2">
        <v>141.04</v>
      </c>
      <c r="K70" s="2">
        <v>104.69</v>
      </c>
      <c r="L70" s="2">
        <v>264.62</v>
      </c>
      <c r="M70" s="2">
        <v>262.37</v>
      </c>
      <c r="N70" s="2">
        <v>483</v>
      </c>
      <c r="O70" s="2">
        <v>191.56</v>
      </c>
      <c r="P70" s="2">
        <v>273.86</v>
      </c>
      <c r="Q70" s="2">
        <v>251.18</v>
      </c>
      <c r="R70" s="2">
        <v>429.92</v>
      </c>
      <c r="S70" s="2">
        <v>212.54</v>
      </c>
      <c r="T70" s="2">
        <v>239.77</v>
      </c>
      <c r="U70" s="2">
        <v>209.05</v>
      </c>
      <c r="V70" s="2">
        <v>148.38999999999999</v>
      </c>
      <c r="X70" s="1" t="s">
        <v>71</v>
      </c>
      <c r="Y70" s="2">
        <v>59.98</v>
      </c>
      <c r="Z70" s="2">
        <v>59.97</v>
      </c>
      <c r="AA70" s="2">
        <v>58.82</v>
      </c>
      <c r="AB70" s="2">
        <v>59.66</v>
      </c>
      <c r="AC70" s="2">
        <v>59.86</v>
      </c>
      <c r="AD70" s="2">
        <v>59.73</v>
      </c>
      <c r="AE70" s="2">
        <v>69.959999999999994</v>
      </c>
      <c r="AF70" s="2">
        <v>69.900000000000006</v>
      </c>
      <c r="AG70" s="2">
        <v>69.97</v>
      </c>
      <c r="AH70" s="2">
        <v>69.41</v>
      </c>
      <c r="AI70" s="2">
        <v>69.959999999999994</v>
      </c>
      <c r="AJ70" s="2">
        <v>69.319999999999993</v>
      </c>
      <c r="AK70" s="2">
        <v>69.959999999999994</v>
      </c>
      <c r="AL70" s="2">
        <v>69.78</v>
      </c>
      <c r="AM70" s="2">
        <v>69.97</v>
      </c>
      <c r="AN70" s="2">
        <v>69.81</v>
      </c>
      <c r="AO70" s="2">
        <v>69.98</v>
      </c>
      <c r="AP70" s="2">
        <v>69.900000000000006</v>
      </c>
      <c r="AQ70" s="2">
        <v>69.989999999999995</v>
      </c>
      <c r="AR70" s="2">
        <v>69.989999999999995</v>
      </c>
      <c r="AU70" s="1" t="s">
        <v>71</v>
      </c>
      <c r="AV70" s="2">
        <v>31.36</v>
      </c>
      <c r="AW70" s="2">
        <v>31.68</v>
      </c>
      <c r="AX70" s="2">
        <v>37.270000000000003</v>
      </c>
      <c r="AY70" s="2">
        <v>33.729999999999997</v>
      </c>
      <c r="AZ70" s="2">
        <v>38.75</v>
      </c>
      <c r="BA70" s="2">
        <v>38.409999999999997</v>
      </c>
      <c r="BB70" s="2">
        <v>58.81</v>
      </c>
      <c r="BC70" s="2">
        <v>44.89</v>
      </c>
      <c r="BD70" s="2">
        <v>62.68</v>
      </c>
      <c r="BE70" s="2">
        <v>44.73</v>
      </c>
      <c r="BF70" s="2">
        <v>59.21</v>
      </c>
      <c r="BG70" s="2">
        <v>44.68</v>
      </c>
      <c r="BH70" s="2">
        <v>59.64</v>
      </c>
      <c r="BI70" s="2">
        <v>47.89</v>
      </c>
      <c r="BJ70" s="2">
        <v>60</v>
      </c>
      <c r="BK70" s="2">
        <v>48.14</v>
      </c>
      <c r="BL70" s="2">
        <v>61.79</v>
      </c>
      <c r="BM70" s="2">
        <v>51.58</v>
      </c>
      <c r="BN70" s="2">
        <v>64.47</v>
      </c>
      <c r="BO70" s="2">
        <v>66.349999999999994</v>
      </c>
      <c r="BR70" s="1" t="s">
        <v>71</v>
      </c>
      <c r="BS70" s="2">
        <v>-1.19</v>
      </c>
      <c r="BT70" s="2">
        <v>-1.1599999999999999</v>
      </c>
      <c r="BU70" s="2">
        <v>-0.77</v>
      </c>
      <c r="BV70" s="2">
        <v>-1</v>
      </c>
      <c r="BW70" s="2">
        <v>-0.27</v>
      </c>
      <c r="BX70" s="2">
        <v>-0.28000000000000003</v>
      </c>
      <c r="BY70" s="2">
        <v>-0.26</v>
      </c>
      <c r="BZ70" s="2">
        <v>-0.77</v>
      </c>
      <c r="CA70" s="2">
        <v>-0.2</v>
      </c>
      <c r="CB70" s="2">
        <v>-0.95</v>
      </c>
      <c r="CC70" s="2">
        <v>-0.56000000000000005</v>
      </c>
      <c r="CD70" s="2">
        <v>-1.72</v>
      </c>
      <c r="CE70" s="2">
        <v>-0.43</v>
      </c>
      <c r="CF70" s="2">
        <v>-1.1399999999999999</v>
      </c>
      <c r="CG70" s="2">
        <v>-0.54</v>
      </c>
      <c r="CH70" s="2">
        <v>-1.47</v>
      </c>
      <c r="CI70" s="2">
        <v>-0.39</v>
      </c>
      <c r="CJ70" s="2">
        <v>-1.04</v>
      </c>
      <c r="CK70" s="2">
        <v>-0.33</v>
      </c>
      <c r="CL70" s="2">
        <v>-0.21</v>
      </c>
    </row>
    <row r="71" spans="2:90" x14ac:dyDescent="0.3">
      <c r="B71" s="1" t="s">
        <v>72</v>
      </c>
      <c r="C71" s="2">
        <v>847.69</v>
      </c>
      <c r="D71" s="2">
        <v>1009.17</v>
      </c>
      <c r="E71" s="2">
        <v>442</v>
      </c>
      <c r="F71" s="2">
        <v>683.99</v>
      </c>
      <c r="G71" s="2">
        <v>159.19</v>
      </c>
      <c r="H71" s="2">
        <v>292.58</v>
      </c>
      <c r="I71" s="2">
        <v>471.63</v>
      </c>
      <c r="J71" s="2">
        <v>738.16</v>
      </c>
      <c r="K71" s="2">
        <v>455.79</v>
      </c>
      <c r="L71" s="2">
        <v>1090.6199999999999</v>
      </c>
      <c r="M71" s="2">
        <v>916.49</v>
      </c>
      <c r="N71" s="2">
        <v>1841.18</v>
      </c>
      <c r="O71" s="2">
        <v>668.82</v>
      </c>
      <c r="P71" s="2">
        <v>1125.53</v>
      </c>
      <c r="Q71" s="2">
        <v>1027.96</v>
      </c>
      <c r="R71" s="2">
        <v>1268.94</v>
      </c>
      <c r="S71" s="2">
        <v>710.89</v>
      </c>
      <c r="T71" s="2">
        <v>561.33000000000004</v>
      </c>
      <c r="U71" s="2">
        <v>713.77</v>
      </c>
      <c r="V71" s="2">
        <v>665.44</v>
      </c>
      <c r="X71" s="1" t="s">
        <v>72</v>
      </c>
      <c r="Y71" s="2">
        <v>58.85</v>
      </c>
      <c r="Z71" s="2">
        <v>58.5</v>
      </c>
      <c r="AA71" s="2">
        <v>59.76</v>
      </c>
      <c r="AB71" s="2">
        <v>58.3</v>
      </c>
      <c r="AC71" s="2">
        <v>59.6</v>
      </c>
      <c r="AD71" s="2">
        <v>58.8</v>
      </c>
      <c r="AE71" s="2">
        <v>69.72</v>
      </c>
      <c r="AF71" s="2">
        <v>67.540000000000006</v>
      </c>
      <c r="AG71" s="2">
        <v>69.95</v>
      </c>
      <c r="AH71" s="2">
        <v>61.62</v>
      </c>
      <c r="AI71" s="2">
        <v>69.91</v>
      </c>
      <c r="AJ71" s="2">
        <v>61.59</v>
      </c>
      <c r="AK71" s="2">
        <v>69.91</v>
      </c>
      <c r="AL71" s="2">
        <v>66.11</v>
      </c>
      <c r="AM71" s="2">
        <v>69.83</v>
      </c>
      <c r="AN71" s="2">
        <v>69.47</v>
      </c>
      <c r="AO71" s="2">
        <v>69.97</v>
      </c>
      <c r="AP71" s="2">
        <v>69.959999999999994</v>
      </c>
      <c r="AQ71" s="2">
        <v>69.98</v>
      </c>
      <c r="AR71" s="2">
        <v>69.98</v>
      </c>
      <c r="AU71" s="1" t="s">
        <v>72</v>
      </c>
      <c r="AV71" s="2">
        <v>26.61</v>
      </c>
      <c r="AW71" s="2">
        <v>26.29</v>
      </c>
      <c r="AX71" s="2">
        <v>34.299999999999997</v>
      </c>
      <c r="AY71" s="2">
        <v>27.73</v>
      </c>
      <c r="AZ71" s="2">
        <v>41.02</v>
      </c>
      <c r="BA71" s="2">
        <v>27.03</v>
      </c>
      <c r="BB71" s="2">
        <v>51.11</v>
      </c>
      <c r="BC71" s="2">
        <v>40.86</v>
      </c>
      <c r="BD71" s="2">
        <v>58.73</v>
      </c>
      <c r="BE71" s="2">
        <v>38.65</v>
      </c>
      <c r="BF71" s="2">
        <v>57.01</v>
      </c>
      <c r="BG71" s="2">
        <v>38.67</v>
      </c>
      <c r="BH71" s="2">
        <v>56.87</v>
      </c>
      <c r="BI71" s="2">
        <v>42.66</v>
      </c>
      <c r="BJ71" s="2">
        <v>54.74</v>
      </c>
      <c r="BK71" s="2">
        <v>50.89</v>
      </c>
      <c r="BL71" s="2">
        <v>60.41</v>
      </c>
      <c r="BM71" s="2">
        <v>59.38</v>
      </c>
      <c r="BN71" s="2">
        <v>63.11</v>
      </c>
      <c r="BO71" s="2">
        <v>63.76</v>
      </c>
      <c r="BR71" s="1" t="s">
        <v>72</v>
      </c>
      <c r="BS71" s="2">
        <v>-1.61</v>
      </c>
      <c r="BT71" s="2">
        <v>-1.63</v>
      </c>
      <c r="BU71" s="2">
        <v>-0.97</v>
      </c>
      <c r="BV71" s="2">
        <v>-1.48</v>
      </c>
      <c r="BW71" s="2">
        <v>-0.23</v>
      </c>
      <c r="BX71" s="2">
        <v>-0.6</v>
      </c>
      <c r="BY71" s="2">
        <v>-0.5</v>
      </c>
      <c r="BZ71" s="2">
        <v>-0.93</v>
      </c>
      <c r="CA71" s="2">
        <v>-0.33</v>
      </c>
      <c r="CB71" s="2">
        <v>-1.1599999999999999</v>
      </c>
      <c r="CC71" s="2">
        <v>-0.7</v>
      </c>
      <c r="CD71" s="2">
        <v>-2.08</v>
      </c>
      <c r="CE71" s="2">
        <v>-0.56999999999999995</v>
      </c>
      <c r="CF71" s="2">
        <v>-1.45</v>
      </c>
      <c r="CG71" s="2">
        <v>-0.9</v>
      </c>
      <c r="CH71" s="2">
        <v>-1.2</v>
      </c>
      <c r="CI71" s="2">
        <v>-0.46</v>
      </c>
      <c r="CJ71" s="2">
        <v>-0.52</v>
      </c>
      <c r="CK71" s="2">
        <v>-0.42</v>
      </c>
      <c r="CL71" s="2">
        <v>-0.38</v>
      </c>
    </row>
    <row r="72" spans="2:90" x14ac:dyDescent="0.3">
      <c r="B72" s="1" t="s">
        <v>73</v>
      </c>
      <c r="C72" s="2">
        <v>80.39</v>
      </c>
      <c r="D72" s="2">
        <v>81.36</v>
      </c>
      <c r="E72" s="2">
        <v>14.19</v>
      </c>
      <c r="F72" s="2">
        <v>17.66</v>
      </c>
      <c r="G72" s="2">
        <v>1.97</v>
      </c>
      <c r="H72" s="2">
        <v>8.34</v>
      </c>
      <c r="I72" s="2">
        <v>21.55</v>
      </c>
      <c r="J72" s="2">
        <v>113.66</v>
      </c>
      <c r="K72" s="2">
        <v>97.89</v>
      </c>
      <c r="L72" s="2">
        <v>99.96</v>
      </c>
      <c r="M72" s="2">
        <v>185.31</v>
      </c>
      <c r="N72" s="2">
        <v>205.58</v>
      </c>
      <c r="O72" s="2">
        <v>180.58</v>
      </c>
      <c r="P72" s="2">
        <v>185.99</v>
      </c>
      <c r="Q72" s="2">
        <v>166.9</v>
      </c>
      <c r="R72" s="2">
        <v>170.6</v>
      </c>
      <c r="S72" s="2">
        <v>193.42</v>
      </c>
      <c r="T72" s="2">
        <v>109.2</v>
      </c>
      <c r="U72" s="2">
        <v>202.71</v>
      </c>
      <c r="V72" s="2">
        <v>128.08000000000001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59.99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52.72</v>
      </c>
      <c r="AW72" s="2">
        <v>48.57</v>
      </c>
      <c r="AX72" s="2">
        <v>54.93</v>
      </c>
      <c r="AY72" s="2">
        <v>54.9</v>
      </c>
      <c r="AZ72" s="2">
        <v>54.96</v>
      </c>
      <c r="BA72" s="2">
        <v>54.82</v>
      </c>
      <c r="BB72" s="2">
        <v>64.95</v>
      </c>
      <c r="BC72" s="2">
        <v>50.09</v>
      </c>
      <c r="BD72" s="2">
        <v>66.28</v>
      </c>
      <c r="BE72" s="2">
        <v>52.77</v>
      </c>
      <c r="BF72" s="2">
        <v>60</v>
      </c>
      <c r="BG72" s="2">
        <v>52.67</v>
      </c>
      <c r="BH72" s="2">
        <v>57.38</v>
      </c>
      <c r="BI72" s="2">
        <v>56.41</v>
      </c>
      <c r="BJ72" s="2">
        <v>60.87</v>
      </c>
      <c r="BK72" s="2">
        <v>62.45</v>
      </c>
      <c r="BL72" s="2">
        <v>63.2</v>
      </c>
      <c r="BM72" s="2">
        <v>66.239999999999995</v>
      </c>
      <c r="BN72" s="2">
        <v>65.05</v>
      </c>
      <c r="BO72" s="2">
        <v>67.91</v>
      </c>
      <c r="BR72" s="1" t="s">
        <v>73</v>
      </c>
      <c r="BS72" s="2">
        <v>-0.18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</v>
      </c>
      <c r="CG72" s="2">
        <v>-0.49</v>
      </c>
      <c r="CH72" s="2">
        <v>-0.39</v>
      </c>
      <c r="CI72" s="2">
        <v>-0.31</v>
      </c>
      <c r="CJ72" s="2">
        <v>-0.17</v>
      </c>
      <c r="CK72" s="2">
        <v>-0.28999999999999998</v>
      </c>
      <c r="CL72" s="2">
        <v>-0.12</v>
      </c>
    </row>
    <row r="73" spans="2:90" x14ac:dyDescent="0.3">
      <c r="W73" s="4">
        <f>SUM(C65:V72)/$W$45</f>
        <v>5.3194200892793475E-2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6.46</v>
      </c>
      <c r="D79" s="2">
        <v>13.21</v>
      </c>
      <c r="E79" s="2">
        <v>1.66</v>
      </c>
      <c r="F79" s="2">
        <v>1.65</v>
      </c>
      <c r="G79" s="2">
        <v>0.54</v>
      </c>
      <c r="H79" s="2">
        <v>1.1000000000000001</v>
      </c>
      <c r="I79" s="2">
        <v>15.92</v>
      </c>
      <c r="J79" s="2">
        <v>5.0199999999999996</v>
      </c>
      <c r="K79" s="2">
        <v>16.61</v>
      </c>
      <c r="L79" s="2">
        <v>12.48</v>
      </c>
      <c r="M79" s="2">
        <v>18.690000000000001</v>
      </c>
      <c r="N79" s="2">
        <v>6.28</v>
      </c>
      <c r="O79" s="2">
        <v>16.28</v>
      </c>
      <c r="P79" s="2">
        <v>2.2799999999999998</v>
      </c>
      <c r="Q79" s="2">
        <v>23.43</v>
      </c>
      <c r="R79" s="2">
        <v>4.6399999999999997</v>
      </c>
      <c r="S79" s="2">
        <v>0.96</v>
      </c>
      <c r="T79" s="2">
        <v>1.68</v>
      </c>
      <c r="U79" s="2">
        <v>1.5</v>
      </c>
      <c r="V79" s="2">
        <v>1.29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44.41</v>
      </c>
      <c r="D80" s="2">
        <v>17.45</v>
      </c>
      <c r="E80" s="2">
        <v>24.91</v>
      </c>
      <c r="F80" s="2">
        <v>11.84</v>
      </c>
      <c r="G80" s="2">
        <v>5.86</v>
      </c>
      <c r="H80" s="2">
        <v>10.69</v>
      </c>
      <c r="I80" s="2">
        <v>40.83</v>
      </c>
      <c r="J80" s="2">
        <v>61.94</v>
      </c>
      <c r="K80" s="2">
        <v>50.9</v>
      </c>
      <c r="L80" s="2">
        <v>53.57</v>
      </c>
      <c r="M80" s="2">
        <v>91.01</v>
      </c>
      <c r="N80" s="2">
        <v>75.010000000000005</v>
      </c>
      <c r="O80" s="2">
        <v>69.040000000000006</v>
      </c>
      <c r="P80" s="2">
        <v>65.040000000000006</v>
      </c>
      <c r="Q80" s="2">
        <v>89.01</v>
      </c>
      <c r="R80" s="2">
        <v>62.61</v>
      </c>
      <c r="S80" s="2">
        <v>60.65</v>
      </c>
      <c r="T80" s="2">
        <v>50.44</v>
      </c>
      <c r="U80" s="2">
        <v>77.41</v>
      </c>
      <c r="V80" s="2">
        <v>48.7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1.57</v>
      </c>
      <c r="AW80" s="2">
        <v>1.43</v>
      </c>
      <c r="AX80" s="2">
        <v>1.51</v>
      </c>
      <c r="AY80" s="2">
        <v>1.43</v>
      </c>
      <c r="AZ80" s="2">
        <v>0.56000000000000005</v>
      </c>
      <c r="BA80" s="2">
        <v>0.56000000000000005</v>
      </c>
      <c r="BB80" s="2">
        <v>1.67</v>
      </c>
      <c r="BC80" s="2">
        <v>1.65</v>
      </c>
      <c r="BD80" s="2">
        <v>2.0299999999999998</v>
      </c>
      <c r="BE80" s="2">
        <v>1.82</v>
      </c>
      <c r="BF80" s="2">
        <v>3.97</v>
      </c>
      <c r="BG80" s="2">
        <v>3.31</v>
      </c>
      <c r="BH80" s="2">
        <v>2.98</v>
      </c>
      <c r="BI80" s="2">
        <v>2.75</v>
      </c>
      <c r="BJ80" s="2">
        <v>3.81</v>
      </c>
      <c r="BK80" s="2">
        <v>3.49</v>
      </c>
      <c r="BL80" s="2">
        <v>3.34</v>
      </c>
      <c r="BM80" s="2">
        <v>3</v>
      </c>
      <c r="BN80" s="2">
        <v>4.2699999999999996</v>
      </c>
      <c r="BO80" s="2">
        <v>3.89</v>
      </c>
      <c r="BR80" s="1" t="s">
        <v>67</v>
      </c>
      <c r="BS80" s="2">
        <v>-0.17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</v>
      </c>
      <c r="BY80" s="2">
        <v>-0.18</v>
      </c>
      <c r="BZ80" s="2">
        <v>-0.17</v>
      </c>
      <c r="CA80" s="2">
        <v>-0.15</v>
      </c>
      <c r="CB80" s="2">
        <v>-0.06</v>
      </c>
      <c r="CC80" s="2">
        <v>-0.22</v>
      </c>
      <c r="CD80" s="2">
        <v>-7.0000000000000007E-2</v>
      </c>
      <c r="CE80" s="2">
        <v>-0.17</v>
      </c>
      <c r="CF80" s="2">
        <v>-0.1</v>
      </c>
      <c r="CG80" s="2">
        <v>-0.15</v>
      </c>
      <c r="CH80" s="2">
        <v>-7.0000000000000007E-2</v>
      </c>
      <c r="CI80" s="2">
        <v>-0.13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484.84</v>
      </c>
      <c r="D81" s="2">
        <v>48.95</v>
      </c>
      <c r="E81" s="2">
        <v>395.55</v>
      </c>
      <c r="F81" s="2">
        <v>24.34</v>
      </c>
      <c r="G81" s="2">
        <v>93</v>
      </c>
      <c r="H81" s="2">
        <v>154.6</v>
      </c>
      <c r="I81" s="2">
        <v>621.72</v>
      </c>
      <c r="J81" s="2">
        <v>314.76</v>
      </c>
      <c r="K81" s="2">
        <v>580.70000000000005</v>
      </c>
      <c r="L81" s="2">
        <v>293.77</v>
      </c>
      <c r="M81" s="2">
        <v>1044.55</v>
      </c>
      <c r="N81" s="2">
        <v>482</v>
      </c>
      <c r="O81" s="2">
        <v>951.64</v>
      </c>
      <c r="P81" s="2">
        <v>407.69</v>
      </c>
      <c r="Q81" s="2">
        <v>1215.93</v>
      </c>
      <c r="R81" s="2">
        <v>430.02</v>
      </c>
      <c r="S81" s="2">
        <v>371.51</v>
      </c>
      <c r="T81" s="2">
        <v>332.07</v>
      </c>
      <c r="U81" s="2">
        <v>343.96</v>
      </c>
      <c r="V81" s="2">
        <v>286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1.38</v>
      </c>
      <c r="AF81" s="2">
        <v>1.37</v>
      </c>
      <c r="AG81" s="2">
        <v>1.84</v>
      </c>
      <c r="AH81" s="2">
        <v>1.71</v>
      </c>
      <c r="AI81" s="2">
        <v>3.43</v>
      </c>
      <c r="AJ81" s="2">
        <v>3.09</v>
      </c>
      <c r="AK81" s="2">
        <v>2.68</v>
      </c>
      <c r="AL81" s="2">
        <v>2.4900000000000002</v>
      </c>
      <c r="AM81" s="2">
        <v>3.46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3.08</v>
      </c>
      <c r="AW81" s="2">
        <v>1.42</v>
      </c>
      <c r="AX81" s="2">
        <v>3.02</v>
      </c>
      <c r="AY81" s="2">
        <v>1.42</v>
      </c>
      <c r="AZ81" s="2">
        <v>0.88</v>
      </c>
      <c r="BA81" s="2">
        <v>0.78</v>
      </c>
      <c r="BB81" s="2">
        <v>2.92</v>
      </c>
      <c r="BC81" s="2">
        <v>1.71</v>
      </c>
      <c r="BD81" s="2">
        <v>3.03</v>
      </c>
      <c r="BE81" s="2">
        <v>1.95</v>
      </c>
      <c r="BF81" s="2">
        <v>5.74</v>
      </c>
      <c r="BG81" s="2">
        <v>3.52</v>
      </c>
      <c r="BH81" s="2">
        <v>4.54</v>
      </c>
      <c r="BI81" s="2">
        <v>2.86</v>
      </c>
      <c r="BJ81" s="2">
        <v>5.87</v>
      </c>
      <c r="BK81" s="2">
        <v>3.66</v>
      </c>
      <c r="BL81" s="2">
        <v>3.48</v>
      </c>
      <c r="BM81" s="2">
        <v>3.09</v>
      </c>
      <c r="BN81" s="2">
        <v>4.08</v>
      </c>
      <c r="BO81" s="2">
        <v>3.97</v>
      </c>
      <c r="BR81" s="1" t="s">
        <v>68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-0.35</v>
      </c>
      <c r="BY81" s="2">
        <v>-0.53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-0.41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86.06</v>
      </c>
      <c r="D82" s="2">
        <v>18.07</v>
      </c>
      <c r="E82" s="2">
        <v>71.239999999999995</v>
      </c>
      <c r="F82" s="2">
        <v>9.41</v>
      </c>
      <c r="G82" s="2">
        <v>25.2</v>
      </c>
      <c r="H82" s="2">
        <v>36.89</v>
      </c>
      <c r="I82" s="2">
        <v>168.04</v>
      </c>
      <c r="J82" s="2">
        <v>75.78</v>
      </c>
      <c r="K82" s="2">
        <v>216.85</v>
      </c>
      <c r="L82" s="2">
        <v>69.17</v>
      </c>
      <c r="M82" s="2">
        <v>358.78</v>
      </c>
      <c r="N82" s="2">
        <v>99.78</v>
      </c>
      <c r="O82" s="2">
        <v>316.44</v>
      </c>
      <c r="P82" s="2">
        <v>85.17</v>
      </c>
      <c r="Q82" s="2">
        <v>301.61</v>
      </c>
      <c r="R82" s="2">
        <v>124.51</v>
      </c>
      <c r="S82" s="2">
        <v>116.35</v>
      </c>
      <c r="T82" s="2">
        <v>73.930000000000007</v>
      </c>
      <c r="U82" s="2">
        <v>110.14</v>
      </c>
      <c r="V82" s="2">
        <v>95.71</v>
      </c>
      <c r="X82" s="1" t="s">
        <v>69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2.17</v>
      </c>
      <c r="AW82" s="2">
        <v>1.45</v>
      </c>
      <c r="AX82" s="2">
        <v>2.12</v>
      </c>
      <c r="AY82" s="2">
        <v>1.42</v>
      </c>
      <c r="AZ82" s="2">
        <v>0.81</v>
      </c>
      <c r="BA82" s="2">
        <v>0.83</v>
      </c>
      <c r="BB82" s="2">
        <v>2.2799999999999998</v>
      </c>
      <c r="BC82" s="2">
        <v>1.83</v>
      </c>
      <c r="BD82" s="2">
        <v>2.76</v>
      </c>
      <c r="BE82" s="2">
        <v>2.02</v>
      </c>
      <c r="BF82" s="2">
        <v>4.9800000000000004</v>
      </c>
      <c r="BG82" s="2">
        <v>3.56</v>
      </c>
      <c r="BH82" s="2">
        <v>4.0199999999999996</v>
      </c>
      <c r="BI82" s="2">
        <v>2.89</v>
      </c>
      <c r="BJ82" s="2">
        <v>4.58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69</v>
      </c>
      <c r="BS82" s="2">
        <v>-0.4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-0.39</v>
      </c>
      <c r="BY82" s="2">
        <v>-0.39</v>
      </c>
      <c r="BZ82" s="2">
        <v>-0.25</v>
      </c>
      <c r="CA82" s="2">
        <v>-0.38</v>
      </c>
      <c r="CB82" s="2">
        <v>-0.15</v>
      </c>
      <c r="CC82" s="2">
        <v>-0.38</v>
      </c>
      <c r="CD82" s="2">
        <v>-0.13</v>
      </c>
      <c r="CE82" s="2">
        <v>-0.38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235.04</v>
      </c>
      <c r="D83" s="2">
        <v>247.1</v>
      </c>
      <c r="E83" s="2">
        <v>219.99</v>
      </c>
      <c r="F83" s="2">
        <v>77.510000000000005</v>
      </c>
      <c r="G83" s="2">
        <v>81.05</v>
      </c>
      <c r="H83" s="2">
        <v>118.64</v>
      </c>
      <c r="I83" s="2">
        <v>225.25</v>
      </c>
      <c r="J83" s="2">
        <v>428.63</v>
      </c>
      <c r="K83" s="2">
        <v>514.12</v>
      </c>
      <c r="L83" s="2">
        <v>525.72</v>
      </c>
      <c r="M83" s="2">
        <v>664.33</v>
      </c>
      <c r="N83" s="2">
        <v>585.14</v>
      </c>
      <c r="O83" s="2">
        <v>492</v>
      </c>
      <c r="P83" s="2">
        <v>462.67</v>
      </c>
      <c r="Q83" s="2">
        <v>524.91</v>
      </c>
      <c r="R83" s="2">
        <v>525.38</v>
      </c>
      <c r="S83" s="2">
        <v>427.19</v>
      </c>
      <c r="T83" s="2">
        <v>322.02999999999997</v>
      </c>
      <c r="U83" s="2">
        <v>479.79</v>
      </c>
      <c r="V83" s="2">
        <v>333.29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2.02</v>
      </c>
      <c r="AW83" s="2">
        <v>1.92</v>
      </c>
      <c r="AX83" s="2">
        <v>2.02</v>
      </c>
      <c r="AY83" s="2">
        <v>1.55</v>
      </c>
      <c r="AZ83" s="2">
        <v>0.76</v>
      </c>
      <c r="BA83" s="2">
        <v>0.77</v>
      </c>
      <c r="BB83" s="2">
        <v>1.61</v>
      </c>
      <c r="BC83" s="2">
        <v>2.08</v>
      </c>
      <c r="BD83" s="2">
        <v>2.4</v>
      </c>
      <c r="BE83" s="2">
        <v>2.4700000000000002</v>
      </c>
      <c r="BF83" s="2">
        <v>4.1399999999999997</v>
      </c>
      <c r="BG83" s="2">
        <v>3.97</v>
      </c>
      <c r="BH83" s="2">
        <v>3.1</v>
      </c>
      <c r="BI83" s="2">
        <v>3.06</v>
      </c>
      <c r="BJ83" s="2">
        <v>3.74</v>
      </c>
      <c r="BK83" s="2">
        <v>3.78</v>
      </c>
      <c r="BL83" s="2">
        <v>3.23</v>
      </c>
      <c r="BM83" s="2">
        <v>3.16</v>
      </c>
      <c r="BN83" s="2">
        <v>4.2300000000000004</v>
      </c>
      <c r="BO83" s="2">
        <v>4.03</v>
      </c>
      <c r="BR83" s="1" t="s">
        <v>70</v>
      </c>
      <c r="BS83" s="2">
        <v>-0.36</v>
      </c>
      <c r="BT83" s="2">
        <v>-0.32</v>
      </c>
      <c r="BU83" s="2">
        <v>-0.35</v>
      </c>
      <c r="BV83" s="2">
        <v>-0.16</v>
      </c>
      <c r="BW83" s="2">
        <v>-0.35</v>
      </c>
      <c r="BX83" s="2">
        <v>-0.35</v>
      </c>
      <c r="BY83" s="2">
        <v>-0.15</v>
      </c>
      <c r="BZ83" s="2">
        <v>-0.34</v>
      </c>
      <c r="CA83" s="2">
        <v>-0.28999999999999998</v>
      </c>
      <c r="CB83" s="2">
        <v>-0.31</v>
      </c>
      <c r="CC83" s="2">
        <v>-0.25</v>
      </c>
      <c r="CD83" s="2">
        <v>-0.22</v>
      </c>
      <c r="CE83" s="2">
        <v>-0.2</v>
      </c>
      <c r="CF83" s="2">
        <v>-0.19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-0.04</v>
      </c>
    </row>
    <row r="84" spans="2:90" x14ac:dyDescent="0.3">
      <c r="B84" s="1" t="s">
        <v>71</v>
      </c>
      <c r="C84" s="2">
        <v>54.7</v>
      </c>
      <c r="D84" s="2">
        <v>20.73</v>
      </c>
      <c r="E84" s="2">
        <v>41.83</v>
      </c>
      <c r="F84" s="2">
        <v>16.88</v>
      </c>
      <c r="G84" s="2">
        <v>13.53</v>
      </c>
      <c r="H84" s="2">
        <v>10.06</v>
      </c>
      <c r="I84" s="2">
        <v>21.66</v>
      </c>
      <c r="J84" s="2">
        <v>32.619999999999997</v>
      </c>
      <c r="K84" s="2">
        <v>23.72</v>
      </c>
      <c r="L84" s="2">
        <v>60.26</v>
      </c>
      <c r="M84" s="2">
        <v>59.09</v>
      </c>
      <c r="N84" s="2">
        <v>94.8</v>
      </c>
      <c r="O84" s="2">
        <v>52.8</v>
      </c>
      <c r="P84" s="2">
        <v>60.86</v>
      </c>
      <c r="Q84" s="2">
        <v>66.39</v>
      </c>
      <c r="R84" s="2">
        <v>102.65</v>
      </c>
      <c r="S84" s="2">
        <v>62.48</v>
      </c>
      <c r="T84" s="2">
        <v>44.94</v>
      </c>
      <c r="U84" s="2">
        <v>57.45</v>
      </c>
      <c r="V84" s="2">
        <v>37.119999999999997</v>
      </c>
      <c r="X84" s="1" t="s">
        <v>71</v>
      </c>
      <c r="Y84" s="2">
        <v>1.3</v>
      </c>
      <c r="Z84" s="2">
        <v>1.3</v>
      </c>
      <c r="AA84" s="2">
        <v>1.33</v>
      </c>
      <c r="AB84" s="2">
        <v>1.31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2.4900000000000002</v>
      </c>
      <c r="AW84" s="2">
        <v>2.46</v>
      </c>
      <c r="AX84" s="2">
        <v>2.09</v>
      </c>
      <c r="AY84" s="2">
        <v>2.31</v>
      </c>
      <c r="AZ84" s="2">
        <v>0.77</v>
      </c>
      <c r="BA84" s="2">
        <v>0.78</v>
      </c>
      <c r="BB84" s="2">
        <v>1.63</v>
      </c>
      <c r="BC84" s="2">
        <v>2.14</v>
      </c>
      <c r="BD84" s="2">
        <v>1.91</v>
      </c>
      <c r="BE84" s="2">
        <v>2.68</v>
      </c>
      <c r="BF84" s="2">
        <v>3.65</v>
      </c>
      <c r="BG84" s="2">
        <v>4.83</v>
      </c>
      <c r="BH84" s="2">
        <v>2.92</v>
      </c>
      <c r="BI84" s="2">
        <v>3.63</v>
      </c>
      <c r="BJ84" s="2">
        <v>3.8</v>
      </c>
      <c r="BK84" s="2">
        <v>4.74</v>
      </c>
      <c r="BL84" s="2">
        <v>3.3</v>
      </c>
      <c r="BM84" s="2">
        <v>3.95</v>
      </c>
      <c r="BN84" s="2">
        <v>4.1900000000000004</v>
      </c>
      <c r="BO84" s="2">
        <v>4.07</v>
      </c>
      <c r="BR84" s="1" t="s">
        <v>71</v>
      </c>
      <c r="BS84" s="2">
        <v>-0.48</v>
      </c>
      <c r="BT84" s="2">
        <v>-0.47</v>
      </c>
      <c r="BU84" s="2">
        <v>-0.37</v>
      </c>
      <c r="BV84" s="2">
        <v>-0.43</v>
      </c>
      <c r="BW84" s="2">
        <v>-0.35</v>
      </c>
      <c r="BX84" s="2">
        <v>-0.36</v>
      </c>
      <c r="BY84" s="2">
        <v>-0.16</v>
      </c>
      <c r="BZ84" s="2">
        <v>-0.36</v>
      </c>
      <c r="CA84" s="2">
        <v>-0.1</v>
      </c>
      <c r="CB84" s="2">
        <v>-0.36</v>
      </c>
      <c r="CC84" s="2">
        <v>-0.15</v>
      </c>
      <c r="CD84" s="2">
        <v>-0.36</v>
      </c>
      <c r="CE84" s="2">
        <v>-0.15</v>
      </c>
      <c r="CF84" s="2">
        <v>-0.31</v>
      </c>
      <c r="CG84" s="2">
        <v>-0.14000000000000001</v>
      </c>
      <c r="CH84" s="2">
        <v>-0.31</v>
      </c>
      <c r="CI84" s="2">
        <v>-0.12</v>
      </c>
      <c r="CJ84" s="2">
        <v>-0.26</v>
      </c>
      <c r="CK84" s="2">
        <v>-0.08</v>
      </c>
      <c r="CL84" s="2">
        <v>-0.05</v>
      </c>
    </row>
    <row r="85" spans="2:90" x14ac:dyDescent="0.3">
      <c r="B85" s="1" t="s">
        <v>72</v>
      </c>
      <c r="C85" s="2">
        <v>185.69</v>
      </c>
      <c r="D85" s="2">
        <v>192.07</v>
      </c>
      <c r="E85" s="2">
        <v>88.63</v>
      </c>
      <c r="F85" s="2">
        <v>141.28</v>
      </c>
      <c r="G85" s="2">
        <v>34.39</v>
      </c>
      <c r="H85" s="2">
        <v>78.760000000000005</v>
      </c>
      <c r="I85" s="2">
        <v>116.64</v>
      </c>
      <c r="J85" s="2">
        <v>145.35</v>
      </c>
      <c r="K85" s="2">
        <v>113.82</v>
      </c>
      <c r="L85" s="2">
        <v>208.07</v>
      </c>
      <c r="M85" s="2">
        <v>188.62</v>
      </c>
      <c r="N85" s="2">
        <v>357.94</v>
      </c>
      <c r="O85" s="2">
        <v>148.83000000000001</v>
      </c>
      <c r="P85" s="2">
        <v>273.95999999999998</v>
      </c>
      <c r="Q85" s="2">
        <v>264.47000000000003</v>
      </c>
      <c r="R85" s="2">
        <v>290.38</v>
      </c>
      <c r="S85" s="2">
        <v>178</v>
      </c>
      <c r="T85" s="2">
        <v>131.83000000000001</v>
      </c>
      <c r="U85" s="2">
        <v>172.31</v>
      </c>
      <c r="V85" s="2">
        <v>126.82</v>
      </c>
      <c r="X85" s="1" t="s">
        <v>72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3.51</v>
      </c>
      <c r="AK85" s="2">
        <v>2.4900000000000002</v>
      </c>
      <c r="AL85" s="2">
        <v>2.63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2.93</v>
      </c>
      <c r="AW85" s="2">
        <v>2.97</v>
      </c>
      <c r="AX85" s="2">
        <v>2.27</v>
      </c>
      <c r="AY85" s="2">
        <v>2.81</v>
      </c>
      <c r="AZ85" s="2">
        <v>0.73</v>
      </c>
      <c r="BA85" s="2">
        <v>1.1100000000000001</v>
      </c>
      <c r="BB85" s="2">
        <v>1.88</v>
      </c>
      <c r="BC85" s="2">
        <v>2.35</v>
      </c>
      <c r="BD85" s="2">
        <v>2.04</v>
      </c>
      <c r="BE85" s="2">
        <v>3.11</v>
      </c>
      <c r="BF85" s="2">
        <v>3.79</v>
      </c>
      <c r="BG85" s="2">
        <v>5.59</v>
      </c>
      <c r="BH85" s="2">
        <v>3.06</v>
      </c>
      <c r="BI85" s="2">
        <v>4.08</v>
      </c>
      <c r="BJ85" s="2">
        <v>4.17</v>
      </c>
      <c r="BK85" s="2">
        <v>4.4800000000000004</v>
      </c>
      <c r="BL85" s="2">
        <v>3.38</v>
      </c>
      <c r="BM85" s="2">
        <v>3.44</v>
      </c>
      <c r="BN85" s="2">
        <v>4.28</v>
      </c>
      <c r="BO85" s="2">
        <v>4.2300000000000004</v>
      </c>
      <c r="BR85" s="1" t="s">
        <v>72</v>
      </c>
      <c r="BS85" s="2">
        <v>-0.55000000000000004</v>
      </c>
      <c r="BT85" s="2">
        <v>-0.55000000000000004</v>
      </c>
      <c r="BU85" s="2">
        <v>-0.43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-0.22</v>
      </c>
      <c r="CH85" s="2">
        <v>-0.27</v>
      </c>
      <c r="CI85" s="2">
        <v>-0.14000000000000001</v>
      </c>
      <c r="CJ85" s="2">
        <v>-0.15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7.91</v>
      </c>
      <c r="D86" s="2">
        <v>18.739999999999998</v>
      </c>
      <c r="E86" s="2">
        <v>1.92</v>
      </c>
      <c r="F86" s="2">
        <v>2.71</v>
      </c>
      <c r="G86" s="2">
        <v>0.23</v>
      </c>
      <c r="H86" s="2">
        <v>1.2</v>
      </c>
      <c r="I86" s="2">
        <v>6.76</v>
      </c>
      <c r="J86" s="2">
        <v>17.809999999999999</v>
      </c>
      <c r="K86" s="2">
        <v>15.09</v>
      </c>
      <c r="L86" s="2">
        <v>36.03</v>
      </c>
      <c r="M86" s="2">
        <v>46.2</v>
      </c>
      <c r="N86" s="2">
        <v>44.1</v>
      </c>
      <c r="O86" s="2">
        <v>42.12</v>
      </c>
      <c r="P86" s="2">
        <v>21.99</v>
      </c>
      <c r="Q86" s="2">
        <v>28.01</v>
      </c>
      <c r="R86" s="2">
        <v>12.26</v>
      </c>
      <c r="S86" s="2">
        <v>11.57</v>
      </c>
      <c r="T86" s="2">
        <v>9.25</v>
      </c>
      <c r="U86" s="2">
        <v>24.73</v>
      </c>
      <c r="V86" s="2">
        <v>24.59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1.61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1.92</v>
      </c>
      <c r="BD86" s="2">
        <v>1.81</v>
      </c>
      <c r="BE86" s="2">
        <v>2.27</v>
      </c>
      <c r="BF86" s="2">
        <v>3.6</v>
      </c>
      <c r="BG86" s="2">
        <v>4.0999999999999996</v>
      </c>
      <c r="BH86" s="2">
        <v>3.03</v>
      </c>
      <c r="BI86" s="2">
        <v>3.08</v>
      </c>
      <c r="BJ86" s="2">
        <v>3.75</v>
      </c>
      <c r="BK86" s="2">
        <v>3.65</v>
      </c>
      <c r="BL86" s="2">
        <v>3.23</v>
      </c>
      <c r="BM86" s="2">
        <v>3.08</v>
      </c>
      <c r="BN86" s="2">
        <v>4.1500000000000004</v>
      </c>
      <c r="BO86" s="2">
        <v>3.98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-0.25</v>
      </c>
      <c r="CC86" s="2">
        <v>-0.14000000000000001</v>
      </c>
      <c r="CD86" s="2">
        <v>-0.25</v>
      </c>
      <c r="CE86" s="2">
        <v>-0.18</v>
      </c>
      <c r="CF86" s="2">
        <v>-0.19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-7.0000000000000007E-2</v>
      </c>
      <c r="CL86" s="2">
        <v>-0.03</v>
      </c>
    </row>
    <row r="87" spans="2:90" x14ac:dyDescent="0.3">
      <c r="W87" s="4">
        <f>SUM(C79:V86)/$W$45</f>
        <v>1.5329575720310469E-2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10" t="s">
        <v>63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 t="s">
        <v>64</v>
      </c>
      <c r="AJ90" s="10"/>
      <c r="AK90" s="10"/>
      <c r="AL90" s="10"/>
      <c r="AM90" s="10"/>
      <c r="AN90" s="10"/>
      <c r="AO90" s="10"/>
      <c r="AP90" s="10"/>
      <c r="AQ90" s="10"/>
      <c r="AR90" s="10"/>
      <c r="AU90" s="1" t="s">
        <v>6</v>
      </c>
      <c r="AV90" s="10" t="s">
        <v>63</v>
      </c>
      <c r="AW90" s="10"/>
      <c r="AX90" s="10"/>
      <c r="AY90" s="10"/>
      <c r="AZ90" s="10"/>
      <c r="BA90" s="10"/>
      <c r="BB90" s="10"/>
      <c r="BC90" s="10"/>
      <c r="BD90" s="10"/>
      <c r="BE90" s="10"/>
      <c r="BF90" s="10" t="s">
        <v>64</v>
      </c>
      <c r="BG90" s="10"/>
      <c r="BH90" s="10"/>
      <c r="BI90" s="10"/>
      <c r="BJ90" s="10"/>
      <c r="BK90" s="10"/>
      <c r="BL90" s="10"/>
      <c r="BM90" s="10"/>
      <c r="BN90" s="10"/>
      <c r="BO90" s="10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468.94</v>
      </c>
      <c r="D93" s="2">
        <v>438.28</v>
      </c>
      <c r="E93" s="2">
        <v>27.06</v>
      </c>
      <c r="F93" s="2">
        <v>27.62</v>
      </c>
      <c r="G93" s="2">
        <v>15.99</v>
      </c>
      <c r="H93" s="2">
        <v>29.31</v>
      </c>
      <c r="I93" s="2">
        <v>370.56</v>
      </c>
      <c r="J93" s="2">
        <v>228.6</v>
      </c>
      <c r="K93" s="2">
        <v>576.67999999999995</v>
      </c>
      <c r="L93" s="2">
        <v>251.02</v>
      </c>
      <c r="M93" s="2">
        <v>1148.96</v>
      </c>
      <c r="N93" s="2">
        <v>293.89999999999998</v>
      </c>
      <c r="O93" s="2">
        <v>880.8</v>
      </c>
      <c r="P93" s="2">
        <v>78.42</v>
      </c>
      <c r="Q93" s="2">
        <v>1390.1</v>
      </c>
      <c r="R93" s="2">
        <v>369.43</v>
      </c>
      <c r="S93" s="2">
        <v>77.91</v>
      </c>
      <c r="T93" s="2">
        <v>81.67</v>
      </c>
      <c r="U93" s="2">
        <v>201.19</v>
      </c>
      <c r="V93" s="2">
        <v>126.16</v>
      </c>
      <c r="X93" s="1" t="s">
        <v>66</v>
      </c>
      <c r="Y93" s="2">
        <v>3444.18</v>
      </c>
      <c r="Z93" s="2">
        <v>768.13</v>
      </c>
      <c r="AA93" s="2">
        <v>889.19</v>
      </c>
      <c r="AB93" s="2">
        <v>252.3</v>
      </c>
      <c r="AC93" s="2">
        <v>2627.38</v>
      </c>
      <c r="AD93" s="2">
        <v>5269.48</v>
      </c>
      <c r="AE93" s="2">
        <v>9600.75</v>
      </c>
      <c r="AF93" s="2">
        <v>7008.1</v>
      </c>
      <c r="AG93" s="2">
        <v>5476.17</v>
      </c>
      <c r="AH93" s="2">
        <v>363.92</v>
      </c>
      <c r="AI93" s="2">
        <v>3214.37</v>
      </c>
      <c r="AJ93" s="2">
        <v>292.5</v>
      </c>
      <c r="AK93" s="2">
        <v>802.11</v>
      </c>
      <c r="AL93" s="2">
        <v>416.27</v>
      </c>
      <c r="AM93" s="2">
        <v>1247.3800000000001</v>
      </c>
      <c r="AN93" s="2">
        <v>1231.18</v>
      </c>
      <c r="AO93" s="2">
        <v>1659.55</v>
      </c>
      <c r="AP93" s="2">
        <v>289.12</v>
      </c>
      <c r="AQ93" s="2">
        <v>1490.39</v>
      </c>
      <c r="AR93" s="2">
        <v>224.96</v>
      </c>
      <c r="AU93" s="1" t="s">
        <v>66</v>
      </c>
      <c r="AV93" s="2">
        <v>12254.23</v>
      </c>
      <c r="AW93" s="2">
        <v>43234.22</v>
      </c>
      <c r="AX93" s="2">
        <v>13596.19</v>
      </c>
      <c r="AY93" s="2">
        <v>3875.95</v>
      </c>
      <c r="AZ93" s="2">
        <v>15820.14</v>
      </c>
      <c r="BA93" s="2">
        <v>19692.52</v>
      </c>
      <c r="BB93" s="2">
        <v>36608.49</v>
      </c>
      <c r="BC93" s="2">
        <v>28648.85</v>
      </c>
      <c r="BD93" s="2">
        <v>39786.39</v>
      </c>
      <c r="BE93" s="2">
        <v>35076.660000000003</v>
      </c>
      <c r="BF93" s="2">
        <v>12034.5</v>
      </c>
      <c r="BG93" s="2">
        <v>28192.95</v>
      </c>
      <c r="BH93" s="2">
        <v>12333.74</v>
      </c>
      <c r="BI93" s="2">
        <v>5108.83</v>
      </c>
      <c r="BJ93" s="2">
        <v>15424.94</v>
      </c>
      <c r="BK93" s="2">
        <v>19351.62</v>
      </c>
      <c r="BL93" s="2">
        <v>35225.69</v>
      </c>
      <c r="BM93" s="2">
        <v>27866.98</v>
      </c>
      <c r="BN93" s="2">
        <v>38191.49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166.2</v>
      </c>
      <c r="D94" s="2">
        <v>101.11</v>
      </c>
      <c r="E94" s="2">
        <v>71.62</v>
      </c>
      <c r="F94" s="2">
        <v>55.02</v>
      </c>
      <c r="G94" s="2">
        <v>34.85</v>
      </c>
      <c r="H94" s="2">
        <v>33.94</v>
      </c>
      <c r="I94" s="2">
        <v>149.54</v>
      </c>
      <c r="J94" s="2">
        <v>221.14</v>
      </c>
      <c r="K94" s="2">
        <v>210.24</v>
      </c>
      <c r="L94" s="2">
        <v>186.48</v>
      </c>
      <c r="M94" s="2">
        <v>468.28</v>
      </c>
      <c r="N94" s="2">
        <v>377.91</v>
      </c>
      <c r="O94" s="2">
        <v>380.47</v>
      </c>
      <c r="P94" s="2">
        <v>335.01</v>
      </c>
      <c r="Q94" s="2">
        <v>491.13</v>
      </c>
      <c r="R94" s="2">
        <v>373.95</v>
      </c>
      <c r="S94" s="2">
        <v>404.31</v>
      </c>
      <c r="T94" s="2">
        <v>290.89999999999998</v>
      </c>
      <c r="U94" s="2">
        <v>637.34</v>
      </c>
      <c r="V94" s="2">
        <v>323.68</v>
      </c>
      <c r="X94" s="1" t="s">
        <v>67</v>
      </c>
      <c r="Y94" s="2">
        <v>1203.55</v>
      </c>
      <c r="Z94" s="2">
        <v>3942.91</v>
      </c>
      <c r="AA94" s="2">
        <v>1327.35</v>
      </c>
      <c r="AB94" s="2">
        <v>302.81</v>
      </c>
      <c r="AC94" s="2">
        <v>1748.92</v>
      </c>
      <c r="AD94" s="2">
        <v>2028.49</v>
      </c>
      <c r="AE94" s="2">
        <v>3518.51</v>
      </c>
      <c r="AF94" s="2">
        <v>2289.9899999999998</v>
      </c>
      <c r="AG94" s="2">
        <v>2881.25</v>
      </c>
      <c r="AH94" s="2">
        <v>2545.84</v>
      </c>
      <c r="AI94" s="2">
        <v>697.52</v>
      </c>
      <c r="AJ94" s="2">
        <v>2271.88</v>
      </c>
      <c r="AK94" s="2">
        <v>806.44</v>
      </c>
      <c r="AL94" s="2">
        <v>375.11</v>
      </c>
      <c r="AM94" s="2">
        <v>1010.29</v>
      </c>
      <c r="AN94" s="2">
        <v>1171.1199999999999</v>
      </c>
      <c r="AO94" s="2">
        <v>2127.52</v>
      </c>
      <c r="AP94" s="2">
        <v>1922.72</v>
      </c>
      <c r="AQ94" s="2">
        <v>2611.56</v>
      </c>
      <c r="AR94" s="2">
        <v>1729.17</v>
      </c>
      <c r="AU94" s="1" t="s">
        <v>67</v>
      </c>
      <c r="AV94" s="2">
        <v>7269.2</v>
      </c>
      <c r="AW94" s="2">
        <v>24263.99</v>
      </c>
      <c r="AX94" s="2">
        <v>7481.84</v>
      </c>
      <c r="AY94" s="2">
        <v>1687.49</v>
      </c>
      <c r="AZ94" s="2">
        <v>9924.84</v>
      </c>
      <c r="BA94" s="2">
        <v>12382.91</v>
      </c>
      <c r="BB94" s="2">
        <v>21789.85</v>
      </c>
      <c r="BC94" s="2">
        <v>13885.92</v>
      </c>
      <c r="BD94" s="2">
        <v>17492.830000000002</v>
      </c>
      <c r="BE94" s="2">
        <v>15421.12</v>
      </c>
      <c r="BF94" s="2">
        <v>4182.55</v>
      </c>
      <c r="BG94" s="2">
        <v>13681.52</v>
      </c>
      <c r="BH94" s="2">
        <v>4505.62</v>
      </c>
      <c r="BI94" s="2">
        <v>2093.14</v>
      </c>
      <c r="BJ94" s="2">
        <v>5638.35</v>
      </c>
      <c r="BK94" s="2">
        <v>7029.48</v>
      </c>
      <c r="BL94" s="2">
        <v>12793.04</v>
      </c>
      <c r="BM94" s="2">
        <v>11579.97</v>
      </c>
      <c r="BN94" s="2">
        <v>15791.08</v>
      </c>
      <c r="BO94" s="2">
        <v>10375.51</v>
      </c>
      <c r="BR94" s="1" t="s">
        <v>67</v>
      </c>
      <c r="BS94" s="2">
        <v>1.59</v>
      </c>
      <c r="BT94" s="2">
        <v>0.93</v>
      </c>
      <c r="BU94" s="2">
        <v>1.26</v>
      </c>
      <c r="BV94" s="2">
        <v>0.8</v>
      </c>
      <c r="BW94" s="2">
        <v>0.49</v>
      </c>
      <c r="BX94" s="2">
        <v>0.4</v>
      </c>
      <c r="BY94" s="2">
        <v>1.86</v>
      </c>
      <c r="BZ94" s="2">
        <v>2.15</v>
      </c>
      <c r="CA94" s="2">
        <v>2.56</v>
      </c>
      <c r="CB94" s="2">
        <v>2.0699999999999998</v>
      </c>
      <c r="CC94" s="2">
        <v>5.83</v>
      </c>
      <c r="CD94" s="2">
        <v>3.85</v>
      </c>
      <c r="CE94" s="2">
        <v>4.2300000000000004</v>
      </c>
      <c r="CF94" s="2">
        <v>3.44</v>
      </c>
      <c r="CG94" s="2">
        <v>5.23</v>
      </c>
      <c r="CH94" s="2">
        <v>3.91</v>
      </c>
      <c r="CI94" s="2">
        <v>4.42</v>
      </c>
      <c r="CJ94" s="2">
        <v>2.91</v>
      </c>
      <c r="CK94" s="2">
        <v>4.79</v>
      </c>
      <c r="CL94" s="2">
        <v>2.78</v>
      </c>
    </row>
    <row r="95" spans="2:90" x14ac:dyDescent="0.3">
      <c r="B95" s="1" t="s">
        <v>68</v>
      </c>
      <c r="C95" s="2">
        <v>4783.38</v>
      </c>
      <c r="D95" s="2">
        <v>377.55</v>
      </c>
      <c r="E95" s="2">
        <v>2103.38</v>
      </c>
      <c r="F95" s="2">
        <v>141.97999999999999</v>
      </c>
      <c r="G95" s="2">
        <v>1257.8900000000001</v>
      </c>
      <c r="H95" s="2">
        <v>782.25</v>
      </c>
      <c r="I95" s="2">
        <v>3685.76</v>
      </c>
      <c r="J95" s="2">
        <v>1539.5</v>
      </c>
      <c r="K95" s="2">
        <v>4045.49</v>
      </c>
      <c r="L95" s="2">
        <v>1652.92</v>
      </c>
      <c r="M95" s="2">
        <v>7972.49</v>
      </c>
      <c r="N95" s="2">
        <v>3159.41</v>
      </c>
      <c r="O95" s="2">
        <v>7415.93</v>
      </c>
      <c r="P95" s="2">
        <v>2780.06</v>
      </c>
      <c r="Q95" s="2">
        <v>9503.66</v>
      </c>
      <c r="R95" s="2">
        <v>2959.88</v>
      </c>
      <c r="S95" s="2">
        <v>3207.74</v>
      </c>
      <c r="T95" s="2">
        <v>2397.39</v>
      </c>
      <c r="U95" s="2">
        <v>2736.34</v>
      </c>
      <c r="V95" s="2">
        <v>2395.7800000000002</v>
      </c>
      <c r="X95" s="1" t="s">
        <v>68</v>
      </c>
      <c r="Y95" s="2">
        <v>6208.11</v>
      </c>
      <c r="Z95" s="2">
        <v>7172.14</v>
      </c>
      <c r="AA95" s="2">
        <v>6538.1</v>
      </c>
      <c r="AB95" s="2">
        <v>2533.61</v>
      </c>
      <c r="AC95" s="2">
        <v>6208.32</v>
      </c>
      <c r="AD95" s="2">
        <v>11314.16</v>
      </c>
      <c r="AE95" s="2">
        <v>21815.11</v>
      </c>
      <c r="AF95" s="2">
        <v>16130.41</v>
      </c>
      <c r="AG95" s="2">
        <v>20431.52</v>
      </c>
      <c r="AH95" s="2">
        <v>8459.59</v>
      </c>
      <c r="AI95" s="2">
        <v>1701.14</v>
      </c>
      <c r="AJ95" s="2">
        <v>6408.94</v>
      </c>
      <c r="AK95" s="2">
        <v>1803.77</v>
      </c>
      <c r="AL95" s="2">
        <v>2261.0700000000002</v>
      </c>
      <c r="AM95" s="2">
        <v>3860.04</v>
      </c>
      <c r="AN95" s="2">
        <v>3935.87</v>
      </c>
      <c r="AO95" s="2">
        <v>7021.75</v>
      </c>
      <c r="AP95" s="2">
        <v>5926.84</v>
      </c>
      <c r="AQ95" s="2">
        <v>7306.5</v>
      </c>
      <c r="AR95" s="2">
        <v>5292.15</v>
      </c>
      <c r="AU95" s="1" t="s">
        <v>68</v>
      </c>
      <c r="AV95" s="2">
        <v>21363.279999999999</v>
      </c>
      <c r="AW95" s="2">
        <v>42890.61</v>
      </c>
      <c r="AX95" s="2">
        <v>23797.119999999999</v>
      </c>
      <c r="AY95" s="2">
        <v>5337</v>
      </c>
      <c r="AZ95" s="2">
        <v>27727.57</v>
      </c>
      <c r="BA95" s="2">
        <v>32068.240000000002</v>
      </c>
      <c r="BB95" s="2">
        <v>59146.92</v>
      </c>
      <c r="BC95" s="2">
        <v>41119.43</v>
      </c>
      <c r="BD95" s="2">
        <v>51130.8</v>
      </c>
      <c r="BE95" s="2">
        <v>42212.59</v>
      </c>
      <c r="BF95" s="2">
        <v>10198.93</v>
      </c>
      <c r="BG95" s="2">
        <v>37192.1</v>
      </c>
      <c r="BH95" s="2">
        <v>10073.68</v>
      </c>
      <c r="BI95" s="2">
        <v>6644.14</v>
      </c>
      <c r="BJ95" s="2">
        <v>18288.73</v>
      </c>
      <c r="BK95" s="2">
        <v>21674</v>
      </c>
      <c r="BL95" s="2">
        <v>38349.89</v>
      </c>
      <c r="BM95" s="2">
        <v>31505.53</v>
      </c>
      <c r="BN95" s="2">
        <v>42240.54</v>
      </c>
      <c r="BO95" s="2">
        <v>30299.7</v>
      </c>
      <c r="BR95" s="1" t="s">
        <v>68</v>
      </c>
      <c r="BS95" s="2">
        <v>4.68</v>
      </c>
      <c r="BT95" s="2">
        <v>1.18</v>
      </c>
      <c r="BU95" s="2">
        <v>4.84</v>
      </c>
      <c r="BV95" s="2">
        <v>0.9</v>
      </c>
      <c r="BW95" s="2">
        <v>0.9</v>
      </c>
      <c r="BX95" s="2">
        <v>0.9</v>
      </c>
      <c r="BY95" s="2">
        <v>5.76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5.21</v>
      </c>
      <c r="CK95" s="2">
        <v>6.88</v>
      </c>
      <c r="CL95" s="2">
        <v>5.94</v>
      </c>
    </row>
    <row r="96" spans="2:90" x14ac:dyDescent="0.3">
      <c r="B96" s="1" t="s">
        <v>69</v>
      </c>
      <c r="C96" s="2">
        <v>995.03</v>
      </c>
      <c r="D96" s="2">
        <v>190.51</v>
      </c>
      <c r="E96" s="2">
        <v>423.24</v>
      </c>
      <c r="F96" s="2">
        <v>65.760000000000005</v>
      </c>
      <c r="G96" s="2">
        <v>318.39999999999998</v>
      </c>
      <c r="H96" s="2">
        <v>324.48</v>
      </c>
      <c r="I96" s="2">
        <v>900.95</v>
      </c>
      <c r="J96" s="2">
        <v>527.41</v>
      </c>
      <c r="K96" s="2">
        <v>1147.6300000000001</v>
      </c>
      <c r="L96" s="2">
        <v>497.48</v>
      </c>
      <c r="M96" s="2">
        <v>2081.9499999999998</v>
      </c>
      <c r="N96" s="2">
        <v>895.63</v>
      </c>
      <c r="O96" s="2">
        <v>1816.12</v>
      </c>
      <c r="P96" s="2">
        <v>757.73</v>
      </c>
      <c r="Q96" s="2">
        <v>1556.67</v>
      </c>
      <c r="R96" s="2">
        <v>802.96</v>
      </c>
      <c r="S96" s="2">
        <v>647.99</v>
      </c>
      <c r="T96" s="2">
        <v>723.6</v>
      </c>
      <c r="U96" s="2">
        <v>842.96</v>
      </c>
      <c r="V96" s="2">
        <v>789.69</v>
      </c>
      <c r="X96" s="1" t="s">
        <v>69</v>
      </c>
      <c r="Y96" s="2">
        <v>1725.23</v>
      </c>
      <c r="Z96" s="2">
        <v>2387.08</v>
      </c>
      <c r="AA96" s="2">
        <v>1910.68</v>
      </c>
      <c r="AB96" s="2">
        <v>578.11</v>
      </c>
      <c r="AC96" s="2">
        <v>2089.5100000000002</v>
      </c>
      <c r="AD96" s="2">
        <v>2506.9</v>
      </c>
      <c r="AE96" s="2">
        <v>4496.5600000000004</v>
      </c>
      <c r="AF96" s="2">
        <v>3548.13</v>
      </c>
      <c r="AG96" s="2">
        <v>3254.32</v>
      </c>
      <c r="AH96" s="2">
        <v>1978.32</v>
      </c>
      <c r="AI96" s="2">
        <v>636.16999999999996</v>
      </c>
      <c r="AJ96" s="2">
        <v>2272.5500000000002</v>
      </c>
      <c r="AK96" s="2">
        <v>707.91</v>
      </c>
      <c r="AL96" s="2">
        <v>721.27</v>
      </c>
      <c r="AM96" s="2">
        <v>1148.81</v>
      </c>
      <c r="AN96" s="2">
        <v>1240.33</v>
      </c>
      <c r="AO96" s="2">
        <v>2133.66</v>
      </c>
      <c r="AP96" s="2">
        <v>1749.35</v>
      </c>
      <c r="AQ96" s="2">
        <v>2179.5700000000002</v>
      </c>
      <c r="AR96" s="2">
        <v>1816.42</v>
      </c>
      <c r="AU96" s="1" t="s">
        <v>69</v>
      </c>
      <c r="AV96" s="2">
        <v>5679.67</v>
      </c>
      <c r="AW96" s="2">
        <v>13728.77</v>
      </c>
      <c r="AX96" s="2">
        <v>6650.61</v>
      </c>
      <c r="AY96" s="2">
        <v>1760.67</v>
      </c>
      <c r="AZ96" s="2">
        <v>7548.41</v>
      </c>
      <c r="BA96" s="2">
        <v>9500.4699999999993</v>
      </c>
      <c r="BB96" s="2">
        <v>17057.48</v>
      </c>
      <c r="BC96" s="2">
        <v>13266.21</v>
      </c>
      <c r="BD96" s="2">
        <v>16303.9</v>
      </c>
      <c r="BE96" s="2">
        <v>11854.58</v>
      </c>
      <c r="BF96" s="2">
        <v>3340.14</v>
      </c>
      <c r="BG96" s="2">
        <v>12839.79</v>
      </c>
      <c r="BH96" s="2">
        <v>3950.9</v>
      </c>
      <c r="BI96" s="2">
        <v>2404.63</v>
      </c>
      <c r="BJ96" s="2">
        <v>6416.6</v>
      </c>
      <c r="BK96" s="2">
        <v>7433.5</v>
      </c>
      <c r="BL96" s="2">
        <v>12638.88</v>
      </c>
      <c r="BM96" s="2">
        <v>10411.51</v>
      </c>
      <c r="BN96" s="2">
        <v>12898.07</v>
      </c>
      <c r="BO96" s="2">
        <v>10263.44</v>
      </c>
      <c r="BR96" s="1" t="s">
        <v>69</v>
      </c>
      <c r="BS96" s="2">
        <v>2.34</v>
      </c>
      <c r="BT96" s="2">
        <v>1.1399999999999999</v>
      </c>
      <c r="BU96" s="2">
        <v>2.34</v>
      </c>
      <c r="BV96" s="2">
        <v>0.78</v>
      </c>
      <c r="BW96" s="2">
        <v>0.9</v>
      </c>
      <c r="BX96" s="2">
        <v>0.9</v>
      </c>
      <c r="BY96" s="2">
        <v>2.88</v>
      </c>
      <c r="BZ96" s="2">
        <v>2.74</v>
      </c>
      <c r="CA96" s="2">
        <v>3.6</v>
      </c>
      <c r="CB96" s="2">
        <v>2.91</v>
      </c>
      <c r="CC96" s="2">
        <v>6.48</v>
      </c>
      <c r="CD96" s="2">
        <v>4.9400000000000004</v>
      </c>
      <c r="CE96" s="2">
        <v>5.22</v>
      </c>
      <c r="CF96" s="2">
        <v>4.07</v>
      </c>
      <c r="CG96" s="2">
        <v>6.84</v>
      </c>
      <c r="CH96" s="2">
        <v>4.76</v>
      </c>
      <c r="CI96" s="2">
        <v>4.25</v>
      </c>
      <c r="CJ96" s="2">
        <v>3.7</v>
      </c>
      <c r="CK96" s="2">
        <v>4.82</v>
      </c>
      <c r="CL96" s="2">
        <v>4.4000000000000004</v>
      </c>
    </row>
    <row r="97" spans="2:90" x14ac:dyDescent="0.3">
      <c r="B97" s="1" t="s">
        <v>70</v>
      </c>
      <c r="C97" s="2">
        <v>2995.03</v>
      </c>
      <c r="D97" s="2">
        <v>2850.67</v>
      </c>
      <c r="E97" s="2">
        <v>1514.31</v>
      </c>
      <c r="F97" s="2">
        <v>661.86</v>
      </c>
      <c r="G97" s="2">
        <v>961.75</v>
      </c>
      <c r="H97" s="2">
        <v>924.7</v>
      </c>
      <c r="I97" s="2">
        <v>1220.52</v>
      </c>
      <c r="J97" s="2">
        <v>2951.77</v>
      </c>
      <c r="K97" s="2">
        <v>3064.03</v>
      </c>
      <c r="L97" s="2">
        <v>3470.03</v>
      </c>
      <c r="M97" s="2">
        <v>4812.26</v>
      </c>
      <c r="N97" s="2">
        <v>4466.88</v>
      </c>
      <c r="O97" s="2">
        <v>3386.86</v>
      </c>
      <c r="P97" s="2">
        <v>3259.18</v>
      </c>
      <c r="Q97" s="2">
        <v>3596.67</v>
      </c>
      <c r="R97" s="2">
        <v>3585.71</v>
      </c>
      <c r="S97" s="2">
        <v>2914.46</v>
      </c>
      <c r="T97" s="2">
        <v>2563.5</v>
      </c>
      <c r="U97" s="2">
        <v>4141.28</v>
      </c>
      <c r="V97" s="2">
        <v>3227.88</v>
      </c>
      <c r="X97" s="1" t="s">
        <v>70</v>
      </c>
      <c r="Y97" s="2">
        <v>6073.58</v>
      </c>
      <c r="Z97" s="2">
        <v>13519.93</v>
      </c>
      <c r="AA97" s="2">
        <v>8331.5</v>
      </c>
      <c r="AB97" s="2">
        <v>2344.1</v>
      </c>
      <c r="AC97" s="2">
        <v>6477.3</v>
      </c>
      <c r="AD97" s="2">
        <v>9150.48</v>
      </c>
      <c r="AE97" s="2">
        <v>14402.67</v>
      </c>
      <c r="AF97" s="2">
        <v>10498.91</v>
      </c>
      <c r="AG97" s="2">
        <v>12420.28</v>
      </c>
      <c r="AH97" s="2">
        <v>10083.25</v>
      </c>
      <c r="AI97" s="2">
        <v>6253.68</v>
      </c>
      <c r="AJ97" s="2">
        <v>15502.19</v>
      </c>
      <c r="AK97" s="2">
        <v>6638.22</v>
      </c>
      <c r="AL97" s="2">
        <v>2630.97</v>
      </c>
      <c r="AM97" s="2">
        <v>7907.29</v>
      </c>
      <c r="AN97" s="2">
        <v>9853.58</v>
      </c>
      <c r="AO97" s="2">
        <v>14563.45</v>
      </c>
      <c r="AP97" s="2">
        <v>11496.17</v>
      </c>
      <c r="AQ97" s="2">
        <v>12826.29</v>
      </c>
      <c r="AR97" s="2">
        <v>10897.99</v>
      </c>
      <c r="AU97" s="1" t="s">
        <v>70</v>
      </c>
      <c r="AV97" s="2">
        <v>20456.22</v>
      </c>
      <c r="AW97" s="2">
        <v>80296.070000000007</v>
      </c>
      <c r="AX97" s="2">
        <v>31800.15</v>
      </c>
      <c r="AY97" s="2">
        <v>7780.9</v>
      </c>
      <c r="AZ97" s="2">
        <v>35928.300000000003</v>
      </c>
      <c r="BA97" s="2">
        <v>47650.52</v>
      </c>
      <c r="BB97" s="2">
        <v>83772.929999999993</v>
      </c>
      <c r="BC97" s="2">
        <v>62624.59</v>
      </c>
      <c r="BD97" s="2">
        <v>73934.720000000001</v>
      </c>
      <c r="BE97" s="2">
        <v>59834.35</v>
      </c>
      <c r="BF97" s="2">
        <v>27144.62</v>
      </c>
      <c r="BG97" s="2">
        <v>92925.31</v>
      </c>
      <c r="BH97" s="2">
        <v>37008.629999999997</v>
      </c>
      <c r="BI97" s="2">
        <v>9018.2199999999993</v>
      </c>
      <c r="BJ97" s="2">
        <v>32979.910000000003</v>
      </c>
      <c r="BK97" s="2">
        <v>47403.42</v>
      </c>
      <c r="BL97" s="2">
        <v>87584.75</v>
      </c>
      <c r="BM97" s="2">
        <v>68841.08</v>
      </c>
      <c r="BN97" s="2">
        <v>76452.81</v>
      </c>
      <c r="BO97" s="2">
        <v>64855.71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1.42</v>
      </c>
      <c r="BW97" s="2">
        <v>0.9</v>
      </c>
      <c r="BX97" s="2">
        <v>0.9</v>
      </c>
      <c r="BY97" s="2">
        <v>1.75</v>
      </c>
      <c r="BZ97" s="2">
        <v>2.88</v>
      </c>
      <c r="CA97" s="2">
        <v>3.6</v>
      </c>
      <c r="CB97" s="2">
        <v>3.6</v>
      </c>
      <c r="CC97" s="2">
        <v>6.48</v>
      </c>
      <c r="CD97" s="2">
        <v>6.02</v>
      </c>
      <c r="CE97" s="2">
        <v>4.6500000000000004</v>
      </c>
      <c r="CF97" s="2">
        <v>4.3899999999999997</v>
      </c>
      <c r="CG97" s="2">
        <v>5.05</v>
      </c>
      <c r="CH97" s="2">
        <v>5.15</v>
      </c>
      <c r="CI97" s="2">
        <v>4.1399999999999997</v>
      </c>
      <c r="CJ97" s="2">
        <v>3.7</v>
      </c>
      <c r="CK97" s="2">
        <v>5.23</v>
      </c>
      <c r="CL97" s="2">
        <v>3.81</v>
      </c>
    </row>
    <row r="98" spans="2:90" x14ac:dyDescent="0.3">
      <c r="B98" s="1" t="s">
        <v>71</v>
      </c>
      <c r="C98" s="2">
        <v>629.01</v>
      </c>
      <c r="D98" s="2">
        <v>569.66999999999996</v>
      </c>
      <c r="E98" s="2">
        <v>265.11</v>
      </c>
      <c r="F98" s="2">
        <v>190.87</v>
      </c>
      <c r="G98" s="2">
        <v>172.85</v>
      </c>
      <c r="H98" s="2">
        <v>155.18</v>
      </c>
      <c r="I98" s="2">
        <v>166.26</v>
      </c>
      <c r="J98" s="2">
        <v>447.68</v>
      </c>
      <c r="K98" s="2">
        <v>205.68</v>
      </c>
      <c r="L98" s="2">
        <v>639.35</v>
      </c>
      <c r="M98" s="2">
        <v>502.04</v>
      </c>
      <c r="N98" s="2">
        <v>960.62</v>
      </c>
      <c r="O98" s="2">
        <v>401.08</v>
      </c>
      <c r="P98" s="2">
        <v>582.46</v>
      </c>
      <c r="Q98" s="2">
        <v>533.01</v>
      </c>
      <c r="R98" s="2">
        <v>858.62</v>
      </c>
      <c r="S98" s="2">
        <v>480.32</v>
      </c>
      <c r="T98" s="2">
        <v>569.97</v>
      </c>
      <c r="U98" s="2">
        <v>582.41999999999996</v>
      </c>
      <c r="V98" s="2">
        <v>322.63</v>
      </c>
      <c r="X98" s="1" t="s">
        <v>71</v>
      </c>
      <c r="Y98" s="2">
        <v>1135.8499999999999</v>
      </c>
      <c r="Z98" s="2">
        <v>3455.22</v>
      </c>
      <c r="AA98" s="2">
        <v>2212.12</v>
      </c>
      <c r="AB98" s="2">
        <v>572.30999999999995</v>
      </c>
      <c r="AC98" s="2">
        <v>1516.2</v>
      </c>
      <c r="AD98" s="2">
        <v>1775.04</v>
      </c>
      <c r="AE98" s="2">
        <v>3329.8</v>
      </c>
      <c r="AF98" s="2">
        <v>2673.88</v>
      </c>
      <c r="AG98" s="2">
        <v>3425.56</v>
      </c>
      <c r="AH98" s="2">
        <v>2857.58</v>
      </c>
      <c r="AI98" s="2">
        <v>1205.3</v>
      </c>
      <c r="AJ98" s="2">
        <v>3542.75</v>
      </c>
      <c r="AK98" s="2">
        <v>1836.89</v>
      </c>
      <c r="AL98" s="2">
        <v>654.84</v>
      </c>
      <c r="AM98" s="2">
        <v>1721.97</v>
      </c>
      <c r="AN98" s="2">
        <v>2867.72</v>
      </c>
      <c r="AO98" s="2">
        <v>5339.58</v>
      </c>
      <c r="AP98" s="2">
        <v>3640.76</v>
      </c>
      <c r="AQ98" s="2">
        <v>4583.3999999999996</v>
      </c>
      <c r="AR98" s="2">
        <v>3743.36</v>
      </c>
      <c r="AU98" s="1" t="s">
        <v>71</v>
      </c>
      <c r="AV98" s="2">
        <v>5473.41</v>
      </c>
      <c r="AW98" s="2">
        <v>16686.53</v>
      </c>
      <c r="AX98" s="2">
        <v>7749.12</v>
      </c>
      <c r="AY98" s="2">
        <v>1623.72</v>
      </c>
      <c r="AZ98" s="2">
        <v>6773.88</v>
      </c>
      <c r="BA98" s="2">
        <v>8550.9599999999991</v>
      </c>
      <c r="BB98" s="2">
        <v>16229.72</v>
      </c>
      <c r="BC98" s="2">
        <v>12970.98</v>
      </c>
      <c r="BD98" s="2">
        <v>16676.560000000001</v>
      </c>
      <c r="BE98" s="2">
        <v>13816.34</v>
      </c>
      <c r="BF98" s="2">
        <v>5824.36</v>
      </c>
      <c r="BG98" s="2">
        <v>17168.5</v>
      </c>
      <c r="BH98" s="2">
        <v>8503.65</v>
      </c>
      <c r="BI98" s="2">
        <v>1980.69</v>
      </c>
      <c r="BJ98" s="2">
        <v>5262.27</v>
      </c>
      <c r="BK98" s="2">
        <v>10748.42</v>
      </c>
      <c r="BL98" s="2">
        <v>20626.419999999998</v>
      </c>
      <c r="BM98" s="2">
        <v>16382.29</v>
      </c>
      <c r="BN98" s="2">
        <v>20621.48</v>
      </c>
      <c r="BO98" s="2">
        <v>18593.990000000002</v>
      </c>
      <c r="BR98" s="1" t="s">
        <v>71</v>
      </c>
      <c r="BS98" s="2">
        <v>4.1900000000000004</v>
      </c>
      <c r="BT98" s="2">
        <v>4.0999999999999996</v>
      </c>
      <c r="BU98" s="2">
        <v>2.34</v>
      </c>
      <c r="BV98" s="2">
        <v>3.41</v>
      </c>
      <c r="BW98" s="2">
        <v>0.9</v>
      </c>
      <c r="BX98" s="2">
        <v>0.9</v>
      </c>
      <c r="BY98" s="2">
        <v>1.74</v>
      </c>
      <c r="BZ98" s="2">
        <v>2.88</v>
      </c>
      <c r="CA98" s="2">
        <v>2.14</v>
      </c>
      <c r="CB98" s="2">
        <v>3.6</v>
      </c>
      <c r="CC98" s="2">
        <v>4.58</v>
      </c>
      <c r="CD98" s="2">
        <v>6.48</v>
      </c>
      <c r="CE98" s="2">
        <v>3.62</v>
      </c>
      <c r="CF98" s="2">
        <v>5.22</v>
      </c>
      <c r="CG98" s="2">
        <v>4.6900000000000004</v>
      </c>
      <c r="CH98" s="2">
        <v>6.84</v>
      </c>
      <c r="CI98" s="2">
        <v>3.9</v>
      </c>
      <c r="CJ98" s="2">
        <v>5.75</v>
      </c>
      <c r="CK98" s="2">
        <v>4.5199999999999996</v>
      </c>
      <c r="CL98" s="2">
        <v>3.86</v>
      </c>
    </row>
    <row r="99" spans="2:90" x14ac:dyDescent="0.3">
      <c r="B99" s="1" t="s">
        <v>72</v>
      </c>
      <c r="C99" s="2">
        <v>3669.28</v>
      </c>
      <c r="D99" s="2">
        <v>4089.79</v>
      </c>
      <c r="E99" s="2">
        <v>1031.44</v>
      </c>
      <c r="F99" s="2">
        <v>1414.78</v>
      </c>
      <c r="G99" s="2">
        <v>554.53</v>
      </c>
      <c r="H99" s="2">
        <v>1254.74</v>
      </c>
      <c r="I99" s="2">
        <v>1288.77</v>
      </c>
      <c r="J99" s="2">
        <v>2632.8</v>
      </c>
      <c r="K99" s="2">
        <v>1221.45</v>
      </c>
      <c r="L99" s="2">
        <v>3520.94</v>
      </c>
      <c r="M99" s="2">
        <v>2529.0300000000002</v>
      </c>
      <c r="N99" s="2">
        <v>5946.89</v>
      </c>
      <c r="O99" s="2">
        <v>2132.44</v>
      </c>
      <c r="P99" s="2">
        <v>4179.26</v>
      </c>
      <c r="Q99" s="2">
        <v>3498.82</v>
      </c>
      <c r="R99" s="2">
        <v>4019.34</v>
      </c>
      <c r="S99" s="2">
        <v>2525.56</v>
      </c>
      <c r="T99" s="2">
        <v>2311.37</v>
      </c>
      <c r="U99" s="2">
        <v>2986.41</v>
      </c>
      <c r="V99" s="2">
        <v>2566.12</v>
      </c>
      <c r="X99" s="1" t="s">
        <v>72</v>
      </c>
      <c r="Y99" s="2">
        <v>6360.81</v>
      </c>
      <c r="Z99" s="2">
        <v>10995.29</v>
      </c>
      <c r="AA99" s="2">
        <v>5173.25</v>
      </c>
      <c r="AB99" s="2">
        <v>2062.3200000000002</v>
      </c>
      <c r="AC99" s="2">
        <v>6177.72</v>
      </c>
      <c r="AD99" s="2">
        <v>5823.82</v>
      </c>
      <c r="AE99" s="2">
        <v>11492.72</v>
      </c>
      <c r="AF99" s="2">
        <v>9333.7000000000007</v>
      </c>
      <c r="AG99" s="2">
        <v>13406.74</v>
      </c>
      <c r="AH99" s="2">
        <v>8882.23</v>
      </c>
      <c r="AI99" s="2">
        <v>6589.92</v>
      </c>
      <c r="AJ99" s="2">
        <v>11069.45</v>
      </c>
      <c r="AK99" s="2">
        <v>7120.45</v>
      </c>
      <c r="AL99" s="2">
        <v>2486.59</v>
      </c>
      <c r="AM99" s="2">
        <v>8546.61</v>
      </c>
      <c r="AN99" s="2">
        <v>13315.09</v>
      </c>
      <c r="AO99" s="2">
        <v>24126.38</v>
      </c>
      <c r="AP99" s="2">
        <v>17062.72</v>
      </c>
      <c r="AQ99" s="2">
        <v>16054.88</v>
      </c>
      <c r="AR99" s="2">
        <v>9485.4599999999991</v>
      </c>
      <c r="AU99" s="1" t="s">
        <v>72</v>
      </c>
      <c r="AV99" s="2">
        <v>20296.669999999998</v>
      </c>
      <c r="AW99" s="2">
        <v>53572.99</v>
      </c>
      <c r="AX99" s="2">
        <v>23957.98</v>
      </c>
      <c r="AY99" s="2">
        <v>5182.59</v>
      </c>
      <c r="AZ99" s="2">
        <v>23100.94</v>
      </c>
      <c r="BA99" s="2">
        <v>27883.66</v>
      </c>
      <c r="BB99" s="2">
        <v>51462.6</v>
      </c>
      <c r="BC99" s="2">
        <v>41482.839999999997</v>
      </c>
      <c r="BD99" s="2">
        <v>54772.77</v>
      </c>
      <c r="BE99" s="2">
        <v>43236.43</v>
      </c>
      <c r="BF99" s="2">
        <v>21104.84</v>
      </c>
      <c r="BG99" s="2">
        <v>54023.98</v>
      </c>
      <c r="BH99" s="2">
        <v>27045.98</v>
      </c>
      <c r="BI99" s="2">
        <v>7815.02</v>
      </c>
      <c r="BJ99" s="2">
        <v>17868.37</v>
      </c>
      <c r="BK99" s="2">
        <v>34920.82</v>
      </c>
      <c r="BL99" s="2">
        <v>63964.31</v>
      </c>
      <c r="BM99" s="2">
        <v>49646.27</v>
      </c>
      <c r="BN99" s="2">
        <v>58304.08</v>
      </c>
      <c r="BO99" s="2">
        <v>46464.28</v>
      </c>
      <c r="BR99" s="1" t="s">
        <v>72</v>
      </c>
      <c r="BS99" s="2">
        <v>4.68</v>
      </c>
      <c r="BT99" s="2">
        <v>4.68</v>
      </c>
      <c r="BU99" s="2">
        <v>4.16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5.96</v>
      </c>
      <c r="CJ99" s="2">
        <v>6.11</v>
      </c>
      <c r="CK99" s="2">
        <v>7.09</v>
      </c>
      <c r="CL99" s="2">
        <v>6.84</v>
      </c>
    </row>
    <row r="100" spans="2:90" x14ac:dyDescent="0.3">
      <c r="B100" s="1" t="s">
        <v>73</v>
      </c>
      <c r="C100" s="2">
        <v>440.49</v>
      </c>
      <c r="D100" s="2">
        <v>623.79</v>
      </c>
      <c r="E100" s="2">
        <v>74.36</v>
      </c>
      <c r="F100" s="2">
        <v>84.07</v>
      </c>
      <c r="G100" s="2">
        <v>23.6</v>
      </c>
      <c r="H100" s="2">
        <v>62.43</v>
      </c>
      <c r="I100" s="2">
        <v>222.94</v>
      </c>
      <c r="J100" s="2">
        <v>855.82</v>
      </c>
      <c r="K100" s="2">
        <v>609.73</v>
      </c>
      <c r="L100" s="2">
        <v>992.12</v>
      </c>
      <c r="M100" s="2">
        <v>1640.13</v>
      </c>
      <c r="N100" s="2">
        <v>1866.01</v>
      </c>
      <c r="O100" s="2">
        <v>1498.38</v>
      </c>
      <c r="P100" s="2">
        <v>1381.76</v>
      </c>
      <c r="Q100" s="2">
        <v>1720.6</v>
      </c>
      <c r="R100" s="2">
        <v>1499.77</v>
      </c>
      <c r="S100" s="2">
        <v>1405.73</v>
      </c>
      <c r="T100" s="2">
        <v>1095.8</v>
      </c>
      <c r="U100" s="2">
        <v>1536.94</v>
      </c>
      <c r="V100" s="2">
        <v>1457.05</v>
      </c>
      <c r="X100" s="1" t="s">
        <v>73</v>
      </c>
      <c r="Y100" s="2">
        <v>2318.17</v>
      </c>
      <c r="Z100" s="2">
        <v>5833.04</v>
      </c>
      <c r="AA100" s="2">
        <v>2540.2199999999998</v>
      </c>
      <c r="AB100" s="2">
        <v>167.65</v>
      </c>
      <c r="AC100" s="2">
        <v>1729.38</v>
      </c>
      <c r="AD100" s="2">
        <v>3124.04</v>
      </c>
      <c r="AE100" s="2">
        <v>5672.38</v>
      </c>
      <c r="AF100" s="2">
        <v>4511.53</v>
      </c>
      <c r="AG100" s="2">
        <v>5814.75</v>
      </c>
      <c r="AH100" s="2">
        <v>4971.5200000000004</v>
      </c>
      <c r="AI100" s="2">
        <v>2966.23</v>
      </c>
      <c r="AJ100" s="2">
        <v>6569.29</v>
      </c>
      <c r="AK100" s="2">
        <v>2694</v>
      </c>
      <c r="AL100" s="2">
        <v>1060.8699999999999</v>
      </c>
      <c r="AM100" s="2">
        <v>3636.13</v>
      </c>
      <c r="AN100" s="2">
        <v>4271.82</v>
      </c>
      <c r="AO100" s="2">
        <v>7873.42</v>
      </c>
      <c r="AP100" s="2">
        <v>5690.35</v>
      </c>
      <c r="AQ100" s="2">
        <v>6157.71</v>
      </c>
      <c r="AR100" s="2">
        <v>5017.12</v>
      </c>
      <c r="AU100" s="1" t="s">
        <v>73</v>
      </c>
      <c r="AV100" s="2">
        <v>10814.69</v>
      </c>
      <c r="AW100" s="2">
        <v>27686.11</v>
      </c>
      <c r="AX100" s="2">
        <v>11272.02</v>
      </c>
      <c r="AY100" s="2">
        <v>3185.3</v>
      </c>
      <c r="AZ100" s="2">
        <v>10195.74</v>
      </c>
      <c r="BA100" s="2">
        <v>13513.96</v>
      </c>
      <c r="BB100" s="2">
        <v>23933.66</v>
      </c>
      <c r="BC100" s="2">
        <v>18961.939999999999</v>
      </c>
      <c r="BD100" s="2">
        <v>23784.21</v>
      </c>
      <c r="BE100" s="2">
        <v>19480.939999999999</v>
      </c>
      <c r="BF100" s="2">
        <v>14178.17</v>
      </c>
      <c r="BG100" s="2">
        <v>27923.21</v>
      </c>
      <c r="BH100" s="2">
        <v>11960.64</v>
      </c>
      <c r="BI100" s="2">
        <v>4697.78</v>
      </c>
      <c r="BJ100" s="2">
        <v>15036.4</v>
      </c>
      <c r="BK100" s="2">
        <v>19629.009999999998</v>
      </c>
      <c r="BL100" s="2">
        <v>36537.06</v>
      </c>
      <c r="BM100" s="2">
        <v>27231.32</v>
      </c>
      <c r="BN100" s="2">
        <v>26893.17</v>
      </c>
      <c r="BO100" s="2">
        <v>20313.560000000001</v>
      </c>
      <c r="BR100" s="1" t="s">
        <v>73</v>
      </c>
      <c r="BS100" s="2">
        <v>1.33</v>
      </c>
      <c r="BT100" s="2">
        <v>1.8</v>
      </c>
      <c r="BU100" s="2">
        <v>0.51</v>
      </c>
      <c r="BV100" s="2">
        <v>0.54</v>
      </c>
      <c r="BW100" s="2">
        <v>0.1</v>
      </c>
      <c r="BX100" s="2">
        <v>0.24</v>
      </c>
      <c r="BY100" s="2">
        <v>0.79</v>
      </c>
      <c r="BZ100" s="2">
        <v>2.88</v>
      </c>
      <c r="CA100" s="2">
        <v>1.96</v>
      </c>
      <c r="CB100" s="2">
        <v>3.6</v>
      </c>
      <c r="CC100" s="2">
        <v>5.03</v>
      </c>
      <c r="CD100" s="2">
        <v>6.48</v>
      </c>
      <c r="CE100" s="2">
        <v>4.5199999999999996</v>
      </c>
      <c r="CF100" s="2">
        <v>4.6900000000000004</v>
      </c>
      <c r="CG100" s="2">
        <v>5.08</v>
      </c>
      <c r="CH100" s="2">
        <v>4.76</v>
      </c>
      <c r="CI100" s="2">
        <v>4.0199999999999996</v>
      </c>
      <c r="CJ100" s="2">
        <v>3.32</v>
      </c>
      <c r="CK100" s="2">
        <v>5.24</v>
      </c>
      <c r="CL100" s="2">
        <v>3.74</v>
      </c>
    </row>
    <row r="101" spans="2:90" x14ac:dyDescent="0.3">
      <c r="W101" s="4">
        <f>SUM(C93:V100)/$W$45</f>
        <v>0.14370115340692149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1.365994713649506E-2</v>
      </c>
      <c r="D107" s="2">
        <v>1.9518426344150349E-2</v>
      </c>
      <c r="E107" s="2">
        <v>2.8150388957536511E-3</v>
      </c>
      <c r="F107" s="2">
        <v>4.2914080905496338E-3</v>
      </c>
      <c r="G107" s="2">
        <v>3.5215452741807181E-3</v>
      </c>
      <c r="H107" s="2">
        <v>4.4223442773276868E-3</v>
      </c>
      <c r="I107" s="2">
        <v>1.509758961558756E-2</v>
      </c>
      <c r="J107" s="2">
        <v>7.9945321069103768E-3</v>
      </c>
      <c r="K107" s="2">
        <v>2.1604074407458419E-2</v>
      </c>
      <c r="L107" s="2">
        <v>6.4978912159390206E-3</v>
      </c>
      <c r="M107" s="2">
        <v>2.1619621213850169E-2</v>
      </c>
      <c r="N107" s="2">
        <v>4.763595965347661E-3</v>
      </c>
      <c r="O107" s="2">
        <v>2.1298116827422379E-2</v>
      </c>
      <c r="P107" s="2">
        <v>1.4709743502647719E-3</v>
      </c>
      <c r="Q107" s="2">
        <v>1.9739889809227539E-2</v>
      </c>
      <c r="R107" s="2">
        <v>6.8016927919351336E-3</v>
      </c>
      <c r="S107" s="2">
        <v>2.13267383766216E-3</v>
      </c>
      <c r="T107" s="2">
        <v>2.051341755173605E-3</v>
      </c>
      <c r="U107" s="2">
        <v>4.6673242467718786E-3</v>
      </c>
      <c r="V107" s="2">
        <v>2.974858760145077E-3</v>
      </c>
      <c r="X107" s="1" t="s">
        <v>66</v>
      </c>
      <c r="Y107" s="2">
        <v>2649.37</v>
      </c>
      <c r="Z107" s="2">
        <v>2472.59</v>
      </c>
      <c r="AA107" s="2">
        <v>683.99</v>
      </c>
      <c r="AB107" s="2">
        <v>617.01</v>
      </c>
      <c r="AC107" s="2">
        <v>504.61</v>
      </c>
      <c r="AD107" s="2">
        <v>832.54</v>
      </c>
      <c r="AE107" s="2">
        <v>1642.11</v>
      </c>
      <c r="AF107" s="2">
        <v>779.61</v>
      </c>
      <c r="AG107" s="2">
        <v>2634.74</v>
      </c>
      <c r="AH107" s="2">
        <v>615.59</v>
      </c>
      <c r="AI107" s="2">
        <v>2666.88</v>
      </c>
      <c r="AJ107" s="2">
        <v>460.99</v>
      </c>
      <c r="AK107" s="2">
        <v>2416.59</v>
      </c>
      <c r="AL107" s="2">
        <v>99.7</v>
      </c>
      <c r="AM107" s="2">
        <v>1441.1</v>
      </c>
      <c r="AN107" s="2">
        <v>392.21</v>
      </c>
      <c r="AO107" s="2">
        <v>107.04</v>
      </c>
      <c r="AP107" s="2">
        <v>66.17</v>
      </c>
      <c r="AQ107" s="2">
        <v>170.7</v>
      </c>
      <c r="AR107" s="2">
        <v>65</v>
      </c>
      <c r="AU107" s="1" t="s">
        <v>66</v>
      </c>
      <c r="AV107" s="2">
        <v>9426.33</v>
      </c>
      <c r="AW107" s="2">
        <v>9257.31</v>
      </c>
      <c r="AX107" s="2">
        <v>10458.61</v>
      </c>
      <c r="AY107" s="2">
        <v>9487.49</v>
      </c>
      <c r="AZ107" s="2">
        <v>7751.89</v>
      </c>
      <c r="BA107" s="2">
        <v>10217.66</v>
      </c>
      <c r="BB107" s="2">
        <v>9887.59</v>
      </c>
      <c r="BC107" s="2">
        <v>9640.59</v>
      </c>
      <c r="BD107" s="2">
        <v>9846.26</v>
      </c>
      <c r="BE107" s="2">
        <v>9675.81</v>
      </c>
      <c r="BF107" s="2">
        <v>10169.02</v>
      </c>
      <c r="BG107" s="2">
        <v>9784.91</v>
      </c>
      <c r="BH107" s="2">
        <v>9878.91</v>
      </c>
      <c r="BI107" s="2">
        <v>9609.2999999999993</v>
      </c>
      <c r="BJ107" s="2">
        <v>10470.1</v>
      </c>
      <c r="BK107" s="2">
        <v>10050.39</v>
      </c>
      <c r="BL107" s="2">
        <v>10316.66</v>
      </c>
      <c r="BM107" s="2">
        <v>6377.33</v>
      </c>
      <c r="BN107" s="2">
        <v>9607.6</v>
      </c>
      <c r="BO107" s="2">
        <v>6265.1</v>
      </c>
      <c r="BR107" s="1" t="s">
        <v>66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67</v>
      </c>
      <c r="C108" s="2">
        <v>2.0318713338449451E-2</v>
      </c>
      <c r="D108" s="2">
        <v>1.1262617999897339E-2</v>
      </c>
      <c r="E108" s="2">
        <v>1.883415909398925E-2</v>
      </c>
      <c r="F108" s="2">
        <v>1.2921887059838551E-2</v>
      </c>
      <c r="G108" s="2">
        <v>1.7894712247134958E-2</v>
      </c>
      <c r="H108" s="2">
        <v>1.374878286270691E-2</v>
      </c>
      <c r="I108" s="2">
        <v>3.7094819524907077E-2</v>
      </c>
      <c r="J108" s="2">
        <v>2.7818314426468021E-2</v>
      </c>
      <c r="K108" s="2">
        <v>3.8074532737306453E-2</v>
      </c>
      <c r="L108" s="2">
        <v>1.926949008842687E-2</v>
      </c>
      <c r="M108" s="2">
        <v>4.4596345136070373E-2</v>
      </c>
      <c r="N108" s="2">
        <v>2.179691134536841E-2</v>
      </c>
      <c r="O108" s="2">
        <v>3.5811523463658332E-2</v>
      </c>
      <c r="P108" s="2">
        <v>2.8973209033501139E-2</v>
      </c>
      <c r="Q108" s="2">
        <v>3.5816423672276151E-2</v>
      </c>
      <c r="R108" s="2">
        <v>3.2259917881358187E-2</v>
      </c>
      <c r="S108" s="2">
        <v>5.2437089713716703E-2</v>
      </c>
      <c r="T108" s="2">
        <v>2.9437936603655981E-2</v>
      </c>
      <c r="U108" s="2">
        <v>6.4287546827674166E-2</v>
      </c>
      <c r="V108" s="2">
        <v>2.8713920022894249E-2</v>
      </c>
      <c r="X108" s="1" t="s">
        <v>67</v>
      </c>
      <c r="Y108" s="2">
        <v>925.81</v>
      </c>
      <c r="Z108" s="2">
        <v>536.55999999999995</v>
      </c>
      <c r="AA108" s="2">
        <v>1021.04</v>
      </c>
      <c r="AB108" s="2">
        <v>620.34</v>
      </c>
      <c r="AC108" s="2">
        <v>605.62</v>
      </c>
      <c r="AD108" s="2">
        <v>750.21</v>
      </c>
      <c r="AE108" s="2">
        <v>1093.08</v>
      </c>
      <c r="AF108" s="2">
        <v>631.42999999999995</v>
      </c>
      <c r="AG108" s="2">
        <v>1014.25</v>
      </c>
      <c r="AH108" s="2">
        <v>585.55999999999995</v>
      </c>
      <c r="AI108" s="2">
        <v>977.36</v>
      </c>
      <c r="AJ108" s="2">
        <v>590.98</v>
      </c>
      <c r="AK108" s="2">
        <v>789.65</v>
      </c>
      <c r="AL108" s="2">
        <v>663.01</v>
      </c>
      <c r="AM108" s="2">
        <v>758.22</v>
      </c>
      <c r="AN108" s="2">
        <v>687.25</v>
      </c>
      <c r="AO108" s="2">
        <v>748.78</v>
      </c>
      <c r="AP108" s="2">
        <v>508.58</v>
      </c>
      <c r="AQ108" s="2">
        <v>876.2</v>
      </c>
      <c r="AR108" s="2">
        <v>504.86</v>
      </c>
      <c r="AU108" s="1" t="s">
        <v>67</v>
      </c>
      <c r="AV108" s="2">
        <v>5591.69</v>
      </c>
      <c r="AW108" s="2">
        <v>3217.34</v>
      </c>
      <c r="AX108" s="2">
        <v>5755.26</v>
      </c>
      <c r="AY108" s="2">
        <v>3465.86</v>
      </c>
      <c r="AZ108" s="2">
        <v>3374.98</v>
      </c>
      <c r="BA108" s="2">
        <v>4186.29</v>
      </c>
      <c r="BB108" s="2">
        <v>6203.02</v>
      </c>
      <c r="BC108" s="2">
        <v>3523.97</v>
      </c>
      <c r="BD108" s="2">
        <v>6191.45</v>
      </c>
      <c r="BE108" s="2">
        <v>3514.74</v>
      </c>
      <c r="BF108" s="2">
        <v>6052.74</v>
      </c>
      <c r="BG108" s="2">
        <v>3553.62</v>
      </c>
      <c r="BH108" s="2">
        <v>4788.25</v>
      </c>
      <c r="BI108" s="2">
        <v>3993.09</v>
      </c>
      <c r="BJ108" s="2">
        <v>4603.38</v>
      </c>
      <c r="BK108" s="2">
        <v>4155.55</v>
      </c>
      <c r="BL108" s="2">
        <v>4535.62</v>
      </c>
      <c r="BM108" s="2">
        <v>3051.62</v>
      </c>
      <c r="BN108" s="2">
        <v>5392</v>
      </c>
      <c r="BO108" s="2">
        <v>3040.34</v>
      </c>
      <c r="BR108" s="1" t="s">
        <v>67</v>
      </c>
      <c r="BS108" s="2">
        <v>6.37</v>
      </c>
      <c r="BT108" s="2">
        <v>3.71</v>
      </c>
      <c r="BU108" s="2">
        <v>5.04</v>
      </c>
      <c r="BV108" s="2">
        <v>3.19</v>
      </c>
      <c r="BW108" s="2">
        <v>1.96</v>
      </c>
      <c r="BX108" s="2">
        <v>1.58</v>
      </c>
      <c r="BY108" s="2">
        <v>7.43</v>
      </c>
      <c r="BZ108" s="2">
        <v>8.59</v>
      </c>
      <c r="CA108" s="2">
        <v>10.220000000000001</v>
      </c>
      <c r="CB108" s="2">
        <v>8.2899999999999991</v>
      </c>
      <c r="CC108" s="2">
        <v>23.31</v>
      </c>
      <c r="CD108" s="2">
        <v>15.4</v>
      </c>
      <c r="CE108" s="2">
        <v>16.899999999999999</v>
      </c>
      <c r="CF108" s="2">
        <v>13.76</v>
      </c>
      <c r="CG108" s="2">
        <v>20.91</v>
      </c>
      <c r="CH108" s="2">
        <v>15.66</v>
      </c>
      <c r="CI108" s="2">
        <v>17.68</v>
      </c>
      <c r="CJ108" s="2">
        <v>11.63</v>
      </c>
      <c r="CK108" s="2">
        <v>19.170000000000002</v>
      </c>
      <c r="CL108" s="2">
        <v>11.14</v>
      </c>
    </row>
    <row r="109" spans="2:90" x14ac:dyDescent="0.3">
      <c r="B109" s="1" t="s">
        <v>68</v>
      </c>
      <c r="C109" s="2">
        <v>0.33971940829907182</v>
      </c>
      <c r="D109" s="2">
        <v>3.6186778243367378E-2</v>
      </c>
      <c r="E109" s="2">
        <v>0.37658465286623949</v>
      </c>
      <c r="F109" s="2">
        <v>3.3057987382759432E-2</v>
      </c>
      <c r="G109" s="2">
        <v>0.32565735003845098</v>
      </c>
      <c r="H109" s="2">
        <v>0.2100142747752432</v>
      </c>
      <c r="I109" s="2">
        <v>0.45869734289181441</v>
      </c>
      <c r="J109" s="2">
        <v>0.1513941745328356</v>
      </c>
      <c r="K109" s="2">
        <v>0.3483132120673027</v>
      </c>
      <c r="L109" s="2">
        <v>0.122413661444583</v>
      </c>
      <c r="M109" s="2">
        <v>0.35742816429873508</v>
      </c>
      <c r="N109" s="2">
        <v>0.13280569183603691</v>
      </c>
      <c r="O109" s="2">
        <v>0.3676079503381614</v>
      </c>
      <c r="P109" s="2">
        <v>0.15389091259893181</v>
      </c>
      <c r="Q109" s="2">
        <v>0.3882682807990705</v>
      </c>
      <c r="R109" s="2">
        <v>0.17534482608684179</v>
      </c>
      <c r="S109" s="2">
        <v>0.2697443279137352</v>
      </c>
      <c r="T109" s="2">
        <v>0.18195910717214689</v>
      </c>
      <c r="U109" s="2">
        <v>0.18929900466284069</v>
      </c>
      <c r="V109" s="2">
        <v>0.18335579710935759</v>
      </c>
      <c r="X109" s="1" t="s">
        <v>68</v>
      </c>
      <c r="Y109" s="2">
        <v>4775.47</v>
      </c>
      <c r="Z109" s="2">
        <v>1308.57</v>
      </c>
      <c r="AA109" s="2">
        <v>5029.3100000000004</v>
      </c>
      <c r="AB109" s="2">
        <v>1387.51</v>
      </c>
      <c r="AC109" s="2">
        <v>5067.21</v>
      </c>
      <c r="AD109" s="2">
        <v>4522.1400000000003</v>
      </c>
      <c r="AE109" s="2">
        <v>3880.2</v>
      </c>
      <c r="AF109" s="2">
        <v>2412.5300000000002</v>
      </c>
      <c r="AG109" s="2">
        <v>5657.08</v>
      </c>
      <c r="AH109" s="2">
        <v>1967.93</v>
      </c>
      <c r="AI109" s="2">
        <v>6059.75</v>
      </c>
      <c r="AJ109" s="2">
        <v>1950.49</v>
      </c>
      <c r="AK109" s="2">
        <v>5562.21</v>
      </c>
      <c r="AL109" s="2">
        <v>2043.74</v>
      </c>
      <c r="AM109" s="2">
        <v>5376.72</v>
      </c>
      <c r="AN109" s="2">
        <v>1922.76</v>
      </c>
      <c r="AO109" s="2">
        <v>2488.11</v>
      </c>
      <c r="AP109" s="2">
        <v>1556.51</v>
      </c>
      <c r="AQ109" s="2">
        <v>1593.81</v>
      </c>
      <c r="AR109" s="2">
        <v>1424.21</v>
      </c>
      <c r="AU109" s="1" t="s">
        <v>68</v>
      </c>
      <c r="AV109" s="2">
        <v>16433.29</v>
      </c>
      <c r="AW109" s="2">
        <v>7845.33</v>
      </c>
      <c r="AX109" s="2">
        <v>18305.48</v>
      </c>
      <c r="AY109" s="2">
        <v>7748.99</v>
      </c>
      <c r="AZ109" s="2">
        <v>10674</v>
      </c>
      <c r="BA109" s="2">
        <v>13288.29</v>
      </c>
      <c r="BB109" s="2">
        <v>17329.73</v>
      </c>
      <c r="BC109" s="2">
        <v>11430.46</v>
      </c>
      <c r="BD109" s="2">
        <v>16034.12</v>
      </c>
      <c r="BE109" s="2">
        <v>10837</v>
      </c>
      <c r="BF109" s="2">
        <v>16429.7</v>
      </c>
      <c r="BG109" s="2">
        <v>10652.75</v>
      </c>
      <c r="BH109" s="2">
        <v>14179.11</v>
      </c>
      <c r="BI109" s="2">
        <v>10863.98</v>
      </c>
      <c r="BJ109" s="2">
        <v>13455.47</v>
      </c>
      <c r="BK109" s="2">
        <v>11115.93</v>
      </c>
      <c r="BL109" s="2">
        <v>12415.47</v>
      </c>
      <c r="BM109" s="2">
        <v>8911.68</v>
      </c>
      <c r="BN109" s="2">
        <v>9531.25</v>
      </c>
      <c r="BO109" s="2">
        <v>8264.91</v>
      </c>
      <c r="BR109" s="1" t="s">
        <v>68</v>
      </c>
      <c r="BS109" s="2">
        <v>18.72</v>
      </c>
      <c r="BT109" s="2">
        <v>4.71</v>
      </c>
      <c r="BU109" s="2">
        <v>19.37</v>
      </c>
      <c r="BV109" s="2">
        <v>3.62</v>
      </c>
      <c r="BW109" s="2">
        <v>3.6</v>
      </c>
      <c r="BX109" s="2">
        <v>3.6</v>
      </c>
      <c r="BY109" s="2">
        <v>23.04</v>
      </c>
      <c r="BZ109" s="2">
        <v>11.52</v>
      </c>
      <c r="CA109" s="2">
        <v>14.4</v>
      </c>
      <c r="CB109" s="2">
        <v>14.4</v>
      </c>
      <c r="CC109" s="2">
        <v>25.92</v>
      </c>
      <c r="CD109" s="2">
        <v>25.92</v>
      </c>
      <c r="CE109" s="2">
        <v>20.88</v>
      </c>
      <c r="CF109" s="2">
        <v>20.88</v>
      </c>
      <c r="CG109" s="2">
        <v>27.36</v>
      </c>
      <c r="CH109" s="2">
        <v>27.36</v>
      </c>
      <c r="CI109" s="2">
        <v>24.48</v>
      </c>
      <c r="CJ109" s="2">
        <v>20.85</v>
      </c>
      <c r="CK109" s="2">
        <v>27.53</v>
      </c>
      <c r="CL109" s="2">
        <v>23.77</v>
      </c>
    </row>
    <row r="110" spans="2:90" x14ac:dyDescent="0.3">
      <c r="B110" s="1" t="s">
        <v>69</v>
      </c>
      <c r="C110" s="2">
        <v>5.1648685011412482E-2</v>
      </c>
      <c r="D110" s="2">
        <v>1.393175168679189E-2</v>
      </c>
      <c r="E110" s="2">
        <v>5.4872438742934217E-2</v>
      </c>
      <c r="F110" s="2">
        <v>1.1645754343793229E-2</v>
      </c>
      <c r="G110" s="2">
        <v>7.5373157830041365E-2</v>
      </c>
      <c r="H110" s="2">
        <v>6.71145101672323E-2</v>
      </c>
      <c r="I110" s="2">
        <v>8.4126176713247333E-2</v>
      </c>
      <c r="J110" s="2">
        <v>4.2992597236653482E-2</v>
      </c>
      <c r="K110" s="2">
        <v>8.1240409536413052E-2</v>
      </c>
      <c r="L110" s="2">
        <v>3.1586715830975151E-2</v>
      </c>
      <c r="M110" s="2">
        <v>7.8047584212319443E-2</v>
      </c>
      <c r="N110" s="2">
        <v>3.1454497158044437E-2</v>
      </c>
      <c r="O110" s="2">
        <v>8.3334426950367108E-2</v>
      </c>
      <c r="P110" s="2">
        <v>3.5938448904364269E-2</v>
      </c>
      <c r="Q110" s="2">
        <v>6.282185825118998E-2</v>
      </c>
      <c r="R110" s="2">
        <v>3.8729880361145358E-2</v>
      </c>
      <c r="S110" s="2">
        <v>4.6513734799992823E-2</v>
      </c>
      <c r="T110" s="2">
        <v>4.5177270066145622E-2</v>
      </c>
      <c r="U110" s="2">
        <v>4.7176639964929067E-2</v>
      </c>
      <c r="V110" s="2">
        <v>5.0464675787990458E-2</v>
      </c>
      <c r="X110" s="1" t="s">
        <v>69</v>
      </c>
      <c r="Y110" s="2">
        <v>1327.1</v>
      </c>
      <c r="Z110" s="2">
        <v>489.36</v>
      </c>
      <c r="AA110" s="2">
        <v>1469.75</v>
      </c>
      <c r="AB110" s="2">
        <v>544.54999999999995</v>
      </c>
      <c r="AC110" s="2">
        <v>1156.21</v>
      </c>
      <c r="AD110" s="2">
        <v>1442.53</v>
      </c>
      <c r="AE110" s="2">
        <v>1305.94</v>
      </c>
      <c r="AF110" s="2">
        <v>718</v>
      </c>
      <c r="AG110" s="2">
        <v>1253.45</v>
      </c>
      <c r="AH110" s="2">
        <v>620.16999999999996</v>
      </c>
      <c r="AI110" s="2">
        <v>1249.04</v>
      </c>
      <c r="AJ110" s="2">
        <v>592.67999999999995</v>
      </c>
      <c r="AK110" s="2">
        <v>1223.49</v>
      </c>
      <c r="AL110" s="2">
        <v>603.22</v>
      </c>
      <c r="AM110" s="2">
        <v>856.4</v>
      </c>
      <c r="AN110" s="2">
        <v>573.57000000000005</v>
      </c>
      <c r="AO110" s="2">
        <v>581.86</v>
      </c>
      <c r="AP110" s="2">
        <v>534.24</v>
      </c>
      <c r="AQ110" s="2">
        <v>530.46</v>
      </c>
      <c r="AR110" s="2">
        <v>505.01</v>
      </c>
      <c r="AU110" s="1" t="s">
        <v>69</v>
      </c>
      <c r="AV110" s="2">
        <v>4368.97</v>
      </c>
      <c r="AW110" s="2">
        <v>2569.34</v>
      </c>
      <c r="AX110" s="2">
        <v>5115.8599999999997</v>
      </c>
      <c r="AY110" s="2">
        <v>3039.15</v>
      </c>
      <c r="AZ110" s="2">
        <v>3521.34</v>
      </c>
      <c r="BA110" s="2">
        <v>4809.25</v>
      </c>
      <c r="BB110" s="2">
        <v>4717.76</v>
      </c>
      <c r="BC110" s="2">
        <v>4010.37</v>
      </c>
      <c r="BD110" s="2">
        <v>4750.24</v>
      </c>
      <c r="BE110" s="2">
        <v>3716.75</v>
      </c>
      <c r="BF110" s="2">
        <v>4738.1899999999996</v>
      </c>
      <c r="BG110" s="2">
        <v>3510.8</v>
      </c>
      <c r="BH110" s="2">
        <v>4574.5600000000004</v>
      </c>
      <c r="BI110" s="2">
        <v>3590.18</v>
      </c>
      <c r="BJ110" s="2">
        <v>4290.5</v>
      </c>
      <c r="BK110" s="2">
        <v>3394.23</v>
      </c>
      <c r="BL110" s="2">
        <v>3486.64</v>
      </c>
      <c r="BM110" s="2">
        <v>3018.66</v>
      </c>
      <c r="BN110" s="2">
        <v>3050.84</v>
      </c>
      <c r="BO110" s="2">
        <v>2853.29</v>
      </c>
      <c r="BR110" s="1" t="s">
        <v>69</v>
      </c>
      <c r="BS110" s="2">
        <v>9.36</v>
      </c>
      <c r="BT110" s="2">
        <v>4.55</v>
      </c>
      <c r="BU110" s="2">
        <v>9.36</v>
      </c>
      <c r="BV110" s="2">
        <v>3.11</v>
      </c>
      <c r="BW110" s="2">
        <v>3.6</v>
      </c>
      <c r="BX110" s="2">
        <v>3.6</v>
      </c>
      <c r="BY110" s="2">
        <v>11.52</v>
      </c>
      <c r="BZ110" s="2">
        <v>10.94</v>
      </c>
      <c r="CA110" s="2">
        <v>14.4</v>
      </c>
      <c r="CB110" s="2">
        <v>11.64</v>
      </c>
      <c r="CC110" s="2">
        <v>25.92</v>
      </c>
      <c r="CD110" s="2">
        <v>19.760000000000002</v>
      </c>
      <c r="CE110" s="2">
        <v>20.88</v>
      </c>
      <c r="CF110" s="2">
        <v>16.260000000000002</v>
      </c>
      <c r="CG110" s="2">
        <v>27.36</v>
      </c>
      <c r="CH110" s="2">
        <v>19.05</v>
      </c>
      <c r="CI110" s="2">
        <v>17.02</v>
      </c>
      <c r="CJ110" s="2">
        <v>14.81</v>
      </c>
      <c r="CK110" s="2">
        <v>19.28</v>
      </c>
      <c r="CL110" s="2">
        <v>17.62</v>
      </c>
    </row>
    <row r="111" spans="2:90" x14ac:dyDescent="0.3">
      <c r="B111" s="1" t="s">
        <v>70</v>
      </c>
      <c r="C111" s="2">
        <v>0.17256634271085641</v>
      </c>
      <c r="D111" s="2">
        <v>0.26003195475588359</v>
      </c>
      <c r="E111" s="2">
        <v>0.23379807731835581</v>
      </c>
      <c r="F111" s="2">
        <v>0.18506494219623981</v>
      </c>
      <c r="G111" s="2">
        <v>0.28343994985620219</v>
      </c>
      <c r="H111" s="2">
        <v>0.230552178557586</v>
      </c>
      <c r="I111" s="2">
        <v>0.14693919784520609</v>
      </c>
      <c r="J111" s="2">
        <v>0.29623727414473078</v>
      </c>
      <c r="K111" s="2">
        <v>0.27637584843458401</v>
      </c>
      <c r="L111" s="2">
        <v>0.28422332408693612</v>
      </c>
      <c r="M111" s="2">
        <v>0.23058836118214779</v>
      </c>
      <c r="N111" s="2">
        <v>0.22940737925174309</v>
      </c>
      <c r="O111" s="2">
        <v>0.20002549176362561</v>
      </c>
      <c r="P111" s="2">
        <v>0.2268991108793024</v>
      </c>
      <c r="Q111" s="2">
        <v>0.16583029121847009</v>
      </c>
      <c r="R111" s="2">
        <v>0.22400414218303169</v>
      </c>
      <c r="S111" s="2">
        <v>0.22351794733302691</v>
      </c>
      <c r="T111" s="2">
        <v>0.2355911129544688</v>
      </c>
      <c r="U111" s="2">
        <v>0.27021921827674161</v>
      </c>
      <c r="V111" s="2">
        <v>0.26745323229787749</v>
      </c>
      <c r="X111" s="1" t="s">
        <v>70</v>
      </c>
      <c r="Y111" s="2">
        <v>4671.9799999999996</v>
      </c>
      <c r="Z111" s="2">
        <v>4810.53</v>
      </c>
      <c r="AA111" s="2">
        <v>6408.84</v>
      </c>
      <c r="AB111" s="2">
        <v>5106.32</v>
      </c>
      <c r="AC111" s="2">
        <v>4688.21</v>
      </c>
      <c r="AD111" s="2">
        <v>5261.94</v>
      </c>
      <c r="AE111" s="2">
        <v>4048.31</v>
      </c>
      <c r="AF111" s="2">
        <v>4942.05</v>
      </c>
      <c r="AG111" s="2">
        <v>4575.24</v>
      </c>
      <c r="AH111" s="2">
        <v>4926.79</v>
      </c>
      <c r="AI111" s="2">
        <v>4000.74</v>
      </c>
      <c r="AJ111" s="2">
        <v>4045.4</v>
      </c>
      <c r="AK111" s="2">
        <v>3620.31</v>
      </c>
      <c r="AL111" s="2">
        <v>3964.2</v>
      </c>
      <c r="AM111" s="2">
        <v>3268.49</v>
      </c>
      <c r="AN111" s="2">
        <v>3375.34</v>
      </c>
      <c r="AO111" s="2">
        <v>2965.66</v>
      </c>
      <c r="AP111" s="2">
        <v>3205.29</v>
      </c>
      <c r="AQ111" s="2">
        <v>3004.43</v>
      </c>
      <c r="AR111" s="2">
        <v>3444.93</v>
      </c>
      <c r="AU111" s="1" t="s">
        <v>70</v>
      </c>
      <c r="AV111" s="2">
        <v>15735.55</v>
      </c>
      <c r="AW111" s="2">
        <v>20880.47</v>
      </c>
      <c r="AX111" s="2">
        <v>24461.66</v>
      </c>
      <c r="AY111" s="2">
        <v>28468.18</v>
      </c>
      <c r="AZ111" s="2">
        <v>15561.79</v>
      </c>
      <c r="BA111" s="2">
        <v>18036.43</v>
      </c>
      <c r="BB111" s="2">
        <v>22455.19</v>
      </c>
      <c r="BC111" s="2">
        <v>20612.45</v>
      </c>
      <c r="BD111" s="2">
        <v>23825.26</v>
      </c>
      <c r="BE111" s="2">
        <v>23701.71</v>
      </c>
      <c r="BF111" s="2">
        <v>23270.26</v>
      </c>
      <c r="BG111" s="2">
        <v>24329.1</v>
      </c>
      <c r="BH111" s="2">
        <v>21594.69</v>
      </c>
      <c r="BI111" s="2">
        <v>23738.3</v>
      </c>
      <c r="BJ111" s="2">
        <v>19456.509999999998</v>
      </c>
      <c r="BK111" s="2">
        <v>20119.16</v>
      </c>
      <c r="BL111" s="2">
        <v>17598.34</v>
      </c>
      <c r="BM111" s="2">
        <v>19075.21</v>
      </c>
      <c r="BN111" s="2">
        <v>17843.57</v>
      </c>
      <c r="BO111" s="2">
        <v>20650.07</v>
      </c>
      <c r="BR111" s="1" t="s">
        <v>70</v>
      </c>
      <c r="BS111" s="2">
        <v>9.36</v>
      </c>
      <c r="BT111" s="2">
        <v>9.36</v>
      </c>
      <c r="BU111" s="2">
        <v>9.36</v>
      </c>
      <c r="BV111" s="2">
        <v>5.69</v>
      </c>
      <c r="BW111" s="2">
        <v>3.6</v>
      </c>
      <c r="BX111" s="2">
        <v>3.6</v>
      </c>
      <c r="BY111" s="2">
        <v>7</v>
      </c>
      <c r="BZ111" s="2">
        <v>11.52</v>
      </c>
      <c r="CA111" s="2">
        <v>14.4</v>
      </c>
      <c r="CB111" s="2">
        <v>14.4</v>
      </c>
      <c r="CC111" s="2">
        <v>25.92</v>
      </c>
      <c r="CD111" s="2">
        <v>24.07</v>
      </c>
      <c r="CE111" s="2">
        <v>18.600000000000001</v>
      </c>
      <c r="CF111" s="2">
        <v>17.55</v>
      </c>
      <c r="CG111" s="2">
        <v>20.190000000000001</v>
      </c>
      <c r="CH111" s="2">
        <v>20.6</v>
      </c>
      <c r="CI111" s="2">
        <v>16.55</v>
      </c>
      <c r="CJ111" s="2">
        <v>14.81</v>
      </c>
      <c r="CK111" s="2">
        <v>20.92</v>
      </c>
      <c r="CL111" s="2">
        <v>15.24</v>
      </c>
    </row>
    <row r="112" spans="2:90" x14ac:dyDescent="0.3">
      <c r="B112" s="1" t="s">
        <v>71</v>
      </c>
      <c r="C112" s="2">
        <v>5.174034786166537E-2</v>
      </c>
      <c r="D112" s="2">
        <v>7.7953020981059426E-2</v>
      </c>
      <c r="E112" s="2">
        <v>5.8670911238221927E-2</v>
      </c>
      <c r="F112" s="2">
        <v>0.1141352454677521</v>
      </c>
      <c r="G112" s="2">
        <v>6.45438854738416E-2</v>
      </c>
      <c r="H112" s="2">
        <v>5.245289796844424E-2</v>
      </c>
      <c r="I112" s="2">
        <v>3.1063990639558808E-2</v>
      </c>
      <c r="J112" s="2">
        <v>5.8437008037250021E-2</v>
      </c>
      <c r="K112" s="2">
        <v>2.863660067407213E-2</v>
      </c>
      <c r="L112" s="2">
        <v>7.5088867515115829E-2</v>
      </c>
      <c r="M112" s="2">
        <v>3.4597201994635549E-2</v>
      </c>
      <c r="N112" s="2">
        <v>8.1814492872730585E-2</v>
      </c>
      <c r="O112" s="2">
        <v>3.5767389274870783E-2</v>
      </c>
      <c r="P112" s="2">
        <v>7.5702586334875269E-2</v>
      </c>
      <c r="Q112" s="2">
        <v>3.8097822420449012E-2</v>
      </c>
      <c r="R112" s="2">
        <v>9.4206816212710751E-2</v>
      </c>
      <c r="S112" s="2">
        <v>5.3672313753557833E-2</v>
      </c>
      <c r="T112" s="2">
        <v>0.10884829863849239</v>
      </c>
      <c r="U112" s="2">
        <v>5.3777722979435692E-2</v>
      </c>
      <c r="V112" s="2">
        <v>5.3810444534178277E-2</v>
      </c>
      <c r="X112" s="1" t="s">
        <v>71</v>
      </c>
      <c r="Y112" s="2">
        <v>873.73</v>
      </c>
      <c r="Z112" s="2">
        <v>927.15</v>
      </c>
      <c r="AA112" s="2">
        <v>1701.63</v>
      </c>
      <c r="AB112" s="2">
        <v>1412.99</v>
      </c>
      <c r="AC112" s="2">
        <v>1144.6199999999999</v>
      </c>
      <c r="AD112" s="2">
        <v>1309.67</v>
      </c>
      <c r="AE112" s="2">
        <v>947.63</v>
      </c>
      <c r="AF112" s="2">
        <v>1076.23</v>
      </c>
      <c r="AG112" s="2">
        <v>887.52</v>
      </c>
      <c r="AH112" s="2">
        <v>1433.86</v>
      </c>
      <c r="AI112" s="2">
        <v>924.95</v>
      </c>
      <c r="AJ112" s="2">
        <v>1483.22</v>
      </c>
      <c r="AK112" s="2">
        <v>922.03</v>
      </c>
      <c r="AL112" s="2">
        <v>1255.43</v>
      </c>
      <c r="AM112" s="2">
        <v>901.46</v>
      </c>
      <c r="AN112" s="2">
        <v>1206.1600000000001</v>
      </c>
      <c r="AO112" s="2">
        <v>840.46</v>
      </c>
      <c r="AP112" s="2">
        <v>1100.99</v>
      </c>
      <c r="AQ112" s="2">
        <v>767.83</v>
      </c>
      <c r="AR112" s="2">
        <v>787.28</v>
      </c>
      <c r="AU112" s="1" t="s">
        <v>71</v>
      </c>
      <c r="AV112" s="2">
        <v>4210.32</v>
      </c>
      <c r="AW112" s="2">
        <v>4480.28</v>
      </c>
      <c r="AX112" s="2">
        <v>5960.86</v>
      </c>
      <c r="AY112" s="2">
        <v>6541.27</v>
      </c>
      <c r="AZ112" s="2">
        <v>3247.45</v>
      </c>
      <c r="BA112" s="2">
        <v>3961.38</v>
      </c>
      <c r="BB112" s="2">
        <v>4233.67</v>
      </c>
      <c r="BC112" s="2">
        <v>3288.92</v>
      </c>
      <c r="BD112" s="2">
        <v>4275.4799999999996</v>
      </c>
      <c r="BE112" s="2">
        <v>5374.21</v>
      </c>
      <c r="BF112" s="2">
        <v>4508.25</v>
      </c>
      <c r="BG112" s="2">
        <v>5729.56</v>
      </c>
      <c r="BH112" s="2">
        <v>4472.75</v>
      </c>
      <c r="BI112" s="2">
        <v>5649.07</v>
      </c>
      <c r="BJ112" s="2">
        <v>4388.57</v>
      </c>
      <c r="BK112" s="2">
        <v>5426.71</v>
      </c>
      <c r="BL112" s="2">
        <v>4063.63</v>
      </c>
      <c r="BM112" s="2">
        <v>5468.82</v>
      </c>
      <c r="BN112" s="2">
        <v>3708.12</v>
      </c>
      <c r="BO112" s="2">
        <v>3815.22</v>
      </c>
      <c r="BR112" s="1" t="s">
        <v>71</v>
      </c>
      <c r="BS112" s="2">
        <v>16.75</v>
      </c>
      <c r="BT112" s="2">
        <v>16.38</v>
      </c>
      <c r="BU112" s="2">
        <v>9.36</v>
      </c>
      <c r="BV112" s="2">
        <v>13.63</v>
      </c>
      <c r="BW112" s="2">
        <v>3.6</v>
      </c>
      <c r="BX112" s="2">
        <v>3.6</v>
      </c>
      <c r="BY112" s="2">
        <v>6.97</v>
      </c>
      <c r="BZ112" s="2">
        <v>11.52</v>
      </c>
      <c r="CA112" s="2">
        <v>8.57</v>
      </c>
      <c r="CB112" s="2">
        <v>14.4</v>
      </c>
      <c r="CC112" s="2">
        <v>18.34</v>
      </c>
      <c r="CD112" s="2">
        <v>25.92</v>
      </c>
      <c r="CE112" s="2">
        <v>14.46</v>
      </c>
      <c r="CF112" s="2">
        <v>20.88</v>
      </c>
      <c r="CG112" s="2">
        <v>18.78</v>
      </c>
      <c r="CH112" s="2">
        <v>27.36</v>
      </c>
      <c r="CI112" s="2">
        <v>15.61</v>
      </c>
      <c r="CJ112" s="2">
        <v>22.98</v>
      </c>
      <c r="CK112" s="2">
        <v>18.07</v>
      </c>
      <c r="CL112" s="2">
        <v>15.46</v>
      </c>
    </row>
    <row r="113" spans="2:90" x14ac:dyDescent="0.3">
      <c r="B113" s="1" t="s">
        <v>72</v>
      </c>
      <c r="C113" s="2">
        <v>0.3170475556745565</v>
      </c>
      <c r="D113" s="2">
        <v>0.49809780448818908</v>
      </c>
      <c r="E113" s="2">
        <v>0.24006123385907779</v>
      </c>
      <c r="F113" s="2">
        <v>0.61222895358435159</v>
      </c>
      <c r="G113" s="2">
        <v>0.22655579360991651</v>
      </c>
      <c r="H113" s="2">
        <v>0.39998941208723682</v>
      </c>
      <c r="I113" s="2">
        <v>0.20914763952517421</v>
      </c>
      <c r="J113" s="2">
        <v>0.29682998521206311</v>
      </c>
      <c r="K113" s="2">
        <v>0.15722551082848921</v>
      </c>
      <c r="L113" s="2">
        <v>0.3528442078702525</v>
      </c>
      <c r="M113" s="2">
        <v>0.16618560048497921</v>
      </c>
      <c r="N113" s="2">
        <v>0.37843944132422069</v>
      </c>
      <c r="O113" s="2">
        <v>0.17753215638567779</v>
      </c>
      <c r="P113" s="2">
        <v>0.36776030778993202</v>
      </c>
      <c r="Q113" s="2">
        <v>0.2168087403020876</v>
      </c>
      <c r="R113" s="2">
        <v>0.33688400392526369</v>
      </c>
      <c r="S113" s="2">
        <v>0.25239265623721618</v>
      </c>
      <c r="T113" s="2">
        <v>0.30415037432590869</v>
      </c>
      <c r="U113" s="2">
        <v>0.26404332058026458</v>
      </c>
      <c r="V113" s="2">
        <v>0.30597587978575441</v>
      </c>
      <c r="X113" s="1" t="s">
        <v>72</v>
      </c>
      <c r="Y113" s="2">
        <v>4892.93</v>
      </c>
      <c r="Z113" s="2">
        <v>5069.17</v>
      </c>
      <c r="AA113" s="2">
        <v>3979.42</v>
      </c>
      <c r="AB113" s="2">
        <v>5477.27</v>
      </c>
      <c r="AC113" s="2">
        <v>4124.6400000000003</v>
      </c>
      <c r="AD113" s="2">
        <v>4973.1899999999996</v>
      </c>
      <c r="AE113" s="2">
        <v>3861.07</v>
      </c>
      <c r="AF113" s="2">
        <v>5341.63</v>
      </c>
      <c r="AG113" s="2">
        <v>2911.91</v>
      </c>
      <c r="AH113" s="2">
        <v>6657.54</v>
      </c>
      <c r="AI113" s="2">
        <v>3192.42</v>
      </c>
      <c r="AJ113" s="2">
        <v>6701.77</v>
      </c>
      <c r="AK113" s="2">
        <v>3218.52</v>
      </c>
      <c r="AL113" s="2">
        <v>5883.7</v>
      </c>
      <c r="AM113" s="2">
        <v>3528.09</v>
      </c>
      <c r="AN113" s="2">
        <v>4224.97</v>
      </c>
      <c r="AO113" s="2">
        <v>2612.42</v>
      </c>
      <c r="AP113" s="2">
        <v>2789.84</v>
      </c>
      <c r="AQ113" s="2">
        <v>2443.4</v>
      </c>
      <c r="AR113" s="2">
        <v>2459.88</v>
      </c>
      <c r="AU113" s="1" t="s">
        <v>72</v>
      </c>
      <c r="AV113" s="2">
        <v>15612.82</v>
      </c>
      <c r="AW113" s="2">
        <v>16234.49</v>
      </c>
      <c r="AX113" s="2">
        <v>18429.21</v>
      </c>
      <c r="AY113" s="2">
        <v>20804.599999999999</v>
      </c>
      <c r="AZ113" s="2">
        <v>10365.19</v>
      </c>
      <c r="BA113" s="2">
        <v>15630.04</v>
      </c>
      <c r="BB113" s="2">
        <v>14438.09</v>
      </c>
      <c r="BC113" s="2">
        <v>11167.73</v>
      </c>
      <c r="BD113" s="2">
        <v>13941.83</v>
      </c>
      <c r="BE113" s="2">
        <v>17460.41</v>
      </c>
      <c r="BF113" s="2">
        <v>14295.17</v>
      </c>
      <c r="BG113" s="2">
        <v>17767.86</v>
      </c>
      <c r="BH113" s="2">
        <v>14304.43</v>
      </c>
      <c r="BI113" s="2">
        <v>17119.400000000001</v>
      </c>
      <c r="BJ113" s="2">
        <v>14413.89</v>
      </c>
      <c r="BK113" s="2">
        <v>15343.18</v>
      </c>
      <c r="BL113" s="2">
        <v>12716.6</v>
      </c>
      <c r="BM113" s="2">
        <v>13665.97</v>
      </c>
      <c r="BN113" s="2">
        <v>11905.11</v>
      </c>
      <c r="BO113" s="2">
        <v>12005.33</v>
      </c>
      <c r="BR113" s="1" t="s">
        <v>72</v>
      </c>
      <c r="BS113" s="2">
        <v>18.72</v>
      </c>
      <c r="BT113" s="2">
        <v>18.72</v>
      </c>
      <c r="BU113" s="2">
        <v>16.63</v>
      </c>
      <c r="BV113" s="2">
        <v>18.72</v>
      </c>
      <c r="BW113" s="2">
        <v>3.6</v>
      </c>
      <c r="BX113" s="2">
        <v>7.2</v>
      </c>
      <c r="BY113" s="2">
        <v>11.52</v>
      </c>
      <c r="BZ113" s="2">
        <v>11.52</v>
      </c>
      <c r="CA113" s="2">
        <v>14.4</v>
      </c>
      <c r="CB113" s="2">
        <v>14.4</v>
      </c>
      <c r="CC113" s="2">
        <v>25.92</v>
      </c>
      <c r="CD113" s="2">
        <v>25.92</v>
      </c>
      <c r="CE113" s="2">
        <v>20.88</v>
      </c>
      <c r="CF113" s="2">
        <v>20.88</v>
      </c>
      <c r="CG113" s="2">
        <v>27.36</v>
      </c>
      <c r="CH113" s="2">
        <v>27.36</v>
      </c>
      <c r="CI113" s="2">
        <v>23.82</v>
      </c>
      <c r="CJ113" s="2">
        <v>24.46</v>
      </c>
      <c r="CK113" s="2">
        <v>28.37</v>
      </c>
      <c r="CL113" s="2">
        <v>27.36</v>
      </c>
    </row>
    <row r="114" spans="2:90" x14ac:dyDescent="0.3">
      <c r="B114" s="1" t="s">
        <v>73</v>
      </c>
      <c r="C114" s="2">
        <v>3.3298999967492998E-2</v>
      </c>
      <c r="D114" s="2">
        <v>8.3017645500660847E-2</v>
      </c>
      <c r="E114" s="2">
        <v>1.436348798542778E-2</v>
      </c>
      <c r="F114" s="2">
        <v>2.6653821874715839E-2</v>
      </c>
      <c r="G114" s="2">
        <v>3.0136056702313859E-3</v>
      </c>
      <c r="H114" s="2">
        <v>2.1705599304222879E-2</v>
      </c>
      <c r="I114" s="2">
        <v>1.7833243244504519E-2</v>
      </c>
      <c r="J114" s="2">
        <v>0.1182961143030886</v>
      </c>
      <c r="K114" s="2">
        <v>4.8529811314374033E-2</v>
      </c>
      <c r="L114" s="2">
        <v>0.10807584194777151</v>
      </c>
      <c r="M114" s="2">
        <v>6.693712147726244E-2</v>
      </c>
      <c r="N114" s="2">
        <v>0.1195179902465083</v>
      </c>
      <c r="O114" s="2">
        <v>7.8622944996216693E-2</v>
      </c>
      <c r="P114" s="2">
        <v>0.10936445010882841</v>
      </c>
      <c r="Q114" s="2">
        <v>7.2616693527229118E-2</v>
      </c>
      <c r="R114" s="2">
        <v>9.1768720557713401E-2</v>
      </c>
      <c r="S114" s="2">
        <v>9.9589256411092134E-2</v>
      </c>
      <c r="T114" s="2">
        <v>9.2784558484008142E-2</v>
      </c>
      <c r="U114" s="2">
        <v>0.1065292224613423</v>
      </c>
      <c r="V114" s="2">
        <v>0.10725119170180231</v>
      </c>
      <c r="X114" s="1" t="s">
        <v>73</v>
      </c>
      <c r="Y114" s="2">
        <v>1783.21</v>
      </c>
      <c r="Z114" s="2">
        <v>2281.7199999999998</v>
      </c>
      <c r="AA114" s="2">
        <v>1954.01</v>
      </c>
      <c r="AB114" s="2">
        <v>2072.31</v>
      </c>
      <c r="AC114" s="2">
        <v>335.3</v>
      </c>
      <c r="AD114" s="2">
        <v>2121.7399999999998</v>
      </c>
      <c r="AE114" s="2">
        <v>1080.8699999999999</v>
      </c>
      <c r="AF114" s="2">
        <v>2272.58</v>
      </c>
      <c r="AG114" s="2">
        <v>1562.02</v>
      </c>
      <c r="AH114" s="2">
        <v>2135.91</v>
      </c>
      <c r="AI114" s="2">
        <v>1575.66</v>
      </c>
      <c r="AJ114" s="2">
        <v>2187.06</v>
      </c>
      <c r="AK114" s="2">
        <v>1555.7</v>
      </c>
      <c r="AL114" s="2">
        <v>1962.19</v>
      </c>
      <c r="AM114" s="2">
        <v>1530.2</v>
      </c>
      <c r="AN114" s="2">
        <v>1620.45</v>
      </c>
      <c r="AO114" s="2">
        <v>1462.21</v>
      </c>
      <c r="AP114" s="2">
        <v>1475.62</v>
      </c>
      <c r="AQ114" s="2">
        <v>1296.23</v>
      </c>
      <c r="AR114" s="2">
        <v>1459.84</v>
      </c>
      <c r="AU114" s="1" t="s">
        <v>73</v>
      </c>
      <c r="AV114" s="2">
        <v>8318.99</v>
      </c>
      <c r="AW114" s="2">
        <v>10906.28</v>
      </c>
      <c r="AX114" s="2">
        <v>8670.7900000000009</v>
      </c>
      <c r="AY114" s="2">
        <v>9200.49</v>
      </c>
      <c r="AZ114" s="2">
        <v>6370.6</v>
      </c>
      <c r="BA114" s="2">
        <v>9395.56</v>
      </c>
      <c r="BB114" s="2">
        <v>6372.33</v>
      </c>
      <c r="BC114" s="2">
        <v>9397.75</v>
      </c>
      <c r="BD114" s="2">
        <v>6756.98</v>
      </c>
      <c r="BE114" s="2">
        <v>9814.51</v>
      </c>
      <c r="BF114" s="2">
        <v>6648.24</v>
      </c>
      <c r="BG114" s="2">
        <v>10149.18</v>
      </c>
      <c r="BH114" s="2">
        <v>6538.6</v>
      </c>
      <c r="BI114" s="2">
        <v>9390.11</v>
      </c>
      <c r="BJ114" s="2">
        <v>6259</v>
      </c>
      <c r="BK114" s="2">
        <v>7077.15</v>
      </c>
      <c r="BL114" s="2">
        <v>5729.69</v>
      </c>
      <c r="BM114" s="2">
        <v>5974.58</v>
      </c>
      <c r="BN114" s="2">
        <v>6152.47</v>
      </c>
      <c r="BO114" s="2">
        <v>6205.16</v>
      </c>
      <c r="BR114" s="1" t="s">
        <v>73</v>
      </c>
      <c r="BS114" s="2">
        <v>5.32</v>
      </c>
      <c r="BT114" s="2">
        <v>7.21</v>
      </c>
      <c r="BU114" s="2">
        <v>2.0299999999999998</v>
      </c>
      <c r="BV114" s="2">
        <v>2.14</v>
      </c>
      <c r="BW114" s="2">
        <v>0.4</v>
      </c>
      <c r="BX114" s="2">
        <v>0.95</v>
      </c>
      <c r="BY114" s="2">
        <v>3.17</v>
      </c>
      <c r="BZ114" s="2">
        <v>11.52</v>
      </c>
      <c r="CA114" s="2">
        <v>7.85</v>
      </c>
      <c r="CB114" s="2">
        <v>14.4</v>
      </c>
      <c r="CC114" s="2">
        <v>20.12</v>
      </c>
      <c r="CD114" s="2">
        <v>25.92</v>
      </c>
      <c r="CE114" s="2">
        <v>18.059999999999999</v>
      </c>
      <c r="CF114" s="2">
        <v>18.760000000000002</v>
      </c>
      <c r="CG114" s="2">
        <v>20.32</v>
      </c>
      <c r="CH114" s="2">
        <v>19.03</v>
      </c>
      <c r="CI114" s="2">
        <v>16.07</v>
      </c>
      <c r="CJ114" s="2">
        <v>13.3</v>
      </c>
      <c r="CK114" s="2">
        <v>20.95</v>
      </c>
      <c r="CL114" s="2">
        <v>14.98</v>
      </c>
    </row>
    <row r="116" spans="2:90" x14ac:dyDescent="0.3">
      <c r="W116" s="7">
        <f>SUM(W101,W87,W73)</f>
        <v>0.21222493002002543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10" t="s">
        <v>63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 t="s">
        <v>64</v>
      </c>
      <c r="AJ118" s="10"/>
      <c r="AK118" s="10"/>
      <c r="AL118" s="10"/>
      <c r="AM118" s="10"/>
      <c r="AN118" s="10"/>
      <c r="AO118" s="10"/>
      <c r="AP118" s="10"/>
      <c r="AQ118" s="10"/>
      <c r="AR118" s="10"/>
      <c r="AU118" s="1" t="s">
        <v>6</v>
      </c>
      <c r="AV118" s="10" t="s">
        <v>63</v>
      </c>
      <c r="AW118" s="10"/>
      <c r="AX118" s="10"/>
      <c r="AY118" s="10"/>
      <c r="AZ118" s="10"/>
      <c r="BA118" s="10"/>
      <c r="BB118" s="10"/>
      <c r="BC118" s="10"/>
      <c r="BD118" s="10"/>
      <c r="BE118" s="10"/>
      <c r="BF118" s="10" t="s">
        <v>64</v>
      </c>
      <c r="BG118" s="10"/>
      <c r="BH118" s="10"/>
      <c r="BI118" s="10"/>
      <c r="BJ118" s="10"/>
      <c r="BK118" s="10"/>
      <c r="BL118" s="10"/>
      <c r="BM118" s="10"/>
      <c r="BN118" s="10"/>
      <c r="BO118" s="10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31.22</v>
      </c>
      <c r="Z121" s="2">
        <v>23.06</v>
      </c>
      <c r="AA121" s="2">
        <v>7.16</v>
      </c>
      <c r="AB121" s="2">
        <v>2.93</v>
      </c>
      <c r="AC121" s="2">
        <v>32.799999999999997</v>
      </c>
      <c r="AD121" s="2">
        <v>49.19</v>
      </c>
      <c r="AE121" s="2">
        <v>95.25</v>
      </c>
      <c r="AF121" s="2">
        <v>88.43</v>
      </c>
      <c r="AG121" s="2">
        <v>155.79</v>
      </c>
      <c r="AH121" s="2">
        <v>10.83</v>
      </c>
      <c r="AI121" s="2">
        <v>53.25</v>
      </c>
      <c r="AJ121" s="2">
        <v>12.87</v>
      </c>
      <c r="AK121" s="2">
        <v>7.11</v>
      </c>
      <c r="AL121" s="2">
        <v>4.12</v>
      </c>
      <c r="AM121" s="2">
        <v>32.44</v>
      </c>
      <c r="AN121" s="2">
        <v>25.49</v>
      </c>
      <c r="AO121" s="2">
        <v>21.36</v>
      </c>
      <c r="AP121" s="2">
        <v>8.3000000000000007</v>
      </c>
      <c r="AQ121" s="2">
        <v>29.95</v>
      </c>
      <c r="AR121" s="2">
        <v>8.7200000000000006</v>
      </c>
      <c r="AU121" s="1" t="s">
        <v>66</v>
      </c>
      <c r="AV121" s="2">
        <v>384.65</v>
      </c>
      <c r="AW121" s="2">
        <v>1388.14</v>
      </c>
      <c r="AX121" s="2">
        <v>272.20999999999998</v>
      </c>
      <c r="AY121" s="2">
        <v>111.87</v>
      </c>
      <c r="AZ121" s="2">
        <v>404</v>
      </c>
      <c r="BA121" s="2">
        <v>589.21</v>
      </c>
      <c r="BB121" s="2">
        <v>993.39</v>
      </c>
      <c r="BC121" s="2">
        <v>946.87</v>
      </c>
      <c r="BD121" s="2">
        <v>900.23</v>
      </c>
      <c r="BE121" s="2">
        <v>1043.51</v>
      </c>
      <c r="BF121" s="2">
        <v>385.37</v>
      </c>
      <c r="BG121" s="2">
        <v>1240.83</v>
      </c>
      <c r="BH121" s="2">
        <v>272.26</v>
      </c>
      <c r="BI121" s="2">
        <v>177.18</v>
      </c>
      <c r="BJ121" s="2">
        <v>601.48</v>
      </c>
      <c r="BK121" s="2">
        <v>561.11</v>
      </c>
      <c r="BL121" s="2">
        <v>1067.28</v>
      </c>
      <c r="BM121" s="2">
        <v>799.64</v>
      </c>
      <c r="BN121" s="2">
        <v>994.15</v>
      </c>
      <c r="BO121" s="2">
        <v>840.94</v>
      </c>
      <c r="BR121" s="1" t="s">
        <v>66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19278.72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67</v>
      </c>
      <c r="Y122" s="2">
        <v>17.329999999999998</v>
      </c>
      <c r="Z122" s="2">
        <v>58.44</v>
      </c>
      <c r="AA122" s="2">
        <v>9.58</v>
      </c>
      <c r="AB122" s="2">
        <v>3.81</v>
      </c>
      <c r="AC122" s="2">
        <v>18.350000000000001</v>
      </c>
      <c r="AD122" s="2">
        <v>23.22</v>
      </c>
      <c r="AE122" s="2">
        <v>41.79</v>
      </c>
      <c r="AF122" s="2">
        <v>33.99</v>
      </c>
      <c r="AG122" s="2">
        <v>42.41</v>
      </c>
      <c r="AH122" s="2">
        <v>32.29</v>
      </c>
      <c r="AI122" s="2">
        <v>13.72</v>
      </c>
      <c r="AJ122" s="2">
        <v>46.91</v>
      </c>
      <c r="AK122" s="2">
        <v>10.65</v>
      </c>
      <c r="AL122" s="2">
        <v>6.94</v>
      </c>
      <c r="AM122" s="2">
        <v>24.61</v>
      </c>
      <c r="AN122" s="2">
        <v>28.47</v>
      </c>
      <c r="AO122" s="2">
        <v>56.74</v>
      </c>
      <c r="AP122" s="2">
        <v>37.770000000000003</v>
      </c>
      <c r="AQ122" s="2">
        <v>42.5</v>
      </c>
      <c r="AR122" s="2">
        <v>35.49</v>
      </c>
      <c r="AU122" s="1" t="s">
        <v>67</v>
      </c>
      <c r="AV122" s="2">
        <v>225.12</v>
      </c>
      <c r="AW122" s="2">
        <v>770.01</v>
      </c>
      <c r="AX122" s="2">
        <v>116.78</v>
      </c>
      <c r="AY122" s="2">
        <v>46.09</v>
      </c>
      <c r="AZ122" s="2">
        <v>225.01</v>
      </c>
      <c r="BA122" s="2">
        <v>304.38</v>
      </c>
      <c r="BB122" s="2">
        <v>552.92999999999995</v>
      </c>
      <c r="BC122" s="2">
        <v>442.19</v>
      </c>
      <c r="BD122" s="2">
        <v>551.91</v>
      </c>
      <c r="BE122" s="2">
        <v>419.57</v>
      </c>
      <c r="BF122" s="2">
        <v>177.25</v>
      </c>
      <c r="BG122" s="2">
        <v>607.84</v>
      </c>
      <c r="BH122" s="2">
        <v>128.97</v>
      </c>
      <c r="BI122" s="2">
        <v>84.01</v>
      </c>
      <c r="BJ122" s="2">
        <v>297.31</v>
      </c>
      <c r="BK122" s="2">
        <v>367.93</v>
      </c>
      <c r="BL122" s="2">
        <v>733.46</v>
      </c>
      <c r="BM122" s="2">
        <v>488.87</v>
      </c>
      <c r="BN122" s="2">
        <v>551.82000000000005</v>
      </c>
      <c r="BO122" s="2">
        <v>458.19</v>
      </c>
      <c r="BR122" s="1" t="s">
        <v>67</v>
      </c>
      <c r="BS122" s="2">
        <v>348.54</v>
      </c>
      <c r="BT122" s="2">
        <v>427.47</v>
      </c>
      <c r="BU122" s="2">
        <v>359.14</v>
      </c>
      <c r="BV122" s="2">
        <v>379.33</v>
      </c>
      <c r="BW122" s="2">
        <v>464.9</v>
      </c>
      <c r="BX122" s="2">
        <v>409.66</v>
      </c>
      <c r="BY122" s="2">
        <v>370.99</v>
      </c>
      <c r="BZ122" s="2">
        <v>463.24</v>
      </c>
      <c r="CA122" s="2">
        <v>489.71</v>
      </c>
      <c r="CB122" s="2">
        <v>1131.97</v>
      </c>
      <c r="CC122" s="2">
        <v>397.28</v>
      </c>
      <c r="CD122" s="2">
        <v>1047.05</v>
      </c>
      <c r="CE122" s="2">
        <v>510.18</v>
      </c>
      <c r="CF122" s="2">
        <v>786.79</v>
      </c>
      <c r="CG122" s="2">
        <v>566.91</v>
      </c>
      <c r="CH122" s="2">
        <v>993.24</v>
      </c>
      <c r="CI122" s="2">
        <v>625.65</v>
      </c>
      <c r="CJ122" s="2">
        <v>2096.81</v>
      </c>
      <c r="CK122" s="2">
        <v>704.46</v>
      </c>
      <c r="CL122" s="2">
        <v>4806.26</v>
      </c>
    </row>
    <row r="123" spans="2:90" x14ac:dyDescent="0.3">
      <c r="X123" s="1" t="s">
        <v>68</v>
      </c>
      <c r="Y123" s="2">
        <v>135.97</v>
      </c>
      <c r="Z123" s="2">
        <v>188.16</v>
      </c>
      <c r="AA123" s="2">
        <v>103.48</v>
      </c>
      <c r="AB123" s="2">
        <v>69.44</v>
      </c>
      <c r="AC123" s="2">
        <v>128.27000000000001</v>
      </c>
      <c r="AD123" s="2">
        <v>305.51</v>
      </c>
      <c r="AE123" s="2">
        <v>559.01</v>
      </c>
      <c r="AF123" s="2">
        <v>485.38</v>
      </c>
      <c r="AG123" s="2">
        <v>597.29999999999995</v>
      </c>
      <c r="AH123" s="2">
        <v>204.14</v>
      </c>
      <c r="AI123" s="2">
        <v>38.75</v>
      </c>
      <c r="AJ123" s="2">
        <v>179.88</v>
      </c>
      <c r="AK123" s="2">
        <v>30.45</v>
      </c>
      <c r="AL123" s="2">
        <v>75.989999999999995</v>
      </c>
      <c r="AM123" s="2">
        <v>116.31</v>
      </c>
      <c r="AN123" s="2">
        <v>132.77000000000001</v>
      </c>
      <c r="AO123" s="2">
        <v>252.52</v>
      </c>
      <c r="AP123" s="2">
        <v>184.78</v>
      </c>
      <c r="AQ123" s="2">
        <v>194.94</v>
      </c>
      <c r="AR123" s="2">
        <v>188.96</v>
      </c>
      <c r="AU123" s="1" t="s">
        <v>68</v>
      </c>
      <c r="AV123" s="2">
        <v>941.29</v>
      </c>
      <c r="AW123" s="2">
        <v>2412.5700000000002</v>
      </c>
      <c r="AX123" s="2">
        <v>773.61</v>
      </c>
      <c r="AY123" s="2">
        <v>288.95999999999998</v>
      </c>
      <c r="AZ123" s="2">
        <v>1200.1600000000001</v>
      </c>
      <c r="BA123" s="2">
        <v>1711.69</v>
      </c>
      <c r="BB123" s="2">
        <v>2969.71</v>
      </c>
      <c r="BC123" s="2">
        <v>2418.44</v>
      </c>
      <c r="BD123" s="2">
        <v>2912.17</v>
      </c>
      <c r="BE123" s="2">
        <v>2135.19</v>
      </c>
      <c r="BF123" s="2">
        <v>500.62</v>
      </c>
      <c r="BG123" s="2">
        <v>2233.2800000000002</v>
      </c>
      <c r="BH123" s="2">
        <v>368.52</v>
      </c>
      <c r="BI123" s="2">
        <v>452.94</v>
      </c>
      <c r="BJ123" s="2">
        <v>1170.19</v>
      </c>
      <c r="BK123" s="2">
        <v>1556.02</v>
      </c>
      <c r="BL123" s="2">
        <v>2925.51</v>
      </c>
      <c r="BM123" s="2">
        <v>2078.41</v>
      </c>
      <c r="BN123" s="2">
        <v>2404.31</v>
      </c>
      <c r="BO123" s="2">
        <v>2312.02</v>
      </c>
      <c r="BR123" s="1" t="s">
        <v>68</v>
      </c>
      <c r="BS123" s="2">
        <v>160.54</v>
      </c>
      <c r="BT123" s="2">
        <v>575.13</v>
      </c>
      <c r="BU123" s="2">
        <v>171.91</v>
      </c>
      <c r="BV123" s="2">
        <v>453.02</v>
      </c>
      <c r="BW123" s="2">
        <v>149.47999999999999</v>
      </c>
      <c r="BX123" s="2">
        <v>196.78</v>
      </c>
      <c r="BY123" s="2">
        <v>223.68</v>
      </c>
      <c r="BZ123" s="2">
        <v>503.99</v>
      </c>
      <c r="CA123" s="2">
        <v>181.43</v>
      </c>
      <c r="CB123" s="2">
        <v>911.27</v>
      </c>
      <c r="CC123" s="2">
        <v>168.34</v>
      </c>
      <c r="CD123" s="2">
        <v>899.72</v>
      </c>
      <c r="CE123" s="2">
        <v>168.37</v>
      </c>
      <c r="CF123" s="2">
        <v>835.55</v>
      </c>
      <c r="CG123" s="2">
        <v>170.43</v>
      </c>
      <c r="CH123" s="2">
        <v>1010.11</v>
      </c>
      <c r="CI123" s="2">
        <v>654.97</v>
      </c>
      <c r="CJ123" s="2">
        <v>1736.08</v>
      </c>
      <c r="CK123" s="2">
        <v>1891.68</v>
      </c>
      <c r="CL123" s="2">
        <v>3044.55</v>
      </c>
    </row>
    <row r="124" spans="2:90" x14ac:dyDescent="0.3">
      <c r="X124" s="1" t="s">
        <v>69</v>
      </c>
      <c r="Y124" s="2">
        <v>43.05</v>
      </c>
      <c r="Z124" s="2">
        <v>64.849999999999994</v>
      </c>
      <c r="AA124" s="2">
        <v>28.36</v>
      </c>
      <c r="AB124" s="2">
        <v>13.85</v>
      </c>
      <c r="AC124" s="2">
        <v>55.23</v>
      </c>
      <c r="AD124" s="2">
        <v>64.61</v>
      </c>
      <c r="AE124" s="2">
        <v>123.28</v>
      </c>
      <c r="AF124" s="2">
        <v>104.43</v>
      </c>
      <c r="AG124" s="2">
        <v>92.32</v>
      </c>
      <c r="AH124" s="2">
        <v>51.27</v>
      </c>
      <c r="AI124" s="2">
        <v>13.23</v>
      </c>
      <c r="AJ124" s="2">
        <v>56.19</v>
      </c>
      <c r="AK124" s="2">
        <v>13.2</v>
      </c>
      <c r="AL124" s="2">
        <v>16</v>
      </c>
      <c r="AM124" s="2">
        <v>24.94</v>
      </c>
      <c r="AN124" s="2">
        <v>35.479999999999997</v>
      </c>
      <c r="AO124" s="2">
        <v>66.12</v>
      </c>
      <c r="AP124" s="2">
        <v>44.78</v>
      </c>
      <c r="AQ124" s="2">
        <v>60.62</v>
      </c>
      <c r="AR124" s="2">
        <v>47.08</v>
      </c>
      <c r="AU124" s="1" t="s">
        <v>69</v>
      </c>
      <c r="AV124" s="2">
        <v>284.99</v>
      </c>
      <c r="AW124" s="2">
        <v>797.35</v>
      </c>
      <c r="AX124" s="2">
        <v>202.91</v>
      </c>
      <c r="AY124" s="2">
        <v>85.85</v>
      </c>
      <c r="AZ124" s="2">
        <v>411.49</v>
      </c>
      <c r="BA124" s="2">
        <v>498.77</v>
      </c>
      <c r="BB124" s="2">
        <v>949.34</v>
      </c>
      <c r="BC124" s="2">
        <v>792.87</v>
      </c>
      <c r="BD124" s="2">
        <v>969.02</v>
      </c>
      <c r="BE124" s="2">
        <v>660.01</v>
      </c>
      <c r="BF124" s="2">
        <v>147.32</v>
      </c>
      <c r="BG124" s="2">
        <v>677.51</v>
      </c>
      <c r="BH124" s="2">
        <v>159.69999999999999</v>
      </c>
      <c r="BI124" s="2">
        <v>109.45</v>
      </c>
      <c r="BJ124" s="2">
        <v>301.13</v>
      </c>
      <c r="BK124" s="2">
        <v>457.28</v>
      </c>
      <c r="BL124" s="2">
        <v>839.81</v>
      </c>
      <c r="BM124" s="2">
        <v>572.04999999999995</v>
      </c>
      <c r="BN124" s="2">
        <v>769.3</v>
      </c>
      <c r="BO124" s="2">
        <v>567.98</v>
      </c>
      <c r="BR124" s="1" t="s">
        <v>69</v>
      </c>
      <c r="BS124" s="2">
        <v>163</v>
      </c>
      <c r="BT124" s="2">
        <v>455.24</v>
      </c>
      <c r="BU124" s="2">
        <v>175.09</v>
      </c>
      <c r="BV124" s="2">
        <v>376.57</v>
      </c>
      <c r="BW124" s="2">
        <v>174.82</v>
      </c>
      <c r="BX124" s="2">
        <v>167.31</v>
      </c>
      <c r="BY124" s="2">
        <v>191.82</v>
      </c>
      <c r="BZ124" s="2">
        <v>354.29</v>
      </c>
      <c r="CA124" s="2">
        <v>208.13</v>
      </c>
      <c r="CB124" s="2">
        <v>564.44000000000005</v>
      </c>
      <c r="CC124" s="2">
        <v>207.85</v>
      </c>
      <c r="CD124" s="2">
        <v>622.13</v>
      </c>
      <c r="CE124" s="2">
        <v>206.69</v>
      </c>
      <c r="CF124" s="2">
        <v>601.79</v>
      </c>
      <c r="CG124" s="2">
        <v>309.70999999999998</v>
      </c>
      <c r="CH124" s="2">
        <v>743.99</v>
      </c>
      <c r="CI124" s="2">
        <v>757.03</v>
      </c>
      <c r="CJ124" s="2">
        <v>967.54</v>
      </c>
      <c r="CK124" s="2">
        <v>1035.33</v>
      </c>
      <c r="CL124" s="2">
        <v>1293.18</v>
      </c>
    </row>
    <row r="125" spans="2:90" x14ac:dyDescent="0.3">
      <c r="X125" s="1" t="s">
        <v>70</v>
      </c>
      <c r="Y125" s="2">
        <v>119.55</v>
      </c>
      <c r="Z125" s="2">
        <v>293.49</v>
      </c>
      <c r="AA125" s="2">
        <v>124.94</v>
      </c>
      <c r="AB125" s="2">
        <v>44.17</v>
      </c>
      <c r="AC125" s="2">
        <v>137.61000000000001</v>
      </c>
      <c r="AD125" s="2">
        <v>212.01</v>
      </c>
      <c r="AE125" s="2">
        <v>325.68</v>
      </c>
      <c r="AF125" s="2">
        <v>240.29</v>
      </c>
      <c r="AG125" s="2">
        <v>282.39999999999998</v>
      </c>
      <c r="AH125" s="2">
        <v>245.01</v>
      </c>
      <c r="AI125" s="2">
        <v>110.1</v>
      </c>
      <c r="AJ125" s="2">
        <v>282.77999999999997</v>
      </c>
      <c r="AK125" s="2">
        <v>96.72</v>
      </c>
      <c r="AL125" s="2">
        <v>44.16</v>
      </c>
      <c r="AM125" s="2">
        <v>173.47</v>
      </c>
      <c r="AN125" s="2">
        <v>202.24</v>
      </c>
      <c r="AO125" s="2">
        <v>279.82</v>
      </c>
      <c r="AP125" s="2">
        <v>211.1</v>
      </c>
      <c r="AQ125" s="2">
        <v>263.52</v>
      </c>
      <c r="AR125" s="2">
        <v>181.02</v>
      </c>
      <c r="AU125" s="1" t="s">
        <v>70</v>
      </c>
      <c r="AV125" s="2">
        <v>818.3</v>
      </c>
      <c r="AW125" s="2">
        <v>3765.51</v>
      </c>
      <c r="AX125" s="2">
        <v>996.96</v>
      </c>
      <c r="AY125" s="2">
        <v>303.08</v>
      </c>
      <c r="AZ125" s="2">
        <v>1663.19</v>
      </c>
      <c r="BA125" s="2">
        <v>2348.9899999999998</v>
      </c>
      <c r="BB125" s="2">
        <v>4069.92</v>
      </c>
      <c r="BC125" s="2">
        <v>3096.16</v>
      </c>
      <c r="BD125" s="2">
        <v>3631.6</v>
      </c>
      <c r="BE125" s="2">
        <v>3144.79</v>
      </c>
      <c r="BF125" s="2">
        <v>997.5</v>
      </c>
      <c r="BG125" s="2">
        <v>3663.72</v>
      </c>
      <c r="BH125" s="2">
        <v>1174.68</v>
      </c>
      <c r="BI125" s="2">
        <v>313.83999999999997</v>
      </c>
      <c r="BJ125" s="2">
        <v>1526.53</v>
      </c>
      <c r="BK125" s="2">
        <v>2050.7600000000002</v>
      </c>
      <c r="BL125" s="2">
        <v>3626.18</v>
      </c>
      <c r="BM125" s="2">
        <v>2729.5</v>
      </c>
      <c r="BN125" s="2">
        <v>3392.08</v>
      </c>
      <c r="BO125" s="2">
        <v>2329.88</v>
      </c>
      <c r="BR125" s="1" t="s">
        <v>70</v>
      </c>
      <c r="BS125" s="2">
        <v>194.76</v>
      </c>
      <c r="BT125" s="2">
        <v>225.63</v>
      </c>
      <c r="BU125" s="2">
        <v>197.45</v>
      </c>
      <c r="BV125" s="2">
        <v>339.8</v>
      </c>
      <c r="BW125" s="2">
        <v>204.26</v>
      </c>
      <c r="BX125" s="2">
        <v>199.47</v>
      </c>
      <c r="BY125" s="2">
        <v>448.85</v>
      </c>
      <c r="BZ125" s="2">
        <v>243.66</v>
      </c>
      <c r="CA125" s="2">
        <v>314.85000000000002</v>
      </c>
      <c r="CB125" s="2">
        <v>285.55</v>
      </c>
      <c r="CC125" s="2">
        <v>369.38</v>
      </c>
      <c r="CD125" s="2">
        <v>408.31</v>
      </c>
      <c r="CE125" s="2">
        <v>452.82</v>
      </c>
      <c r="CF125" s="2">
        <v>462.09</v>
      </c>
      <c r="CG125" s="2">
        <v>625.94000000000005</v>
      </c>
      <c r="CH125" s="2">
        <v>596.83000000000004</v>
      </c>
      <c r="CI125" s="2">
        <v>778.18</v>
      </c>
      <c r="CJ125" s="2">
        <v>909.13</v>
      </c>
      <c r="CK125" s="2">
        <v>832.96</v>
      </c>
      <c r="CL125" s="2">
        <v>1324.51</v>
      </c>
    </row>
    <row r="126" spans="2:90" x14ac:dyDescent="0.3">
      <c r="X126" s="1" t="s">
        <v>71</v>
      </c>
      <c r="Y126" s="2">
        <v>12.61</v>
      </c>
      <c r="Z126" s="2">
        <v>52.05</v>
      </c>
      <c r="AA126" s="2">
        <v>18.829999999999998</v>
      </c>
      <c r="AB126" s="2">
        <v>7.52</v>
      </c>
      <c r="AC126" s="2">
        <v>21.23</v>
      </c>
      <c r="AD126" s="2">
        <v>24.43</v>
      </c>
      <c r="AE126" s="2">
        <v>51.51</v>
      </c>
      <c r="AF126" s="2">
        <v>38.409999999999997</v>
      </c>
      <c r="AG126" s="2">
        <v>50.83</v>
      </c>
      <c r="AH126" s="2">
        <v>46.3</v>
      </c>
      <c r="AI126" s="2">
        <v>12.19</v>
      </c>
      <c r="AJ126" s="2">
        <v>43.2</v>
      </c>
      <c r="AK126" s="2">
        <v>16.66</v>
      </c>
      <c r="AL126" s="2">
        <v>6</v>
      </c>
      <c r="AM126" s="2">
        <v>19.59</v>
      </c>
      <c r="AN126" s="2">
        <v>36.75</v>
      </c>
      <c r="AO126" s="2">
        <v>67.08</v>
      </c>
      <c r="AP126" s="2">
        <v>38.04</v>
      </c>
      <c r="AQ126" s="2">
        <v>59.71</v>
      </c>
      <c r="AR126" s="2">
        <v>35.47</v>
      </c>
      <c r="AU126" s="1" t="s">
        <v>71</v>
      </c>
      <c r="AV126" s="2">
        <v>149.74</v>
      </c>
      <c r="AW126" s="2">
        <v>619.83000000000004</v>
      </c>
      <c r="AX126" s="2">
        <v>159.02000000000001</v>
      </c>
      <c r="AY126" s="2">
        <v>50.4</v>
      </c>
      <c r="AZ126" s="2">
        <v>236.21</v>
      </c>
      <c r="BA126" s="2">
        <v>290.77</v>
      </c>
      <c r="BB126" s="2">
        <v>618.80999999999995</v>
      </c>
      <c r="BC126" s="2">
        <v>459.61</v>
      </c>
      <c r="BD126" s="2">
        <v>609.80999999999995</v>
      </c>
      <c r="BE126" s="2">
        <v>552.24</v>
      </c>
      <c r="BF126" s="2">
        <v>145.1</v>
      </c>
      <c r="BG126" s="2">
        <v>516.6</v>
      </c>
      <c r="BH126" s="2">
        <v>191.43</v>
      </c>
      <c r="BI126" s="2">
        <v>43.13</v>
      </c>
      <c r="BJ126" s="2">
        <v>142.26</v>
      </c>
      <c r="BK126" s="2">
        <v>328</v>
      </c>
      <c r="BL126" s="2">
        <v>616.33000000000004</v>
      </c>
      <c r="BM126" s="2">
        <v>416.51</v>
      </c>
      <c r="BN126" s="2">
        <v>652.45000000000005</v>
      </c>
      <c r="BO126" s="2">
        <v>433.1</v>
      </c>
      <c r="BR126" s="1" t="s">
        <v>71</v>
      </c>
      <c r="BS126" s="2">
        <v>211.65</v>
      </c>
      <c r="BT126" s="2">
        <v>211.59</v>
      </c>
      <c r="BU126" s="2">
        <v>183.15</v>
      </c>
      <c r="BV126" s="2">
        <v>203.45</v>
      </c>
      <c r="BW126" s="2">
        <v>197.71</v>
      </c>
      <c r="BX126" s="2">
        <v>193.65</v>
      </c>
      <c r="BY126" s="2">
        <v>401.65</v>
      </c>
      <c r="BZ126" s="2">
        <v>225.83</v>
      </c>
      <c r="CA126" s="2">
        <v>644.79</v>
      </c>
      <c r="CB126" s="2">
        <v>226.44</v>
      </c>
      <c r="CC126" s="2">
        <v>490.75</v>
      </c>
      <c r="CD126" s="2">
        <v>226.23</v>
      </c>
      <c r="CE126" s="2">
        <v>504.04</v>
      </c>
      <c r="CF126" s="2">
        <v>274.85000000000002</v>
      </c>
      <c r="CG126" s="2">
        <v>520.41</v>
      </c>
      <c r="CH126" s="2">
        <v>279.08</v>
      </c>
      <c r="CI126" s="2">
        <v>606.34</v>
      </c>
      <c r="CJ126" s="2">
        <v>332.53</v>
      </c>
      <c r="CK126" s="2">
        <v>821.94</v>
      </c>
      <c r="CL126" s="2">
        <v>1096.82</v>
      </c>
    </row>
    <row r="127" spans="2:90" x14ac:dyDescent="0.3">
      <c r="X127" s="1" t="s">
        <v>72</v>
      </c>
      <c r="Y127" s="2">
        <v>58.87</v>
      </c>
      <c r="Z127" s="2">
        <v>113.22</v>
      </c>
      <c r="AA127" s="2">
        <v>34.56</v>
      </c>
      <c r="AB127" s="2">
        <v>22.11</v>
      </c>
      <c r="AC127" s="2">
        <v>65.5</v>
      </c>
      <c r="AD127" s="2">
        <v>63.3</v>
      </c>
      <c r="AE127" s="2">
        <v>127.29</v>
      </c>
      <c r="AF127" s="2">
        <v>92.89</v>
      </c>
      <c r="AG127" s="2">
        <v>142.77000000000001</v>
      </c>
      <c r="AH127" s="2">
        <v>101.47</v>
      </c>
      <c r="AI127" s="2">
        <v>70.08</v>
      </c>
      <c r="AJ127" s="2">
        <v>109.43</v>
      </c>
      <c r="AK127" s="2">
        <v>47.5</v>
      </c>
      <c r="AL127" s="2">
        <v>20.32</v>
      </c>
      <c r="AM127" s="2">
        <v>102.52</v>
      </c>
      <c r="AN127" s="2">
        <v>151.47</v>
      </c>
      <c r="AO127" s="2">
        <v>255.72</v>
      </c>
      <c r="AP127" s="2">
        <v>156.32</v>
      </c>
      <c r="AQ127" s="2">
        <v>176.24</v>
      </c>
      <c r="AR127" s="2">
        <v>78.03</v>
      </c>
      <c r="AU127" s="1" t="s">
        <v>72</v>
      </c>
      <c r="AV127" s="2">
        <v>437.4</v>
      </c>
      <c r="AW127" s="2">
        <v>1355.87</v>
      </c>
      <c r="AX127" s="2">
        <v>396.77</v>
      </c>
      <c r="AY127" s="2">
        <v>129.5</v>
      </c>
      <c r="AZ127" s="2">
        <v>595.38</v>
      </c>
      <c r="BA127" s="2">
        <v>746.85</v>
      </c>
      <c r="BB127" s="2">
        <v>1385.68</v>
      </c>
      <c r="BC127" s="2">
        <v>1004.3</v>
      </c>
      <c r="BD127" s="2">
        <v>1399.2</v>
      </c>
      <c r="BE127" s="2">
        <v>1215.06</v>
      </c>
      <c r="BF127" s="2">
        <v>522.71</v>
      </c>
      <c r="BG127" s="2">
        <v>1313.13</v>
      </c>
      <c r="BH127" s="2">
        <v>436.6</v>
      </c>
      <c r="BI127" s="2">
        <v>152.19999999999999</v>
      </c>
      <c r="BJ127" s="2">
        <v>489.59</v>
      </c>
      <c r="BK127" s="2">
        <v>904.14</v>
      </c>
      <c r="BL127" s="2">
        <v>1536.71</v>
      </c>
      <c r="BM127" s="2">
        <v>1045.1500000000001</v>
      </c>
      <c r="BN127" s="2">
        <v>1510.38</v>
      </c>
      <c r="BO127" s="2">
        <v>939.65</v>
      </c>
      <c r="BR127" s="1" t="s">
        <v>72</v>
      </c>
      <c r="BS127" s="2">
        <v>174.85</v>
      </c>
      <c r="BT127" s="2">
        <v>171.84</v>
      </c>
      <c r="BU127" s="2">
        <v>257.39</v>
      </c>
      <c r="BV127" s="2">
        <v>190.33</v>
      </c>
      <c r="BW127" s="2">
        <v>236.84</v>
      </c>
      <c r="BX127" s="2">
        <v>180.11</v>
      </c>
      <c r="BY127" s="2">
        <v>344.8</v>
      </c>
      <c r="BZ127" s="2">
        <v>186.23</v>
      </c>
      <c r="CA127" s="2">
        <v>659.28</v>
      </c>
      <c r="CB127" s="2">
        <v>186.57</v>
      </c>
      <c r="CC127" s="2">
        <v>556.21</v>
      </c>
      <c r="CD127" s="2">
        <v>187.02</v>
      </c>
      <c r="CE127" s="2">
        <v>548.94000000000005</v>
      </c>
      <c r="CF127" s="2">
        <v>216.43</v>
      </c>
      <c r="CG127" s="2">
        <v>455.98</v>
      </c>
      <c r="CH127" s="2">
        <v>342.58</v>
      </c>
      <c r="CI127" s="2">
        <v>774.7</v>
      </c>
      <c r="CJ127" s="2">
        <v>705.99</v>
      </c>
      <c r="CK127" s="2">
        <v>1013.68</v>
      </c>
      <c r="CL127" s="2">
        <v>1090.54</v>
      </c>
    </row>
    <row r="128" spans="2:90" x14ac:dyDescent="0.3">
      <c r="X128" s="1" t="s">
        <v>73</v>
      </c>
      <c r="Y128" s="2">
        <v>19.66</v>
      </c>
      <c r="Z128" s="2">
        <v>43.54</v>
      </c>
      <c r="AA128" s="2">
        <v>9.08</v>
      </c>
      <c r="AB128" s="2">
        <v>2.46</v>
      </c>
      <c r="AC128" s="2">
        <v>10.87</v>
      </c>
      <c r="AD128" s="2">
        <v>24.94</v>
      </c>
      <c r="AE128" s="2">
        <v>33.159999999999997</v>
      </c>
      <c r="AF128" s="2">
        <v>28.99</v>
      </c>
      <c r="AG128" s="2">
        <v>31.22</v>
      </c>
      <c r="AH128" s="2">
        <v>40.92</v>
      </c>
      <c r="AI128" s="2">
        <v>14.67</v>
      </c>
      <c r="AJ128" s="2">
        <v>38.479999999999997</v>
      </c>
      <c r="AK128" s="2">
        <v>10.72</v>
      </c>
      <c r="AL128" s="2">
        <v>4.41</v>
      </c>
      <c r="AM128" s="2">
        <v>15.79</v>
      </c>
      <c r="AN128" s="2">
        <v>13.88</v>
      </c>
      <c r="AO128" s="2">
        <v>28.55</v>
      </c>
      <c r="AP128" s="2">
        <v>28.75</v>
      </c>
      <c r="AQ128" s="2">
        <v>34.07</v>
      </c>
      <c r="AR128" s="2">
        <v>27.92</v>
      </c>
      <c r="AU128" s="1" t="s">
        <v>73</v>
      </c>
      <c r="AV128" s="2">
        <v>226.04</v>
      </c>
      <c r="AW128" s="2">
        <v>509.96</v>
      </c>
      <c r="AX128" s="2">
        <v>100.51</v>
      </c>
      <c r="AY128" s="2">
        <v>46.74</v>
      </c>
      <c r="AZ128" s="2">
        <v>164.33</v>
      </c>
      <c r="BA128" s="2">
        <v>263.06</v>
      </c>
      <c r="BB128" s="2">
        <v>339.44</v>
      </c>
      <c r="BC128" s="2">
        <v>295.52</v>
      </c>
      <c r="BD128" s="2">
        <v>308.5</v>
      </c>
      <c r="BE128" s="2">
        <v>385.44</v>
      </c>
      <c r="BF128" s="2">
        <v>173.31</v>
      </c>
      <c r="BG128" s="2">
        <v>397.57</v>
      </c>
      <c r="BH128" s="2">
        <v>118.76</v>
      </c>
      <c r="BI128" s="2">
        <v>48.69</v>
      </c>
      <c r="BJ128" s="2">
        <v>161</v>
      </c>
      <c r="BK128" s="2">
        <v>156.54</v>
      </c>
      <c r="BL128" s="2">
        <v>324.63</v>
      </c>
      <c r="BM128" s="2">
        <v>339.26</v>
      </c>
      <c r="BN128" s="2">
        <v>362.65</v>
      </c>
      <c r="BO128" s="2">
        <v>272.98</v>
      </c>
      <c r="BR128" s="1" t="s">
        <v>73</v>
      </c>
      <c r="BS128" s="2">
        <v>444.17</v>
      </c>
      <c r="BT128" s="2">
        <v>353.48</v>
      </c>
      <c r="BU128" s="2">
        <v>254.34</v>
      </c>
      <c r="BV128" s="2">
        <v>266.22000000000003</v>
      </c>
      <c r="BW128" s="2">
        <v>130.87</v>
      </c>
      <c r="BX128" s="2">
        <v>300.63</v>
      </c>
      <c r="BY128" s="2">
        <v>446.38</v>
      </c>
      <c r="BZ128" s="2">
        <v>317.07</v>
      </c>
      <c r="CA128" s="2">
        <v>1223.42</v>
      </c>
      <c r="CB128" s="2">
        <v>385.87</v>
      </c>
      <c r="CC128" s="2">
        <v>586.53</v>
      </c>
      <c r="CD128" s="2">
        <v>383.2</v>
      </c>
      <c r="CE128" s="2">
        <v>495.54</v>
      </c>
      <c r="CF128" s="2">
        <v>469.91</v>
      </c>
      <c r="CG128" s="2">
        <v>624.04</v>
      </c>
      <c r="CH128" s="2">
        <v>725.07</v>
      </c>
      <c r="CI128" s="2">
        <v>769.35</v>
      </c>
      <c r="CJ128" s="2">
        <v>1207.1600000000001</v>
      </c>
      <c r="CK128" s="2">
        <v>1071.79</v>
      </c>
      <c r="CL128" s="2">
        <v>1892.6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24.02</v>
      </c>
      <c r="Z135" s="2">
        <v>40.96</v>
      </c>
      <c r="AA135" s="2">
        <v>5.5</v>
      </c>
      <c r="AB135" s="2">
        <v>5.47</v>
      </c>
      <c r="AC135" s="2">
        <v>5.85</v>
      </c>
      <c r="AD135" s="2">
        <v>8.25</v>
      </c>
      <c r="AE135" s="2">
        <v>20.5</v>
      </c>
      <c r="AF135" s="2">
        <v>20.27</v>
      </c>
      <c r="AG135" s="2">
        <v>24.6</v>
      </c>
      <c r="AH135" s="2">
        <v>12.74</v>
      </c>
      <c r="AI135" s="2">
        <v>26.46</v>
      </c>
      <c r="AJ135" s="2">
        <v>5.93</v>
      </c>
      <c r="AK135" s="2">
        <v>30.49</v>
      </c>
      <c r="AL135" s="2">
        <v>2.86</v>
      </c>
      <c r="AM135" s="2">
        <v>41</v>
      </c>
      <c r="AN135" s="2">
        <v>7.88</v>
      </c>
      <c r="AO135" s="2">
        <v>3.18</v>
      </c>
      <c r="AP135" s="2">
        <v>2.57</v>
      </c>
      <c r="AQ135" s="2">
        <v>5.12</v>
      </c>
      <c r="AR135" s="2">
        <v>2.86</v>
      </c>
      <c r="AU135" s="1" t="s">
        <v>66</v>
      </c>
      <c r="AV135" s="2">
        <v>295.88</v>
      </c>
      <c r="AW135" s="2">
        <v>296.44</v>
      </c>
      <c r="AX135" s="2">
        <v>209.4</v>
      </c>
      <c r="AY135" s="2">
        <v>209.43</v>
      </c>
      <c r="AZ135" s="2">
        <v>223.75</v>
      </c>
      <c r="BA135" s="2">
        <v>354.35</v>
      </c>
      <c r="BB135" s="2">
        <v>252.5</v>
      </c>
      <c r="BC135" s="2">
        <v>375.93</v>
      </c>
      <c r="BD135" s="2">
        <v>294.60000000000002</v>
      </c>
      <c r="BE135" s="2">
        <v>280.56</v>
      </c>
      <c r="BF135" s="2">
        <v>275.94</v>
      </c>
      <c r="BG135" s="2">
        <v>296.47000000000003</v>
      </c>
      <c r="BH135" s="2">
        <v>326.51</v>
      </c>
      <c r="BI135" s="2">
        <v>275.74</v>
      </c>
      <c r="BJ135" s="2">
        <v>236.9</v>
      </c>
      <c r="BK135" s="2">
        <v>261.62</v>
      </c>
      <c r="BL135" s="2">
        <v>306.92</v>
      </c>
      <c r="BM135" s="2">
        <v>247.33</v>
      </c>
      <c r="BN135" s="2">
        <v>308.48</v>
      </c>
      <c r="BO135" s="2">
        <v>275.74</v>
      </c>
    </row>
    <row r="136" spans="24:67" x14ac:dyDescent="0.3">
      <c r="X136" s="1" t="s">
        <v>67</v>
      </c>
      <c r="Y136" s="2">
        <v>13.33</v>
      </c>
      <c r="Z136" s="2">
        <v>10.55</v>
      </c>
      <c r="AA136" s="2">
        <v>7.37</v>
      </c>
      <c r="AB136" s="2">
        <v>8.19</v>
      </c>
      <c r="AC136" s="2">
        <v>7.63</v>
      </c>
      <c r="AD136" s="2">
        <v>13.89</v>
      </c>
      <c r="AE136" s="2">
        <v>11.47</v>
      </c>
      <c r="AF136" s="2">
        <v>15.38</v>
      </c>
      <c r="AG136" s="2">
        <v>11.61</v>
      </c>
      <c r="AH136" s="2">
        <v>14.24</v>
      </c>
      <c r="AI136" s="2">
        <v>11.61</v>
      </c>
      <c r="AJ136" s="2">
        <v>15.76</v>
      </c>
      <c r="AK136" s="2">
        <v>11.72</v>
      </c>
      <c r="AL136" s="2">
        <v>13.02</v>
      </c>
      <c r="AM136" s="2">
        <v>11.16</v>
      </c>
      <c r="AN136" s="2">
        <v>11.18</v>
      </c>
      <c r="AO136" s="2">
        <v>9.5</v>
      </c>
      <c r="AP136" s="2">
        <v>10.44</v>
      </c>
      <c r="AQ136" s="2">
        <v>12.99</v>
      </c>
      <c r="AR136" s="2">
        <v>10.43</v>
      </c>
      <c r="AU136" s="1" t="s">
        <v>67</v>
      </c>
      <c r="AV136" s="2">
        <v>173.17</v>
      </c>
      <c r="AW136" s="2">
        <v>136.35</v>
      </c>
      <c r="AX136" s="2">
        <v>89.83</v>
      </c>
      <c r="AY136" s="2">
        <v>99.21</v>
      </c>
      <c r="AZ136" s="2">
        <v>92.17</v>
      </c>
      <c r="BA136" s="2">
        <v>168.01</v>
      </c>
      <c r="BB136" s="2">
        <v>140.63</v>
      </c>
      <c r="BC136" s="2">
        <v>185.82</v>
      </c>
      <c r="BD136" s="2">
        <v>152.19</v>
      </c>
      <c r="BE136" s="2">
        <v>183.96</v>
      </c>
      <c r="BF136" s="2">
        <v>153.59</v>
      </c>
      <c r="BG136" s="2">
        <v>203.74</v>
      </c>
      <c r="BH136" s="2">
        <v>152.47999999999999</v>
      </c>
      <c r="BI136" s="2">
        <v>168.58</v>
      </c>
      <c r="BJ136" s="2">
        <v>145.24</v>
      </c>
      <c r="BK136" s="2">
        <v>145.22</v>
      </c>
      <c r="BL136" s="2">
        <v>123.4</v>
      </c>
      <c r="BM136" s="2">
        <v>134.76</v>
      </c>
      <c r="BN136" s="2">
        <v>171.11</v>
      </c>
      <c r="BO136" s="2">
        <v>135.07</v>
      </c>
    </row>
    <row r="137" spans="24:67" x14ac:dyDescent="0.3">
      <c r="X137" s="1" t="s">
        <v>68</v>
      </c>
      <c r="Y137" s="2">
        <v>104.59</v>
      </c>
      <c r="Z137" s="2">
        <v>29.81</v>
      </c>
      <c r="AA137" s="2">
        <v>79.599999999999994</v>
      </c>
      <c r="AB137" s="2">
        <v>23.42</v>
      </c>
      <c r="AC137" s="2">
        <v>138.88</v>
      </c>
      <c r="AD137" s="2">
        <v>151.97</v>
      </c>
      <c r="AE137" s="2">
        <v>80.17</v>
      </c>
      <c r="AF137" s="2">
        <v>72.7</v>
      </c>
      <c r="AG137" s="2">
        <v>152.76</v>
      </c>
      <c r="AH137" s="2">
        <v>66.39</v>
      </c>
      <c r="AI137" s="2">
        <v>155.28</v>
      </c>
      <c r="AJ137" s="2">
        <v>70.14</v>
      </c>
      <c r="AK137" s="2">
        <v>167.37</v>
      </c>
      <c r="AL137" s="2">
        <v>63.72</v>
      </c>
      <c r="AM137" s="2">
        <v>157.19</v>
      </c>
      <c r="AN137" s="2">
        <v>51.3</v>
      </c>
      <c r="AO137" s="2">
        <v>60.04</v>
      </c>
      <c r="AP137" s="2">
        <v>55.58</v>
      </c>
      <c r="AQ137" s="2">
        <v>41.81</v>
      </c>
      <c r="AR137" s="2">
        <v>39.97</v>
      </c>
      <c r="AU137" s="1" t="s">
        <v>68</v>
      </c>
      <c r="AV137" s="2">
        <v>724.07</v>
      </c>
      <c r="AW137" s="2">
        <v>385.09</v>
      </c>
      <c r="AX137" s="2">
        <v>595.08000000000004</v>
      </c>
      <c r="AY137" s="2">
        <v>283.48</v>
      </c>
      <c r="AZ137" s="2">
        <v>577.91999999999996</v>
      </c>
      <c r="BA137" s="2">
        <v>905.88</v>
      </c>
      <c r="BB137" s="2">
        <v>750.1</v>
      </c>
      <c r="BC137" s="2">
        <v>731.37</v>
      </c>
      <c r="BD137" s="2">
        <v>855.84</v>
      </c>
      <c r="BE137" s="2">
        <v>778.01</v>
      </c>
      <c r="BF137" s="2">
        <v>824.92</v>
      </c>
      <c r="BG137" s="2">
        <v>812.64</v>
      </c>
      <c r="BH137" s="2">
        <v>833.95</v>
      </c>
      <c r="BI137" s="2">
        <v>716.69</v>
      </c>
      <c r="BJ137" s="2">
        <v>766.36</v>
      </c>
      <c r="BK137" s="2">
        <v>632.71</v>
      </c>
      <c r="BL137" s="2">
        <v>628</v>
      </c>
      <c r="BM137" s="2">
        <v>680.01</v>
      </c>
      <c r="BN137" s="2">
        <v>536.13</v>
      </c>
      <c r="BO137" s="2">
        <v>496.28</v>
      </c>
    </row>
    <row r="138" spans="24:67" x14ac:dyDescent="0.3">
      <c r="X138" s="1" t="s">
        <v>69</v>
      </c>
      <c r="Y138" s="2">
        <v>33.11</v>
      </c>
      <c r="Z138" s="2">
        <v>10.18</v>
      </c>
      <c r="AA138" s="2">
        <v>21.82</v>
      </c>
      <c r="AB138" s="2">
        <v>10.16</v>
      </c>
      <c r="AC138" s="2">
        <v>27.7</v>
      </c>
      <c r="AD138" s="2">
        <v>32</v>
      </c>
      <c r="AE138" s="2">
        <v>34.520000000000003</v>
      </c>
      <c r="AF138" s="2">
        <v>15.59</v>
      </c>
      <c r="AG138" s="2">
        <v>32.31</v>
      </c>
      <c r="AH138" s="2">
        <v>17.739999999999998</v>
      </c>
      <c r="AI138" s="2">
        <v>34.24</v>
      </c>
      <c r="AJ138" s="2">
        <v>18.37</v>
      </c>
      <c r="AK138" s="2">
        <v>36.01</v>
      </c>
      <c r="AL138" s="2">
        <v>15.44</v>
      </c>
      <c r="AM138" s="2">
        <v>24.3</v>
      </c>
      <c r="AN138" s="2">
        <v>15.95</v>
      </c>
      <c r="AO138" s="2">
        <v>15.08</v>
      </c>
      <c r="AP138" s="2">
        <v>13.85</v>
      </c>
      <c r="AQ138" s="2">
        <v>14.41</v>
      </c>
      <c r="AR138" s="2">
        <v>12.49</v>
      </c>
      <c r="AU138" s="1" t="s">
        <v>69</v>
      </c>
      <c r="AV138" s="2">
        <v>219.22</v>
      </c>
      <c r="AW138" s="2">
        <v>113.32</v>
      </c>
      <c r="AX138" s="2">
        <v>156.08000000000001</v>
      </c>
      <c r="AY138" s="2">
        <v>122.84</v>
      </c>
      <c r="AZ138" s="2">
        <v>171.69</v>
      </c>
      <c r="BA138" s="2">
        <v>218.9</v>
      </c>
      <c r="BB138" s="2">
        <v>257.18</v>
      </c>
      <c r="BC138" s="2">
        <v>188.21</v>
      </c>
      <c r="BD138" s="2">
        <v>249.38</v>
      </c>
      <c r="BE138" s="2">
        <v>228.64</v>
      </c>
      <c r="BF138" s="2">
        <v>263.70999999999998</v>
      </c>
      <c r="BG138" s="2">
        <v>233.28</v>
      </c>
      <c r="BH138" s="2">
        <v>273.39999999999998</v>
      </c>
      <c r="BI138" s="2">
        <v>197.26</v>
      </c>
      <c r="BJ138" s="2">
        <v>255</v>
      </c>
      <c r="BK138" s="2">
        <v>202.45</v>
      </c>
      <c r="BL138" s="2">
        <v>194.12</v>
      </c>
      <c r="BM138" s="2">
        <v>167.05</v>
      </c>
      <c r="BN138" s="2">
        <v>177.19</v>
      </c>
      <c r="BO138" s="2">
        <v>150.56</v>
      </c>
    </row>
    <row r="139" spans="24:67" x14ac:dyDescent="0.3">
      <c r="X139" s="1" t="s">
        <v>70</v>
      </c>
      <c r="Y139" s="2">
        <v>91.96</v>
      </c>
      <c r="Z139" s="2">
        <v>84.7</v>
      </c>
      <c r="AA139" s="2">
        <v>96.11</v>
      </c>
      <c r="AB139" s="2">
        <v>74.400000000000006</v>
      </c>
      <c r="AC139" s="2">
        <v>88.33</v>
      </c>
      <c r="AD139" s="2">
        <v>88.32</v>
      </c>
      <c r="AE139" s="2">
        <v>86.01</v>
      </c>
      <c r="AF139" s="2">
        <v>108.42</v>
      </c>
      <c r="AG139" s="2">
        <v>106.01</v>
      </c>
      <c r="AH139" s="2">
        <v>101.12</v>
      </c>
      <c r="AI139" s="2">
        <v>90.47</v>
      </c>
      <c r="AJ139" s="2">
        <v>77.73</v>
      </c>
      <c r="AK139" s="2">
        <v>82.86</v>
      </c>
      <c r="AL139" s="2">
        <v>72.790000000000006</v>
      </c>
      <c r="AM139" s="2">
        <v>74.319999999999993</v>
      </c>
      <c r="AN139" s="2">
        <v>69.349999999999994</v>
      </c>
      <c r="AO139" s="2">
        <v>72.06</v>
      </c>
      <c r="AP139" s="2">
        <v>53.24</v>
      </c>
      <c r="AQ139" s="2">
        <v>65.22</v>
      </c>
      <c r="AR139" s="2">
        <v>62.84</v>
      </c>
      <c r="AU139" s="1" t="s">
        <v>70</v>
      </c>
      <c r="AV139" s="2">
        <v>629.46</v>
      </c>
      <c r="AW139" s="2">
        <v>767.3</v>
      </c>
      <c r="AX139" s="2">
        <v>766.89</v>
      </c>
      <c r="AY139" s="2">
        <v>903.6</v>
      </c>
      <c r="AZ139" s="2">
        <v>606.16999999999996</v>
      </c>
      <c r="BA139" s="2">
        <v>627.67999999999995</v>
      </c>
      <c r="BB139" s="2">
        <v>1039.49</v>
      </c>
      <c r="BC139" s="2">
        <v>954.08</v>
      </c>
      <c r="BD139" s="2">
        <v>1174.49</v>
      </c>
      <c r="BE139" s="2">
        <v>1025.3800000000001</v>
      </c>
      <c r="BF139" s="2">
        <v>1130.53</v>
      </c>
      <c r="BG139" s="2">
        <v>1007.27</v>
      </c>
      <c r="BH139" s="2">
        <v>1067.6400000000001</v>
      </c>
      <c r="BI139" s="2">
        <v>941.21</v>
      </c>
      <c r="BJ139" s="2">
        <v>955.68</v>
      </c>
      <c r="BK139" s="2">
        <v>892.65</v>
      </c>
      <c r="BL139" s="2">
        <v>924.94</v>
      </c>
      <c r="BM139" s="2">
        <v>685.26</v>
      </c>
      <c r="BN139" s="2">
        <v>836.78</v>
      </c>
      <c r="BO139" s="2">
        <v>814.16</v>
      </c>
    </row>
    <row r="140" spans="24:67" x14ac:dyDescent="0.3">
      <c r="X140" s="1" t="s">
        <v>71</v>
      </c>
      <c r="Y140" s="2">
        <v>9.6999999999999993</v>
      </c>
      <c r="Z140" s="2">
        <v>9.3699999999999992</v>
      </c>
      <c r="AA140" s="2">
        <v>14.48</v>
      </c>
      <c r="AB140" s="2">
        <v>12.81</v>
      </c>
      <c r="AC140" s="2">
        <v>15.05</v>
      </c>
      <c r="AD140" s="2">
        <v>11.99</v>
      </c>
      <c r="AE140" s="2">
        <v>13.27</v>
      </c>
      <c r="AF140" s="2">
        <v>12.24</v>
      </c>
      <c r="AG140" s="2">
        <v>12.22</v>
      </c>
      <c r="AH140" s="2">
        <v>18.38</v>
      </c>
      <c r="AI140" s="2">
        <v>14.31</v>
      </c>
      <c r="AJ140" s="2">
        <v>18.63</v>
      </c>
      <c r="AK140" s="2">
        <v>13.24</v>
      </c>
      <c r="AL140" s="2">
        <v>13.12</v>
      </c>
      <c r="AM140" s="2">
        <v>13.38</v>
      </c>
      <c r="AN140" s="2">
        <v>15.71</v>
      </c>
      <c r="AO140" s="2">
        <v>13.62</v>
      </c>
      <c r="AP140" s="2">
        <v>10.43</v>
      </c>
      <c r="AQ140" s="2">
        <v>11.57</v>
      </c>
      <c r="AR140" s="2">
        <v>9.6</v>
      </c>
      <c r="AU140" s="1" t="s">
        <v>71</v>
      </c>
      <c r="AV140" s="2">
        <v>115.18</v>
      </c>
      <c r="AW140" s="2">
        <v>111.62</v>
      </c>
      <c r="AX140" s="2">
        <v>122.32</v>
      </c>
      <c r="AY140" s="2">
        <v>147.25</v>
      </c>
      <c r="AZ140" s="2">
        <v>100.8</v>
      </c>
      <c r="BA140" s="2">
        <v>86.26</v>
      </c>
      <c r="BB140" s="2">
        <v>147.63</v>
      </c>
      <c r="BC140" s="2">
        <v>88.91</v>
      </c>
      <c r="BD140" s="2">
        <v>145.38</v>
      </c>
      <c r="BE140" s="2">
        <v>164</v>
      </c>
      <c r="BF140" s="2">
        <v>171.89</v>
      </c>
      <c r="BG140" s="2">
        <v>171.2</v>
      </c>
      <c r="BH140" s="2">
        <v>158.49</v>
      </c>
      <c r="BI140" s="2">
        <v>143.63</v>
      </c>
      <c r="BJ140" s="2">
        <v>160.47999999999999</v>
      </c>
      <c r="BK140" s="2">
        <v>171.7</v>
      </c>
      <c r="BL140" s="2">
        <v>162.41999999999999</v>
      </c>
      <c r="BM140" s="2">
        <v>127.38</v>
      </c>
      <c r="BN140" s="2">
        <v>137.74</v>
      </c>
      <c r="BO140" s="2">
        <v>114.8</v>
      </c>
    </row>
    <row r="141" spans="24:67" x14ac:dyDescent="0.3">
      <c r="X141" s="1" t="s">
        <v>72</v>
      </c>
      <c r="Y141" s="2">
        <v>45.28</v>
      </c>
      <c r="Z141" s="2">
        <v>53.91</v>
      </c>
      <c r="AA141" s="2">
        <v>26.58</v>
      </c>
      <c r="AB141" s="2">
        <v>36.54</v>
      </c>
      <c r="AC141" s="2">
        <v>44.22</v>
      </c>
      <c r="AD141" s="2">
        <v>40.64</v>
      </c>
      <c r="AE141" s="2">
        <v>40.94</v>
      </c>
      <c r="AF141" s="2">
        <v>64.08</v>
      </c>
      <c r="AG141" s="2">
        <v>31.65</v>
      </c>
      <c r="AH141" s="2">
        <v>75.739999999999995</v>
      </c>
      <c r="AI141" s="2">
        <v>35.36</v>
      </c>
      <c r="AJ141" s="2">
        <v>71.03</v>
      </c>
      <c r="AK141" s="2">
        <v>32.03</v>
      </c>
      <c r="AL141" s="2">
        <v>53.9</v>
      </c>
      <c r="AM141" s="2">
        <v>37.57</v>
      </c>
      <c r="AN141" s="2">
        <v>46.38</v>
      </c>
      <c r="AO141" s="2">
        <v>29.84</v>
      </c>
      <c r="AP141" s="2">
        <v>22.95</v>
      </c>
      <c r="AQ141" s="2">
        <v>25.16</v>
      </c>
      <c r="AR141" s="2">
        <v>24.32</v>
      </c>
      <c r="AU141" s="1" t="s">
        <v>72</v>
      </c>
      <c r="AV141" s="2">
        <v>336.46</v>
      </c>
      <c r="AW141" s="2">
        <v>402.09</v>
      </c>
      <c r="AX141" s="2">
        <v>305.20999999999998</v>
      </c>
      <c r="AY141" s="2">
        <v>335.85</v>
      </c>
      <c r="AZ141" s="2">
        <v>259</v>
      </c>
      <c r="BA141" s="2">
        <v>304.41000000000003</v>
      </c>
      <c r="BB141" s="2">
        <v>372.11</v>
      </c>
      <c r="BC141" s="2">
        <v>305.99</v>
      </c>
      <c r="BD141" s="2">
        <v>373.43</v>
      </c>
      <c r="BE141" s="2">
        <v>452.07</v>
      </c>
      <c r="BF141" s="2">
        <v>384.91</v>
      </c>
      <c r="BG141" s="2">
        <v>426.86</v>
      </c>
      <c r="BH141" s="2">
        <v>346.31</v>
      </c>
      <c r="BI141" s="2">
        <v>360.4</v>
      </c>
      <c r="BJ141" s="2">
        <v>368.21</v>
      </c>
      <c r="BK141" s="2">
        <v>397.47</v>
      </c>
      <c r="BL141" s="2">
        <v>357.37</v>
      </c>
      <c r="BM141" s="2">
        <v>276.37</v>
      </c>
      <c r="BN141" s="2">
        <v>301.3</v>
      </c>
      <c r="BO141" s="2">
        <v>291.81</v>
      </c>
    </row>
    <row r="142" spans="24:67" x14ac:dyDescent="0.3">
      <c r="X142" s="1" t="s">
        <v>73</v>
      </c>
      <c r="Y142" s="2">
        <v>15.12</v>
      </c>
      <c r="Z142" s="2">
        <v>11.29</v>
      </c>
      <c r="AA142" s="2">
        <v>6.99</v>
      </c>
      <c r="AB142" s="2">
        <v>8.25</v>
      </c>
      <c r="AC142" s="2">
        <v>4.92</v>
      </c>
      <c r="AD142" s="2">
        <v>8.82</v>
      </c>
      <c r="AE142" s="2">
        <v>6.8</v>
      </c>
      <c r="AF142" s="2">
        <v>9.8699999999999992</v>
      </c>
      <c r="AG142" s="2">
        <v>12.47</v>
      </c>
      <c r="AH142" s="2">
        <v>6.94</v>
      </c>
      <c r="AI142" s="2">
        <v>9.2100000000000009</v>
      </c>
      <c r="AJ142" s="2">
        <v>7.93</v>
      </c>
      <c r="AK142" s="2">
        <v>10</v>
      </c>
      <c r="AL142" s="2">
        <v>9.91</v>
      </c>
      <c r="AM142" s="2">
        <v>8.2200000000000006</v>
      </c>
      <c r="AN142" s="2">
        <v>8.9700000000000006</v>
      </c>
      <c r="AO142" s="2">
        <v>12.03</v>
      </c>
      <c r="AP142" s="2">
        <v>8.2100000000000009</v>
      </c>
      <c r="AQ142" s="2">
        <v>9.68</v>
      </c>
      <c r="AR142" s="2">
        <v>8.5500000000000007</v>
      </c>
      <c r="AU142" s="1" t="s">
        <v>73</v>
      </c>
      <c r="AV142" s="2">
        <v>173.88</v>
      </c>
      <c r="AW142" s="2">
        <v>133.31</v>
      </c>
      <c r="AX142" s="2">
        <v>77.31</v>
      </c>
      <c r="AY142" s="2">
        <v>91.35</v>
      </c>
      <c r="AZ142" s="2">
        <v>93.48</v>
      </c>
      <c r="BA142" s="2">
        <v>97.38</v>
      </c>
      <c r="BB142" s="2">
        <v>102.7</v>
      </c>
      <c r="BC142" s="2">
        <v>100.63</v>
      </c>
      <c r="BD142" s="2">
        <v>131.53</v>
      </c>
      <c r="BE142" s="2">
        <v>78.27</v>
      </c>
      <c r="BF142" s="2">
        <v>94.29</v>
      </c>
      <c r="BG142" s="2">
        <v>90.17</v>
      </c>
      <c r="BH142" s="2">
        <v>101.9</v>
      </c>
      <c r="BI142" s="2">
        <v>116.99</v>
      </c>
      <c r="BJ142" s="2">
        <v>81.180000000000007</v>
      </c>
      <c r="BK142" s="2">
        <v>95.43</v>
      </c>
      <c r="BL142" s="2">
        <v>113.37</v>
      </c>
      <c r="BM142" s="2">
        <v>80.290000000000006</v>
      </c>
      <c r="BN142" s="2">
        <v>113.32</v>
      </c>
      <c r="BO142" s="2">
        <v>88.35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10" t="s">
        <v>63</v>
      </c>
      <c r="Z146" s="10"/>
      <c r="AA146" s="10"/>
      <c r="AB146" s="10"/>
      <c r="AC146" s="10"/>
      <c r="AD146" s="10"/>
      <c r="AE146" s="10"/>
      <c r="AF146" s="10"/>
      <c r="AG146" s="10"/>
      <c r="AH146" s="10"/>
      <c r="AI146" s="10" t="s">
        <v>64</v>
      </c>
      <c r="AJ146" s="10"/>
      <c r="AK146" s="10"/>
      <c r="AL146" s="10"/>
      <c r="AM146" s="10"/>
      <c r="AN146" s="10"/>
      <c r="AO146" s="10"/>
      <c r="AP146" s="10"/>
      <c r="AQ146" s="10"/>
      <c r="AR146" s="10"/>
      <c r="AU146" s="1" t="s">
        <v>6</v>
      </c>
      <c r="AV146" s="10" t="s">
        <v>63</v>
      </c>
      <c r="AW146" s="10"/>
      <c r="AX146" s="10"/>
      <c r="AY146" s="10"/>
      <c r="AZ146" s="10"/>
      <c r="BA146" s="10"/>
      <c r="BB146" s="10"/>
      <c r="BC146" s="10"/>
      <c r="BD146" s="10"/>
      <c r="BE146" s="10"/>
      <c r="BF146" s="10" t="s">
        <v>64</v>
      </c>
      <c r="BG146" s="10"/>
      <c r="BH146" s="10"/>
      <c r="BI146" s="10"/>
      <c r="BJ146" s="10"/>
      <c r="BK146" s="10"/>
      <c r="BL146" s="10"/>
      <c r="BM146" s="10"/>
      <c r="BN146" s="10"/>
      <c r="BO146" s="10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8.07</v>
      </c>
      <c r="Z149" s="2">
        <v>1.87</v>
      </c>
      <c r="AA149" s="2">
        <v>2.0699999999999998</v>
      </c>
      <c r="AB149" s="2">
        <v>0.68</v>
      </c>
      <c r="AC149" s="2">
        <v>19.91</v>
      </c>
      <c r="AD149" s="2">
        <v>20.76</v>
      </c>
      <c r="AE149" s="2">
        <v>23.36</v>
      </c>
      <c r="AF149" s="2">
        <v>20.350000000000001</v>
      </c>
      <c r="AG149" s="2">
        <v>29.29</v>
      </c>
      <c r="AH149" s="2">
        <v>1.2</v>
      </c>
      <c r="AI149" s="2">
        <v>16.510000000000002</v>
      </c>
      <c r="AJ149" s="2">
        <v>1.62</v>
      </c>
      <c r="AK149" s="2">
        <v>2.06</v>
      </c>
      <c r="AL149" s="2">
        <v>1.37</v>
      </c>
      <c r="AM149" s="2">
        <v>6.27</v>
      </c>
      <c r="AN149" s="2">
        <v>15.6</v>
      </c>
      <c r="AO149" s="2">
        <v>7.84</v>
      </c>
      <c r="AP149" s="2">
        <v>2.86</v>
      </c>
      <c r="AQ149" s="2">
        <v>5.8</v>
      </c>
      <c r="AR149" s="2">
        <v>2.1</v>
      </c>
      <c r="AU149" s="1" t="s">
        <v>66</v>
      </c>
      <c r="AV149" s="2">
        <v>103.86</v>
      </c>
      <c r="AW149" s="2">
        <v>114.68</v>
      </c>
      <c r="AX149" s="2">
        <v>78.92</v>
      </c>
      <c r="AY149" s="2">
        <v>25.92</v>
      </c>
      <c r="AZ149" s="2">
        <v>247.77</v>
      </c>
      <c r="BA149" s="2">
        <v>255.04</v>
      </c>
      <c r="BB149" s="2">
        <v>256.36</v>
      </c>
      <c r="BC149" s="2">
        <v>231.37</v>
      </c>
      <c r="BD149" s="2">
        <v>167.55</v>
      </c>
      <c r="BE149" s="2">
        <v>115.42</v>
      </c>
      <c r="BF149" s="2">
        <v>163.66999999999999</v>
      </c>
      <c r="BG149" s="2">
        <v>155.88</v>
      </c>
      <c r="BH149" s="2">
        <v>78.930000000000007</v>
      </c>
      <c r="BI149" s="2">
        <v>56.03</v>
      </c>
      <c r="BJ149" s="2">
        <v>120.29</v>
      </c>
      <c r="BK149" s="2">
        <v>347</v>
      </c>
      <c r="BL149" s="2">
        <v>395.36</v>
      </c>
      <c r="BM149" s="2">
        <v>275.25</v>
      </c>
      <c r="BN149" s="2">
        <v>191.04</v>
      </c>
      <c r="BO149" s="2">
        <v>202.58</v>
      </c>
    </row>
    <row r="150" spans="24:67" x14ac:dyDescent="0.3">
      <c r="X150" s="1" t="s">
        <v>67</v>
      </c>
      <c r="Y150" s="2">
        <v>9.07</v>
      </c>
      <c r="Z150" s="2">
        <v>18.170000000000002</v>
      </c>
      <c r="AA150" s="2">
        <v>6.42</v>
      </c>
      <c r="AB150" s="2">
        <v>1.49</v>
      </c>
      <c r="AC150" s="2">
        <v>8.8000000000000007</v>
      </c>
      <c r="AD150" s="2">
        <v>9.9600000000000009</v>
      </c>
      <c r="AE150" s="2">
        <v>14.05</v>
      </c>
      <c r="AF150" s="2">
        <v>11.85</v>
      </c>
      <c r="AG150" s="2">
        <v>16.170000000000002</v>
      </c>
      <c r="AH150" s="2">
        <v>11.67</v>
      </c>
      <c r="AI150" s="2">
        <v>6.11</v>
      </c>
      <c r="AJ150" s="2">
        <v>19.670000000000002</v>
      </c>
      <c r="AK150" s="2">
        <v>4.82</v>
      </c>
      <c r="AL150" s="2">
        <v>3.38</v>
      </c>
      <c r="AM150" s="2">
        <v>11.54</v>
      </c>
      <c r="AN150" s="2">
        <v>12.92</v>
      </c>
      <c r="AO150" s="2">
        <v>17.54</v>
      </c>
      <c r="AP150" s="2">
        <v>13.71</v>
      </c>
      <c r="AQ150" s="2">
        <v>15.2</v>
      </c>
      <c r="AR150" s="2">
        <v>14.74</v>
      </c>
      <c r="AU150" s="1" t="s">
        <v>67</v>
      </c>
      <c r="AV150" s="2">
        <v>117.81</v>
      </c>
      <c r="AW150" s="2">
        <v>239.23</v>
      </c>
      <c r="AX150" s="2">
        <v>78.34</v>
      </c>
      <c r="AY150" s="2">
        <v>18.059999999999999</v>
      </c>
      <c r="AZ150" s="2">
        <v>107.84</v>
      </c>
      <c r="BA150" s="2">
        <v>130.44</v>
      </c>
      <c r="BB150" s="2">
        <v>185.75</v>
      </c>
      <c r="BC150" s="2">
        <v>154.03</v>
      </c>
      <c r="BD150" s="2">
        <v>210.31</v>
      </c>
      <c r="BE150" s="2">
        <v>151.53</v>
      </c>
      <c r="BF150" s="2">
        <v>78.91</v>
      </c>
      <c r="BG150" s="2">
        <v>254.83</v>
      </c>
      <c r="BH150" s="2">
        <v>58.36</v>
      </c>
      <c r="BI150" s="2">
        <v>40.82</v>
      </c>
      <c r="BJ150" s="2">
        <v>139.34</v>
      </c>
      <c r="BK150" s="2">
        <v>166.88</v>
      </c>
      <c r="BL150" s="2">
        <v>226.54</v>
      </c>
      <c r="BM150" s="2">
        <v>177.4</v>
      </c>
      <c r="BN150" s="2">
        <v>197.22</v>
      </c>
      <c r="BO150" s="2">
        <v>190.28</v>
      </c>
    </row>
    <row r="151" spans="24:67" x14ac:dyDescent="0.3">
      <c r="X151" s="1" t="s">
        <v>68</v>
      </c>
      <c r="Y151" s="2">
        <v>33.67</v>
      </c>
      <c r="Z151" s="2">
        <v>56.23</v>
      </c>
      <c r="AA151" s="2">
        <v>26.54</v>
      </c>
      <c r="AB151" s="2">
        <v>12.92</v>
      </c>
      <c r="AC151" s="2">
        <v>43.17</v>
      </c>
      <c r="AD151" s="2">
        <v>80.650000000000006</v>
      </c>
      <c r="AE151" s="2">
        <v>145.08000000000001</v>
      </c>
      <c r="AF151" s="2">
        <v>132.16999999999999</v>
      </c>
      <c r="AG151" s="2">
        <v>168.88</v>
      </c>
      <c r="AH151" s="2">
        <v>51.6</v>
      </c>
      <c r="AI151" s="2">
        <v>13.51</v>
      </c>
      <c r="AJ151" s="2">
        <v>54.14</v>
      </c>
      <c r="AK151" s="2">
        <v>8.75</v>
      </c>
      <c r="AL151" s="2">
        <v>21.47</v>
      </c>
      <c r="AM151" s="2">
        <v>43.72</v>
      </c>
      <c r="AN151" s="2">
        <v>40.799999999999997</v>
      </c>
      <c r="AO151" s="2">
        <v>66.94</v>
      </c>
      <c r="AP151" s="2">
        <v>56.62</v>
      </c>
      <c r="AQ151" s="2">
        <v>59.72</v>
      </c>
      <c r="AR151" s="2">
        <v>54.14</v>
      </c>
      <c r="AU151" s="1" t="s">
        <v>68</v>
      </c>
      <c r="AV151" s="2">
        <v>232.89</v>
      </c>
      <c r="AW151" s="2">
        <v>720.19</v>
      </c>
      <c r="AX151" s="2">
        <v>198.29</v>
      </c>
      <c r="AY151" s="2">
        <v>53.75</v>
      </c>
      <c r="AZ151" s="2">
        <v>403.48</v>
      </c>
      <c r="BA151" s="2">
        <v>451.55</v>
      </c>
      <c r="BB151" s="2">
        <v>769.74</v>
      </c>
      <c r="BC151" s="2">
        <v>657.9</v>
      </c>
      <c r="BD151" s="2">
        <v>822.42</v>
      </c>
      <c r="BE151" s="2">
        <v>539.11</v>
      </c>
      <c r="BF151" s="2">
        <v>174.47</v>
      </c>
      <c r="BG151" s="2">
        <v>671.57</v>
      </c>
      <c r="BH151" s="2">
        <v>105.91</v>
      </c>
      <c r="BI151" s="2">
        <v>127.96</v>
      </c>
      <c r="BJ151" s="2">
        <v>439.56</v>
      </c>
      <c r="BK151" s="2">
        <v>477.81</v>
      </c>
      <c r="BL151" s="2">
        <v>774.39</v>
      </c>
      <c r="BM151" s="2">
        <v>636.26</v>
      </c>
      <c r="BN151" s="2">
        <v>735.73</v>
      </c>
      <c r="BO151" s="2">
        <v>661.74</v>
      </c>
    </row>
    <row r="152" spans="24:67" x14ac:dyDescent="0.3">
      <c r="X152" s="1" t="s">
        <v>69</v>
      </c>
      <c r="Y152" s="2">
        <v>11.95</v>
      </c>
      <c r="Z152" s="2">
        <v>25.71</v>
      </c>
      <c r="AA152" s="2">
        <v>9.89</v>
      </c>
      <c r="AB152" s="2">
        <v>3.5</v>
      </c>
      <c r="AC152" s="2">
        <v>23.34</v>
      </c>
      <c r="AD152" s="2">
        <v>30.12</v>
      </c>
      <c r="AE152" s="2">
        <v>49.83</v>
      </c>
      <c r="AF152" s="2">
        <v>43.95</v>
      </c>
      <c r="AG152" s="2">
        <v>41.89</v>
      </c>
      <c r="AH152" s="2">
        <v>23.25</v>
      </c>
      <c r="AI152" s="2">
        <v>5.16</v>
      </c>
      <c r="AJ152" s="2">
        <v>24.45</v>
      </c>
      <c r="AK152" s="2">
        <v>3.93</v>
      </c>
      <c r="AL152" s="2">
        <v>5.12</v>
      </c>
      <c r="AM152" s="2">
        <v>11.08</v>
      </c>
      <c r="AN152" s="2">
        <v>11.89</v>
      </c>
      <c r="AO152" s="2">
        <v>18.18</v>
      </c>
      <c r="AP152" s="2">
        <v>15.19</v>
      </c>
      <c r="AQ152" s="2">
        <v>24.83</v>
      </c>
      <c r="AR152" s="2">
        <v>16.98</v>
      </c>
      <c r="AU152" s="1" t="s">
        <v>69</v>
      </c>
      <c r="AV152" s="2">
        <v>79.099999999999994</v>
      </c>
      <c r="AW152" s="2">
        <v>315.83999999999997</v>
      </c>
      <c r="AX152" s="2">
        <v>70.77</v>
      </c>
      <c r="AY152" s="2">
        <v>21.69</v>
      </c>
      <c r="AZ152" s="2">
        <v>173.78</v>
      </c>
      <c r="BA152" s="2">
        <v>232.38</v>
      </c>
      <c r="BB152" s="2">
        <v>383.31</v>
      </c>
      <c r="BC152" s="2">
        <v>333.39</v>
      </c>
      <c r="BD152" s="2">
        <v>439.19</v>
      </c>
      <c r="BE152" s="2">
        <v>299.07</v>
      </c>
      <c r="BF152" s="2">
        <v>57.5</v>
      </c>
      <c r="BG152" s="2">
        <v>294.69</v>
      </c>
      <c r="BH152" s="2">
        <v>47.55</v>
      </c>
      <c r="BI152" s="2">
        <v>35.04</v>
      </c>
      <c r="BJ152" s="2">
        <v>133.78</v>
      </c>
      <c r="BK152" s="2">
        <v>153.16</v>
      </c>
      <c r="BL152" s="2">
        <v>230.63</v>
      </c>
      <c r="BM152" s="2">
        <v>193.9</v>
      </c>
      <c r="BN152" s="2">
        <v>314.89</v>
      </c>
      <c r="BO152" s="2">
        <v>204.7</v>
      </c>
    </row>
    <row r="153" spans="24:67" x14ac:dyDescent="0.3">
      <c r="X153" s="1" t="s">
        <v>70</v>
      </c>
      <c r="Y153" s="2">
        <v>32.64</v>
      </c>
      <c r="Z153" s="2">
        <v>103.21</v>
      </c>
      <c r="AA153" s="2">
        <v>30.55</v>
      </c>
      <c r="AB153" s="2">
        <v>11.26</v>
      </c>
      <c r="AC153" s="2">
        <v>51.49</v>
      </c>
      <c r="AD153" s="2">
        <v>71.41</v>
      </c>
      <c r="AE153" s="2">
        <v>92.27</v>
      </c>
      <c r="AF153" s="2">
        <v>76.709999999999994</v>
      </c>
      <c r="AG153" s="2">
        <v>98.78</v>
      </c>
      <c r="AH153" s="2">
        <v>87.78</v>
      </c>
      <c r="AI153" s="2">
        <v>34.32</v>
      </c>
      <c r="AJ153" s="2">
        <v>98.41</v>
      </c>
      <c r="AK153" s="2">
        <v>17.71</v>
      </c>
      <c r="AL153" s="2">
        <v>16.48</v>
      </c>
      <c r="AM153" s="2">
        <v>59.53</v>
      </c>
      <c r="AN153" s="2">
        <v>73.02</v>
      </c>
      <c r="AO153" s="2">
        <v>87.53</v>
      </c>
      <c r="AP153" s="2">
        <v>76.459999999999994</v>
      </c>
      <c r="AQ153" s="2">
        <v>96.9</v>
      </c>
      <c r="AR153" s="2">
        <v>73.930000000000007</v>
      </c>
      <c r="AU153" s="1" t="s">
        <v>70</v>
      </c>
      <c r="AV153" s="2">
        <v>223.4</v>
      </c>
      <c r="AW153" s="2">
        <v>1323.29</v>
      </c>
      <c r="AX153" s="2">
        <v>243.75</v>
      </c>
      <c r="AY153" s="2">
        <v>77.239999999999995</v>
      </c>
      <c r="AZ153" s="2">
        <v>622.11</v>
      </c>
      <c r="BA153" s="2">
        <v>790.59</v>
      </c>
      <c r="BB153" s="2">
        <v>1151.53</v>
      </c>
      <c r="BC153" s="2">
        <v>987.59</v>
      </c>
      <c r="BD153" s="2">
        <v>1269.22</v>
      </c>
      <c r="BE153" s="2">
        <v>1126.02</v>
      </c>
      <c r="BF153" s="2">
        <v>310.83</v>
      </c>
      <c r="BG153" s="2">
        <v>1274.0899999999999</v>
      </c>
      <c r="BH153" s="2">
        <v>214.99</v>
      </c>
      <c r="BI153" s="2">
        <v>117.1</v>
      </c>
      <c r="BJ153" s="2">
        <v>523.66999999999996</v>
      </c>
      <c r="BK153" s="2">
        <v>739.98</v>
      </c>
      <c r="BL153" s="2">
        <v>1132.8699999999999</v>
      </c>
      <c r="BM153" s="2">
        <v>987.84</v>
      </c>
      <c r="BN153" s="2">
        <v>1246.4000000000001</v>
      </c>
      <c r="BO153" s="2">
        <v>951.17</v>
      </c>
    </row>
    <row r="154" spans="24:67" x14ac:dyDescent="0.3">
      <c r="X154" s="1" t="s">
        <v>71</v>
      </c>
      <c r="Y154" s="2">
        <v>4.25</v>
      </c>
      <c r="Z154" s="2">
        <v>14.3</v>
      </c>
      <c r="AA154" s="2">
        <v>5.81</v>
      </c>
      <c r="AB154" s="2">
        <v>1.88</v>
      </c>
      <c r="AC154" s="2">
        <v>4.97</v>
      </c>
      <c r="AD154" s="2">
        <v>5.54</v>
      </c>
      <c r="AE154" s="2">
        <v>11.6</v>
      </c>
      <c r="AF154" s="2">
        <v>10.59</v>
      </c>
      <c r="AG154" s="2">
        <v>13.44</v>
      </c>
      <c r="AH154" s="2">
        <v>13.61</v>
      </c>
      <c r="AI154" s="2">
        <v>1.65</v>
      </c>
      <c r="AJ154" s="2">
        <v>10.81</v>
      </c>
      <c r="AK154" s="2">
        <v>1.61</v>
      </c>
      <c r="AL154" s="2">
        <v>1.4</v>
      </c>
      <c r="AM154" s="2">
        <v>4.53</v>
      </c>
      <c r="AN154" s="2">
        <v>8.3699999999999992</v>
      </c>
      <c r="AO154" s="2">
        <v>13.17</v>
      </c>
      <c r="AP154" s="2">
        <v>8.4499999999999993</v>
      </c>
      <c r="AQ154" s="2">
        <v>14.26</v>
      </c>
      <c r="AR154" s="2">
        <v>6.65</v>
      </c>
      <c r="AU154" s="1" t="s">
        <v>71</v>
      </c>
      <c r="AV154" s="2">
        <v>50.4</v>
      </c>
      <c r="AW154" s="2">
        <v>170.21</v>
      </c>
      <c r="AX154" s="2">
        <v>49.05</v>
      </c>
      <c r="AY154" s="2">
        <v>12.59</v>
      </c>
      <c r="AZ154" s="2">
        <v>55.35</v>
      </c>
      <c r="BA154" s="2">
        <v>65.86</v>
      </c>
      <c r="BB154" s="2">
        <v>139.24</v>
      </c>
      <c r="BC154" s="2">
        <v>126.61</v>
      </c>
      <c r="BD154" s="2">
        <v>161.04</v>
      </c>
      <c r="BE154" s="2">
        <v>162.21</v>
      </c>
      <c r="BF154" s="2">
        <v>19.579999999999998</v>
      </c>
      <c r="BG154" s="2">
        <v>129.13999999999999</v>
      </c>
      <c r="BH154" s="2">
        <v>18.48</v>
      </c>
      <c r="BI154" s="2">
        <v>10.050000000000001</v>
      </c>
      <c r="BJ154" s="2">
        <v>32.89</v>
      </c>
      <c r="BK154" s="2">
        <v>74.66</v>
      </c>
      <c r="BL154" s="2">
        <v>120.85</v>
      </c>
      <c r="BM154" s="2">
        <v>92.49</v>
      </c>
      <c r="BN154" s="2">
        <v>155.61000000000001</v>
      </c>
      <c r="BO154" s="2">
        <v>81.08</v>
      </c>
    </row>
    <row r="155" spans="24:67" x14ac:dyDescent="0.3">
      <c r="X155" s="1" t="s">
        <v>72</v>
      </c>
      <c r="Y155" s="2">
        <v>12.89</v>
      </c>
      <c r="Z155" s="2">
        <v>27.33</v>
      </c>
      <c r="AA155" s="2">
        <v>6.93</v>
      </c>
      <c r="AB155" s="2">
        <v>4.78</v>
      </c>
      <c r="AC155" s="2">
        <v>16.2</v>
      </c>
      <c r="AD155" s="2">
        <v>15.81</v>
      </c>
      <c r="AE155" s="2">
        <v>26.2</v>
      </c>
      <c r="AF155" s="2">
        <v>20.67</v>
      </c>
      <c r="AG155" s="2">
        <v>36.729999999999997</v>
      </c>
      <c r="AH155" s="2">
        <v>25.41</v>
      </c>
      <c r="AI155" s="2">
        <v>13.34</v>
      </c>
      <c r="AJ155" s="2">
        <v>20.86</v>
      </c>
      <c r="AK155" s="2">
        <v>9.81</v>
      </c>
      <c r="AL155" s="2">
        <v>5.47</v>
      </c>
      <c r="AM155" s="2">
        <v>20.190000000000001</v>
      </c>
      <c r="AN155" s="2">
        <v>28.9</v>
      </c>
      <c r="AO155" s="2">
        <v>49.71</v>
      </c>
      <c r="AP155" s="2">
        <v>38.049999999999997</v>
      </c>
      <c r="AQ155" s="2">
        <v>40.33</v>
      </c>
      <c r="AR155" s="2">
        <v>18.329999999999998</v>
      </c>
      <c r="AU155" s="1" t="s">
        <v>72</v>
      </c>
      <c r="AV155" s="2">
        <v>95.77</v>
      </c>
      <c r="AW155" s="2">
        <v>327.04000000000002</v>
      </c>
      <c r="AX155" s="2">
        <v>79.5</v>
      </c>
      <c r="AY155" s="2">
        <v>27.97</v>
      </c>
      <c r="AZ155" s="2">
        <v>147.19999999999999</v>
      </c>
      <c r="BA155" s="2">
        <v>186.43</v>
      </c>
      <c r="BB155" s="2">
        <v>284.94</v>
      </c>
      <c r="BC155" s="2">
        <v>223.35</v>
      </c>
      <c r="BD155" s="2">
        <v>359.71</v>
      </c>
      <c r="BE155" s="2">
        <v>303.99</v>
      </c>
      <c r="BF155" s="2">
        <v>99.43</v>
      </c>
      <c r="BG155" s="2">
        <v>250.04</v>
      </c>
      <c r="BH155" s="2">
        <v>90.13</v>
      </c>
      <c r="BI155" s="2">
        <v>40.97</v>
      </c>
      <c r="BJ155" s="2">
        <v>96.38</v>
      </c>
      <c r="BK155" s="2">
        <v>172.41</v>
      </c>
      <c r="BL155" s="2">
        <v>298.52</v>
      </c>
      <c r="BM155" s="2">
        <v>254.27</v>
      </c>
      <c r="BN155" s="2">
        <v>345.35</v>
      </c>
      <c r="BO155" s="2">
        <v>220.53</v>
      </c>
    </row>
    <row r="156" spans="24:67" x14ac:dyDescent="0.3">
      <c r="X156" s="1" t="s">
        <v>73</v>
      </c>
      <c r="Y156" s="2">
        <v>1.93</v>
      </c>
      <c r="Z156" s="2">
        <v>5.31</v>
      </c>
      <c r="AA156" s="2">
        <v>1.23</v>
      </c>
      <c r="AB156" s="2">
        <v>0.28999999999999998</v>
      </c>
      <c r="AC156" s="2">
        <v>3.41</v>
      </c>
      <c r="AD156" s="2">
        <v>3.84</v>
      </c>
      <c r="AE156" s="2">
        <v>8.27</v>
      </c>
      <c r="AF156" s="2">
        <v>6.76</v>
      </c>
      <c r="AG156" s="2">
        <v>5.24</v>
      </c>
      <c r="AH156" s="2">
        <v>2.4500000000000002</v>
      </c>
      <c r="AI156" s="2">
        <v>3.38</v>
      </c>
      <c r="AJ156" s="2">
        <v>7.39</v>
      </c>
      <c r="AK156" s="2">
        <v>1.65</v>
      </c>
      <c r="AL156" s="2">
        <v>0.64</v>
      </c>
      <c r="AM156" s="2">
        <v>2.4700000000000002</v>
      </c>
      <c r="AN156" s="2">
        <v>5</v>
      </c>
      <c r="AO156" s="2">
        <v>6.13</v>
      </c>
      <c r="AP156" s="2">
        <v>3.4</v>
      </c>
      <c r="AQ156" s="2">
        <v>2.4500000000000002</v>
      </c>
      <c r="AR156" s="2">
        <v>2.37</v>
      </c>
      <c r="AU156" s="1" t="s">
        <v>73</v>
      </c>
      <c r="AV156" s="2">
        <v>22.25</v>
      </c>
      <c r="AW156" s="2">
        <v>62.19</v>
      </c>
      <c r="AX156" s="2">
        <v>13.59</v>
      </c>
      <c r="AY156" s="2">
        <v>5.41</v>
      </c>
      <c r="AZ156" s="2">
        <v>50.83</v>
      </c>
      <c r="BA156" s="2">
        <v>40.56</v>
      </c>
      <c r="BB156" s="2">
        <v>84.61</v>
      </c>
      <c r="BC156" s="2">
        <v>68.930000000000007</v>
      </c>
      <c r="BD156" s="2">
        <v>51.76</v>
      </c>
      <c r="BE156" s="2">
        <v>23.05</v>
      </c>
      <c r="BF156" s="2">
        <v>39.909999999999997</v>
      </c>
      <c r="BG156" s="2">
        <v>76.31</v>
      </c>
      <c r="BH156" s="2">
        <v>18.239999999999998</v>
      </c>
      <c r="BI156" s="2">
        <v>7.01</v>
      </c>
      <c r="BJ156" s="2">
        <v>25.23</v>
      </c>
      <c r="BK156" s="2">
        <v>56.42</v>
      </c>
      <c r="BL156" s="2">
        <v>69.63</v>
      </c>
      <c r="BM156" s="2">
        <v>40.1</v>
      </c>
      <c r="BN156" s="2">
        <v>26.05</v>
      </c>
      <c r="BO156" s="2">
        <v>23.13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6.21</v>
      </c>
      <c r="Z163" s="2">
        <v>12.7</v>
      </c>
      <c r="AA163" s="2">
        <v>1.6</v>
      </c>
      <c r="AB163" s="2">
        <v>1.59</v>
      </c>
      <c r="AC163" s="2">
        <v>1.36</v>
      </c>
      <c r="AD163" s="2">
        <v>2.74</v>
      </c>
      <c r="AE163" s="2">
        <v>12.44</v>
      </c>
      <c r="AF163" s="2">
        <v>3.92</v>
      </c>
      <c r="AG163" s="2">
        <v>10.38</v>
      </c>
      <c r="AH163" s="2">
        <v>7.8</v>
      </c>
      <c r="AI163" s="2">
        <v>6.49</v>
      </c>
      <c r="AJ163" s="2">
        <v>2.1800000000000002</v>
      </c>
      <c r="AK163" s="2">
        <v>7.02</v>
      </c>
      <c r="AL163" s="2">
        <v>0.98</v>
      </c>
      <c r="AM163" s="2">
        <v>7.71</v>
      </c>
      <c r="AN163" s="2">
        <v>1.53</v>
      </c>
      <c r="AO163" s="2">
        <v>0.35</v>
      </c>
      <c r="AP163" s="2">
        <v>0.62</v>
      </c>
      <c r="AQ163" s="2">
        <v>0.42</v>
      </c>
      <c r="AR163" s="2">
        <v>0.36</v>
      </c>
      <c r="AU163" s="1" t="s">
        <v>66</v>
      </c>
      <c r="AV163" s="2">
        <v>79.89</v>
      </c>
      <c r="AW163" s="2">
        <v>125.9</v>
      </c>
      <c r="AX163" s="2">
        <v>60.7</v>
      </c>
      <c r="AY163" s="2">
        <v>60.71</v>
      </c>
      <c r="AZ163" s="2">
        <v>51.84</v>
      </c>
      <c r="BA163" s="2">
        <v>112.06</v>
      </c>
      <c r="BB163" s="2">
        <v>154.86000000000001</v>
      </c>
      <c r="BC163" s="2">
        <v>75.180000000000007</v>
      </c>
      <c r="BD163" s="2">
        <v>127.52</v>
      </c>
      <c r="BE163" s="2">
        <v>173.5</v>
      </c>
      <c r="BF163" s="2">
        <v>71.209999999999994</v>
      </c>
      <c r="BG163" s="2">
        <v>109.82</v>
      </c>
      <c r="BH163" s="2">
        <v>79.78</v>
      </c>
      <c r="BI163" s="2">
        <v>94.92</v>
      </c>
      <c r="BJ163" s="2">
        <v>44.09</v>
      </c>
      <c r="BK163" s="2">
        <v>50.27</v>
      </c>
      <c r="BL163" s="2">
        <v>33.950000000000003</v>
      </c>
      <c r="BM163" s="2">
        <v>59.58</v>
      </c>
      <c r="BN163" s="2">
        <v>25.48</v>
      </c>
      <c r="BO163" s="2">
        <v>34.64</v>
      </c>
    </row>
    <row r="164" spans="24:67" x14ac:dyDescent="0.3">
      <c r="X164" s="1" t="s">
        <v>67</v>
      </c>
      <c r="Y164" s="2">
        <v>6.98</v>
      </c>
      <c r="Z164" s="2">
        <v>4.7</v>
      </c>
      <c r="AA164" s="2">
        <v>4.9400000000000004</v>
      </c>
      <c r="AB164" s="2">
        <v>3.71</v>
      </c>
      <c r="AC164" s="2">
        <v>2.99</v>
      </c>
      <c r="AD164" s="2">
        <v>6.75</v>
      </c>
      <c r="AE164" s="2">
        <v>5.5</v>
      </c>
      <c r="AF164" s="2">
        <v>7.21</v>
      </c>
      <c r="AG164" s="2">
        <v>4.9800000000000004</v>
      </c>
      <c r="AH164" s="2">
        <v>6.46</v>
      </c>
      <c r="AI164" s="2">
        <v>3.9</v>
      </c>
      <c r="AJ164" s="2">
        <v>4.87</v>
      </c>
      <c r="AK164" s="2">
        <v>4.09</v>
      </c>
      <c r="AL164" s="2">
        <v>4.7300000000000004</v>
      </c>
      <c r="AM164" s="2">
        <v>4.26</v>
      </c>
      <c r="AN164" s="2">
        <v>4</v>
      </c>
      <c r="AO164" s="2">
        <v>3.43</v>
      </c>
      <c r="AP164" s="2">
        <v>4.34</v>
      </c>
      <c r="AQ164" s="2">
        <v>4.04</v>
      </c>
      <c r="AR164" s="2">
        <v>4.37</v>
      </c>
      <c r="AU164" s="1" t="s">
        <v>67</v>
      </c>
      <c r="AV164" s="2">
        <v>90.62</v>
      </c>
      <c r="AW164" s="2">
        <v>60.7</v>
      </c>
      <c r="AX164" s="2">
        <v>60.26</v>
      </c>
      <c r="AY164" s="2">
        <v>44.89</v>
      </c>
      <c r="AZ164" s="2">
        <v>36.11</v>
      </c>
      <c r="BA164" s="2">
        <v>81.650000000000006</v>
      </c>
      <c r="BB164" s="2">
        <v>67.400000000000006</v>
      </c>
      <c r="BC164" s="2">
        <v>87.09</v>
      </c>
      <c r="BD164" s="2">
        <v>65.22</v>
      </c>
      <c r="BE164" s="2">
        <v>83.44</v>
      </c>
      <c r="BF164" s="2">
        <v>51.6</v>
      </c>
      <c r="BG164" s="2">
        <v>62.93</v>
      </c>
      <c r="BH164" s="2">
        <v>53.11</v>
      </c>
      <c r="BI164" s="2">
        <v>61.17</v>
      </c>
      <c r="BJ164" s="2">
        <v>55.34</v>
      </c>
      <c r="BK164" s="2">
        <v>51.9</v>
      </c>
      <c r="BL164" s="2">
        <v>44.57</v>
      </c>
      <c r="BM164" s="2">
        <v>55.96</v>
      </c>
      <c r="BN164" s="2">
        <v>53.16</v>
      </c>
      <c r="BO164" s="2">
        <v>56.63</v>
      </c>
    </row>
    <row r="165" spans="24:67" x14ac:dyDescent="0.3">
      <c r="X165" s="1" t="s">
        <v>68</v>
      </c>
      <c r="Y165" s="2">
        <v>25.9</v>
      </c>
      <c r="Z165" s="2">
        <v>10.39</v>
      </c>
      <c r="AA165" s="2">
        <v>20.420000000000002</v>
      </c>
      <c r="AB165" s="2">
        <v>6.73</v>
      </c>
      <c r="AC165" s="2">
        <v>25.83</v>
      </c>
      <c r="AD165" s="2">
        <v>42.94</v>
      </c>
      <c r="AE165" s="2">
        <v>26.98</v>
      </c>
      <c r="AF165" s="2">
        <v>27.32</v>
      </c>
      <c r="AG165" s="2">
        <v>40.33</v>
      </c>
      <c r="AH165" s="2">
        <v>20.399999999999999</v>
      </c>
      <c r="AI165" s="2">
        <v>40.299999999999997</v>
      </c>
      <c r="AJ165" s="2">
        <v>18.600000000000001</v>
      </c>
      <c r="AK165" s="2">
        <v>45.58</v>
      </c>
      <c r="AL165" s="2">
        <v>19.53</v>
      </c>
      <c r="AM165" s="2">
        <v>44.44</v>
      </c>
      <c r="AN165" s="2">
        <v>15.72</v>
      </c>
      <c r="AO165" s="2">
        <v>15.18</v>
      </c>
      <c r="AP165" s="2">
        <v>15.92</v>
      </c>
      <c r="AQ165" s="2">
        <v>12.5</v>
      </c>
      <c r="AR165" s="2">
        <v>12.03</v>
      </c>
      <c r="AU165" s="1" t="s">
        <v>68</v>
      </c>
      <c r="AV165" s="2">
        <v>179.15</v>
      </c>
      <c r="AW165" s="2">
        <v>134.21</v>
      </c>
      <c r="AX165" s="2">
        <v>152.53</v>
      </c>
      <c r="AY165" s="2">
        <v>81.47</v>
      </c>
      <c r="AZ165" s="2">
        <v>107.49</v>
      </c>
      <c r="BA165" s="2">
        <v>255.92</v>
      </c>
      <c r="BB165" s="2">
        <v>252.17</v>
      </c>
      <c r="BC165" s="2">
        <v>274.73</v>
      </c>
      <c r="BD165" s="2">
        <v>225.77</v>
      </c>
      <c r="BE165" s="2">
        <v>238.9</v>
      </c>
      <c r="BF165" s="2">
        <v>213.82</v>
      </c>
      <c r="BG165" s="2">
        <v>215.11</v>
      </c>
      <c r="BH165" s="2">
        <v>226.86</v>
      </c>
      <c r="BI165" s="2">
        <v>219.4</v>
      </c>
      <c r="BJ165" s="2">
        <v>216.43</v>
      </c>
      <c r="BK165" s="2">
        <v>193.61</v>
      </c>
      <c r="BL165" s="2">
        <v>158.56</v>
      </c>
      <c r="BM165" s="2">
        <v>194.63</v>
      </c>
      <c r="BN165" s="2">
        <v>160.04</v>
      </c>
      <c r="BO165" s="2">
        <v>149.24</v>
      </c>
    </row>
    <row r="166" spans="24:67" x14ac:dyDescent="0.3">
      <c r="X166" s="1" t="s">
        <v>69</v>
      </c>
      <c r="Y166" s="2">
        <v>9.19</v>
      </c>
      <c r="Z166" s="2">
        <v>3.97</v>
      </c>
      <c r="AA166" s="2">
        <v>7.61</v>
      </c>
      <c r="AB166" s="2">
        <v>3.02</v>
      </c>
      <c r="AC166" s="2">
        <v>7</v>
      </c>
      <c r="AD166" s="2">
        <v>10.25</v>
      </c>
      <c r="AE166" s="2">
        <v>14.59</v>
      </c>
      <c r="AF166" s="2">
        <v>6.93</v>
      </c>
      <c r="AG166" s="2">
        <v>15.06</v>
      </c>
      <c r="AH166" s="2">
        <v>5.95</v>
      </c>
      <c r="AI166" s="2">
        <v>13.84</v>
      </c>
      <c r="AJ166" s="2">
        <v>5.05</v>
      </c>
      <c r="AK166" s="2">
        <v>15.15</v>
      </c>
      <c r="AL166" s="2">
        <v>5.24</v>
      </c>
      <c r="AM166" s="2">
        <v>11.02</v>
      </c>
      <c r="AN166" s="2">
        <v>6.53</v>
      </c>
      <c r="AO166" s="2">
        <v>6.84</v>
      </c>
      <c r="AP166" s="2">
        <v>4.99</v>
      </c>
      <c r="AQ166" s="2">
        <v>5.71</v>
      </c>
      <c r="AR166" s="2">
        <v>5.43</v>
      </c>
      <c r="AU166" s="1" t="s">
        <v>69</v>
      </c>
      <c r="AV166" s="2">
        <v>60.84</v>
      </c>
      <c r="AW166" s="2">
        <v>44.23</v>
      </c>
      <c r="AX166" s="2">
        <v>54.44</v>
      </c>
      <c r="AY166" s="2">
        <v>36.58</v>
      </c>
      <c r="AZ166" s="2">
        <v>43.38</v>
      </c>
      <c r="BA166" s="2">
        <v>70.09</v>
      </c>
      <c r="BB166" s="2">
        <v>108.61</v>
      </c>
      <c r="BC166" s="2">
        <v>83.61</v>
      </c>
      <c r="BD166" s="2">
        <v>116.19</v>
      </c>
      <c r="BE166" s="2">
        <v>76.58</v>
      </c>
      <c r="BF166" s="2">
        <v>106.48</v>
      </c>
      <c r="BG166" s="2">
        <v>64.06</v>
      </c>
      <c r="BH166" s="2">
        <v>114.96</v>
      </c>
      <c r="BI166" s="2">
        <v>66.86</v>
      </c>
      <c r="BJ166" s="2">
        <v>115.58</v>
      </c>
      <c r="BK166" s="2">
        <v>82.87</v>
      </c>
      <c r="BL166" s="2">
        <v>87.96</v>
      </c>
      <c r="BM166" s="2">
        <v>60.21</v>
      </c>
      <c r="BN166" s="2">
        <v>70.19</v>
      </c>
      <c r="BO166" s="2">
        <v>65.489999999999995</v>
      </c>
    </row>
    <row r="167" spans="24:67" x14ac:dyDescent="0.3">
      <c r="X167" s="1" t="s">
        <v>70</v>
      </c>
      <c r="Y167" s="2">
        <v>25.11</v>
      </c>
      <c r="Z167" s="2">
        <v>26.4</v>
      </c>
      <c r="AA167" s="2">
        <v>23.5</v>
      </c>
      <c r="AB167" s="2">
        <v>13.62</v>
      </c>
      <c r="AC167" s="2">
        <v>22.51</v>
      </c>
      <c r="AD167" s="2">
        <v>32.950000000000003</v>
      </c>
      <c r="AE167" s="2">
        <v>32.18</v>
      </c>
      <c r="AF167" s="2">
        <v>37.21</v>
      </c>
      <c r="AG167" s="2">
        <v>35.700000000000003</v>
      </c>
      <c r="AH167" s="2">
        <v>36.51</v>
      </c>
      <c r="AI167" s="2">
        <v>25.63</v>
      </c>
      <c r="AJ167" s="2">
        <v>24.31</v>
      </c>
      <c r="AK167" s="2">
        <v>26.45</v>
      </c>
      <c r="AL167" s="2">
        <v>26.36</v>
      </c>
      <c r="AM167" s="2">
        <v>25.99</v>
      </c>
      <c r="AN167" s="2">
        <v>25.5</v>
      </c>
      <c r="AO167" s="2">
        <v>25.82</v>
      </c>
      <c r="AP167" s="2">
        <v>21.74</v>
      </c>
      <c r="AQ167" s="2">
        <v>22.94</v>
      </c>
      <c r="AR167" s="2">
        <v>21.87</v>
      </c>
      <c r="AU167" s="1" t="s">
        <v>70</v>
      </c>
      <c r="AV167" s="2">
        <v>171.84</v>
      </c>
      <c r="AW167" s="2">
        <v>239.1</v>
      </c>
      <c r="AX167" s="2">
        <v>187.5</v>
      </c>
      <c r="AY167" s="2">
        <v>165.38</v>
      </c>
      <c r="AZ167" s="2">
        <v>154.49</v>
      </c>
      <c r="BA167" s="2">
        <v>234.2</v>
      </c>
      <c r="BB167" s="2">
        <v>388.82</v>
      </c>
      <c r="BC167" s="2">
        <v>327.29000000000002</v>
      </c>
      <c r="BD167" s="2">
        <v>395.3</v>
      </c>
      <c r="BE167" s="2">
        <v>369.99</v>
      </c>
      <c r="BF167" s="2">
        <v>319.87</v>
      </c>
      <c r="BG167" s="2">
        <v>314.69</v>
      </c>
      <c r="BH167" s="2">
        <v>340.55</v>
      </c>
      <c r="BI167" s="2">
        <v>340.64</v>
      </c>
      <c r="BJ167" s="2">
        <v>334.01</v>
      </c>
      <c r="BK167" s="2">
        <v>328</v>
      </c>
      <c r="BL167" s="2">
        <v>331.18</v>
      </c>
      <c r="BM167" s="2">
        <v>279.76</v>
      </c>
      <c r="BN167" s="2">
        <v>294.06</v>
      </c>
      <c r="BO167" s="2">
        <v>283.13</v>
      </c>
    </row>
    <row r="168" spans="24:67" x14ac:dyDescent="0.3">
      <c r="X168" s="1" t="s">
        <v>71</v>
      </c>
      <c r="Y168" s="2">
        <v>3.27</v>
      </c>
      <c r="Z168" s="2">
        <v>1.27</v>
      </c>
      <c r="AA168" s="2">
        <v>4.47</v>
      </c>
      <c r="AB168" s="2">
        <v>1.24</v>
      </c>
      <c r="AC168" s="2">
        <v>3.76</v>
      </c>
      <c r="AD168" s="2">
        <v>2.8</v>
      </c>
      <c r="AE168" s="2">
        <v>3.11</v>
      </c>
      <c r="AF168" s="2">
        <v>2.83</v>
      </c>
      <c r="AG168" s="2">
        <v>2.77</v>
      </c>
      <c r="AH168" s="2">
        <v>4.18</v>
      </c>
      <c r="AI168" s="2">
        <v>3.22</v>
      </c>
      <c r="AJ168" s="2">
        <v>3.66</v>
      </c>
      <c r="AK168" s="2">
        <v>3.65</v>
      </c>
      <c r="AL168" s="2">
        <v>2.91</v>
      </c>
      <c r="AM168" s="2">
        <v>3.54</v>
      </c>
      <c r="AN168" s="2">
        <v>3.75</v>
      </c>
      <c r="AO168" s="2">
        <v>4</v>
      </c>
      <c r="AP168" s="2">
        <v>1.96</v>
      </c>
      <c r="AQ168" s="2">
        <v>3.18</v>
      </c>
      <c r="AR168" s="2">
        <v>2.4</v>
      </c>
      <c r="AU168" s="1" t="s">
        <v>71</v>
      </c>
      <c r="AV168" s="2">
        <v>38.770000000000003</v>
      </c>
      <c r="AW168" s="2">
        <v>15.06</v>
      </c>
      <c r="AX168" s="2">
        <v>37.729999999999997</v>
      </c>
      <c r="AY168" s="2">
        <v>14.22</v>
      </c>
      <c r="AZ168" s="2">
        <v>25.18</v>
      </c>
      <c r="BA168" s="2">
        <v>20.100000000000001</v>
      </c>
      <c r="BB168" s="2">
        <v>34.590000000000003</v>
      </c>
      <c r="BC168" s="2">
        <v>20.56</v>
      </c>
      <c r="BD168" s="2">
        <v>32.93</v>
      </c>
      <c r="BE168" s="2">
        <v>37.33</v>
      </c>
      <c r="BF168" s="2">
        <v>38.68</v>
      </c>
      <c r="BG168" s="2">
        <v>33.57</v>
      </c>
      <c r="BH168" s="2">
        <v>43.66</v>
      </c>
      <c r="BI168" s="2">
        <v>31.89</v>
      </c>
      <c r="BJ168" s="2">
        <v>42.38</v>
      </c>
      <c r="BK168" s="2">
        <v>40.950000000000003</v>
      </c>
      <c r="BL168" s="2">
        <v>47.71</v>
      </c>
      <c r="BM168" s="2">
        <v>23.85</v>
      </c>
      <c r="BN168" s="2">
        <v>37.82</v>
      </c>
      <c r="BO168" s="2">
        <v>28.7</v>
      </c>
    </row>
    <row r="169" spans="24:67" x14ac:dyDescent="0.3">
      <c r="X169" s="1" t="s">
        <v>72</v>
      </c>
      <c r="Y169" s="2">
        <v>9.92</v>
      </c>
      <c r="Z169" s="2">
        <v>10.26</v>
      </c>
      <c r="AA169" s="2">
        <v>5.33</v>
      </c>
      <c r="AB169" s="2">
        <v>7.55</v>
      </c>
      <c r="AC169" s="2">
        <v>9.5500000000000007</v>
      </c>
      <c r="AD169" s="2">
        <v>10.94</v>
      </c>
      <c r="AE169" s="2">
        <v>10.130000000000001</v>
      </c>
      <c r="AF169" s="2">
        <v>12.62</v>
      </c>
      <c r="AG169" s="2">
        <v>7.9</v>
      </c>
      <c r="AH169" s="2">
        <v>14.45</v>
      </c>
      <c r="AI169" s="2">
        <v>7.28</v>
      </c>
      <c r="AJ169" s="2">
        <v>13.81</v>
      </c>
      <c r="AK169" s="2">
        <v>7.13</v>
      </c>
      <c r="AL169" s="2">
        <v>13.12</v>
      </c>
      <c r="AM169" s="2">
        <v>9.67</v>
      </c>
      <c r="AN169" s="2">
        <v>10.61</v>
      </c>
      <c r="AO169" s="2">
        <v>7.47</v>
      </c>
      <c r="AP169" s="2">
        <v>5.39</v>
      </c>
      <c r="AQ169" s="2">
        <v>6.07</v>
      </c>
      <c r="AR169" s="2">
        <v>4.63</v>
      </c>
      <c r="AU169" s="1" t="s">
        <v>72</v>
      </c>
      <c r="AV169" s="2">
        <v>73.67</v>
      </c>
      <c r="AW169" s="2">
        <v>76.48</v>
      </c>
      <c r="AX169" s="2">
        <v>61.16</v>
      </c>
      <c r="AY169" s="2">
        <v>69.33</v>
      </c>
      <c r="AZ169" s="2">
        <v>55.95</v>
      </c>
      <c r="BA169" s="2">
        <v>81.93</v>
      </c>
      <c r="BB169" s="2">
        <v>92</v>
      </c>
      <c r="BC169" s="2">
        <v>60.24</v>
      </c>
      <c r="BD169" s="2">
        <v>93.21</v>
      </c>
      <c r="BE169" s="2">
        <v>86.21</v>
      </c>
      <c r="BF169" s="2">
        <v>79.150000000000006</v>
      </c>
      <c r="BG169" s="2">
        <v>82.92</v>
      </c>
      <c r="BH169" s="2">
        <v>77.02</v>
      </c>
      <c r="BI169" s="2">
        <v>87.68</v>
      </c>
      <c r="BJ169" s="2">
        <v>94.66</v>
      </c>
      <c r="BK169" s="2">
        <v>90.88</v>
      </c>
      <c r="BL169" s="2">
        <v>89.41</v>
      </c>
      <c r="BM169" s="2">
        <v>64.86</v>
      </c>
      <c r="BN169" s="2">
        <v>72.680000000000007</v>
      </c>
      <c r="BO169" s="2">
        <v>55.57</v>
      </c>
    </row>
    <row r="170" spans="24:67" x14ac:dyDescent="0.3">
      <c r="X170" s="1" t="s">
        <v>73</v>
      </c>
      <c r="Y170" s="2">
        <v>1.49</v>
      </c>
      <c r="Z170" s="2">
        <v>2.6</v>
      </c>
      <c r="AA170" s="2">
        <v>0.94</v>
      </c>
      <c r="AB170" s="2">
        <v>1.27</v>
      </c>
      <c r="AC170" s="2">
        <v>0.56999999999999995</v>
      </c>
      <c r="AD170" s="2">
        <v>1.27</v>
      </c>
      <c r="AE170" s="2">
        <v>2.13</v>
      </c>
      <c r="AF170" s="2">
        <v>1.55</v>
      </c>
      <c r="AG170" s="2">
        <v>1.92</v>
      </c>
      <c r="AH170" s="2">
        <v>2.5</v>
      </c>
      <c r="AI170" s="2">
        <v>2.2999999999999998</v>
      </c>
      <c r="AJ170" s="2">
        <v>1.7</v>
      </c>
      <c r="AK170" s="2">
        <v>2.33</v>
      </c>
      <c r="AL170" s="2">
        <v>1.17</v>
      </c>
      <c r="AM170" s="2">
        <v>1.38</v>
      </c>
      <c r="AN170" s="2">
        <v>0.64</v>
      </c>
      <c r="AO170" s="2">
        <v>0.72</v>
      </c>
      <c r="AP170" s="2">
        <v>0.7</v>
      </c>
      <c r="AQ170" s="2">
        <v>1.18</v>
      </c>
      <c r="AR170" s="2">
        <v>1.64</v>
      </c>
      <c r="AU170" s="1" t="s">
        <v>73</v>
      </c>
      <c r="AV170" s="2">
        <v>17.11</v>
      </c>
      <c r="AW170" s="2">
        <v>30.7</v>
      </c>
      <c r="AX170" s="2">
        <v>10.46</v>
      </c>
      <c r="AY170" s="2">
        <v>14.03</v>
      </c>
      <c r="AZ170" s="2">
        <v>10.83</v>
      </c>
      <c r="BA170" s="2">
        <v>14.03</v>
      </c>
      <c r="BB170" s="2">
        <v>31.77</v>
      </c>
      <c r="BC170" s="2">
        <v>15.77</v>
      </c>
      <c r="BD170" s="2">
        <v>20.28</v>
      </c>
      <c r="BE170" s="2">
        <v>28.21</v>
      </c>
      <c r="BF170" s="2">
        <v>23.5</v>
      </c>
      <c r="BG170" s="2">
        <v>19.34</v>
      </c>
      <c r="BH170" s="2">
        <v>23.77</v>
      </c>
      <c r="BI170" s="2">
        <v>13.83</v>
      </c>
      <c r="BJ170" s="2">
        <v>13.62</v>
      </c>
      <c r="BK170" s="2">
        <v>6.86</v>
      </c>
      <c r="BL170" s="2">
        <v>6.78</v>
      </c>
      <c r="BM170" s="2">
        <v>6.8</v>
      </c>
      <c r="BN170" s="2">
        <v>13.82</v>
      </c>
      <c r="BO170" s="2">
        <v>16.96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10" t="s">
        <v>63</v>
      </c>
      <c r="Z174" s="10"/>
      <c r="AA174" s="10"/>
      <c r="AB174" s="10"/>
      <c r="AC174" s="10"/>
      <c r="AD174" s="10"/>
      <c r="AE174" s="10"/>
      <c r="AF174" s="10"/>
      <c r="AG174" s="10"/>
      <c r="AH174" s="10"/>
      <c r="AI174" s="10" t="s">
        <v>64</v>
      </c>
      <c r="AJ174" s="10"/>
      <c r="AK174" s="10"/>
      <c r="AL174" s="10"/>
      <c r="AM174" s="10"/>
      <c r="AN174" s="10"/>
      <c r="AO174" s="10"/>
      <c r="AP174" s="10"/>
      <c r="AQ174" s="10"/>
      <c r="AR174" s="10"/>
      <c r="AU174" s="1" t="s">
        <v>6</v>
      </c>
      <c r="AV174" s="10" t="s">
        <v>63</v>
      </c>
      <c r="AW174" s="10"/>
      <c r="AX174" s="10"/>
      <c r="AY174" s="10"/>
      <c r="AZ174" s="10"/>
      <c r="BA174" s="10"/>
      <c r="BB174" s="10"/>
      <c r="BC174" s="10"/>
      <c r="BD174" s="10"/>
      <c r="BE174" s="10"/>
      <c r="BF174" s="10" t="s">
        <v>64</v>
      </c>
      <c r="BG174" s="10"/>
      <c r="BH174" s="10"/>
      <c r="BI174" s="10"/>
      <c r="BJ174" s="10"/>
      <c r="BK174" s="10"/>
      <c r="BL174" s="10"/>
      <c r="BM174" s="10"/>
      <c r="BN174" s="10"/>
      <c r="BO174" s="10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334.95</v>
      </c>
      <c r="Z177" s="2">
        <v>143.71</v>
      </c>
      <c r="AA177" s="2">
        <v>19.329999999999998</v>
      </c>
      <c r="AB177" s="2">
        <v>11.42</v>
      </c>
      <c r="AC177" s="2">
        <v>264.69</v>
      </c>
      <c r="AD177" s="2">
        <v>411.91</v>
      </c>
      <c r="AE177" s="2">
        <v>820.68</v>
      </c>
      <c r="AF177" s="2">
        <v>629.15</v>
      </c>
      <c r="AG177" s="2">
        <v>992.93</v>
      </c>
      <c r="AH177" s="2">
        <v>55.65</v>
      </c>
      <c r="AI177" s="2">
        <v>313.06</v>
      </c>
      <c r="AJ177" s="2">
        <v>90.12</v>
      </c>
      <c r="AK177" s="2">
        <v>19.73</v>
      </c>
      <c r="AL177" s="2">
        <v>20.93</v>
      </c>
      <c r="AM177" s="2">
        <v>163.28</v>
      </c>
      <c r="AN177" s="2">
        <v>179.3</v>
      </c>
      <c r="AO177" s="2">
        <v>209.93</v>
      </c>
      <c r="AP177" s="2">
        <v>56.01</v>
      </c>
      <c r="AQ177" s="2">
        <v>263.88</v>
      </c>
      <c r="AR177" s="2">
        <v>58.34</v>
      </c>
      <c r="AU177" s="1" t="s">
        <v>66</v>
      </c>
      <c r="AV177" s="2">
        <v>2451.4699999999998</v>
      </c>
      <c r="AW177" s="2">
        <v>8477.84</v>
      </c>
      <c r="AX177" s="2">
        <v>1260.1300000000001</v>
      </c>
      <c r="AY177" s="2">
        <v>748.78</v>
      </c>
      <c r="AZ177" s="2">
        <v>2608.11</v>
      </c>
      <c r="BA177" s="2">
        <v>3277.09</v>
      </c>
      <c r="BB177" s="2">
        <v>5953.08</v>
      </c>
      <c r="BC177" s="2">
        <v>4723.96</v>
      </c>
      <c r="BD177" s="2">
        <v>6170.45</v>
      </c>
      <c r="BE177" s="2">
        <v>5363.61</v>
      </c>
      <c r="BF177" s="2">
        <v>2496.11</v>
      </c>
      <c r="BG177" s="2">
        <v>8685.7800000000007</v>
      </c>
      <c r="BH177" s="2">
        <v>1295.22</v>
      </c>
      <c r="BI177" s="2">
        <v>801.22</v>
      </c>
      <c r="BJ177" s="2">
        <v>2752.08</v>
      </c>
      <c r="BK177" s="2">
        <v>3389.3</v>
      </c>
      <c r="BL177" s="2">
        <v>6190.87</v>
      </c>
      <c r="BM177" s="2">
        <v>5398.6</v>
      </c>
      <c r="BN177" s="2">
        <v>6702.66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189.82</v>
      </c>
      <c r="Z179" s="2">
        <v>255.61</v>
      </c>
      <c r="AA179" s="2">
        <v>80.66</v>
      </c>
      <c r="AB179" s="2">
        <v>99.83</v>
      </c>
      <c r="AC179" s="2">
        <v>146.26</v>
      </c>
      <c r="AD179" s="2">
        <v>321.07</v>
      </c>
      <c r="AE179" s="2">
        <v>632.74</v>
      </c>
      <c r="AF179" s="2">
        <v>588.57000000000005</v>
      </c>
      <c r="AG179" s="2">
        <v>754.26</v>
      </c>
      <c r="AH179" s="2">
        <v>254.58</v>
      </c>
      <c r="AI179" s="2">
        <v>59.54</v>
      </c>
      <c r="AJ179" s="2">
        <v>259.14</v>
      </c>
      <c r="AK179" s="2">
        <v>29.17</v>
      </c>
      <c r="AL179" s="2">
        <v>62.08</v>
      </c>
      <c r="AM179" s="2">
        <v>122.18</v>
      </c>
      <c r="AN179" s="2">
        <v>131.19</v>
      </c>
      <c r="AO179" s="2">
        <v>250.75</v>
      </c>
      <c r="AP179" s="2">
        <v>220.64</v>
      </c>
      <c r="AQ179" s="2">
        <v>234.91</v>
      </c>
      <c r="AR179" s="2">
        <v>223.36</v>
      </c>
      <c r="AU179" s="1" t="s">
        <v>68</v>
      </c>
      <c r="AV179" s="2">
        <v>1984.67</v>
      </c>
      <c r="AW179" s="2">
        <v>5164.3900000000003</v>
      </c>
      <c r="AX179" s="2">
        <v>920.34</v>
      </c>
      <c r="AY179" s="2">
        <v>612.84</v>
      </c>
      <c r="AZ179" s="2">
        <v>2123.98</v>
      </c>
      <c r="BA179" s="2">
        <v>2678.33</v>
      </c>
      <c r="BB179" s="2">
        <v>4995.04</v>
      </c>
      <c r="BC179" s="2">
        <v>4340.07</v>
      </c>
      <c r="BD179" s="2">
        <v>5438.61</v>
      </c>
      <c r="BE179" s="2">
        <v>4134.8500000000004</v>
      </c>
      <c r="BF179" s="2">
        <v>1207.18</v>
      </c>
      <c r="BG179" s="2">
        <v>5055.51</v>
      </c>
      <c r="BH179" s="2">
        <v>554.27</v>
      </c>
      <c r="BI179" s="2">
        <v>556.77</v>
      </c>
      <c r="BJ179" s="2">
        <v>1913.27</v>
      </c>
      <c r="BK179" s="2">
        <v>2402.31</v>
      </c>
      <c r="BL179" s="2">
        <v>4542.83</v>
      </c>
      <c r="BM179" s="2">
        <v>3872.26</v>
      </c>
      <c r="BN179" s="2">
        <v>4552.6899999999996</v>
      </c>
      <c r="BO179" s="2">
        <v>4288.43</v>
      </c>
    </row>
    <row r="180" spans="24:67" x14ac:dyDescent="0.3">
      <c r="X180" s="1" t="s">
        <v>69</v>
      </c>
      <c r="Y180" s="2">
        <v>78.97</v>
      </c>
      <c r="Z180" s="2">
        <v>112.42</v>
      </c>
      <c r="AA180" s="2">
        <v>33.590000000000003</v>
      </c>
      <c r="AB180" s="2">
        <v>25.27</v>
      </c>
      <c r="AC180" s="2">
        <v>71.5</v>
      </c>
      <c r="AD180" s="2">
        <v>91.08</v>
      </c>
      <c r="AE180" s="2">
        <v>165.23</v>
      </c>
      <c r="AF180" s="2">
        <v>144.13999999999999</v>
      </c>
      <c r="AG180" s="2">
        <v>123.55</v>
      </c>
      <c r="AH180" s="2">
        <v>73.98</v>
      </c>
      <c r="AI180" s="2">
        <v>31.1</v>
      </c>
      <c r="AJ180" s="2">
        <v>115.28</v>
      </c>
      <c r="AK180" s="2">
        <v>15.7</v>
      </c>
      <c r="AL180" s="2">
        <v>25.75</v>
      </c>
      <c r="AM180" s="2">
        <v>44.08</v>
      </c>
      <c r="AN180" s="2">
        <v>48.86</v>
      </c>
      <c r="AO180" s="2">
        <v>93.23</v>
      </c>
      <c r="AP180" s="2">
        <v>77.209999999999994</v>
      </c>
      <c r="AQ180" s="2">
        <v>91.51</v>
      </c>
      <c r="AR180" s="2">
        <v>94.94</v>
      </c>
      <c r="AU180" s="1" t="s">
        <v>69</v>
      </c>
      <c r="AV180" s="2">
        <v>786.71</v>
      </c>
      <c r="AW180" s="2">
        <v>2171.33</v>
      </c>
      <c r="AX180" s="2">
        <v>365.74</v>
      </c>
      <c r="AY180" s="2">
        <v>236.29</v>
      </c>
      <c r="AZ180" s="2">
        <v>813.62</v>
      </c>
      <c r="BA180" s="2">
        <v>1069.02</v>
      </c>
      <c r="BB180" s="2">
        <v>1937.72</v>
      </c>
      <c r="BC180" s="2">
        <v>1664.13</v>
      </c>
      <c r="BD180" s="2">
        <v>2017.75</v>
      </c>
      <c r="BE180" s="2">
        <v>1499.2</v>
      </c>
      <c r="BF180" s="2">
        <v>538.82000000000005</v>
      </c>
      <c r="BG180" s="2">
        <v>2180.34</v>
      </c>
      <c r="BH180" s="2">
        <v>298.38</v>
      </c>
      <c r="BI180" s="2">
        <v>267.32</v>
      </c>
      <c r="BJ180" s="2">
        <v>837.45</v>
      </c>
      <c r="BK180" s="2">
        <v>990.68</v>
      </c>
      <c r="BL180" s="2">
        <v>1864.82</v>
      </c>
      <c r="BM180" s="2">
        <v>1553.46</v>
      </c>
      <c r="BN180" s="2">
        <v>1827.87</v>
      </c>
      <c r="BO180" s="2">
        <v>1796.14</v>
      </c>
    </row>
    <row r="181" spans="24:67" x14ac:dyDescent="0.3">
      <c r="X181" s="1" t="s">
        <v>70</v>
      </c>
      <c r="Y181" s="2">
        <v>237.7</v>
      </c>
      <c r="Z181" s="2">
        <v>509.08</v>
      </c>
      <c r="AA181" s="2">
        <v>120.18</v>
      </c>
      <c r="AB181" s="2">
        <v>76.33</v>
      </c>
      <c r="AC181" s="2">
        <v>159.44</v>
      </c>
      <c r="AD181" s="2">
        <v>243.18</v>
      </c>
      <c r="AE181" s="2">
        <v>381.93</v>
      </c>
      <c r="AF181" s="2">
        <v>301.77</v>
      </c>
      <c r="AG181" s="2">
        <v>386.76</v>
      </c>
      <c r="AH181" s="2">
        <v>342.22</v>
      </c>
      <c r="AI181" s="2">
        <v>226.24</v>
      </c>
      <c r="AJ181" s="2">
        <v>544.61</v>
      </c>
      <c r="AK181" s="2">
        <v>86.42</v>
      </c>
      <c r="AL181" s="2">
        <v>73.39</v>
      </c>
      <c r="AM181" s="2">
        <v>234.27</v>
      </c>
      <c r="AN181" s="2">
        <v>275.39999999999998</v>
      </c>
      <c r="AO181" s="2">
        <v>381.8</v>
      </c>
      <c r="AP181" s="2">
        <v>307.77</v>
      </c>
      <c r="AQ181" s="2">
        <v>377.92</v>
      </c>
      <c r="AR181" s="2">
        <v>336.31</v>
      </c>
      <c r="AU181" s="1" t="s">
        <v>70</v>
      </c>
      <c r="AV181" s="2">
        <v>2461.94</v>
      </c>
      <c r="AW181" s="2">
        <v>10322.42</v>
      </c>
      <c r="AX181" s="2">
        <v>1475.57</v>
      </c>
      <c r="AY181" s="2">
        <v>798.17</v>
      </c>
      <c r="AZ181" s="2">
        <v>3029.36</v>
      </c>
      <c r="BA181" s="2">
        <v>4213.82</v>
      </c>
      <c r="BB181" s="2">
        <v>7541.67</v>
      </c>
      <c r="BC181" s="2">
        <v>6118.83</v>
      </c>
      <c r="BD181" s="2">
        <v>7842.14</v>
      </c>
      <c r="BE181" s="2">
        <v>6938.88</v>
      </c>
      <c r="BF181" s="2">
        <v>3160.91</v>
      </c>
      <c r="BG181" s="2">
        <v>11042.89</v>
      </c>
      <c r="BH181" s="2">
        <v>1641.93</v>
      </c>
      <c r="BI181" s="2">
        <v>796.55</v>
      </c>
      <c r="BJ181" s="2">
        <v>3195.33</v>
      </c>
      <c r="BK181" s="2">
        <v>4341.6000000000004</v>
      </c>
      <c r="BL181" s="2">
        <v>7741.6</v>
      </c>
      <c r="BM181" s="2">
        <v>6240.43</v>
      </c>
      <c r="BN181" s="2">
        <v>7662.88</v>
      </c>
      <c r="BO181" s="2">
        <v>6818.99</v>
      </c>
    </row>
    <row r="182" spans="24:67" x14ac:dyDescent="0.3">
      <c r="X182" s="1" t="s">
        <v>71</v>
      </c>
      <c r="Y182" s="2">
        <v>27.9</v>
      </c>
      <c r="Z182" s="2">
        <v>82.87</v>
      </c>
      <c r="AA182" s="2">
        <v>21.04</v>
      </c>
      <c r="AB182" s="2">
        <v>13.72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25.83</v>
      </c>
      <c r="AJ182" s="2">
        <v>53.68</v>
      </c>
      <c r="AK182" s="2">
        <v>10.4</v>
      </c>
      <c r="AL182" s="2">
        <v>12.32</v>
      </c>
      <c r="AM182" s="2">
        <v>35.53</v>
      </c>
      <c r="AN182" s="2">
        <v>50.74</v>
      </c>
      <c r="AO182" s="2">
        <v>76.239999999999995</v>
      </c>
      <c r="AP182" s="2">
        <v>46.23</v>
      </c>
      <c r="AQ182" s="2">
        <v>68.14</v>
      </c>
      <c r="AR182" s="2">
        <v>48.18</v>
      </c>
      <c r="AU182" s="1" t="s">
        <v>71</v>
      </c>
      <c r="AV182" s="2">
        <v>565.72</v>
      </c>
      <c r="AW182" s="2">
        <v>1680.33</v>
      </c>
      <c r="AX182" s="2">
        <v>299.81</v>
      </c>
      <c r="AY182" s="2">
        <v>152.28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523.82000000000005</v>
      </c>
      <c r="BG182" s="2">
        <v>1088.42</v>
      </c>
      <c r="BH182" s="2">
        <v>197.68</v>
      </c>
      <c r="BI182" s="2">
        <v>147.55000000000001</v>
      </c>
      <c r="BJ182" s="2">
        <v>430.47</v>
      </c>
      <c r="BK182" s="2">
        <v>761.98</v>
      </c>
      <c r="BL182" s="2">
        <v>1182.54</v>
      </c>
      <c r="BM182" s="2">
        <v>866.64</v>
      </c>
      <c r="BN182" s="2">
        <v>1275.99</v>
      </c>
      <c r="BO182" s="2">
        <v>977.03</v>
      </c>
    </row>
    <row r="183" spans="24:67" x14ac:dyDescent="0.3">
      <c r="X183" s="1" t="s">
        <v>72</v>
      </c>
      <c r="Y183" s="2">
        <v>145.61000000000001</v>
      </c>
      <c r="Z183" s="2">
        <v>270.7</v>
      </c>
      <c r="AA183" s="2">
        <v>46.08</v>
      </c>
      <c r="AB183" s="2">
        <v>44.01</v>
      </c>
      <c r="AC183" s="2">
        <v>102.28</v>
      </c>
      <c r="AD183" s="2">
        <v>96.94</v>
      </c>
      <c r="AE183" s="2">
        <v>200.72</v>
      </c>
      <c r="AF183" s="2">
        <v>169.24</v>
      </c>
      <c r="AG183" s="2">
        <v>277.68</v>
      </c>
      <c r="AH183" s="2">
        <v>205.99</v>
      </c>
      <c r="AI183" s="2">
        <v>162.29</v>
      </c>
      <c r="AJ183" s="2">
        <v>241.15</v>
      </c>
      <c r="AK183" s="2">
        <v>56.14</v>
      </c>
      <c r="AL183" s="2">
        <v>49.79</v>
      </c>
      <c r="AM183" s="2">
        <v>208.95</v>
      </c>
      <c r="AN183" s="2">
        <v>279.44</v>
      </c>
      <c r="AO183" s="2">
        <v>471.98</v>
      </c>
      <c r="AP183" s="2">
        <v>331.69</v>
      </c>
      <c r="AQ183" s="2">
        <v>319</v>
      </c>
      <c r="AR183" s="2">
        <v>183.6</v>
      </c>
      <c r="AU183" s="1" t="s">
        <v>72</v>
      </c>
      <c r="AV183" s="2">
        <v>1796.22</v>
      </c>
      <c r="AW183" s="2">
        <v>5488.92</v>
      </c>
      <c r="AX183" s="2">
        <v>875.6</v>
      </c>
      <c r="AY183" s="2">
        <v>422.96</v>
      </c>
      <c r="AZ183" s="2">
        <v>1579.06</v>
      </c>
      <c r="BA183" s="2">
        <v>1965.61</v>
      </c>
      <c r="BB183" s="2">
        <v>3744.4</v>
      </c>
      <c r="BC183" s="2">
        <v>3132.14</v>
      </c>
      <c r="BD183" s="2">
        <v>4627.53</v>
      </c>
      <c r="BE183" s="2">
        <v>4176.72</v>
      </c>
      <c r="BF183" s="2">
        <v>2011.15</v>
      </c>
      <c r="BG183" s="2">
        <v>4889.6099999999997</v>
      </c>
      <c r="BH183" s="2">
        <v>877.31</v>
      </c>
      <c r="BI183" s="2">
        <v>623.84</v>
      </c>
      <c r="BJ183" s="2">
        <v>1615.63</v>
      </c>
      <c r="BK183" s="2">
        <v>2719.94</v>
      </c>
      <c r="BL183" s="2">
        <v>4634.47</v>
      </c>
      <c r="BM183" s="2">
        <v>3651.17</v>
      </c>
      <c r="BN183" s="2">
        <v>4595.82</v>
      </c>
      <c r="BO183" s="2">
        <v>3722.77</v>
      </c>
    </row>
    <row r="184" spans="24:67" x14ac:dyDescent="0.3">
      <c r="X184" s="1" t="s">
        <v>73</v>
      </c>
      <c r="Y184" s="2">
        <v>61.55</v>
      </c>
      <c r="Z184" s="2">
        <v>188.64</v>
      </c>
      <c r="AA184" s="2">
        <v>27.18</v>
      </c>
      <c r="AB184" s="2">
        <v>16.86</v>
      </c>
      <c r="AC184" s="2">
        <v>64.27</v>
      </c>
      <c r="AD184" s="2">
        <v>88.76</v>
      </c>
      <c r="AE184" s="2">
        <v>167.72</v>
      </c>
      <c r="AF184" s="2">
        <v>137.44999999999999</v>
      </c>
      <c r="AG184" s="2">
        <v>183.9</v>
      </c>
      <c r="AH184" s="2">
        <v>169.93</v>
      </c>
      <c r="AI184" s="2">
        <v>64.28</v>
      </c>
      <c r="AJ184" s="2">
        <v>250.17</v>
      </c>
      <c r="AK184" s="2">
        <v>29.17</v>
      </c>
      <c r="AL184" s="2">
        <v>18.850000000000001</v>
      </c>
      <c r="AM184" s="2">
        <v>67.92</v>
      </c>
      <c r="AN184" s="2">
        <v>78.739999999999995</v>
      </c>
      <c r="AO184" s="2">
        <v>148.1</v>
      </c>
      <c r="AP184" s="2">
        <v>122.06</v>
      </c>
      <c r="AQ184" s="2">
        <v>171.13</v>
      </c>
      <c r="AR184" s="2">
        <v>160.08000000000001</v>
      </c>
      <c r="AU184" s="1" t="s">
        <v>73</v>
      </c>
      <c r="AV184" s="2">
        <v>1214.53</v>
      </c>
      <c r="AW184" s="2">
        <v>3824.91</v>
      </c>
      <c r="AX184" s="2">
        <v>516.48</v>
      </c>
      <c r="AY184" s="2">
        <v>320.33999999999997</v>
      </c>
      <c r="AZ184" s="2">
        <v>1221.17</v>
      </c>
      <c r="BA184" s="2">
        <v>1595.44</v>
      </c>
      <c r="BB184" s="2">
        <v>2922.16</v>
      </c>
      <c r="BC184" s="2">
        <v>2383.81</v>
      </c>
      <c r="BD184" s="2">
        <v>3084.48</v>
      </c>
      <c r="BE184" s="2">
        <v>2704.43</v>
      </c>
      <c r="BF184" s="2">
        <v>1303.45</v>
      </c>
      <c r="BG184" s="2">
        <v>4401.93</v>
      </c>
      <c r="BH184" s="2">
        <v>554.27</v>
      </c>
      <c r="BI184" s="2">
        <v>358.1</v>
      </c>
      <c r="BJ184" s="2">
        <v>1187.2</v>
      </c>
      <c r="BK184" s="2">
        <v>1522.58</v>
      </c>
      <c r="BL184" s="2">
        <v>2894.36</v>
      </c>
      <c r="BM184" s="2">
        <v>2474.89</v>
      </c>
      <c r="BN184" s="2">
        <v>3110.93</v>
      </c>
      <c r="BO184" s="2">
        <v>2652.06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257.66000000000003</v>
      </c>
      <c r="Z191" s="2">
        <v>240.82</v>
      </c>
      <c r="AA191" s="2">
        <v>14.87</v>
      </c>
      <c r="AB191" s="2">
        <v>15.18</v>
      </c>
      <c r="AC191" s="2">
        <v>22.84</v>
      </c>
      <c r="AD191" s="2">
        <v>41.87</v>
      </c>
      <c r="AE191" s="2">
        <v>165.43</v>
      </c>
      <c r="AF191" s="2">
        <v>102.05</v>
      </c>
      <c r="AG191" s="2">
        <v>205.96</v>
      </c>
      <c r="AH191" s="2">
        <v>89.65</v>
      </c>
      <c r="AI191" s="2">
        <v>227.97</v>
      </c>
      <c r="AJ191" s="2">
        <v>58.31</v>
      </c>
      <c r="AK191" s="2">
        <v>216.95</v>
      </c>
      <c r="AL191" s="2">
        <v>19.309999999999999</v>
      </c>
      <c r="AM191" s="2">
        <v>261.3</v>
      </c>
      <c r="AN191" s="2">
        <v>69.44</v>
      </c>
      <c r="AO191" s="2">
        <v>16.37</v>
      </c>
      <c r="AP191" s="2">
        <v>17.16</v>
      </c>
      <c r="AQ191" s="2">
        <v>31.94</v>
      </c>
      <c r="AR191" s="2">
        <v>20.03</v>
      </c>
      <c r="AU191" s="1" t="s">
        <v>66</v>
      </c>
      <c r="AV191" s="2">
        <v>1885.74</v>
      </c>
      <c r="AW191" s="2">
        <v>1920.08</v>
      </c>
      <c r="AX191" s="2">
        <v>969.33</v>
      </c>
      <c r="AY191" s="2">
        <v>996.32</v>
      </c>
      <c r="AZ191" s="2">
        <v>1497.56</v>
      </c>
      <c r="BA191" s="2">
        <v>1602.43</v>
      </c>
      <c r="BB191" s="2">
        <v>1630.07</v>
      </c>
      <c r="BC191" s="2">
        <v>1720.05</v>
      </c>
      <c r="BD191" s="2">
        <v>1638.54</v>
      </c>
      <c r="BE191" s="2">
        <v>1694.65</v>
      </c>
      <c r="BF191" s="2">
        <v>1653.63</v>
      </c>
      <c r="BG191" s="2">
        <v>1719.69</v>
      </c>
      <c r="BH191" s="2">
        <v>1628.95</v>
      </c>
      <c r="BI191" s="2">
        <v>1861.59</v>
      </c>
      <c r="BJ191" s="2">
        <v>1623.8</v>
      </c>
      <c r="BK191" s="2">
        <v>1763.86</v>
      </c>
      <c r="BL191" s="2">
        <v>1577.53</v>
      </c>
      <c r="BM191" s="2">
        <v>1653.74</v>
      </c>
      <c r="BN191" s="2">
        <v>1883.96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14.03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284.37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146.01</v>
      </c>
      <c r="Z193" s="2">
        <v>45.8</v>
      </c>
      <c r="AA193" s="2">
        <v>62.04</v>
      </c>
      <c r="AB193" s="2">
        <v>22.44</v>
      </c>
      <c r="AC193" s="2">
        <v>199.66</v>
      </c>
      <c r="AD193" s="2">
        <v>124.17</v>
      </c>
      <c r="AE193" s="2">
        <v>91.41</v>
      </c>
      <c r="AF193" s="2">
        <v>76.36</v>
      </c>
      <c r="AG193" s="2">
        <v>160.54</v>
      </c>
      <c r="AH193" s="2">
        <v>65.59</v>
      </c>
      <c r="AI193" s="2">
        <v>175.76</v>
      </c>
      <c r="AJ193" s="2">
        <v>69.650000000000006</v>
      </c>
      <c r="AK193" s="2">
        <v>202.95</v>
      </c>
      <c r="AL193" s="2">
        <v>76.08</v>
      </c>
      <c r="AM193" s="2">
        <v>198.49</v>
      </c>
      <c r="AN193" s="2">
        <v>61.82</v>
      </c>
      <c r="AO193" s="2">
        <v>74.88</v>
      </c>
      <c r="AP193" s="2">
        <v>65.69</v>
      </c>
      <c r="AQ193" s="2">
        <v>56.8</v>
      </c>
      <c r="AR193" s="2">
        <v>57.59</v>
      </c>
      <c r="AU193" s="1" t="s">
        <v>68</v>
      </c>
      <c r="AV193" s="2">
        <v>1526.67</v>
      </c>
      <c r="AW193" s="2">
        <v>928.6</v>
      </c>
      <c r="AX193" s="2">
        <v>707.95</v>
      </c>
      <c r="AY193" s="2">
        <v>426.36</v>
      </c>
      <c r="AZ193" s="2">
        <v>1225.68</v>
      </c>
      <c r="BA193" s="2">
        <v>1113.54</v>
      </c>
      <c r="BB193" s="2">
        <v>1327.49</v>
      </c>
      <c r="BC193" s="2">
        <v>1195.79</v>
      </c>
      <c r="BD193" s="2">
        <v>1339.16</v>
      </c>
      <c r="BE193" s="2">
        <v>1201.1500000000001</v>
      </c>
      <c r="BF193" s="2">
        <v>1387.51</v>
      </c>
      <c r="BG193" s="2">
        <v>1261.9000000000001</v>
      </c>
      <c r="BH193" s="2">
        <v>1496.58</v>
      </c>
      <c r="BI193" s="2">
        <v>1335.26</v>
      </c>
      <c r="BJ193" s="2">
        <v>1431.21</v>
      </c>
      <c r="BK193" s="2">
        <v>1198.08</v>
      </c>
      <c r="BL193" s="2">
        <v>1216.1300000000001</v>
      </c>
      <c r="BM193" s="2">
        <v>1261.3</v>
      </c>
      <c r="BN193" s="2">
        <v>1147.6400000000001</v>
      </c>
      <c r="BO193" s="2">
        <v>1123.45</v>
      </c>
    </row>
    <row r="194" spans="24:67" x14ac:dyDescent="0.3">
      <c r="X194" s="1" t="s">
        <v>69</v>
      </c>
      <c r="Y194" s="2">
        <v>60.75</v>
      </c>
      <c r="Z194" s="2">
        <v>23.93</v>
      </c>
      <c r="AA194" s="2">
        <v>25.84</v>
      </c>
      <c r="AB194" s="2">
        <v>12.08</v>
      </c>
      <c r="AC194" s="2">
        <v>50.54</v>
      </c>
      <c r="AD194" s="2">
        <v>51.51</v>
      </c>
      <c r="AE194" s="2">
        <v>44.69</v>
      </c>
      <c r="AF194" s="2">
        <v>27.55</v>
      </c>
      <c r="AG194" s="2">
        <v>45.54</v>
      </c>
      <c r="AH194" s="2">
        <v>24.43</v>
      </c>
      <c r="AI194" s="2">
        <v>45.9</v>
      </c>
      <c r="AJ194" s="2">
        <v>25.9</v>
      </c>
      <c r="AK194" s="2">
        <v>49.7</v>
      </c>
      <c r="AL194" s="2">
        <v>26.62</v>
      </c>
      <c r="AM194" s="2">
        <v>32.51</v>
      </c>
      <c r="AN194" s="2">
        <v>24.08</v>
      </c>
      <c r="AO194" s="2">
        <v>21.76</v>
      </c>
      <c r="AP194" s="2">
        <v>27.92</v>
      </c>
      <c r="AQ194" s="2">
        <v>24.98</v>
      </c>
      <c r="AR194" s="2">
        <v>25.62</v>
      </c>
      <c r="AU194" s="1" t="s">
        <v>69</v>
      </c>
      <c r="AV194" s="2">
        <v>605.16</v>
      </c>
      <c r="AW194" s="2">
        <v>414.47</v>
      </c>
      <c r="AX194" s="2">
        <v>281.33999999999997</v>
      </c>
      <c r="AY194" s="2">
        <v>229.52</v>
      </c>
      <c r="AZ194" s="2">
        <v>472.59</v>
      </c>
      <c r="BA194" s="2">
        <v>534.64</v>
      </c>
      <c r="BB194" s="2">
        <v>508.51</v>
      </c>
      <c r="BC194" s="2">
        <v>523.41</v>
      </c>
      <c r="BD194" s="2">
        <v>534.51</v>
      </c>
      <c r="BE194" s="2">
        <v>495.34</v>
      </c>
      <c r="BF194" s="2">
        <v>538.25</v>
      </c>
      <c r="BG194" s="2">
        <v>518.01</v>
      </c>
      <c r="BH194" s="2">
        <v>573.84</v>
      </c>
      <c r="BI194" s="2">
        <v>535.67999999999995</v>
      </c>
      <c r="BJ194" s="2">
        <v>530.99</v>
      </c>
      <c r="BK194" s="2">
        <v>481.02</v>
      </c>
      <c r="BL194" s="2">
        <v>440.94</v>
      </c>
      <c r="BM194" s="2">
        <v>528.28</v>
      </c>
      <c r="BN194" s="2">
        <v>482.52</v>
      </c>
      <c r="BO194" s="2">
        <v>484.52</v>
      </c>
    </row>
    <row r="195" spans="24:67" x14ac:dyDescent="0.3">
      <c r="X195" s="1" t="s">
        <v>70</v>
      </c>
      <c r="Y195" s="2">
        <v>182.85</v>
      </c>
      <c r="Z195" s="2">
        <v>174.03</v>
      </c>
      <c r="AA195" s="2">
        <v>92.45</v>
      </c>
      <c r="AB195" s="2">
        <v>66.48</v>
      </c>
      <c r="AC195" s="2">
        <v>152.66</v>
      </c>
      <c r="AD195" s="2">
        <v>146.78</v>
      </c>
      <c r="AE195" s="2">
        <v>99.65</v>
      </c>
      <c r="AF195" s="2">
        <v>146.41999999999999</v>
      </c>
      <c r="AG195" s="2">
        <v>121.59</v>
      </c>
      <c r="AH195" s="2">
        <v>137.69999999999999</v>
      </c>
      <c r="AI195" s="2">
        <v>106.09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1893.8</v>
      </c>
      <c r="AW195" s="2">
        <v>2431.4699999999998</v>
      </c>
      <c r="AX195" s="2">
        <v>1135.05</v>
      </c>
      <c r="AY195" s="2">
        <v>1263.02</v>
      </c>
      <c r="AZ195" s="2">
        <v>1596.34</v>
      </c>
      <c r="BA195" s="2">
        <v>1593.09</v>
      </c>
      <c r="BB195" s="2">
        <v>1893.35</v>
      </c>
      <c r="BC195" s="2">
        <v>1997.08</v>
      </c>
      <c r="BD195" s="2">
        <v>2106.91</v>
      </c>
      <c r="BE195" s="2">
        <v>2170.8000000000002</v>
      </c>
      <c r="BF195" s="2">
        <v>2094.91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21.46</v>
      </c>
      <c r="Z196" s="2">
        <v>19.87</v>
      </c>
      <c r="AA196" s="2">
        <v>16.18</v>
      </c>
      <c r="AB196" s="2">
        <v>8</v>
      </c>
      <c r="AC196" s="2">
        <v>27.44</v>
      </c>
      <c r="AD196" s="2">
        <v>24.63</v>
      </c>
      <c r="AE196" s="2">
        <v>13.64</v>
      </c>
      <c r="AF196" s="2">
        <v>22.21</v>
      </c>
      <c r="AG196" s="2">
        <v>13.72</v>
      </c>
      <c r="AH196" s="2">
        <v>25.37</v>
      </c>
      <c r="AI196" s="2">
        <v>15.65</v>
      </c>
      <c r="AJ196" s="2">
        <v>21.18</v>
      </c>
      <c r="AK196" s="2">
        <v>15.85</v>
      </c>
      <c r="AL196" s="2">
        <v>15.94</v>
      </c>
      <c r="AM196" s="2">
        <v>16.22</v>
      </c>
      <c r="AN196" s="2">
        <v>17.93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435.17</v>
      </c>
      <c r="AW196" s="2">
        <v>402.94</v>
      </c>
      <c r="AX196" s="2">
        <v>230.62</v>
      </c>
      <c r="AY196" s="2">
        <v>152.06</v>
      </c>
      <c r="AZ196" s="2">
        <v>304.56</v>
      </c>
      <c r="BA196" s="2">
        <v>295.11</v>
      </c>
      <c r="BB196" s="2">
        <v>259.16000000000003</v>
      </c>
      <c r="BC196" s="2">
        <v>269.04000000000002</v>
      </c>
      <c r="BD196" s="2">
        <v>278.08</v>
      </c>
      <c r="BE196" s="2">
        <v>380.99</v>
      </c>
      <c r="BF196" s="2">
        <v>317.25</v>
      </c>
      <c r="BG196" s="2">
        <v>328.48</v>
      </c>
      <c r="BH196" s="2">
        <v>321.31</v>
      </c>
      <c r="BI196" s="2">
        <v>298.83999999999997</v>
      </c>
      <c r="BJ196" s="2">
        <v>328.89</v>
      </c>
      <c r="BK196" s="2">
        <v>335.79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112</v>
      </c>
      <c r="Z197" s="2">
        <v>124.84</v>
      </c>
      <c r="AA197" s="2">
        <v>35.450000000000003</v>
      </c>
      <c r="AB197" s="2">
        <v>43.19</v>
      </c>
      <c r="AC197" s="2">
        <v>88.02</v>
      </c>
      <c r="AD197" s="2">
        <v>99.58</v>
      </c>
      <c r="AE197" s="2">
        <v>63.93</v>
      </c>
      <c r="AF197" s="2">
        <v>130.6</v>
      </c>
      <c r="AG197" s="2">
        <v>48.47</v>
      </c>
      <c r="AH197" s="2">
        <v>139.72</v>
      </c>
      <c r="AI197" s="2">
        <v>55.75</v>
      </c>
      <c r="AJ197" s="2">
        <v>131.1</v>
      </c>
      <c r="AK197" s="2">
        <v>58.36</v>
      </c>
      <c r="AL197" s="2">
        <v>114.37</v>
      </c>
      <c r="AM197" s="2">
        <v>73.069999999999993</v>
      </c>
      <c r="AN197" s="2">
        <v>83.95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1381.7</v>
      </c>
      <c r="AW197" s="2">
        <v>1547.04</v>
      </c>
      <c r="AX197" s="2">
        <v>673.54</v>
      </c>
      <c r="AY197" s="2">
        <v>674.85</v>
      </c>
      <c r="AZ197" s="2">
        <v>845.93</v>
      </c>
      <c r="BA197" s="2">
        <v>1247.67</v>
      </c>
      <c r="BB197" s="2">
        <v>986.92</v>
      </c>
      <c r="BC197" s="2">
        <v>1009.77</v>
      </c>
      <c r="BD197" s="2">
        <v>982.81</v>
      </c>
      <c r="BE197" s="2">
        <v>1359.97</v>
      </c>
      <c r="BF197" s="2">
        <v>1040.1099999999999</v>
      </c>
      <c r="BG197" s="2">
        <v>1287.3499999999999</v>
      </c>
      <c r="BH197" s="2">
        <v>1080.05</v>
      </c>
      <c r="BI197" s="2">
        <v>1259.03</v>
      </c>
      <c r="BJ197" s="2">
        <v>1217.77</v>
      </c>
      <c r="BK197" s="2">
        <v>1209.43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47.34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42.45</v>
      </c>
      <c r="AG198" s="2">
        <v>44.38</v>
      </c>
      <c r="AH198" s="2">
        <v>39.369999999999997</v>
      </c>
      <c r="AI198" s="2">
        <v>46.59</v>
      </c>
      <c r="AJ198" s="2">
        <v>41.14</v>
      </c>
      <c r="AK198" s="2">
        <v>47.4</v>
      </c>
      <c r="AL198" s="2">
        <v>42.09</v>
      </c>
      <c r="AM198" s="2">
        <v>48.4</v>
      </c>
      <c r="AN198" s="2">
        <v>45.04</v>
      </c>
      <c r="AO198" s="2">
        <v>49.98</v>
      </c>
      <c r="AP198" s="2">
        <v>47.08</v>
      </c>
      <c r="AQ198" s="2">
        <v>41.92</v>
      </c>
      <c r="AR198" s="2">
        <v>55.59</v>
      </c>
      <c r="AU198" s="1" t="s">
        <v>73</v>
      </c>
      <c r="AV198" s="2">
        <v>934.26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742</v>
      </c>
      <c r="BD198" s="2">
        <v>797.72</v>
      </c>
      <c r="BE198" s="2">
        <v>761.29</v>
      </c>
      <c r="BF198" s="2">
        <v>811.71</v>
      </c>
      <c r="BG198" s="2">
        <v>803.99</v>
      </c>
      <c r="BH198" s="2">
        <v>822</v>
      </c>
      <c r="BI198" s="2">
        <v>853.41</v>
      </c>
      <c r="BJ198" s="2">
        <v>811.7</v>
      </c>
      <c r="BK198" s="2">
        <v>818.66</v>
      </c>
      <c r="BL198" s="2">
        <v>795.42</v>
      </c>
      <c r="BM198" s="2">
        <v>780.02</v>
      </c>
      <c r="BN198" s="2">
        <v>849.98</v>
      </c>
      <c r="BO198" s="2">
        <v>978.21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10" t="s">
        <v>63</v>
      </c>
      <c r="AW202" s="10"/>
      <c r="AX202" s="10"/>
      <c r="AY202" s="10"/>
      <c r="AZ202" s="10"/>
      <c r="BA202" s="10"/>
      <c r="BB202" s="10"/>
      <c r="BC202" s="10"/>
      <c r="BD202" s="10"/>
      <c r="BE202" s="10"/>
      <c r="BF202" s="10" t="s">
        <v>64</v>
      </c>
      <c r="BG202" s="10"/>
      <c r="BH202" s="10"/>
      <c r="BI202" s="10"/>
      <c r="BJ202" s="10"/>
      <c r="BK202" s="10"/>
      <c r="BL202" s="10"/>
      <c r="BM202" s="10"/>
      <c r="BN202" s="10"/>
      <c r="BO202" s="10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0.18</v>
      </c>
      <c r="AA206" s="2">
        <v>0.22</v>
      </c>
      <c r="AB206" s="2">
        <v>0.2</v>
      </c>
      <c r="AC206" s="2">
        <v>0.17</v>
      </c>
      <c r="AD206" s="2">
        <v>0.19</v>
      </c>
      <c r="AE206" s="2">
        <v>0.21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0.12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0.17</v>
      </c>
      <c r="AC207" s="2">
        <v>0.34</v>
      </c>
      <c r="AD207" s="2">
        <v>0.3</v>
      </c>
      <c r="AE207" s="2">
        <v>0.31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68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0.21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69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0.33</v>
      </c>
      <c r="AB209" s="2">
        <v>0.23</v>
      </c>
      <c r="AC209" s="2">
        <v>0.31</v>
      </c>
      <c r="AD209" s="2">
        <v>0.32</v>
      </c>
      <c r="AE209" s="2">
        <v>0.17</v>
      </c>
      <c r="AF209" s="2">
        <v>0.28000000000000003</v>
      </c>
      <c r="AG209" s="2">
        <v>0.23</v>
      </c>
      <c r="AH209" s="2">
        <v>0.25</v>
      </c>
      <c r="AI209" s="2">
        <v>0.21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0.08</v>
      </c>
      <c r="AQ209" s="2">
        <v>0.09</v>
      </c>
      <c r="AR209" s="2">
        <v>0.06</v>
      </c>
      <c r="AU209" s="1" t="s">
        <v>70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0.35</v>
      </c>
      <c r="Z210" s="2">
        <v>0.35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</v>
      </c>
      <c r="AI210" s="2">
        <v>0.15</v>
      </c>
      <c r="AJ210" s="2">
        <v>0.31</v>
      </c>
      <c r="AK210" s="2">
        <v>0.15</v>
      </c>
      <c r="AL210" s="2">
        <v>0.27</v>
      </c>
      <c r="AM210" s="2">
        <v>0.14000000000000001</v>
      </c>
      <c r="AN210" s="2">
        <v>0.26</v>
      </c>
      <c r="AO210" s="2">
        <v>0.12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7.0000000000000007E-2</v>
      </c>
      <c r="AR211" s="2">
        <v>7.0000000000000007E-2</v>
      </c>
      <c r="AU211" s="1" t="s">
        <v>72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0.28999999999999998</v>
      </c>
      <c r="AB212" s="2">
        <v>0.28000000000000003</v>
      </c>
      <c r="AC212" s="2">
        <v>0.99</v>
      </c>
      <c r="AD212" s="2">
        <v>0.25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0.11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0.14000000000000001</v>
      </c>
      <c r="AF220" s="2">
        <v>0.12</v>
      </c>
      <c r="AG220" s="2">
        <v>0.22</v>
      </c>
      <c r="AH220" s="2">
        <v>0.08</v>
      </c>
      <c r="AI220" s="2">
        <v>0.62</v>
      </c>
      <c r="AJ220" s="2">
        <v>0.15</v>
      </c>
      <c r="AK220" s="2">
        <v>0.35</v>
      </c>
      <c r="AL220" s="2">
        <v>0.18</v>
      </c>
      <c r="AM220" s="2">
        <v>0.39</v>
      </c>
      <c r="AN220" s="2">
        <v>0.17</v>
      </c>
      <c r="AO220" s="2">
        <v>0.3</v>
      </c>
      <c r="AP220" s="2">
        <v>0.06</v>
      </c>
      <c r="AQ220" s="2">
        <v>0.28999999999999998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1.1599999999999999</v>
      </c>
      <c r="Z221" s="2">
        <v>0</v>
      </c>
      <c r="AA221" s="2">
        <v>1.1200000000000001</v>
      </c>
      <c r="AB221" s="2">
        <v>0</v>
      </c>
      <c r="AC221" s="2">
        <v>0.24</v>
      </c>
      <c r="AD221" s="2">
        <v>0.17</v>
      </c>
      <c r="AE221" s="2">
        <v>1.01</v>
      </c>
      <c r="AF221" s="2">
        <v>0.17</v>
      </c>
      <c r="AG221" s="2">
        <v>0.92</v>
      </c>
      <c r="AH221" s="2">
        <v>0.17</v>
      </c>
      <c r="AI221" s="2">
        <v>1.86</v>
      </c>
      <c r="AJ221" s="2">
        <v>0.3</v>
      </c>
      <c r="AK221" s="2">
        <v>1.44</v>
      </c>
      <c r="AL221" s="2">
        <v>0.26</v>
      </c>
      <c r="AM221" s="2">
        <v>1.83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68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0.53</v>
      </c>
      <c r="Z222" s="2">
        <v>0.02</v>
      </c>
      <c r="AA222" s="2">
        <v>0.49</v>
      </c>
      <c r="AB222" s="2">
        <v>0</v>
      </c>
      <c r="AC222" s="2">
        <v>0.19</v>
      </c>
      <c r="AD222" s="2">
        <v>0.2</v>
      </c>
      <c r="AE222" s="2">
        <v>0.56000000000000005</v>
      </c>
      <c r="AF222" s="2">
        <v>0.25</v>
      </c>
      <c r="AG222" s="2">
        <v>0.73</v>
      </c>
      <c r="AH222" s="2">
        <v>0.22</v>
      </c>
      <c r="AI222" s="2">
        <v>1.32</v>
      </c>
      <c r="AJ222" s="2">
        <v>0.33</v>
      </c>
      <c r="AK222" s="2">
        <v>1.07</v>
      </c>
      <c r="AL222" s="2">
        <v>0.28000000000000003</v>
      </c>
      <c r="AM222" s="2">
        <v>0.93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69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0.35</v>
      </c>
      <c r="AA223" s="2">
        <v>0.42</v>
      </c>
      <c r="AB223" s="2">
        <v>0.09</v>
      </c>
      <c r="AC223" s="2">
        <v>0.15</v>
      </c>
      <c r="AD223" s="2">
        <v>0.16</v>
      </c>
      <c r="AE223" s="2">
        <v>0.09</v>
      </c>
      <c r="AF223" s="2">
        <v>0.42</v>
      </c>
      <c r="AG223" s="2">
        <v>0.48</v>
      </c>
      <c r="AH223" s="2">
        <v>0.53</v>
      </c>
      <c r="AI223" s="2">
        <v>0.74</v>
      </c>
      <c r="AJ223" s="2">
        <v>0.62</v>
      </c>
      <c r="AK223" s="2">
        <v>0.43</v>
      </c>
      <c r="AL223" s="2">
        <v>0.4</v>
      </c>
      <c r="AM223" s="2">
        <v>0.34</v>
      </c>
      <c r="AN223" s="2">
        <v>0.36</v>
      </c>
      <c r="AO223" s="2">
        <v>0.22</v>
      </c>
      <c r="AP223" s="2">
        <v>0.17</v>
      </c>
      <c r="AQ223" s="2">
        <v>0.26</v>
      </c>
      <c r="AR223" s="2">
        <v>0.12</v>
      </c>
      <c r="AU223" s="1" t="s">
        <v>70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0.75</v>
      </c>
      <c r="Z224" s="2">
        <v>0.73</v>
      </c>
      <c r="AA224" s="2">
        <v>0.47</v>
      </c>
      <c r="AB224" s="2">
        <v>0.63</v>
      </c>
      <c r="AC224" s="2">
        <v>0.16</v>
      </c>
      <c r="AD224" s="2">
        <v>0.16</v>
      </c>
      <c r="AE224" s="2">
        <v>0.11</v>
      </c>
      <c r="AF224" s="2">
        <v>0.46</v>
      </c>
      <c r="AG224" s="2">
        <v>0.14000000000000001</v>
      </c>
      <c r="AH224" s="2">
        <v>0.68</v>
      </c>
      <c r="AI224" s="2">
        <v>0.39</v>
      </c>
      <c r="AJ224" s="2">
        <v>1.22</v>
      </c>
      <c r="AK224" s="2">
        <v>0.3</v>
      </c>
      <c r="AL224" s="2">
        <v>0.8</v>
      </c>
      <c r="AM224" s="2">
        <v>0.38</v>
      </c>
      <c r="AN224" s="2">
        <v>1.04</v>
      </c>
      <c r="AO224" s="2">
        <v>0.27</v>
      </c>
      <c r="AP224" s="2">
        <v>0.73</v>
      </c>
      <c r="AQ224" s="2">
        <v>0.23</v>
      </c>
      <c r="AR224" s="2">
        <v>0.15</v>
      </c>
      <c r="AU224" s="1" t="s">
        <v>71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1.06</v>
      </c>
      <c r="Z225" s="2">
        <v>1.08</v>
      </c>
      <c r="AA225" s="2">
        <v>0.6</v>
      </c>
      <c r="AB225" s="2">
        <v>0.98</v>
      </c>
      <c r="AC225" s="2">
        <v>0.13</v>
      </c>
      <c r="AD225" s="2">
        <v>0.4</v>
      </c>
      <c r="AE225" s="2">
        <v>0.28000000000000003</v>
      </c>
      <c r="AF225" s="2">
        <v>0.61</v>
      </c>
      <c r="AG225" s="2">
        <v>0.23</v>
      </c>
      <c r="AH225" s="2">
        <v>0.97</v>
      </c>
      <c r="AI225" s="2">
        <v>0.49</v>
      </c>
      <c r="AJ225" s="2">
        <v>1.75</v>
      </c>
      <c r="AK225" s="2">
        <v>0.4</v>
      </c>
      <c r="AL225" s="2">
        <v>1.1200000000000001</v>
      </c>
      <c r="AM225" s="2">
        <v>0.64</v>
      </c>
      <c r="AN225" s="2">
        <v>0.86</v>
      </c>
      <c r="AO225" s="2">
        <v>0.32</v>
      </c>
      <c r="AP225" s="2">
        <v>0.36</v>
      </c>
      <c r="AQ225" s="2">
        <v>0.28999999999999998</v>
      </c>
      <c r="AR225" s="2">
        <v>0.26</v>
      </c>
      <c r="AU225" s="1" t="s">
        <v>72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0.71</v>
      </c>
      <c r="AK226" s="2">
        <v>0.38</v>
      </c>
      <c r="AL226" s="2">
        <v>0.42</v>
      </c>
      <c r="AM226" s="2">
        <v>0.34</v>
      </c>
      <c r="AN226" s="2">
        <v>0.28000000000000003</v>
      </c>
      <c r="AO226" s="2">
        <v>0.22</v>
      </c>
      <c r="AP226" s="2">
        <v>0.12</v>
      </c>
      <c r="AQ226" s="2">
        <v>0.21</v>
      </c>
      <c r="AR226" s="2">
        <v>0.08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78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8">
        <f>Y191/(AV191+AV219)</f>
        <v>0.12013577403321617</v>
      </c>
      <c r="Z233" s="8">
        <f t="shared" ref="Z233:AR240" si="0">Z191/(AW191+AW219)</f>
        <v>0.1113731801616812</v>
      </c>
      <c r="AA233" s="8">
        <f t="shared" si="0"/>
        <v>1.3814182064788233E-2</v>
      </c>
      <c r="AB233" s="8">
        <f t="shared" si="0"/>
        <v>1.386276049752516E-2</v>
      </c>
      <c r="AC233" s="8">
        <f t="shared" si="0"/>
        <v>1.32240209361032E-2</v>
      </c>
      <c r="AD233" s="8">
        <f t="shared" si="0"/>
        <v>2.3191151138509936E-2</v>
      </c>
      <c r="AE233" s="8">
        <f t="shared" si="0"/>
        <v>8.4202436032514372E-2</v>
      </c>
      <c r="AF233" s="8">
        <f t="shared" si="0"/>
        <v>5.075725547735694E-2</v>
      </c>
      <c r="AG233" s="8">
        <f t="shared" si="0"/>
        <v>0.10475347635468482</v>
      </c>
      <c r="AH233" s="8">
        <f t="shared" si="0"/>
        <v>4.4906955193227641E-2</v>
      </c>
      <c r="AI233" s="8">
        <f t="shared" si="0"/>
        <v>0.11867071310703112</v>
      </c>
      <c r="AJ233" s="8">
        <f t="shared" si="0"/>
        <v>2.9210646281165622E-2</v>
      </c>
      <c r="AK233" s="8">
        <f t="shared" si="0"/>
        <v>0.11021361985318397</v>
      </c>
      <c r="AL233" s="8">
        <f t="shared" si="0"/>
        <v>9.2494575344040531E-3</v>
      </c>
      <c r="AM233" s="8">
        <f t="shared" si="0"/>
        <v>0.13930056509222732</v>
      </c>
      <c r="AN233" s="8">
        <f t="shared" si="0"/>
        <v>3.4895173772337133E-2</v>
      </c>
      <c r="AO233" s="8">
        <f t="shared" si="0"/>
        <v>9.2192630221386226E-3</v>
      </c>
      <c r="AP233" s="8">
        <f t="shared" si="0"/>
        <v>9.2664593053395552E-3</v>
      </c>
      <c r="AQ233" s="8">
        <f t="shared" si="0"/>
        <v>1.5072009664206574E-2</v>
      </c>
      <c r="AR233" s="8">
        <f t="shared" si="0"/>
        <v>9.4799964029968729E-3</v>
      </c>
    </row>
    <row r="234" spans="24:67" x14ac:dyDescent="0.3">
      <c r="X234" s="1" t="s">
        <v>67</v>
      </c>
      <c r="Y234" s="8">
        <f t="shared" ref="Y234:Y240" si="1">Y192/(AV192+AV220)</f>
        <v>4.7024710035300045E-2</v>
      </c>
      <c r="Z234" s="8">
        <f t="shared" si="0"/>
        <v>4.674582894934616E-2</v>
      </c>
      <c r="AA234" s="8">
        <f t="shared" si="0"/>
        <v>5.0947421257372318E-2</v>
      </c>
      <c r="AB234" s="8">
        <f t="shared" si="0"/>
        <v>5.1262034868592245E-2</v>
      </c>
      <c r="AC234" s="8">
        <f t="shared" si="0"/>
        <v>4.9723756906077346E-2</v>
      </c>
      <c r="AD234" s="8">
        <f t="shared" si="0"/>
        <v>4.9665517940401374E-2</v>
      </c>
      <c r="AE234" s="8">
        <f t="shared" si="0"/>
        <v>4.8731953088615096E-2</v>
      </c>
      <c r="AF234" s="8">
        <f t="shared" si="0"/>
        <v>4.9100437264261151E-2</v>
      </c>
      <c r="AG234" s="8">
        <f t="shared" si="0"/>
        <v>4.5997259737717754E-2</v>
      </c>
      <c r="AH234" s="8">
        <f t="shared" si="0"/>
        <v>4.3924115535805844E-2</v>
      </c>
      <c r="AI234" s="8">
        <f t="shared" si="0"/>
        <v>4.6853318096481918E-2</v>
      </c>
      <c r="AJ234" s="8">
        <f t="shared" si="0"/>
        <v>4.5218680504077097E-2</v>
      </c>
      <c r="AK234" s="8">
        <f t="shared" si="0"/>
        <v>4.7272459932362891E-2</v>
      </c>
      <c r="AL234" s="8">
        <f t="shared" si="0"/>
        <v>4.4790527060943428E-2</v>
      </c>
      <c r="AM234" s="8">
        <f t="shared" si="0"/>
        <v>4.7373623270262642E-2</v>
      </c>
      <c r="AN234" s="8">
        <f t="shared" si="0"/>
        <v>4.6610892948608498E-2</v>
      </c>
      <c r="AO234" s="8">
        <f t="shared" si="0"/>
        <v>4.6309747369167001E-2</v>
      </c>
      <c r="AP234" s="8">
        <f t="shared" si="0"/>
        <v>4.7903187958834768E-2</v>
      </c>
      <c r="AQ234" s="8">
        <f t="shared" si="0"/>
        <v>4.7322540473225407E-2</v>
      </c>
      <c r="AR234" s="8">
        <f t="shared" si="0"/>
        <v>4.8258229466283158E-2</v>
      </c>
    </row>
    <row r="235" spans="24:67" x14ac:dyDescent="0.3">
      <c r="X235" s="1" t="s">
        <v>68</v>
      </c>
      <c r="Y235" s="8">
        <f t="shared" si="1"/>
        <v>9.3283415216932966E-2</v>
      </c>
      <c r="Z235" s="8">
        <f t="shared" si="0"/>
        <v>4.7436561367167271E-2</v>
      </c>
      <c r="AA235" s="8">
        <f t="shared" si="0"/>
        <v>8.5923217550274211E-2</v>
      </c>
      <c r="AB235" s="8">
        <f t="shared" si="0"/>
        <v>5.0363587395636955E-2</v>
      </c>
      <c r="AC235" s="8">
        <f t="shared" si="0"/>
        <v>0.15858491989737969</v>
      </c>
      <c r="AD235" s="8">
        <f t="shared" si="0"/>
        <v>0.1073884127409688</v>
      </c>
      <c r="AE235" s="8">
        <f t="shared" si="0"/>
        <v>6.7143623155405049E-2</v>
      </c>
      <c r="AF235" s="8">
        <f t="shared" si="0"/>
        <v>6.0964120906318364E-2</v>
      </c>
      <c r="AG235" s="8">
        <f t="shared" si="0"/>
        <v>0.11390985979451665</v>
      </c>
      <c r="AH235" s="8">
        <f t="shared" si="0"/>
        <v>5.0695625289843865E-2</v>
      </c>
      <c r="AI235" s="8">
        <f t="shared" si="0"/>
        <v>0.12045286329120863</v>
      </c>
      <c r="AJ235" s="8">
        <f t="shared" si="0"/>
        <v>5.1271669917921162E-2</v>
      </c>
      <c r="AK235" s="8">
        <f t="shared" si="0"/>
        <v>0.1283088769891195</v>
      </c>
      <c r="AL235" s="8">
        <f t="shared" si="0"/>
        <v>5.29764433086602E-2</v>
      </c>
      <c r="AM235" s="8">
        <f t="shared" si="0"/>
        <v>0.13232049171038687</v>
      </c>
      <c r="AN235" s="8">
        <f t="shared" si="0"/>
        <v>4.9000103041303714E-2</v>
      </c>
      <c r="AO235" s="8">
        <f t="shared" si="0"/>
        <v>5.8205787931315922E-2</v>
      </c>
      <c r="AP235" s="8">
        <f t="shared" si="0"/>
        <v>4.9332372069271095E-2</v>
      </c>
      <c r="AQ235" s="8">
        <f t="shared" si="0"/>
        <v>4.7328206111004634E-2</v>
      </c>
      <c r="AR235" s="8">
        <f t="shared" si="0"/>
        <v>4.8975252997703889E-2</v>
      </c>
    </row>
    <row r="236" spans="24:67" x14ac:dyDescent="0.3">
      <c r="X236" s="1" t="s">
        <v>69</v>
      </c>
      <c r="Y236" s="8">
        <f t="shared" si="1"/>
        <v>9.7176677597376637E-2</v>
      </c>
      <c r="Z236" s="8">
        <f t="shared" si="0"/>
        <v>5.5902072091013146E-2</v>
      </c>
      <c r="AA236" s="8">
        <f t="shared" si="0"/>
        <v>9.0517392370476762E-2</v>
      </c>
      <c r="AB236" s="8">
        <f t="shared" si="0"/>
        <v>5.0666890361546847E-2</v>
      </c>
      <c r="AC236" s="8">
        <f t="shared" si="0"/>
        <v>0.10209482253600792</v>
      </c>
      <c r="AD236" s="8">
        <f t="shared" si="0"/>
        <v>9.390381740620557E-2</v>
      </c>
      <c r="AE236" s="8">
        <f t="shared" si="0"/>
        <v>8.3750304529525296E-2</v>
      </c>
      <c r="AF236" s="8">
        <f t="shared" si="0"/>
        <v>5.0800265525888781E-2</v>
      </c>
      <c r="AG236" s="8">
        <f t="shared" si="0"/>
        <v>8.0018273826258077E-2</v>
      </c>
      <c r="AH236" s="8">
        <f t="shared" si="0"/>
        <v>4.777549623545517E-2</v>
      </c>
      <c r="AI236" s="8">
        <f t="shared" si="0"/>
        <v>8.0554580554580563E-2</v>
      </c>
      <c r="AJ236" s="8">
        <f t="shared" si="0"/>
        <v>4.8383179839719043E-2</v>
      </c>
      <c r="AK236" s="8">
        <f t="shared" si="0"/>
        <v>8.12968233716099E-2</v>
      </c>
      <c r="AL236" s="8">
        <f t="shared" si="0"/>
        <v>4.801760525271475E-2</v>
      </c>
      <c r="AM236" s="8">
        <f t="shared" si="0"/>
        <v>5.8356818467393053E-2</v>
      </c>
      <c r="AN236" s="8">
        <f t="shared" si="0"/>
        <v>4.831266803097789E-2</v>
      </c>
      <c r="AO236" s="8">
        <f t="shared" si="0"/>
        <v>4.6862213033553007E-2</v>
      </c>
      <c r="AP236" s="8">
        <f t="shared" si="0"/>
        <v>5.0719372184275545E-2</v>
      </c>
      <c r="AQ236" s="8">
        <f t="shared" si="0"/>
        <v>5.0088225858196986E-2</v>
      </c>
      <c r="AR236" s="8">
        <f t="shared" si="0"/>
        <v>5.091111420225345E-2</v>
      </c>
    </row>
    <row r="237" spans="24:67" x14ac:dyDescent="0.3">
      <c r="X237" s="1" t="s">
        <v>70</v>
      </c>
      <c r="Y237" s="8">
        <f t="shared" si="1"/>
        <v>9.3577756283297245E-2</v>
      </c>
      <c r="Z237" s="8">
        <f t="shared" si="0"/>
        <v>6.9808300942249615E-2</v>
      </c>
      <c r="AA237" s="8">
        <f t="shared" si="0"/>
        <v>7.7522955012368458E-2</v>
      </c>
      <c r="AB237" s="8">
        <f t="shared" si="0"/>
        <v>5.0343803956017327E-2</v>
      </c>
      <c r="AC237" s="8">
        <f t="shared" si="0"/>
        <v>9.2698744261737631E-2</v>
      </c>
      <c r="AD237" s="8">
        <f t="shared" si="0"/>
        <v>8.9575921055040558E-2</v>
      </c>
      <c r="AE237" s="8">
        <f t="shared" si="0"/>
        <v>5.0936693331970255E-2</v>
      </c>
      <c r="AF237" s="8">
        <f t="shared" si="0"/>
        <v>7.0868504607759619E-2</v>
      </c>
      <c r="AG237" s="8">
        <f t="shared" si="0"/>
        <v>5.528300771570558E-2</v>
      </c>
      <c r="AH237" s="8">
        <f t="shared" si="0"/>
        <v>6.0679504693077153E-2</v>
      </c>
      <c r="AI237" s="8">
        <f t="shared" si="0"/>
        <v>4.8633681884652592E-2</v>
      </c>
      <c r="AJ237" s="8">
        <f t="shared" si="0"/>
        <v>4.7286151212248211E-2</v>
      </c>
      <c r="AK237" s="8">
        <f t="shared" si="0"/>
        <v>4.736588163536555E-2</v>
      </c>
      <c r="AL237" s="8">
        <f t="shared" si="0"/>
        <v>4.726615212637561E-2</v>
      </c>
      <c r="AM237" s="8">
        <f t="shared" si="0"/>
        <v>4.7467144229603311E-2</v>
      </c>
      <c r="AN237" s="8">
        <f t="shared" si="0"/>
        <v>4.7559838358719304E-2</v>
      </c>
      <c r="AO237" s="8">
        <f t="shared" si="0"/>
        <v>4.7323506594259122E-2</v>
      </c>
      <c r="AP237" s="8">
        <f t="shared" si="0"/>
        <v>4.7425428775550317E-2</v>
      </c>
      <c r="AQ237" s="8">
        <f t="shared" si="0"/>
        <v>4.7516244062044549E-2</v>
      </c>
      <c r="AR237" s="8">
        <f t="shared" si="0"/>
        <v>4.7744154763172744E-2</v>
      </c>
    </row>
    <row r="238" spans="24:67" x14ac:dyDescent="0.3">
      <c r="X238" s="1" t="s">
        <v>71</v>
      </c>
      <c r="Y238" s="8">
        <f t="shared" si="1"/>
        <v>4.800572668500995E-2</v>
      </c>
      <c r="Z238" s="8">
        <f t="shared" si="0"/>
        <v>4.8526143551420133E-2</v>
      </c>
      <c r="AA238" s="8">
        <f t="shared" si="0"/>
        <v>6.8640760223994568E-2</v>
      </c>
      <c r="AB238" s="8">
        <f t="shared" si="0"/>
        <v>5.1847051198963053E-2</v>
      </c>
      <c r="AC238" s="8">
        <f t="shared" si="0"/>
        <v>8.7536287364022067E-2</v>
      </c>
      <c r="AD238" s="8">
        <f t="shared" si="0"/>
        <v>8.1365002807968004E-2</v>
      </c>
      <c r="AE238" s="8">
        <f t="shared" si="0"/>
        <v>5.0657357201218146E-2</v>
      </c>
      <c r="AF238" s="8">
        <f t="shared" si="0"/>
        <v>8.0590732610036644E-2</v>
      </c>
      <c r="AG238" s="8">
        <f t="shared" si="0"/>
        <v>4.7248433087678218E-2</v>
      </c>
      <c r="AH238" s="8">
        <f t="shared" si="0"/>
        <v>6.2637335506011901E-2</v>
      </c>
      <c r="AI238" s="8">
        <f t="shared" si="0"/>
        <v>4.7489000151722048E-2</v>
      </c>
      <c r="AJ238" s="8">
        <f t="shared" si="0"/>
        <v>6.1330862338564884E-2</v>
      </c>
      <c r="AK238" s="8">
        <f t="shared" si="0"/>
        <v>4.7667739316110791E-2</v>
      </c>
      <c r="AL238" s="8">
        <f t="shared" si="0"/>
        <v>5.0596749619095993E-2</v>
      </c>
      <c r="AM238" s="8">
        <f t="shared" si="0"/>
        <v>4.6838001732601789E-2</v>
      </c>
      <c r="AN238" s="8">
        <f t="shared" si="0"/>
        <v>5.0953422944670201E-2</v>
      </c>
      <c r="AO238" s="8">
        <f t="shared" si="0"/>
        <v>4.6894161556918154E-2</v>
      </c>
      <c r="AP238" s="8">
        <f t="shared" si="0"/>
        <v>4.7684748956790951E-2</v>
      </c>
      <c r="AQ238" s="8">
        <f t="shared" si="0"/>
        <v>4.743632664623626E-2</v>
      </c>
      <c r="AR238" s="8">
        <f t="shared" si="0"/>
        <v>4.7141107203540519E-2</v>
      </c>
    </row>
    <row r="239" spans="24:67" x14ac:dyDescent="0.3">
      <c r="X239" s="1" t="s">
        <v>72</v>
      </c>
      <c r="Y239" s="8">
        <f t="shared" si="1"/>
        <v>7.817844229453727E-2</v>
      </c>
      <c r="Z239" s="8">
        <f t="shared" si="0"/>
        <v>7.7089328278025462E-2</v>
      </c>
      <c r="AA239" s="8">
        <f t="shared" si="0"/>
        <v>5.105862019300015E-2</v>
      </c>
      <c r="AB239" s="8">
        <f t="shared" si="0"/>
        <v>6.122072914894823E-2</v>
      </c>
      <c r="AC239" s="8">
        <f t="shared" si="0"/>
        <v>0.10036030283681474</v>
      </c>
      <c r="AD239" s="8">
        <f t="shared" si="0"/>
        <v>7.5541833243565129E-2</v>
      </c>
      <c r="AE239" s="8">
        <f t="shared" si="0"/>
        <v>6.1706707334729688E-2</v>
      </c>
      <c r="AF239" s="8">
        <f t="shared" si="0"/>
        <v>0.12063216426664697</v>
      </c>
      <c r="AG239" s="8">
        <f t="shared" si="0"/>
        <v>4.6643442780707499E-2</v>
      </c>
      <c r="AH239" s="8">
        <f t="shared" si="0"/>
        <v>9.5879882517636073E-2</v>
      </c>
      <c r="AI239" s="8">
        <f t="shared" si="0"/>
        <v>5.0679053869788923E-2</v>
      </c>
      <c r="AJ239" s="8">
        <f t="shared" si="0"/>
        <v>9.5219418660391339E-2</v>
      </c>
      <c r="AK239" s="8">
        <f t="shared" si="0"/>
        <v>5.0976110407476967E-2</v>
      </c>
      <c r="AL239" s="8">
        <f t="shared" si="0"/>
        <v>8.4798291726290664E-2</v>
      </c>
      <c r="AM239" s="8">
        <f t="shared" si="0"/>
        <v>5.7278805979509122E-2</v>
      </c>
      <c r="AN239" s="8">
        <f t="shared" si="0"/>
        <v>6.5927938681912421E-2</v>
      </c>
      <c r="AO239" s="8">
        <f t="shared" si="0"/>
        <v>4.7513725490196078E-2</v>
      </c>
      <c r="AP239" s="8">
        <f t="shared" si="0"/>
        <v>4.634477076503201E-2</v>
      </c>
      <c r="AQ239" s="8">
        <f t="shared" si="0"/>
        <v>4.8130695318937856E-2</v>
      </c>
      <c r="AR239" s="8">
        <f t="shared" si="0"/>
        <v>4.7040957848352383E-2</v>
      </c>
    </row>
    <row r="240" spans="24:67" x14ac:dyDescent="0.3">
      <c r="X240" s="1" t="s">
        <v>73</v>
      </c>
      <c r="Y240" s="8">
        <f t="shared" si="1"/>
        <v>4.5446690858821498E-2</v>
      </c>
      <c r="Z240" s="8">
        <f t="shared" si="0"/>
        <v>4.5456634646320729E-2</v>
      </c>
      <c r="AA240" s="8">
        <f t="shared" si="0"/>
        <v>4.8426318349197528E-2</v>
      </c>
      <c r="AB240" s="8">
        <f t="shared" si="0"/>
        <v>4.8282984766331014E-2</v>
      </c>
      <c r="AC240" s="8">
        <f t="shared" si="0"/>
        <v>4.6339050131926122E-2</v>
      </c>
      <c r="AD240" s="8">
        <f t="shared" si="0"/>
        <v>4.7595000631233432E-2</v>
      </c>
      <c r="AE240" s="8">
        <f t="shared" si="0"/>
        <v>4.5449916839211159E-2</v>
      </c>
      <c r="AF240" s="8">
        <f t="shared" si="0"/>
        <v>5.1028994566524023E-2</v>
      </c>
      <c r="AG240" s="8">
        <f t="shared" si="0"/>
        <v>4.730738071888458E-2</v>
      </c>
      <c r="AH240" s="8">
        <f t="shared" si="0"/>
        <v>4.7078096786922881E-2</v>
      </c>
      <c r="AI240" s="8">
        <f t="shared" si="0"/>
        <v>5.1107381446013102E-2</v>
      </c>
      <c r="AJ240" s="8">
        <f t="shared" si="0"/>
        <v>4.7836653062173697E-2</v>
      </c>
      <c r="AK240" s="8">
        <f t="shared" si="0"/>
        <v>5.0350541746335242E-2</v>
      </c>
      <c r="AL240" s="8">
        <f t="shared" si="0"/>
        <v>4.5175000804971513E-2</v>
      </c>
      <c r="AM240" s="8">
        <f t="shared" si="0"/>
        <v>5.3712129619354121E-2</v>
      </c>
      <c r="AN240" s="8">
        <f t="shared" si="0"/>
        <v>5.0860472469397899E-2</v>
      </c>
      <c r="AO240" s="8">
        <f t="shared" si="0"/>
        <v>5.9006871148260961E-2</v>
      </c>
      <c r="AP240" s="8">
        <f t="shared" si="0"/>
        <v>5.4432779910280719E-2</v>
      </c>
      <c r="AQ240" s="8">
        <f t="shared" si="0"/>
        <v>4.5334602240775186E-2</v>
      </c>
      <c r="AR240" s="8">
        <f t="shared" si="0"/>
        <v>5.2796535316408807E-2</v>
      </c>
    </row>
    <row r="241" spans="24:45" x14ac:dyDescent="0.3">
      <c r="AS241" s="9">
        <f>AVERAGE(Y233:AR240)</f>
        <v>5.9743905915321069E-2</v>
      </c>
    </row>
    <row r="242" spans="24:45" x14ac:dyDescent="0.3">
      <c r="AS242" s="9"/>
    </row>
    <row r="243" spans="24:45" x14ac:dyDescent="0.3">
      <c r="AS243" s="9"/>
    </row>
    <row r="244" spans="24:45" x14ac:dyDescent="0.3">
      <c r="X244" t="s">
        <v>79</v>
      </c>
      <c r="AS244" s="9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9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9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9"/>
    </row>
    <row r="248" spans="24:45" x14ac:dyDescent="0.3">
      <c r="X248" s="1" t="s">
        <v>66</v>
      </c>
      <c r="Y248" s="8">
        <f>(Y163+Y135)/(Y163+Y135+AV135+AV163)</f>
        <v>7.4458128078817729E-2</v>
      </c>
      <c r="Z248" s="8">
        <f t="shared" ref="Z248:AO255" si="2">(Z163+Z135)/(Z163+Z135+AW135+AW163)</f>
        <v>0.11273109243697478</v>
      </c>
      <c r="AA248" s="8">
        <f t="shared" si="2"/>
        <v>2.5613275613275612E-2</v>
      </c>
      <c r="AB248" s="8">
        <f t="shared" si="2"/>
        <v>2.5468975468975467E-2</v>
      </c>
      <c r="AC248" s="8">
        <f t="shared" si="2"/>
        <v>2.5495049504950493E-2</v>
      </c>
      <c r="AD248" s="8">
        <f t="shared" si="2"/>
        <v>2.3020527859237534E-2</v>
      </c>
      <c r="AE248" s="8">
        <f t="shared" si="2"/>
        <v>7.481262775380422E-2</v>
      </c>
      <c r="AF248" s="8">
        <f t="shared" si="2"/>
        <v>5.0894172101830414E-2</v>
      </c>
      <c r="AG248" s="8">
        <f t="shared" si="2"/>
        <v>7.6525924305403642E-2</v>
      </c>
      <c r="AH248" s="8">
        <f t="shared" si="2"/>
        <v>4.3278550358196374E-2</v>
      </c>
      <c r="AI248" s="8">
        <f t="shared" si="2"/>
        <v>8.6687713759536975E-2</v>
      </c>
      <c r="AJ248" s="8">
        <f t="shared" si="2"/>
        <v>1.9570463320463319E-2</v>
      </c>
      <c r="AK248" s="8">
        <f t="shared" si="2"/>
        <v>8.4520054078413703E-2</v>
      </c>
      <c r="AL248" s="8">
        <f t="shared" si="2"/>
        <v>1.0253671562082777E-2</v>
      </c>
      <c r="AM248" s="8">
        <f t="shared" si="2"/>
        <v>0.14774037003336365</v>
      </c>
      <c r="AN248" s="8">
        <f t="shared" si="2"/>
        <v>2.928727046374105E-2</v>
      </c>
      <c r="AO248" s="8">
        <f>(AO163+AO135)/(AO163+AO135+BL135+BL163)</f>
        <v>1.0249709639953544E-2</v>
      </c>
      <c r="AP248" s="8">
        <f t="shared" ref="AP248:AR255" si="3">(AP163+AP135)/(AP163+AP135+BM135+BM163)</f>
        <v>1.0287004192196065E-2</v>
      </c>
      <c r="AQ248" s="8">
        <f t="shared" si="3"/>
        <v>1.6318114874815902E-2</v>
      </c>
      <c r="AR248" s="8">
        <f t="shared" si="3"/>
        <v>1.0267857142857141E-2</v>
      </c>
      <c r="AS248" s="9"/>
    </row>
    <row r="249" spans="24:45" x14ac:dyDescent="0.3">
      <c r="X249" s="1" t="s">
        <v>67</v>
      </c>
      <c r="Y249" s="8">
        <f t="shared" ref="Y249:Y255" si="4">(Y164+Y136)/(Y164+Y136+AV136+AV164)</f>
        <v>7.1488912354804646E-2</v>
      </c>
      <c r="Z249" s="8">
        <f t="shared" si="2"/>
        <v>7.1832312764955247E-2</v>
      </c>
      <c r="AA249" s="8">
        <f t="shared" si="2"/>
        <v>7.5800492610837433E-2</v>
      </c>
      <c r="AB249" s="8">
        <f t="shared" si="2"/>
        <v>7.6282051282051275E-2</v>
      </c>
      <c r="AC249" s="8">
        <f t="shared" si="2"/>
        <v>7.6457883369330459E-2</v>
      </c>
      <c r="AD249" s="8">
        <f t="shared" si="2"/>
        <v>7.6359600443951181E-2</v>
      </c>
      <c r="AE249" s="8">
        <f t="shared" si="2"/>
        <v>7.5422222222222224E-2</v>
      </c>
      <c r="AF249" s="8">
        <f t="shared" si="2"/>
        <v>7.6446700507614207E-2</v>
      </c>
      <c r="AG249" s="8">
        <f t="shared" si="2"/>
        <v>7.0897435897435898E-2</v>
      </c>
      <c r="AH249" s="8">
        <f t="shared" si="2"/>
        <v>7.1850052065255118E-2</v>
      </c>
      <c r="AI249" s="8">
        <f t="shared" si="2"/>
        <v>7.0276393294064349E-2</v>
      </c>
      <c r="AJ249" s="8">
        <f t="shared" si="2"/>
        <v>7.1806474068917506E-2</v>
      </c>
      <c r="AK249" s="8">
        <f t="shared" si="2"/>
        <v>7.1409214092140932E-2</v>
      </c>
      <c r="AL249" s="8">
        <f t="shared" si="2"/>
        <v>7.1717171717171721E-2</v>
      </c>
      <c r="AM249" s="8">
        <f t="shared" si="2"/>
        <v>7.1388888888888891E-2</v>
      </c>
      <c r="AN249" s="8">
        <f t="shared" si="2"/>
        <v>7.1502590673575131E-2</v>
      </c>
      <c r="AO249" s="8">
        <f t="shared" si="2"/>
        <v>7.1475953565505804E-2</v>
      </c>
      <c r="AP249" s="8">
        <f t="shared" si="3"/>
        <v>7.1922141119221406E-2</v>
      </c>
      <c r="AQ249" s="8">
        <f t="shared" si="3"/>
        <v>7.0576046415250726E-2</v>
      </c>
      <c r="AR249" s="8">
        <f t="shared" si="3"/>
        <v>7.167070217917676E-2</v>
      </c>
      <c r="AS249" s="9"/>
    </row>
    <row r="250" spans="24:45" x14ac:dyDescent="0.3">
      <c r="X250" s="1" t="s">
        <v>68</v>
      </c>
      <c r="Y250" s="8">
        <f t="shared" si="4"/>
        <v>0.12623463060239332</v>
      </c>
      <c r="Z250" s="8">
        <f t="shared" si="2"/>
        <v>7.1849865951742628E-2</v>
      </c>
      <c r="AA250" s="8">
        <f t="shared" si="2"/>
        <v>0.11799959888158748</v>
      </c>
      <c r="AB250" s="8">
        <f t="shared" si="2"/>
        <v>7.6309794988610485E-2</v>
      </c>
      <c r="AC250" s="8">
        <f t="shared" si="2"/>
        <v>0.19374911777160872</v>
      </c>
      <c r="AD250" s="8">
        <f t="shared" si="2"/>
        <v>0.1436637159009663</v>
      </c>
      <c r="AE250" s="8">
        <f t="shared" si="2"/>
        <v>9.6581997800652589E-2</v>
      </c>
      <c r="AF250" s="8">
        <f t="shared" si="2"/>
        <v>9.042418544100099E-2</v>
      </c>
      <c r="AG250" s="8">
        <f t="shared" si="2"/>
        <v>0.15147877932062442</v>
      </c>
      <c r="AH250" s="8">
        <f t="shared" si="2"/>
        <v>7.863549877684152E-2</v>
      </c>
      <c r="AI250" s="8">
        <f t="shared" si="2"/>
        <v>0.15845161708471062</v>
      </c>
      <c r="AJ250" s="8">
        <f t="shared" si="2"/>
        <v>7.9481231358991128E-2</v>
      </c>
      <c r="AK250" s="8">
        <f t="shared" si="2"/>
        <v>0.16718220072855164</v>
      </c>
      <c r="AL250" s="8">
        <f t="shared" si="2"/>
        <v>8.1670492671728767E-2</v>
      </c>
      <c r="AM250" s="8">
        <f t="shared" si="2"/>
        <v>0.1702352206143091</v>
      </c>
      <c r="AN250" s="8">
        <f t="shared" si="2"/>
        <v>7.5021828195311974E-2</v>
      </c>
      <c r="AO250" s="8">
        <f t="shared" si="2"/>
        <v>8.7284457750237882E-2</v>
      </c>
      <c r="AP250" s="8">
        <f t="shared" si="3"/>
        <v>7.5570211596592468E-2</v>
      </c>
      <c r="AQ250" s="8">
        <f t="shared" si="3"/>
        <v>7.2367018441530762E-2</v>
      </c>
      <c r="AR250" s="8">
        <f t="shared" si="3"/>
        <v>7.4549833696524834E-2</v>
      </c>
      <c r="AS250" s="9"/>
    </row>
    <row r="251" spans="24:45" x14ac:dyDescent="0.3">
      <c r="X251" s="1" t="s">
        <v>69</v>
      </c>
      <c r="Y251" s="8">
        <f t="shared" si="4"/>
        <v>0.13121975431194935</v>
      </c>
      <c r="Z251" s="8">
        <f t="shared" si="2"/>
        <v>8.2411182294700069E-2</v>
      </c>
      <c r="AA251" s="8">
        <f t="shared" si="2"/>
        <v>0.12265055219837465</v>
      </c>
      <c r="AB251" s="8">
        <f t="shared" si="2"/>
        <v>7.6361529548088058E-2</v>
      </c>
      <c r="AC251" s="8">
        <f t="shared" si="2"/>
        <v>0.13892781358850145</v>
      </c>
      <c r="AD251" s="8">
        <f t="shared" si="2"/>
        <v>0.12755102040816327</v>
      </c>
      <c r="AE251" s="8">
        <f t="shared" si="2"/>
        <v>0.11836587129428777</v>
      </c>
      <c r="AF251" s="8">
        <f t="shared" si="2"/>
        <v>7.6510158320309843E-2</v>
      </c>
      <c r="AG251" s="8">
        <f t="shared" si="2"/>
        <v>0.11471400203419384</v>
      </c>
      <c r="AH251" s="8">
        <f t="shared" si="2"/>
        <v>7.2025782128849844E-2</v>
      </c>
      <c r="AI251" s="8">
        <f t="shared" si="2"/>
        <v>0.11494967365577259</v>
      </c>
      <c r="AJ251" s="8">
        <f t="shared" si="2"/>
        <v>7.3014091532610056E-2</v>
      </c>
      <c r="AK251" s="8">
        <f t="shared" si="2"/>
        <v>0.11639970877320714</v>
      </c>
      <c r="AL251" s="8">
        <f t="shared" si="2"/>
        <v>7.2612359550561792E-2</v>
      </c>
      <c r="AM251" s="8">
        <f t="shared" si="2"/>
        <v>8.7016506528701659E-2</v>
      </c>
      <c r="AN251" s="8">
        <f t="shared" si="2"/>
        <v>7.3034437946718656E-2</v>
      </c>
      <c r="AO251" s="8">
        <f t="shared" si="2"/>
        <v>7.2105263157894742E-2</v>
      </c>
      <c r="AP251" s="8">
        <f t="shared" si="3"/>
        <v>7.6554246241365295E-2</v>
      </c>
      <c r="AQ251" s="8">
        <f t="shared" si="3"/>
        <v>7.5214953271028034E-2</v>
      </c>
      <c r="AR251" s="8">
        <f t="shared" si="3"/>
        <v>7.6591015942214818E-2</v>
      </c>
      <c r="AS251" s="9"/>
    </row>
    <row r="252" spans="24:45" x14ac:dyDescent="0.3">
      <c r="X252" s="1" t="s">
        <v>70</v>
      </c>
      <c r="Y252" s="8">
        <f t="shared" si="4"/>
        <v>0.12747585395864411</v>
      </c>
      <c r="Z252" s="8">
        <f t="shared" si="2"/>
        <v>9.9418344519015656E-2</v>
      </c>
      <c r="AA252" s="8">
        <f t="shared" si="2"/>
        <v>0.11136871508379888</v>
      </c>
      <c r="AB252" s="8">
        <f t="shared" si="2"/>
        <v>7.6076058772687999E-2</v>
      </c>
      <c r="AC252" s="8">
        <f t="shared" si="2"/>
        <v>0.12718301778542743</v>
      </c>
      <c r="AD252" s="8">
        <f t="shared" si="2"/>
        <v>0.12334842089203073</v>
      </c>
      <c r="AE252" s="8">
        <f t="shared" si="2"/>
        <v>7.6424183640478496E-2</v>
      </c>
      <c r="AF252" s="8">
        <f t="shared" si="2"/>
        <v>0.10205325858444289</v>
      </c>
      <c r="AG252" s="8">
        <f t="shared" si="2"/>
        <v>8.2798714577855689E-2</v>
      </c>
      <c r="AH252" s="8">
        <f t="shared" si="2"/>
        <v>8.9778212654924971E-2</v>
      </c>
      <c r="AI252" s="8">
        <f t="shared" si="2"/>
        <v>7.4114267475263326E-2</v>
      </c>
      <c r="AJ252" s="8">
        <f t="shared" si="2"/>
        <v>7.1657303370786518E-2</v>
      </c>
      <c r="AK252" s="8">
        <f t="shared" si="2"/>
        <v>7.2032948929159804E-2</v>
      </c>
      <c r="AL252" s="8">
        <f t="shared" si="2"/>
        <v>7.1795800144822591E-2</v>
      </c>
      <c r="AM252" s="8">
        <f t="shared" si="2"/>
        <v>7.2165467625899274E-2</v>
      </c>
      <c r="AN252" s="8">
        <f t="shared" si="2"/>
        <v>7.2101862409730141E-2</v>
      </c>
      <c r="AO252" s="8">
        <f t="shared" si="2"/>
        <v>7.2289512555391428E-2</v>
      </c>
      <c r="AP252" s="8">
        <f t="shared" si="3"/>
        <v>7.2096153846153851E-2</v>
      </c>
      <c r="AQ252" s="8">
        <f t="shared" si="3"/>
        <v>7.2321575061525839E-2</v>
      </c>
      <c r="AR252" s="8">
        <f t="shared" si="3"/>
        <v>7.166666666666667E-2</v>
      </c>
      <c r="AS252" s="9"/>
    </row>
    <row r="253" spans="24:45" x14ac:dyDescent="0.3">
      <c r="X253" s="1" t="s">
        <v>71</v>
      </c>
      <c r="Y253" s="8">
        <f t="shared" si="4"/>
        <v>7.7701893122453861E-2</v>
      </c>
      <c r="Z253" s="8">
        <f t="shared" si="2"/>
        <v>7.7483250801048634E-2</v>
      </c>
      <c r="AA253" s="8">
        <f t="shared" si="2"/>
        <v>0.10586592178770951</v>
      </c>
      <c r="AB253" s="8">
        <f t="shared" si="2"/>
        <v>8.0047857793983587E-2</v>
      </c>
      <c r="AC253" s="8">
        <f t="shared" si="2"/>
        <v>0.12991228676013539</v>
      </c>
      <c r="AD253" s="8">
        <f t="shared" si="2"/>
        <v>0.12208006603384233</v>
      </c>
      <c r="AE253" s="8">
        <f t="shared" si="2"/>
        <v>8.2477341389728093E-2</v>
      </c>
      <c r="AF253" s="8">
        <f t="shared" si="2"/>
        <v>0.12100529950216798</v>
      </c>
      <c r="AG253" s="8">
        <f t="shared" si="2"/>
        <v>7.7547853078116916E-2</v>
      </c>
      <c r="AH253" s="8">
        <f t="shared" si="2"/>
        <v>0.10076376792174729</v>
      </c>
      <c r="AI253" s="8">
        <f t="shared" si="2"/>
        <v>7.6852257781674704E-2</v>
      </c>
      <c r="AJ253" s="8">
        <f t="shared" si="2"/>
        <v>9.8167885140491504E-2</v>
      </c>
      <c r="AK253" s="8">
        <f t="shared" si="2"/>
        <v>7.7109203798392992E-2</v>
      </c>
      <c r="AL253" s="8">
        <f t="shared" si="2"/>
        <v>8.3685721743670061E-2</v>
      </c>
      <c r="AM253" s="8">
        <f t="shared" si="2"/>
        <v>7.6986076986076998E-2</v>
      </c>
      <c r="AN253" s="8">
        <f t="shared" si="2"/>
        <v>8.3839558829865143E-2</v>
      </c>
      <c r="AO253" s="8">
        <f t="shared" si="2"/>
        <v>7.7365532381997795E-2</v>
      </c>
      <c r="AP253" s="8">
        <f t="shared" si="3"/>
        <v>7.572423909057574E-2</v>
      </c>
      <c r="AQ253" s="8">
        <f t="shared" si="3"/>
        <v>7.7505123220009464E-2</v>
      </c>
      <c r="AR253" s="8">
        <f t="shared" si="3"/>
        <v>7.7170418006430874E-2</v>
      </c>
      <c r="AS253" s="9"/>
    </row>
    <row r="254" spans="24:45" x14ac:dyDescent="0.3">
      <c r="X254" s="1" t="s">
        <v>72</v>
      </c>
      <c r="Y254" s="8">
        <f t="shared" si="4"/>
        <v>0.11862549158661596</v>
      </c>
      <c r="Z254" s="8">
        <f t="shared" si="2"/>
        <v>0.1182334082617828</v>
      </c>
      <c r="AA254" s="8">
        <f t="shared" si="2"/>
        <v>8.0119513909812187E-2</v>
      </c>
      <c r="AB254" s="8">
        <f t="shared" si="2"/>
        <v>9.8136977763928143E-2</v>
      </c>
      <c r="AC254" s="8">
        <f t="shared" si="2"/>
        <v>0.1458288131915817</v>
      </c>
      <c r="AD254" s="8">
        <f t="shared" si="2"/>
        <v>0.11778407014979904</v>
      </c>
      <c r="AE254" s="8">
        <f t="shared" si="2"/>
        <v>9.913040102488449E-2</v>
      </c>
      <c r="AF254" s="8">
        <f t="shared" si="2"/>
        <v>0.17316505994175152</v>
      </c>
      <c r="AG254" s="8">
        <f t="shared" si="2"/>
        <v>7.8132716963985854E-2</v>
      </c>
      <c r="AH254" s="8">
        <f t="shared" si="2"/>
        <v>0.14350724776043405</v>
      </c>
      <c r="AI254" s="8">
        <f t="shared" si="2"/>
        <v>8.4152358397473842E-2</v>
      </c>
      <c r="AJ254" s="8">
        <f t="shared" si="2"/>
        <v>0.14267935824560224</v>
      </c>
      <c r="AK254" s="8">
        <f t="shared" si="2"/>
        <v>8.4672101018400406E-2</v>
      </c>
      <c r="AL254" s="8">
        <f t="shared" si="2"/>
        <v>0.13011065812463601</v>
      </c>
      <c r="AM254" s="8">
        <f t="shared" si="2"/>
        <v>9.2607476818725373E-2</v>
      </c>
      <c r="AN254" s="8">
        <f t="shared" si="2"/>
        <v>0.10450361242527598</v>
      </c>
      <c r="AO254" s="8">
        <f t="shared" si="2"/>
        <v>7.7072445206469872E-2</v>
      </c>
      <c r="AP254" s="8">
        <f t="shared" si="3"/>
        <v>7.6683713504884052E-2</v>
      </c>
      <c r="AQ254" s="8">
        <f t="shared" si="3"/>
        <v>7.7071148293477457E-2</v>
      </c>
      <c r="AR254" s="8">
        <f t="shared" si="3"/>
        <v>7.692716498817527E-2</v>
      </c>
      <c r="AS254" s="9"/>
    </row>
    <row r="255" spans="24:45" x14ac:dyDescent="0.3">
      <c r="X255" s="1" t="s">
        <v>73</v>
      </c>
      <c r="Y255" s="8">
        <f t="shared" si="4"/>
        <v>8.0009633911368006E-2</v>
      </c>
      <c r="Z255" s="8">
        <f t="shared" si="2"/>
        <v>7.8077571669477236E-2</v>
      </c>
      <c r="AA255" s="8">
        <f t="shared" si="2"/>
        <v>8.2863113897596638E-2</v>
      </c>
      <c r="AB255" s="8">
        <f t="shared" si="2"/>
        <v>8.2854656222802442E-2</v>
      </c>
      <c r="AC255" s="8">
        <f t="shared" si="2"/>
        <v>0.05</v>
      </c>
      <c r="AD255" s="8">
        <f t="shared" si="2"/>
        <v>8.304526748971193E-2</v>
      </c>
      <c r="AE255" s="8">
        <f t="shared" si="2"/>
        <v>6.2273361227336121E-2</v>
      </c>
      <c r="AF255" s="8">
        <f t="shared" si="2"/>
        <v>8.9344390549209826E-2</v>
      </c>
      <c r="AG255" s="8">
        <f t="shared" si="2"/>
        <v>8.6582430806257521E-2</v>
      </c>
      <c r="AH255" s="8">
        <f t="shared" si="2"/>
        <v>8.1435472739820589E-2</v>
      </c>
      <c r="AI255" s="8">
        <f t="shared" si="2"/>
        <v>8.9017788089713848E-2</v>
      </c>
      <c r="AJ255" s="8">
        <f t="shared" si="2"/>
        <v>8.0829276481450385E-2</v>
      </c>
      <c r="AK255" s="8">
        <f t="shared" si="2"/>
        <v>8.9347826086956517E-2</v>
      </c>
      <c r="AL255" s="8">
        <f t="shared" si="2"/>
        <v>7.808315715292459E-2</v>
      </c>
      <c r="AM255" s="8">
        <f t="shared" si="2"/>
        <v>9.195402298850576E-2</v>
      </c>
      <c r="AN255" s="8">
        <f t="shared" si="2"/>
        <v>8.5880250223413765E-2</v>
      </c>
      <c r="AO255" s="8">
        <f t="shared" si="2"/>
        <v>9.5936794582392779E-2</v>
      </c>
      <c r="AP255" s="8">
        <f t="shared" si="3"/>
        <v>9.2812500000000006E-2</v>
      </c>
      <c r="AQ255" s="8">
        <f t="shared" si="3"/>
        <v>7.8695652173913042E-2</v>
      </c>
      <c r="AR255" s="8">
        <f t="shared" si="3"/>
        <v>8.8225108225108234E-2</v>
      </c>
      <c r="AS255" s="9"/>
    </row>
    <row r="256" spans="24:45" x14ac:dyDescent="0.3">
      <c r="AS256" s="9">
        <f>AVERAGE(Y248:AR255)</f>
        <v>8.6155655738773457E-2</v>
      </c>
    </row>
    <row r="258" spans="24:45" x14ac:dyDescent="0.3">
      <c r="X258" s="5" t="s">
        <v>74</v>
      </c>
    </row>
    <row r="259" spans="24:45" x14ac:dyDescent="0.3">
      <c r="X259" s="1" t="s">
        <v>6</v>
      </c>
      <c r="Y259" s="1" t="s">
        <v>63</v>
      </c>
      <c r="Z259" s="1" t="s">
        <v>64</v>
      </c>
      <c r="AA259" s="1" t="s">
        <v>63</v>
      </c>
      <c r="AB259" s="1" t="s">
        <v>64</v>
      </c>
      <c r="AC259" s="1" t="s">
        <v>63</v>
      </c>
      <c r="AD259" s="1" t="s">
        <v>64</v>
      </c>
      <c r="AE259" s="1" t="s">
        <v>63</v>
      </c>
      <c r="AF259" s="1" t="s">
        <v>64</v>
      </c>
      <c r="AG259" s="1" t="s">
        <v>63</v>
      </c>
      <c r="AH259" s="1" t="s">
        <v>64</v>
      </c>
      <c r="AI259" s="1" t="s">
        <v>63</v>
      </c>
      <c r="AJ259" s="1" t="s">
        <v>64</v>
      </c>
      <c r="AK259" s="1" t="s">
        <v>63</v>
      </c>
      <c r="AL259" s="1" t="s">
        <v>64</v>
      </c>
      <c r="AM259" s="1" t="s">
        <v>63</v>
      </c>
      <c r="AN259" s="1" t="s">
        <v>64</v>
      </c>
      <c r="AO259" s="1" t="s">
        <v>63</v>
      </c>
      <c r="AP259" s="1" t="s">
        <v>64</v>
      </c>
      <c r="AQ259" s="1" t="s">
        <v>63</v>
      </c>
      <c r="AR259" s="1" t="s">
        <v>64</v>
      </c>
    </row>
    <row r="260" spans="24:45" x14ac:dyDescent="0.3">
      <c r="X260" s="1" t="s">
        <v>65</v>
      </c>
      <c r="Y260" s="1" t="s">
        <v>53</v>
      </c>
      <c r="Z260" s="1" t="s">
        <v>53</v>
      </c>
      <c r="AA260" s="1" t="s">
        <v>54</v>
      </c>
      <c r="AB260" s="1" t="s">
        <v>54</v>
      </c>
      <c r="AC260" s="1" t="s">
        <v>55</v>
      </c>
      <c r="AD260" s="1" t="s">
        <v>55</v>
      </c>
      <c r="AE260" s="1" t="s">
        <v>56</v>
      </c>
      <c r="AF260" s="1" t="s">
        <v>56</v>
      </c>
      <c r="AG260" s="1" t="s">
        <v>57</v>
      </c>
      <c r="AH260" s="1" t="s">
        <v>57</v>
      </c>
      <c r="AI260" s="1" t="s">
        <v>58</v>
      </c>
      <c r="AJ260" s="1" t="s">
        <v>58</v>
      </c>
      <c r="AK260" s="1" t="s">
        <v>59</v>
      </c>
      <c r="AL260" s="1" t="s">
        <v>59</v>
      </c>
      <c r="AM260" s="1" t="s">
        <v>60</v>
      </c>
      <c r="AN260" s="1" t="s">
        <v>60</v>
      </c>
      <c r="AO260" s="1" t="s">
        <v>61</v>
      </c>
      <c r="AP260" s="1" t="s">
        <v>61</v>
      </c>
      <c r="AQ260" s="1" t="s">
        <v>62</v>
      </c>
      <c r="AR260" s="1" t="s">
        <v>62</v>
      </c>
    </row>
    <row r="261" spans="24:45" x14ac:dyDescent="0.3">
      <c r="X261" s="1" t="s">
        <v>7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1" t="s">
        <v>66</v>
      </c>
      <c r="Y262" s="6">
        <f>Y135/(Y135+Y163+Y191+Y107)</f>
        <v>8.1776894112199818E-3</v>
      </c>
      <c r="Z262" s="6">
        <f t="shared" ref="Z262:AP269" si="5">Z135/(Z135+Z163+Z191+Z107)</f>
        <v>1.4802661298774515E-2</v>
      </c>
      <c r="AA262" s="6">
        <f t="shared" si="5"/>
        <v>7.7908096776021299E-3</v>
      </c>
      <c r="AB262" s="6">
        <f t="shared" si="5"/>
        <v>8.5569026202581139E-3</v>
      </c>
      <c r="AC262" s="6">
        <f t="shared" si="5"/>
        <v>1.094153293681966E-2</v>
      </c>
      <c r="AD262" s="6">
        <f t="shared" si="5"/>
        <v>9.3178224531285294E-3</v>
      </c>
      <c r="AE262" s="6">
        <f t="shared" si="5"/>
        <v>1.113839867860558E-2</v>
      </c>
      <c r="AF262" s="6">
        <f t="shared" si="5"/>
        <v>2.2376773196445328E-2</v>
      </c>
      <c r="AG262" s="6">
        <f t="shared" si="5"/>
        <v>8.5544984142880993E-3</v>
      </c>
      <c r="AH262" s="6">
        <f t="shared" si="5"/>
        <v>1.7553528617487393E-2</v>
      </c>
      <c r="AI262" s="6">
        <f t="shared" si="5"/>
        <v>9.0375025616503853E-3</v>
      </c>
      <c r="AJ262" s="6">
        <f t="shared" si="5"/>
        <v>1.1243624504654822E-2</v>
      </c>
      <c r="AK262" s="6">
        <f t="shared" si="5"/>
        <v>1.1414986615750359E-2</v>
      </c>
      <c r="AL262" s="6">
        <f t="shared" si="5"/>
        <v>2.328042328042328E-2</v>
      </c>
      <c r="AM262" s="6">
        <f t="shared" si="5"/>
        <v>2.3413720440177945E-2</v>
      </c>
      <c r="AN262" s="6">
        <f t="shared" si="5"/>
        <v>1.6728229949475652E-2</v>
      </c>
      <c r="AO262" s="6">
        <f t="shared" si="5"/>
        <v>2.5051205293839609E-2</v>
      </c>
      <c r="AP262" s="6">
        <f t="shared" si="5"/>
        <v>2.9704114655570962E-2</v>
      </c>
      <c r="AQ262" s="6">
        <f>AQ135/(AQ135+AQ163+AQ191+AQ107)</f>
        <v>2.4594101258526273E-2</v>
      </c>
      <c r="AR262" s="6">
        <f t="shared" ref="AR262" si="6">AR135/(AR135+AR163+AR191+AR107)</f>
        <v>3.2407932011331443E-2</v>
      </c>
    </row>
    <row r="263" spans="24:45" x14ac:dyDescent="0.3">
      <c r="X263" s="1" t="s">
        <v>67</v>
      </c>
      <c r="Y263" s="6">
        <f t="shared" ref="Y263:AN269" si="7">Y136/(Y136+Y164+Y192+Y108)</f>
        <v>1.3870390410388745E-2</v>
      </c>
      <c r="Z263" s="6">
        <f t="shared" si="7"/>
        <v>1.8594895657078402E-2</v>
      </c>
      <c r="AA263" s="6">
        <f t="shared" si="7"/>
        <v>7.0765360500062409E-3</v>
      </c>
      <c r="AB263" s="6">
        <f t="shared" si="7"/>
        <v>1.2755221230668596E-2</v>
      </c>
      <c r="AC263" s="6">
        <f t="shared" si="7"/>
        <v>1.2180520745198832E-2</v>
      </c>
      <c r="AD263" s="6">
        <f t="shared" si="7"/>
        <v>1.7737198314391522E-2</v>
      </c>
      <c r="AE263" s="6">
        <f t="shared" si="7"/>
        <v>1.0226826919647635E-2</v>
      </c>
      <c r="AF263" s="6">
        <f t="shared" si="7"/>
        <v>2.2998818656258885E-2</v>
      </c>
      <c r="AG263" s="6">
        <f t="shared" si="7"/>
        <v>1.1135729289557736E-2</v>
      </c>
      <c r="AH263" s="6">
        <f t="shared" si="7"/>
        <v>2.3000759154269843E-2</v>
      </c>
      <c r="AI263" s="6">
        <f t="shared" si="7"/>
        <v>1.1559715238711604E-2</v>
      </c>
      <c r="AJ263" s="6">
        <f t="shared" si="7"/>
        <v>2.519020522984464E-2</v>
      </c>
      <c r="AK263" s="6">
        <f t="shared" si="7"/>
        <v>1.4322025613451953E-2</v>
      </c>
      <c r="AL263" s="6">
        <f t="shared" si="7"/>
        <v>1.8742442563482467E-2</v>
      </c>
      <c r="AM263" s="6">
        <f t="shared" si="7"/>
        <v>1.4179351002464868E-2</v>
      </c>
      <c r="AN263" s="6">
        <f t="shared" si="7"/>
        <v>1.5612780694894425E-2</v>
      </c>
      <c r="AO263" s="6">
        <f t="shared" si="5"/>
        <v>1.2261545212834611E-2</v>
      </c>
      <c r="AP263" s="6">
        <f t="shared" si="5"/>
        <v>1.94178368827304E-2</v>
      </c>
      <c r="AQ263" s="6">
        <f t="shared" ref="AQ263:AR269" si="8">AQ136/(AQ136+AQ164+AQ192+AQ108)</f>
        <v>1.4239829867467635E-2</v>
      </c>
      <c r="AR263" s="6">
        <f t="shared" si="8"/>
        <v>1.944915807335857E-2</v>
      </c>
    </row>
    <row r="264" spans="24:45" x14ac:dyDescent="0.3">
      <c r="X264" s="1" t="s">
        <v>68</v>
      </c>
      <c r="Y264" s="6">
        <f t="shared" si="7"/>
        <v>2.070281494149807E-2</v>
      </c>
      <c r="Z264" s="6">
        <f t="shared" si="5"/>
        <v>2.1375764572592267E-2</v>
      </c>
      <c r="AA264" s="6">
        <f t="shared" si="5"/>
        <v>1.5333139421771128E-2</v>
      </c>
      <c r="AB264" s="6">
        <f t="shared" si="5"/>
        <v>1.6262759530588155E-2</v>
      </c>
      <c r="AC264" s="6">
        <f t="shared" si="5"/>
        <v>2.556898729283192E-2</v>
      </c>
      <c r="AD264" s="6">
        <f t="shared" si="5"/>
        <v>3.1390847761514656E-2</v>
      </c>
      <c r="AE264" s="6">
        <f t="shared" si="5"/>
        <v>1.9655483529307929E-2</v>
      </c>
      <c r="AF264" s="6">
        <f t="shared" si="5"/>
        <v>2.8081316075104966E-2</v>
      </c>
      <c r="AG264" s="6">
        <f t="shared" si="5"/>
        <v>2.5414634876745008E-2</v>
      </c>
      <c r="AH264" s="6">
        <f t="shared" si="5"/>
        <v>3.1311459173422755E-2</v>
      </c>
      <c r="AI264" s="6">
        <f t="shared" si="5"/>
        <v>2.4145207111080702E-2</v>
      </c>
      <c r="AJ264" s="6">
        <f t="shared" si="5"/>
        <v>3.3259360418800496E-2</v>
      </c>
      <c r="AK264" s="6">
        <f t="shared" si="5"/>
        <v>2.7997142909715615E-2</v>
      </c>
      <c r="AL264" s="6">
        <f t="shared" si="5"/>
        <v>2.8923275247722494E-2</v>
      </c>
      <c r="AM264" s="6">
        <f t="shared" si="5"/>
        <v>2.7210377992120258E-2</v>
      </c>
      <c r="AN264" s="6">
        <f t="shared" si="5"/>
        <v>2.5004874244492103E-2</v>
      </c>
      <c r="AO264" s="6">
        <f t="shared" si="5"/>
        <v>2.2757854757581845E-2</v>
      </c>
      <c r="AP264" s="6">
        <f t="shared" si="5"/>
        <v>3.2815728877605241E-2</v>
      </c>
      <c r="AQ264" s="6">
        <f t="shared" si="8"/>
        <v>2.4523144780986796E-2</v>
      </c>
      <c r="AR264" s="6">
        <f t="shared" si="8"/>
        <v>2.6059460164297821E-2</v>
      </c>
    </row>
    <row r="265" spans="24:45" x14ac:dyDescent="0.3">
      <c r="X265" s="1" t="s">
        <v>69</v>
      </c>
      <c r="Y265" s="6">
        <f t="shared" si="7"/>
        <v>2.3151417683459779E-2</v>
      </c>
      <c r="Z265" s="6">
        <f t="shared" si="5"/>
        <v>1.9300773547702106E-2</v>
      </c>
      <c r="AA265" s="6">
        <f t="shared" si="5"/>
        <v>1.4308009075290817E-2</v>
      </c>
      <c r="AB265" s="6">
        <f t="shared" si="5"/>
        <v>1.7830504905143821E-2</v>
      </c>
      <c r="AC265" s="6">
        <f t="shared" si="5"/>
        <v>2.2312618309235168E-2</v>
      </c>
      <c r="AD265" s="6">
        <f t="shared" si="5"/>
        <v>2.0829400699086762E-2</v>
      </c>
      <c r="AE265" s="6">
        <f t="shared" si="5"/>
        <v>2.4661722891394119E-2</v>
      </c>
      <c r="AF265" s="6">
        <f t="shared" si="5"/>
        <v>2.0297629122345617E-2</v>
      </c>
      <c r="AG265" s="6">
        <f t="shared" si="5"/>
        <v>2.3998039157431889E-2</v>
      </c>
      <c r="AH265" s="6">
        <f t="shared" si="5"/>
        <v>2.654536204342426E-2</v>
      </c>
      <c r="AI265" s="6">
        <f t="shared" si="5"/>
        <v>2.5494780420246908E-2</v>
      </c>
      <c r="AJ265" s="6">
        <f t="shared" si="5"/>
        <v>2.8613707165109036E-2</v>
      </c>
      <c r="AK265" s="6">
        <f t="shared" si="5"/>
        <v>2.7190697323215163E-2</v>
      </c>
      <c r="AL265" s="6">
        <f t="shared" si="5"/>
        <v>2.3734858267232369E-2</v>
      </c>
      <c r="AM265" s="6">
        <f t="shared" si="5"/>
        <v>2.6292156714237798E-2</v>
      </c>
      <c r="AN265" s="6">
        <f t="shared" si="5"/>
        <v>2.5720413461693511E-2</v>
      </c>
      <c r="AO265" s="6">
        <f t="shared" si="5"/>
        <v>2.4107171403907026E-2</v>
      </c>
      <c r="AP265" s="6">
        <f t="shared" si="5"/>
        <v>2.3838209982788294E-2</v>
      </c>
      <c r="AQ265" s="6">
        <f t="shared" si="8"/>
        <v>2.5036486204739729E-2</v>
      </c>
      <c r="AR265" s="6">
        <f t="shared" si="8"/>
        <v>2.276911858536141E-2</v>
      </c>
    </row>
    <row r="266" spans="24:45" x14ac:dyDescent="0.3">
      <c r="X266" s="1" t="s">
        <v>70</v>
      </c>
      <c r="Y266" s="6">
        <f t="shared" si="7"/>
        <v>1.8495947223395481E-2</v>
      </c>
      <c r="Z266" s="6">
        <f t="shared" si="5"/>
        <v>1.6621988123226433E-2</v>
      </c>
      <c r="AA266" s="6">
        <f t="shared" si="5"/>
        <v>1.4516153393043241E-2</v>
      </c>
      <c r="AB266" s="6">
        <f t="shared" si="5"/>
        <v>1.4142282001665141E-2</v>
      </c>
      <c r="AC266" s="6">
        <f t="shared" si="5"/>
        <v>1.783828212879995E-2</v>
      </c>
      <c r="AD266" s="6">
        <f t="shared" si="5"/>
        <v>1.5971095788599978E-2</v>
      </c>
      <c r="AE266" s="6">
        <f t="shared" si="5"/>
        <v>2.0161035125347213E-2</v>
      </c>
      <c r="AF266" s="6">
        <f t="shared" si="5"/>
        <v>2.0714162893334095E-2</v>
      </c>
      <c r="AG266" s="6">
        <f t="shared" si="5"/>
        <v>2.1909501626523706E-2</v>
      </c>
      <c r="AH266" s="6">
        <f t="shared" si="5"/>
        <v>1.9438229029703276E-2</v>
      </c>
      <c r="AI266" s="6">
        <f t="shared" si="5"/>
        <v>2.1423514005678525E-2</v>
      </c>
      <c r="AJ266" s="6">
        <f t="shared" si="5"/>
        <v>1.8274362289878925E-2</v>
      </c>
      <c r="AK266" s="6">
        <f t="shared" si="5"/>
        <v>2.1613697543874294E-2</v>
      </c>
      <c r="AL266" s="6">
        <f t="shared" si="5"/>
        <v>1.7457812485010125E-2</v>
      </c>
      <c r="AM266" s="6">
        <f t="shared" si="5"/>
        <v>2.1414288101700579E-2</v>
      </c>
      <c r="AN266" s="6">
        <f t="shared" si="5"/>
        <v>1.9427729406886966E-2</v>
      </c>
      <c r="AO266" s="6">
        <f t="shared" si="5"/>
        <v>2.277360082675187E-2</v>
      </c>
      <c r="AP266" s="6">
        <f t="shared" si="5"/>
        <v>1.5755301582040616E-2</v>
      </c>
      <c r="AQ266" s="6">
        <f t="shared" si="8"/>
        <v>2.0344883520706739E-2</v>
      </c>
      <c r="AR266" s="6">
        <f t="shared" si="8"/>
        <v>1.7213278658438042E-2</v>
      </c>
    </row>
    <row r="267" spans="24:45" x14ac:dyDescent="0.3">
      <c r="X267" s="1" t="s">
        <v>71</v>
      </c>
      <c r="Y267" s="6">
        <f t="shared" si="7"/>
        <v>1.0680937279774488E-2</v>
      </c>
      <c r="Z267" s="6">
        <f t="shared" si="5"/>
        <v>9.7842658145897293E-3</v>
      </c>
      <c r="AA267" s="6">
        <f t="shared" si="5"/>
        <v>8.337363826896059E-3</v>
      </c>
      <c r="AB267" s="6">
        <f t="shared" si="5"/>
        <v>8.9265804437506976E-3</v>
      </c>
      <c r="AC267" s="6">
        <f t="shared" si="5"/>
        <v>1.2637819409339392E-2</v>
      </c>
      <c r="AD267" s="6">
        <f t="shared" si="5"/>
        <v>8.8874722961403609E-3</v>
      </c>
      <c r="AE267" s="6">
        <f t="shared" si="5"/>
        <v>1.357336470106889E-2</v>
      </c>
      <c r="AF267" s="6">
        <f t="shared" si="5"/>
        <v>1.099226769404855E-2</v>
      </c>
      <c r="AG267" s="6">
        <f t="shared" si="5"/>
        <v>1.3337262477762134E-2</v>
      </c>
      <c r="AH267" s="6">
        <f t="shared" si="5"/>
        <v>1.2403916884308842E-2</v>
      </c>
      <c r="AI267" s="6">
        <f t="shared" si="5"/>
        <v>1.4935342803168673E-2</v>
      </c>
      <c r="AJ267" s="6">
        <f t="shared" si="5"/>
        <v>1.2202870261808224E-2</v>
      </c>
      <c r="AK267" s="6">
        <f t="shared" si="5"/>
        <v>1.386721409344659E-2</v>
      </c>
      <c r="AL267" s="6">
        <f t="shared" si="5"/>
        <v>1.019108280254777E-2</v>
      </c>
      <c r="AM267" s="6">
        <f t="shared" si="5"/>
        <v>1.4316285041729082E-2</v>
      </c>
      <c r="AN267" s="6">
        <f t="shared" si="5"/>
        <v>1.2633187246190341E-2</v>
      </c>
      <c r="AO267" s="6">
        <f t="shared" si="5"/>
        <v>1.5553804515399635E-2</v>
      </c>
      <c r="AP267" s="6">
        <f t="shared" si="5"/>
        <v>9.2501441177774823E-3</v>
      </c>
      <c r="AQ267" s="6">
        <f t="shared" si="8"/>
        <v>1.4444444444444446E-2</v>
      </c>
      <c r="AR267" s="6">
        <f t="shared" si="8"/>
        <v>1.1834173641843667E-2</v>
      </c>
    </row>
    <row r="268" spans="24:45" x14ac:dyDescent="0.3">
      <c r="X268" s="1" t="s">
        <v>72</v>
      </c>
      <c r="Y268" s="6">
        <f t="shared" si="7"/>
        <v>8.9483867015274308E-3</v>
      </c>
      <c r="Z268" s="6">
        <f t="shared" si="5"/>
        <v>1.0252596906153839E-2</v>
      </c>
      <c r="AA268" s="6">
        <f t="shared" si="5"/>
        <v>6.5681850755415407E-3</v>
      </c>
      <c r="AB268" s="6">
        <f t="shared" si="5"/>
        <v>6.5665687252338461E-3</v>
      </c>
      <c r="AC268" s="6">
        <f t="shared" si="5"/>
        <v>1.0364637413481528E-2</v>
      </c>
      <c r="AD268" s="6">
        <f t="shared" si="5"/>
        <v>7.9307619502961366E-3</v>
      </c>
      <c r="AE268" s="6">
        <f t="shared" si="5"/>
        <v>1.0296599405946072E-2</v>
      </c>
      <c r="AF268" s="6">
        <f t="shared" si="5"/>
        <v>1.1548172350345021E-2</v>
      </c>
      <c r="AG268" s="6">
        <f t="shared" si="5"/>
        <v>1.0550246172410689E-2</v>
      </c>
      <c r="AH268" s="6">
        <f t="shared" si="5"/>
        <v>1.0996813044014838E-2</v>
      </c>
      <c r="AI268" s="6">
        <f t="shared" si="5"/>
        <v>1.0745074920764189E-2</v>
      </c>
      <c r="AJ268" s="6">
        <f t="shared" si="5"/>
        <v>1.0267848753416955E-2</v>
      </c>
      <c r="AK268" s="6">
        <f t="shared" si="5"/>
        <v>9.659111470307959E-3</v>
      </c>
      <c r="AL268" s="6">
        <f t="shared" si="5"/>
        <v>8.8869250085324373E-3</v>
      </c>
      <c r="AM268" s="6">
        <f t="shared" si="5"/>
        <v>1.0297664729744546E-2</v>
      </c>
      <c r="AN268" s="6">
        <f t="shared" si="5"/>
        <v>1.0623214862422726E-2</v>
      </c>
      <c r="AO268" s="6">
        <f t="shared" si="5"/>
        <v>1.1009810685862502E-2</v>
      </c>
      <c r="AP268" s="6">
        <f t="shared" si="5"/>
        <v>7.9904462812219277E-3</v>
      </c>
      <c r="AQ268" s="6">
        <f t="shared" si="8"/>
        <v>9.9258715712149722E-3</v>
      </c>
      <c r="AR268" s="6">
        <f t="shared" si="8"/>
        <v>9.5656893825567767E-3</v>
      </c>
    </row>
    <row r="269" spans="24:45" x14ac:dyDescent="0.3">
      <c r="X269" s="1" t="s">
        <v>73</v>
      </c>
      <c r="Y269" s="6">
        <f t="shared" si="7"/>
        <v>8.1855388813096858E-3</v>
      </c>
      <c r="Z269" s="6">
        <f t="shared" si="5"/>
        <v>4.8143757515799164E-3</v>
      </c>
      <c r="AA269" s="6">
        <f t="shared" si="5"/>
        <v>3.5252288372796736E-3</v>
      </c>
      <c r="AB269" s="6">
        <f t="shared" si="5"/>
        <v>3.9205995428343325E-3</v>
      </c>
      <c r="AC269" s="6">
        <f t="shared" si="5"/>
        <v>1.3137165896771781E-2</v>
      </c>
      <c r="AD269" s="6">
        <f t="shared" si="5"/>
        <v>4.0653966527312378E-3</v>
      </c>
      <c r="AE269" s="6">
        <f t="shared" si="5"/>
        <v>6.0178588812092367E-3</v>
      </c>
      <c r="AF269" s="6">
        <f t="shared" si="5"/>
        <v>4.2425154204904468E-3</v>
      </c>
      <c r="AG269" s="6">
        <f t="shared" si="5"/>
        <v>7.6937789596431376E-3</v>
      </c>
      <c r="AH269" s="6">
        <f t="shared" si="5"/>
        <v>3.1766084441026774E-3</v>
      </c>
      <c r="AI269" s="6">
        <f t="shared" si="5"/>
        <v>5.6373029086279509E-3</v>
      </c>
      <c r="AJ269" s="6">
        <f t="shared" si="5"/>
        <v>3.5436114450159307E-3</v>
      </c>
      <c r="AK269" s="6">
        <f t="shared" si="5"/>
        <v>6.1903022724599643E-3</v>
      </c>
      <c r="AL269" s="6">
        <f t="shared" si="5"/>
        <v>4.917235630358844E-3</v>
      </c>
      <c r="AM269" s="6">
        <f t="shared" si="5"/>
        <v>5.1756705704571219E-3</v>
      </c>
      <c r="AN269" s="6">
        <f t="shared" si="5"/>
        <v>5.3549041848247863E-3</v>
      </c>
      <c r="AO269" s="6">
        <f t="shared" si="5"/>
        <v>7.8888349705562178E-3</v>
      </c>
      <c r="AP269" s="6">
        <f t="shared" si="5"/>
        <v>5.360372418566085E-3</v>
      </c>
      <c r="AQ269" s="6">
        <f t="shared" si="8"/>
        <v>7.1756325008710091E-3</v>
      </c>
      <c r="AR269" s="6">
        <f t="shared" si="8"/>
        <v>5.604278916112794E-3</v>
      </c>
    </row>
    <row r="270" spans="24:45" x14ac:dyDescent="0.3">
      <c r="AS270" s="7">
        <f>AVERAGE(Y262:AR269)</f>
        <v>1.5858648371081273E-2</v>
      </c>
    </row>
    <row r="272" spans="24:45" x14ac:dyDescent="0.3">
      <c r="X272" s="5" t="s">
        <v>75</v>
      </c>
    </row>
    <row r="273" spans="24:45" x14ac:dyDescent="0.3">
      <c r="X273" s="1" t="s">
        <v>6</v>
      </c>
      <c r="Y273" s="1" t="s">
        <v>63</v>
      </c>
      <c r="Z273" s="1" t="s">
        <v>64</v>
      </c>
      <c r="AA273" s="1" t="s">
        <v>63</v>
      </c>
      <c r="AB273" s="1" t="s">
        <v>64</v>
      </c>
      <c r="AC273" s="1" t="s">
        <v>63</v>
      </c>
      <c r="AD273" s="1" t="s">
        <v>64</v>
      </c>
      <c r="AE273" s="1" t="s">
        <v>63</v>
      </c>
      <c r="AF273" s="1" t="s">
        <v>64</v>
      </c>
      <c r="AG273" s="1" t="s">
        <v>63</v>
      </c>
      <c r="AH273" s="1" t="s">
        <v>64</v>
      </c>
      <c r="AI273" s="1" t="s">
        <v>63</v>
      </c>
      <c r="AJ273" s="1" t="s">
        <v>64</v>
      </c>
      <c r="AK273" s="1" t="s">
        <v>63</v>
      </c>
      <c r="AL273" s="1" t="s">
        <v>64</v>
      </c>
      <c r="AM273" s="1" t="s">
        <v>63</v>
      </c>
      <c r="AN273" s="1" t="s">
        <v>64</v>
      </c>
      <c r="AO273" s="1" t="s">
        <v>63</v>
      </c>
      <c r="AP273" s="1" t="s">
        <v>64</v>
      </c>
      <c r="AQ273" s="1" t="s">
        <v>63</v>
      </c>
      <c r="AR273" s="1" t="s">
        <v>64</v>
      </c>
    </row>
    <row r="274" spans="24:45" x14ac:dyDescent="0.3">
      <c r="X274" s="1" t="s">
        <v>65</v>
      </c>
      <c r="Y274" s="1" t="s">
        <v>53</v>
      </c>
      <c r="Z274" s="1" t="s">
        <v>53</v>
      </c>
      <c r="AA274" s="1" t="s">
        <v>54</v>
      </c>
      <c r="AB274" s="1" t="s">
        <v>54</v>
      </c>
      <c r="AC274" s="1" t="s">
        <v>55</v>
      </c>
      <c r="AD274" s="1" t="s">
        <v>55</v>
      </c>
      <c r="AE274" s="1" t="s">
        <v>56</v>
      </c>
      <c r="AF274" s="1" t="s">
        <v>56</v>
      </c>
      <c r="AG274" s="1" t="s">
        <v>57</v>
      </c>
      <c r="AH274" s="1" t="s">
        <v>57</v>
      </c>
      <c r="AI274" s="1" t="s">
        <v>58</v>
      </c>
      <c r="AJ274" s="1" t="s">
        <v>58</v>
      </c>
      <c r="AK274" s="1" t="s">
        <v>59</v>
      </c>
      <c r="AL274" s="1" t="s">
        <v>59</v>
      </c>
      <c r="AM274" s="1" t="s">
        <v>60</v>
      </c>
      <c r="AN274" s="1" t="s">
        <v>60</v>
      </c>
      <c r="AO274" s="1" t="s">
        <v>61</v>
      </c>
      <c r="AP274" s="1" t="s">
        <v>61</v>
      </c>
      <c r="AQ274" s="1" t="s">
        <v>62</v>
      </c>
      <c r="AR274" s="1" t="s">
        <v>62</v>
      </c>
    </row>
    <row r="275" spans="24:45" x14ac:dyDescent="0.3">
      <c r="X275" s="1" t="s">
        <v>7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1" t="s">
        <v>66</v>
      </c>
      <c r="Y276" s="6">
        <f>Y163/(Y135+Y163+Y191+Y107)</f>
        <v>2.1142152890789375E-3</v>
      </c>
      <c r="Z276" s="6">
        <f t="shared" ref="Z276:AR283" si="9">Z163/(Z135+Z163+Z191+Z107)</f>
        <v>4.5896923460555742E-3</v>
      </c>
      <c r="AA276" s="6">
        <f t="shared" si="9"/>
        <v>2.2664173607569835E-3</v>
      </c>
      <c r="AB276" s="6">
        <f t="shared" si="9"/>
        <v>2.4872897927258508E-3</v>
      </c>
      <c r="AC276" s="6">
        <f t="shared" si="9"/>
        <v>2.5436726143717508E-3</v>
      </c>
      <c r="AD276" s="6">
        <f t="shared" si="9"/>
        <v>3.0946464874632936E-3</v>
      </c>
      <c r="AE276" s="6">
        <f t="shared" si="9"/>
        <v>6.7591063200904107E-3</v>
      </c>
      <c r="AF276" s="6">
        <f t="shared" si="9"/>
        <v>4.3274272782469498E-3</v>
      </c>
      <c r="AG276" s="6">
        <f t="shared" si="9"/>
        <v>3.6095810382240031E-3</v>
      </c>
      <c r="AH276" s="6">
        <f t="shared" si="9"/>
        <v>1.0747058337237179E-2</v>
      </c>
      <c r="AI276" s="6">
        <f t="shared" si="9"/>
        <v>2.2166814673133411E-3</v>
      </c>
      <c r="AJ276" s="6">
        <f t="shared" si="9"/>
        <v>4.1334066475796826E-3</v>
      </c>
      <c r="AK276" s="6">
        <f t="shared" si="9"/>
        <v>2.6281799292413094E-3</v>
      </c>
      <c r="AL276" s="6">
        <f t="shared" si="9"/>
        <v>7.9772079772079778E-3</v>
      </c>
      <c r="AM276" s="6">
        <f t="shared" si="9"/>
        <v>4.402921575457853E-3</v>
      </c>
      <c r="AN276" s="6">
        <f t="shared" si="9"/>
        <v>3.247993886129156E-3</v>
      </c>
      <c r="AO276" s="6">
        <f t="shared" si="9"/>
        <v>2.7572081298251139E-3</v>
      </c>
      <c r="AP276" s="6">
        <f t="shared" si="9"/>
        <v>7.1659731853906602E-3</v>
      </c>
      <c r="AQ276" s="6">
        <f t="shared" si="9"/>
        <v>2.0174848688634833E-3</v>
      </c>
      <c r="AR276" s="6">
        <f t="shared" si="9"/>
        <v>4.0793201133144472E-3</v>
      </c>
    </row>
    <row r="277" spans="24:45" x14ac:dyDescent="0.3">
      <c r="X277" s="1" t="s">
        <v>67</v>
      </c>
      <c r="Y277" s="6">
        <f t="shared" ref="Y277:AN283" si="10">Y164/(Y136+Y164+Y192+Y108)</f>
        <v>7.2629651211187883E-3</v>
      </c>
      <c r="Z277" s="6">
        <f t="shared" si="10"/>
        <v>8.2839819514946428E-3</v>
      </c>
      <c r="AA277" s="6">
        <f t="shared" si="10"/>
        <v>4.7432955341968567E-3</v>
      </c>
      <c r="AB277" s="6">
        <f t="shared" si="10"/>
        <v>5.778006198507997E-3</v>
      </c>
      <c r="AC277" s="6">
        <f t="shared" si="10"/>
        <v>4.7732315895340121E-3</v>
      </c>
      <c r="AD277" s="6">
        <f t="shared" si="10"/>
        <v>8.6195888136891829E-3</v>
      </c>
      <c r="AE277" s="6">
        <f t="shared" si="10"/>
        <v>4.9038838760298159E-3</v>
      </c>
      <c r="AF277" s="6">
        <f t="shared" si="10"/>
        <v>1.0781630852511478E-2</v>
      </c>
      <c r="AG277" s="6">
        <f t="shared" si="10"/>
        <v>4.7765660518516396E-3</v>
      </c>
      <c r="AH277" s="6">
        <f t="shared" si="10"/>
        <v>1.0434333155658931E-2</v>
      </c>
      <c r="AI277" s="6">
        <f t="shared" si="10"/>
        <v>3.8831084781201773E-3</v>
      </c>
      <c r="AJ277" s="6">
        <f t="shared" si="10"/>
        <v>7.7840291541461546E-3</v>
      </c>
      <c r="AK277" s="6">
        <f t="shared" si="10"/>
        <v>4.9980447746602796E-3</v>
      </c>
      <c r="AL277" s="6">
        <f t="shared" si="10"/>
        <v>6.8088904243680552E-3</v>
      </c>
      <c r="AM277" s="6">
        <f t="shared" si="10"/>
        <v>5.4125479633064816E-3</v>
      </c>
      <c r="AN277" s="6">
        <f t="shared" si="10"/>
        <v>5.5859680482627638E-3</v>
      </c>
      <c r="AO277" s="6">
        <f t="shared" si="9"/>
        <v>4.4270631663181808E-3</v>
      </c>
      <c r="AP277" s="6">
        <f t="shared" si="9"/>
        <v>8.0721659071886914E-3</v>
      </c>
      <c r="AQ277" s="6">
        <f t="shared" si="9"/>
        <v>4.4287076724071782E-3</v>
      </c>
      <c r="AR277" s="6">
        <f t="shared" si="9"/>
        <v>8.1488802282432358E-3</v>
      </c>
    </row>
    <row r="278" spans="24:45" x14ac:dyDescent="0.3">
      <c r="X278" s="1" t="s">
        <v>68</v>
      </c>
      <c r="Y278" s="6">
        <f t="shared" si="10"/>
        <v>5.1267129456429861E-3</v>
      </c>
      <c r="Z278" s="6">
        <f t="shared" si="9"/>
        <v>7.4503251898434654E-3</v>
      </c>
      <c r="AA278" s="6">
        <f t="shared" si="9"/>
        <v>3.9334510928714381E-3</v>
      </c>
      <c r="AB278" s="6">
        <f t="shared" si="9"/>
        <v>4.6732865773210196E-3</v>
      </c>
      <c r="AC278" s="6">
        <f t="shared" si="9"/>
        <v>4.7555223342010981E-3</v>
      </c>
      <c r="AD278" s="6">
        <f t="shared" si="9"/>
        <v>8.8696650844208684E-3</v>
      </c>
      <c r="AE278" s="6">
        <f t="shared" si="9"/>
        <v>6.6147554648961944E-3</v>
      </c>
      <c r="AF278" s="6">
        <f t="shared" si="9"/>
        <v>1.0552703647480986E-2</v>
      </c>
      <c r="AG278" s="6">
        <f t="shared" si="9"/>
        <v>6.7096898702482732E-3</v>
      </c>
      <c r="AH278" s="6">
        <f t="shared" si="9"/>
        <v>9.6212346307851214E-3</v>
      </c>
      <c r="AI278" s="6">
        <f t="shared" si="9"/>
        <v>6.2664338393647106E-3</v>
      </c>
      <c r="AJ278" s="6">
        <f t="shared" si="9"/>
        <v>8.819847501991579E-3</v>
      </c>
      <c r="AK278" s="6">
        <f t="shared" si="9"/>
        <v>7.6244833233245959E-3</v>
      </c>
      <c r="AL278" s="6">
        <f t="shared" si="9"/>
        <v>8.8649021592595786E-3</v>
      </c>
      <c r="AM278" s="6">
        <f t="shared" si="9"/>
        <v>7.6927870600535927E-3</v>
      </c>
      <c r="AN278" s="6">
        <f t="shared" si="9"/>
        <v>7.6623123415870548E-3</v>
      </c>
      <c r="AO278" s="6">
        <f t="shared" si="9"/>
        <v>5.7539013194552362E-3</v>
      </c>
      <c r="AP278" s="6">
        <f t="shared" si="9"/>
        <v>9.3995394697998468E-3</v>
      </c>
      <c r="AQ278" s="6">
        <f t="shared" si="9"/>
        <v>7.3317223095511821E-3</v>
      </c>
      <c r="AR278" s="6">
        <f t="shared" si="9"/>
        <v>7.8432650932324949E-3</v>
      </c>
    </row>
    <row r="279" spans="24:45" x14ac:dyDescent="0.3">
      <c r="X279" s="1" t="s">
        <v>69</v>
      </c>
      <c r="Y279" s="6">
        <f t="shared" si="10"/>
        <v>6.4258993811837925E-3</v>
      </c>
      <c r="Z279" s="6">
        <f t="shared" si="9"/>
        <v>7.5269224935537692E-3</v>
      </c>
      <c r="AA279" s="6">
        <f t="shared" si="9"/>
        <v>4.9900984905116002E-3</v>
      </c>
      <c r="AB279" s="6">
        <f t="shared" si="9"/>
        <v>5.3000122847966869E-3</v>
      </c>
      <c r="AC279" s="6">
        <f t="shared" si="9"/>
        <v>5.63856780377784E-3</v>
      </c>
      <c r="AD279" s="6">
        <f t="shared" si="9"/>
        <v>6.6719174114262285E-3</v>
      </c>
      <c r="AE279" s="6">
        <f t="shared" si="9"/>
        <v>1.0423364339091546E-2</v>
      </c>
      <c r="AF279" s="6">
        <f t="shared" si="9"/>
        <v>9.022615126225474E-3</v>
      </c>
      <c r="AG279" s="6">
        <f t="shared" si="9"/>
        <v>1.1185715558988681E-2</v>
      </c>
      <c r="AH279" s="6">
        <f t="shared" si="9"/>
        <v>8.9033204147899864E-3</v>
      </c>
      <c r="AI279" s="6">
        <f t="shared" si="9"/>
        <v>1.0305133207249333E-2</v>
      </c>
      <c r="AJ279" s="6">
        <f t="shared" si="9"/>
        <v>7.8660436137071646E-3</v>
      </c>
      <c r="AK279" s="6">
        <f t="shared" si="9"/>
        <v>1.143957413070563E-2</v>
      </c>
      <c r="AL279" s="6">
        <f t="shared" si="9"/>
        <v>8.0550943860296376E-3</v>
      </c>
      <c r="AM279" s="6">
        <f t="shared" si="9"/>
        <v>1.1923438970818951E-2</v>
      </c>
      <c r="AN279" s="6">
        <f t="shared" si="9"/>
        <v>1.0530050150774836E-2</v>
      </c>
      <c r="AO279" s="6">
        <f t="shared" si="9"/>
        <v>1.0934552546599738E-2</v>
      </c>
      <c r="AP279" s="6">
        <f t="shared" si="9"/>
        <v>8.5886402753872632E-3</v>
      </c>
      <c r="AQ279" s="6">
        <f t="shared" si="9"/>
        <v>9.9207728125651536E-3</v>
      </c>
      <c r="AR279" s="6">
        <f t="shared" si="9"/>
        <v>9.8988241728192507E-3</v>
      </c>
    </row>
    <row r="280" spans="24:45" x14ac:dyDescent="0.3">
      <c r="X280" s="1" t="s">
        <v>70</v>
      </c>
      <c r="Y280" s="6">
        <f t="shared" si="10"/>
        <v>5.0503831533216682E-3</v>
      </c>
      <c r="Z280" s="6">
        <f t="shared" si="9"/>
        <v>5.1808794150316152E-3</v>
      </c>
      <c r="AA280" s="6">
        <f t="shared" si="9"/>
        <v>3.5493664003383224E-3</v>
      </c>
      <c r="AB280" s="6">
        <f t="shared" si="9"/>
        <v>2.5889500115951506E-3</v>
      </c>
      <c r="AC280" s="6">
        <f t="shared" si="9"/>
        <v>4.5459043441558574E-3</v>
      </c>
      <c r="AD280" s="6">
        <f t="shared" si="9"/>
        <v>5.9584194546463921E-3</v>
      </c>
      <c r="AE280" s="6">
        <f t="shared" si="9"/>
        <v>7.54310092237732E-3</v>
      </c>
      <c r="AF280" s="6">
        <f t="shared" si="9"/>
        <v>7.1091496150245499E-3</v>
      </c>
      <c r="AG280" s="6">
        <f t="shared" si="9"/>
        <v>7.3782587309394985E-3</v>
      </c>
      <c r="AH280" s="6">
        <f t="shared" si="9"/>
        <v>7.0182925422712277E-3</v>
      </c>
      <c r="AI280" s="6">
        <f t="shared" si="9"/>
        <v>6.0692457606448614E-3</v>
      </c>
      <c r="AJ280" s="6">
        <f t="shared" si="9"/>
        <v>5.715293287880569E-3</v>
      </c>
      <c r="AK280" s="6">
        <f t="shared" si="9"/>
        <v>6.8993760564262019E-3</v>
      </c>
      <c r="AL280" s="6">
        <f t="shared" si="9"/>
        <v>6.3221312969483009E-3</v>
      </c>
      <c r="AM280" s="6">
        <f t="shared" si="9"/>
        <v>7.4886618375026651E-3</v>
      </c>
      <c r="AN280" s="6">
        <f t="shared" si="9"/>
        <v>7.1435775036138094E-3</v>
      </c>
      <c r="AO280" s="6">
        <f t="shared" si="9"/>
        <v>8.1600662412813392E-3</v>
      </c>
      <c r="AP280" s="6">
        <f t="shared" si="9"/>
        <v>6.4335134559271772E-3</v>
      </c>
      <c r="AQ280" s="6">
        <f t="shared" si="9"/>
        <v>7.155958723781242E-3</v>
      </c>
      <c r="AR280" s="6">
        <f t="shared" si="9"/>
        <v>5.9906811626358998E-3</v>
      </c>
    </row>
    <row r="281" spans="24:45" x14ac:dyDescent="0.3">
      <c r="X281" s="1" t="s">
        <v>71</v>
      </c>
      <c r="Y281" s="6">
        <f t="shared" si="10"/>
        <v>3.6006871035940803E-3</v>
      </c>
      <c r="Z281" s="6">
        <f t="shared" si="9"/>
        <v>1.326149155232546E-3</v>
      </c>
      <c r="AA281" s="6">
        <f t="shared" si="9"/>
        <v>2.5737580321978852E-3</v>
      </c>
      <c r="AB281" s="6">
        <f t="shared" si="9"/>
        <v>8.6408741219756941E-4</v>
      </c>
      <c r="AC281" s="6">
        <f t="shared" si="9"/>
        <v>3.1573555467851234E-3</v>
      </c>
      <c r="AD281" s="6">
        <f t="shared" si="9"/>
        <v>2.0754730966799839E-3</v>
      </c>
      <c r="AE281" s="6">
        <f t="shared" si="9"/>
        <v>3.1810975297908248E-3</v>
      </c>
      <c r="AF281" s="6">
        <f t="shared" si="9"/>
        <v>2.5415128737056696E-3</v>
      </c>
      <c r="AG281" s="6">
        <f t="shared" si="9"/>
        <v>3.0232583521604835E-3</v>
      </c>
      <c r="AH281" s="6">
        <f t="shared" si="9"/>
        <v>2.8209125449625114E-3</v>
      </c>
      <c r="AI281" s="6">
        <f t="shared" si="9"/>
        <v>3.3607130556396318E-3</v>
      </c>
      <c r="AJ281" s="6">
        <f t="shared" si="9"/>
        <v>2.3973432720460603E-3</v>
      </c>
      <c r="AK281" s="6">
        <f t="shared" si="9"/>
        <v>3.8229102296888254E-3</v>
      </c>
      <c r="AL281" s="6">
        <f t="shared" si="9"/>
        <v>2.2603697374553363E-3</v>
      </c>
      <c r="AM281" s="6">
        <f t="shared" si="9"/>
        <v>3.7877166702332547E-3</v>
      </c>
      <c r="AN281" s="6">
        <f t="shared" si="9"/>
        <v>3.0155602911020865E-3</v>
      </c>
      <c r="AO281" s="6">
        <f t="shared" si="9"/>
        <v>4.5679308415270585E-3</v>
      </c>
      <c r="AP281" s="6">
        <f t="shared" si="9"/>
        <v>1.7382821160924129E-3</v>
      </c>
      <c r="AQ281" s="6">
        <f t="shared" si="9"/>
        <v>3.9700374531835211E-3</v>
      </c>
      <c r="AR281" s="6">
        <f t="shared" si="9"/>
        <v>2.9585434104609167E-3</v>
      </c>
    </row>
    <row r="282" spans="24:45" x14ac:dyDescent="0.3">
      <c r="X282" s="1" t="s">
        <v>72</v>
      </c>
      <c r="Y282" s="6">
        <f t="shared" si="10"/>
        <v>1.9604239416773877E-3</v>
      </c>
      <c r="Z282" s="6">
        <f t="shared" si="9"/>
        <v>1.9512454879825338E-3</v>
      </c>
      <c r="AA282" s="6">
        <f t="shared" si="9"/>
        <v>1.3170965557801511E-3</v>
      </c>
      <c r="AB282" s="6">
        <f t="shared" si="9"/>
        <v>1.3568033353999873E-3</v>
      </c>
      <c r="AC282" s="6">
        <f t="shared" si="9"/>
        <v>2.2384054115501721E-3</v>
      </c>
      <c r="AD282" s="6">
        <f t="shared" si="9"/>
        <v>2.1349049147696784E-3</v>
      </c>
      <c r="AE282" s="6">
        <f t="shared" si="9"/>
        <v>2.5477418657116196E-3</v>
      </c>
      <c r="AF282" s="6">
        <f t="shared" si="9"/>
        <v>2.2743123449025307E-3</v>
      </c>
      <c r="AG282" s="6">
        <f t="shared" si="9"/>
        <v>2.633394779211515E-3</v>
      </c>
      <c r="AH282" s="6">
        <f t="shared" si="9"/>
        <v>2.0980188603910012E-3</v>
      </c>
      <c r="AI282" s="6">
        <f t="shared" si="9"/>
        <v>2.2122213072161565E-3</v>
      </c>
      <c r="AJ282" s="6">
        <f t="shared" si="9"/>
        <v>1.9963253735701555E-3</v>
      </c>
      <c r="AK282" s="6">
        <f t="shared" si="9"/>
        <v>2.1501550041615903E-3</v>
      </c>
      <c r="AL282" s="6">
        <f t="shared" si="9"/>
        <v>2.1631995568078956E-3</v>
      </c>
      <c r="AM282" s="6">
        <f t="shared" si="9"/>
        <v>2.6504769213901982E-3</v>
      </c>
      <c r="AN282" s="6">
        <f t="shared" si="9"/>
        <v>2.4301921019901922E-3</v>
      </c>
      <c r="AO282" s="6">
        <f t="shared" si="9"/>
        <v>2.7561422863067323E-3</v>
      </c>
      <c r="AP282" s="6">
        <f t="shared" si="9"/>
        <v>1.8766233314068057E-3</v>
      </c>
      <c r="AQ282" s="6">
        <f t="shared" si="9"/>
        <v>2.3946756930554405E-3</v>
      </c>
      <c r="AR282" s="6">
        <f t="shared" si="9"/>
        <v>1.8210995822877415E-3</v>
      </c>
    </row>
    <row r="283" spans="24:45" x14ac:dyDescent="0.3">
      <c r="X283" s="1" t="s">
        <v>73</v>
      </c>
      <c r="Y283" s="6">
        <f t="shared" si="10"/>
        <v>8.066437125100153E-4</v>
      </c>
      <c r="Z283" s="6">
        <f t="shared" si="9"/>
        <v>1.1087136363248703E-3</v>
      </c>
      <c r="AA283" s="6">
        <f t="shared" si="9"/>
        <v>4.7406510830370424E-4</v>
      </c>
      <c r="AB283" s="6">
        <f t="shared" si="9"/>
        <v>6.0353471750298202E-4</v>
      </c>
      <c r="AC283" s="6">
        <f t="shared" si="9"/>
        <v>1.5219887319430723E-3</v>
      </c>
      <c r="AD283" s="6">
        <f t="shared" si="9"/>
        <v>5.8538024364724163E-4</v>
      </c>
      <c r="AE283" s="6">
        <f t="shared" si="9"/>
        <v>1.8850057966140696E-3</v>
      </c>
      <c r="AF283" s="6">
        <f t="shared" si="9"/>
        <v>6.662511551935353E-4</v>
      </c>
      <c r="AG283" s="6">
        <f t="shared" si="9"/>
        <v>1.1846075062161045E-3</v>
      </c>
      <c r="AH283" s="6">
        <f t="shared" si="9"/>
        <v>1.1443113991724341E-3</v>
      </c>
      <c r="AI283" s="6">
        <f t="shared" si="9"/>
        <v>1.4077955146410733E-3</v>
      </c>
      <c r="AJ283" s="6">
        <f t="shared" si="9"/>
        <v>7.5966449640946807E-4</v>
      </c>
      <c r="AK283" s="6">
        <f t="shared" si="9"/>
        <v>1.4423404294831718E-3</v>
      </c>
      <c r="AL283" s="6">
        <f t="shared" si="9"/>
        <v>5.8054144172753244E-4</v>
      </c>
      <c r="AM283" s="6">
        <f t="shared" si="9"/>
        <v>8.6890819795995458E-4</v>
      </c>
      <c r="AN283" s="6">
        <f t="shared" si="9"/>
        <v>3.8206674228404274E-4</v>
      </c>
      <c r="AO283" s="6">
        <f t="shared" si="9"/>
        <v>4.7214972392356416E-4</v>
      </c>
      <c r="AP283" s="6">
        <f t="shared" si="9"/>
        <v>4.570354071859024E-4</v>
      </c>
      <c r="AQ283" s="6">
        <f t="shared" si="9"/>
        <v>8.7471553213097012E-4</v>
      </c>
      <c r="AR283" s="6">
        <f t="shared" si="9"/>
        <v>1.0749727979444423E-3</v>
      </c>
    </row>
    <row r="284" spans="24:45" x14ac:dyDescent="0.3">
      <c r="AS284" s="7">
        <f>AVERAGE(Y276:AR283)</f>
        <v>4.8487408251268087E-3</v>
      </c>
    </row>
    <row r="286" spans="24:45" x14ac:dyDescent="0.3">
      <c r="X286" s="5" t="s">
        <v>76</v>
      </c>
    </row>
    <row r="287" spans="24:45" x14ac:dyDescent="0.3">
      <c r="X287" s="1" t="s">
        <v>6</v>
      </c>
      <c r="Y287" s="1" t="s">
        <v>63</v>
      </c>
      <c r="Z287" s="1" t="s">
        <v>64</v>
      </c>
      <c r="AA287" s="1" t="s">
        <v>63</v>
      </c>
      <c r="AB287" s="1" t="s">
        <v>64</v>
      </c>
      <c r="AC287" s="1" t="s">
        <v>63</v>
      </c>
      <c r="AD287" s="1" t="s">
        <v>64</v>
      </c>
      <c r="AE287" s="1" t="s">
        <v>63</v>
      </c>
      <c r="AF287" s="1" t="s">
        <v>64</v>
      </c>
      <c r="AG287" s="1" t="s">
        <v>63</v>
      </c>
      <c r="AH287" s="1" t="s">
        <v>64</v>
      </c>
      <c r="AI287" s="1" t="s">
        <v>63</v>
      </c>
      <c r="AJ287" s="1" t="s">
        <v>64</v>
      </c>
      <c r="AK287" s="1" t="s">
        <v>63</v>
      </c>
      <c r="AL287" s="1" t="s">
        <v>64</v>
      </c>
      <c r="AM287" s="1" t="s">
        <v>63</v>
      </c>
      <c r="AN287" s="1" t="s">
        <v>64</v>
      </c>
      <c r="AO287" s="1" t="s">
        <v>63</v>
      </c>
      <c r="AP287" s="1" t="s">
        <v>64</v>
      </c>
      <c r="AQ287" s="1" t="s">
        <v>63</v>
      </c>
      <c r="AR287" s="1" t="s">
        <v>64</v>
      </c>
    </row>
    <row r="288" spans="24:45" x14ac:dyDescent="0.3">
      <c r="X288" s="1" t="s">
        <v>65</v>
      </c>
      <c r="Y288" s="1" t="s">
        <v>53</v>
      </c>
      <c r="Z288" s="1" t="s">
        <v>53</v>
      </c>
      <c r="AA288" s="1" t="s">
        <v>54</v>
      </c>
      <c r="AB288" s="1" t="s">
        <v>54</v>
      </c>
      <c r="AC288" s="1" t="s">
        <v>55</v>
      </c>
      <c r="AD288" s="1" t="s">
        <v>55</v>
      </c>
      <c r="AE288" s="1" t="s">
        <v>56</v>
      </c>
      <c r="AF288" s="1" t="s">
        <v>56</v>
      </c>
      <c r="AG288" s="1" t="s">
        <v>57</v>
      </c>
      <c r="AH288" s="1" t="s">
        <v>57</v>
      </c>
      <c r="AI288" s="1" t="s">
        <v>58</v>
      </c>
      <c r="AJ288" s="1" t="s">
        <v>58</v>
      </c>
      <c r="AK288" s="1" t="s">
        <v>59</v>
      </c>
      <c r="AL288" s="1" t="s">
        <v>59</v>
      </c>
      <c r="AM288" s="1" t="s">
        <v>60</v>
      </c>
      <c r="AN288" s="1" t="s">
        <v>60</v>
      </c>
      <c r="AO288" s="1" t="s">
        <v>61</v>
      </c>
      <c r="AP288" s="1" t="s">
        <v>61</v>
      </c>
      <c r="AQ288" s="1" t="s">
        <v>62</v>
      </c>
      <c r="AR288" s="1" t="s">
        <v>62</v>
      </c>
    </row>
    <row r="289" spans="24:45" x14ac:dyDescent="0.3">
      <c r="X289" s="1" t="s">
        <v>7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1" t="s">
        <v>66</v>
      </c>
      <c r="Y290" s="6">
        <f>Y191/(Y135+Y163+Y191+Y107)</f>
        <v>8.772120956265364E-2</v>
      </c>
      <c r="Z290" s="6">
        <f t="shared" ref="Z290:AR297" si="11">Z191/(Z135+Z163+Z191+Z107)</f>
        <v>8.703068588796091E-2</v>
      </c>
      <c r="AA290" s="6">
        <f t="shared" si="11"/>
        <v>2.1063516346535211E-2</v>
      </c>
      <c r="AB290" s="6">
        <f t="shared" si="11"/>
        <v>2.3746578021118497E-2</v>
      </c>
      <c r="AC290" s="6">
        <f t="shared" si="11"/>
        <v>4.2718737141360867E-2</v>
      </c>
      <c r="AD290" s="6">
        <f t="shared" si="11"/>
        <v>4.728936074090806E-2</v>
      </c>
      <c r="AE290" s="6">
        <f t="shared" si="11"/>
        <v>8.9884160653742509E-2</v>
      </c>
      <c r="AF290" s="6">
        <f t="shared" si="11"/>
        <v>0.11265662085334216</v>
      </c>
      <c r="AG290" s="6">
        <f t="shared" si="11"/>
        <v>7.1621320870194183E-2</v>
      </c>
      <c r="AH290" s="6">
        <f t="shared" si="11"/>
        <v>0.1235222794786299</v>
      </c>
      <c r="AI290" s="6">
        <f t="shared" si="11"/>
        <v>7.7863925131498049E-2</v>
      </c>
      <c r="AJ290" s="6">
        <f t="shared" si="11"/>
        <v>0.1105591475322804</v>
      </c>
      <c r="AK290" s="6">
        <f t="shared" si="11"/>
        <v>8.1222740120926215E-2</v>
      </c>
      <c r="AL290" s="6">
        <f t="shared" si="11"/>
        <v>0.15718355718355717</v>
      </c>
      <c r="AM290" s="6">
        <f t="shared" si="11"/>
        <v>0.14921963782971945</v>
      </c>
      <c r="AN290" s="6">
        <f t="shared" si="11"/>
        <v>0.14741221925020168</v>
      </c>
      <c r="AO290" s="6">
        <f t="shared" si="11"/>
        <v>0.12895856310067749</v>
      </c>
      <c r="AP290" s="6">
        <f t="shared" si="11"/>
        <v>0.19833564493758665</v>
      </c>
      <c r="AQ290" s="6">
        <f t="shared" si="11"/>
        <v>0.15342492074166586</v>
      </c>
      <c r="AR290" s="6">
        <f t="shared" si="11"/>
        <v>0.22696883852691219</v>
      </c>
    </row>
    <row r="291" spans="24:45" x14ac:dyDescent="0.3">
      <c r="X291" s="1" t="s">
        <v>67</v>
      </c>
      <c r="Y291" s="6">
        <f t="shared" ref="Y291:AN297" si="12">Y192/(Y136+Y164+Y192+Y108)</f>
        <v>1.5524848081245319E-2</v>
      </c>
      <c r="Z291" s="6">
        <f t="shared" si="12"/>
        <v>2.7407642413987597E-2</v>
      </c>
      <c r="AA291" s="6">
        <f t="shared" si="12"/>
        <v>7.7966720116758037E-3</v>
      </c>
      <c r="AB291" s="6">
        <f t="shared" si="12"/>
        <v>1.5340528586335247E-2</v>
      </c>
      <c r="AC291" s="6">
        <f t="shared" si="12"/>
        <v>1.6235372998515352E-2</v>
      </c>
      <c r="AD291" s="6">
        <f t="shared" si="12"/>
        <v>1.5642957476695186E-2</v>
      </c>
      <c r="AE291" s="6">
        <f t="shared" si="12"/>
        <v>1.0262491529655124E-2</v>
      </c>
      <c r="AF291" s="6">
        <f t="shared" si="12"/>
        <v>2.1996919534042144E-2</v>
      </c>
      <c r="AG291" s="6">
        <f t="shared" si="12"/>
        <v>1.1270010262902964E-2</v>
      </c>
      <c r="AH291" s="6">
        <f t="shared" si="12"/>
        <v>2.0755600781767379E-2</v>
      </c>
      <c r="AI291" s="6">
        <f t="shared" si="12"/>
        <v>1.1430278289440932E-2</v>
      </c>
      <c r="AJ291" s="6">
        <f t="shared" si="12"/>
        <v>2.2425036762355348E-2</v>
      </c>
      <c r="AK291" s="6">
        <f t="shared" si="12"/>
        <v>1.5715123668002737E-2</v>
      </c>
      <c r="AL291" s="6">
        <f t="shared" si="12"/>
        <v>2.0038003109345313E-2</v>
      </c>
      <c r="AM291" s="6">
        <f t="shared" si="12"/>
        <v>1.7050796635580512E-2</v>
      </c>
      <c r="AN291" s="6">
        <f t="shared" si="12"/>
        <v>1.9062115964696681E-2</v>
      </c>
      <c r="AO291" s="6">
        <f t="shared" si="11"/>
        <v>1.6869304834920881E-2</v>
      </c>
      <c r="AP291" s="6">
        <f t="shared" si="11"/>
        <v>2.6578629219752625E-2</v>
      </c>
      <c r="AQ291" s="6">
        <f t="shared" si="11"/>
        <v>2.0828080637558512E-2</v>
      </c>
      <c r="AR291" s="6">
        <f t="shared" si="11"/>
        <v>3.0973203796595E-2</v>
      </c>
    </row>
    <row r="292" spans="24:45" x14ac:dyDescent="0.3">
      <c r="X292" s="1" t="s">
        <v>68</v>
      </c>
      <c r="Y292" s="6">
        <f t="shared" si="12"/>
        <v>2.8901596802831369E-2</v>
      </c>
      <c r="Z292" s="6">
        <f t="shared" si="11"/>
        <v>3.2841664455710365E-2</v>
      </c>
      <c r="AA292" s="6">
        <f t="shared" si="11"/>
        <v>1.1950602634757296E-2</v>
      </c>
      <c r="AB292" s="6">
        <f t="shared" si="11"/>
        <v>1.5582251232553296E-2</v>
      </c>
      <c r="AC292" s="6">
        <f t="shared" si="11"/>
        <v>3.6759101403274923E-2</v>
      </c>
      <c r="AD292" s="6">
        <f t="shared" si="11"/>
        <v>2.5648493561540271E-2</v>
      </c>
      <c r="AE292" s="6">
        <f t="shared" si="11"/>
        <v>2.2411223018760605E-2</v>
      </c>
      <c r="AF292" s="6">
        <f t="shared" si="11"/>
        <v>2.9495038452476134E-2</v>
      </c>
      <c r="AG292" s="6">
        <f t="shared" si="11"/>
        <v>2.6708991117521889E-2</v>
      </c>
      <c r="AH292" s="6">
        <f t="shared" si="11"/>
        <v>3.0934155854568438E-2</v>
      </c>
      <c r="AI292" s="6">
        <f t="shared" si="11"/>
        <v>2.732973726071319E-2</v>
      </c>
      <c r="AJ292" s="6">
        <f t="shared" si="11"/>
        <v>3.3027009597511474E-2</v>
      </c>
      <c r="AK292" s="6">
        <f t="shared" si="11"/>
        <v>3.3948856745693874E-2</v>
      </c>
      <c r="AL292" s="6">
        <f t="shared" si="11"/>
        <v>3.4533628073551904E-2</v>
      </c>
      <c r="AM292" s="6">
        <f t="shared" si="11"/>
        <v>3.4359615291404993E-2</v>
      </c>
      <c r="AN292" s="6">
        <f t="shared" si="11"/>
        <v>3.0132579450185222E-2</v>
      </c>
      <c r="AO292" s="6">
        <f t="shared" si="11"/>
        <v>2.8382880816917529E-2</v>
      </c>
      <c r="AP292" s="6">
        <f t="shared" si="11"/>
        <v>3.8784908779594965E-2</v>
      </c>
      <c r="AQ292" s="6">
        <f t="shared" si="11"/>
        <v>3.3315346174600566E-2</v>
      </c>
      <c r="AR292" s="6">
        <f t="shared" si="11"/>
        <v>3.7547268222714827E-2</v>
      </c>
    </row>
    <row r="293" spans="24:45" x14ac:dyDescent="0.3">
      <c r="X293" s="1" t="s">
        <v>69</v>
      </c>
      <c r="Y293" s="6">
        <f t="shared" si="12"/>
        <v>4.247806174177534E-2</v>
      </c>
      <c r="Z293" s="6">
        <f t="shared" si="11"/>
        <v>4.5370089488851809E-2</v>
      </c>
      <c r="AA293" s="6">
        <f t="shared" si="11"/>
        <v>1.6944040078162911E-2</v>
      </c>
      <c r="AB293" s="6">
        <f t="shared" si="11"/>
        <v>2.1200049139186748E-2</v>
      </c>
      <c r="AC293" s="6">
        <f t="shared" si="11"/>
        <v>4.0710459543276005E-2</v>
      </c>
      <c r="AD293" s="6">
        <f t="shared" si="11"/>
        <v>3.3528825937811223E-2</v>
      </c>
      <c r="AE293" s="6">
        <f t="shared" si="11"/>
        <v>3.1927357937902752E-2</v>
      </c>
      <c r="AF293" s="6">
        <f t="shared" si="11"/>
        <v>3.5869126511906463E-2</v>
      </c>
      <c r="AG293" s="6">
        <f t="shared" si="11"/>
        <v>3.3824534299890067E-2</v>
      </c>
      <c r="AH293" s="6">
        <f t="shared" si="11"/>
        <v>3.6555986173667121E-2</v>
      </c>
      <c r="AI293" s="6">
        <f t="shared" si="11"/>
        <v>3.4176706229244541E-2</v>
      </c>
      <c r="AJ293" s="6">
        <f t="shared" si="11"/>
        <v>4.0342679127725857E-2</v>
      </c>
      <c r="AK293" s="6">
        <f t="shared" si="11"/>
        <v>3.7527843847925402E-2</v>
      </c>
      <c r="AL293" s="6">
        <f t="shared" si="11"/>
        <v>4.0921109266433012E-2</v>
      </c>
      <c r="AM293" s="6">
        <f t="shared" si="11"/>
        <v>3.5175226945673696E-2</v>
      </c>
      <c r="AN293" s="6">
        <f t="shared" si="11"/>
        <v>3.8830567784174277E-2</v>
      </c>
      <c r="AO293" s="6">
        <f t="shared" si="11"/>
        <v>3.4785944943568764E-2</v>
      </c>
      <c r="AP293" s="6">
        <f t="shared" si="11"/>
        <v>4.8055077452667815E-2</v>
      </c>
      <c r="AQ293" s="6">
        <f t="shared" si="11"/>
        <v>4.3401209257071367E-2</v>
      </c>
      <c r="AR293" s="6">
        <f t="shared" si="11"/>
        <v>4.6704949412086416E-2</v>
      </c>
    </row>
    <row r="294" spans="24:45" x14ac:dyDescent="0.3">
      <c r="X294" s="1" t="s">
        <v>70</v>
      </c>
      <c r="Y294" s="6">
        <f t="shared" si="12"/>
        <v>3.6776684969528753E-2</v>
      </c>
      <c r="Z294" s="6">
        <f t="shared" si="11"/>
        <v>3.4152592598407271E-2</v>
      </c>
      <c r="AA294" s="6">
        <f t="shared" si="11"/>
        <v>1.396335845579906E-2</v>
      </c>
      <c r="AB294" s="6">
        <f t="shared" si="11"/>
        <v>1.2636813272455626E-2</v>
      </c>
      <c r="AC294" s="6">
        <f t="shared" si="11"/>
        <v>3.0829753761831769E-2</v>
      </c>
      <c r="AD294" s="6">
        <f t="shared" si="11"/>
        <v>2.6542543476570483E-2</v>
      </c>
      <c r="AE294" s="6">
        <f t="shared" si="11"/>
        <v>2.3358297293812925E-2</v>
      </c>
      <c r="AF294" s="6">
        <f t="shared" si="11"/>
        <v>2.7974245811123209E-2</v>
      </c>
      <c r="AG294" s="6">
        <f t="shared" si="11"/>
        <v>2.5129481207140997E-2</v>
      </c>
      <c r="AH294" s="6">
        <f t="shared" si="11"/>
        <v>2.6469977624506931E-2</v>
      </c>
      <c r="AI294" s="6">
        <f t="shared" si="11"/>
        <v>2.5122367645213164E-2</v>
      </c>
      <c r="AJ294" s="6">
        <f t="shared" si="11"/>
        <v>2.4934759609733161E-2</v>
      </c>
      <c r="AK294" s="6">
        <f t="shared" si="11"/>
        <v>2.7143632228041989E-2</v>
      </c>
      <c r="AL294" s="6">
        <f t="shared" si="11"/>
        <v>2.5454013450118482E-2</v>
      </c>
      <c r="AM294" s="6">
        <f t="shared" si="11"/>
        <v>2.9326510266295548E-2</v>
      </c>
      <c r="AN294" s="6">
        <f t="shared" si="11"/>
        <v>2.7859952264093855E-2</v>
      </c>
      <c r="AO294" s="6">
        <f t="shared" si="11"/>
        <v>3.1809088581911962E-2</v>
      </c>
      <c r="AP294" s="6">
        <f t="shared" si="11"/>
        <v>2.9270414715996187E-2</v>
      </c>
      <c r="AQ294" s="6">
        <f t="shared" si="11"/>
        <v>3.5290044046267295E-2</v>
      </c>
      <c r="AR294" s="6">
        <f t="shared" si="11"/>
        <v>3.3152818523723045E-2</v>
      </c>
    </row>
    <row r="295" spans="24:45" x14ac:dyDescent="0.3">
      <c r="X295" s="1" t="s">
        <v>71</v>
      </c>
      <c r="Y295" s="6">
        <f t="shared" si="12"/>
        <v>2.3630197322057789E-2</v>
      </c>
      <c r="Z295" s="6">
        <f t="shared" si="11"/>
        <v>2.074849111375645E-2</v>
      </c>
      <c r="AA295" s="6">
        <f t="shared" si="11"/>
        <v>9.316197977843799E-3</v>
      </c>
      <c r="AB295" s="6">
        <f t="shared" si="11"/>
        <v>5.5747574980488353E-3</v>
      </c>
      <c r="AC295" s="6">
        <f t="shared" si="11"/>
        <v>2.3041977713772286E-2</v>
      </c>
      <c r="AD295" s="6">
        <f t="shared" si="11"/>
        <v>1.8256750846867145E-2</v>
      </c>
      <c r="AE295" s="6">
        <f t="shared" si="11"/>
        <v>1.3951823249629213E-2</v>
      </c>
      <c r="AF295" s="6">
        <f t="shared" si="11"/>
        <v>1.9945936722615874E-2</v>
      </c>
      <c r="AG295" s="6">
        <f t="shared" si="11"/>
        <v>1.4974405989762397E-2</v>
      </c>
      <c r="AH295" s="6">
        <f t="shared" si="11"/>
        <v>1.7121184513325102E-2</v>
      </c>
      <c r="AI295" s="6">
        <f t="shared" si="11"/>
        <v>1.6333900410173983E-2</v>
      </c>
      <c r="AJ295" s="6">
        <f t="shared" si="11"/>
        <v>1.3873150410364906E-2</v>
      </c>
      <c r="AK295" s="6">
        <f t="shared" si="11"/>
        <v>1.6600856750840515E-2</v>
      </c>
      <c r="AL295" s="6">
        <f t="shared" si="11"/>
        <v>1.2381544197607579E-2</v>
      </c>
      <c r="AM295" s="6">
        <f t="shared" si="11"/>
        <v>1.7355018189599829E-2</v>
      </c>
      <c r="AN295" s="6">
        <f t="shared" si="11"/>
        <v>1.4418398938522776E-2</v>
      </c>
      <c r="AO295" s="6">
        <f t="shared" si="11"/>
        <v>2.0087475875615241E-2</v>
      </c>
      <c r="AP295" s="6">
        <f t="shared" si="11"/>
        <v>1.2567070196443618E-2</v>
      </c>
      <c r="AQ295" s="6">
        <f t="shared" si="11"/>
        <v>2.2996254681647944E-2</v>
      </c>
      <c r="AR295" s="6">
        <f t="shared" si="11"/>
        <v>1.4706426202832806E-2</v>
      </c>
    </row>
    <row r="296" spans="24:45" x14ac:dyDescent="0.3">
      <c r="X296" s="1" t="s">
        <v>72</v>
      </c>
      <c r="Y296" s="6">
        <f t="shared" si="12"/>
        <v>2.2133818696357603E-2</v>
      </c>
      <c r="Z296" s="6">
        <f t="shared" si="11"/>
        <v>2.3742055235842059E-2</v>
      </c>
      <c r="AA296" s="6">
        <f t="shared" si="11"/>
        <v>8.7600512012019436E-3</v>
      </c>
      <c r="AB296" s="6">
        <f t="shared" si="11"/>
        <v>7.7616339146921124E-3</v>
      </c>
      <c r="AC296" s="6">
        <f t="shared" si="11"/>
        <v>2.063083186645509E-2</v>
      </c>
      <c r="AD296" s="6">
        <f t="shared" si="11"/>
        <v>1.9432708538643928E-2</v>
      </c>
      <c r="AE296" s="6">
        <f t="shared" si="11"/>
        <v>1.6078690767516668E-2</v>
      </c>
      <c r="AF296" s="6">
        <f t="shared" si="11"/>
        <v>2.3536069116027774E-2</v>
      </c>
      <c r="AG296" s="6">
        <f t="shared" si="11"/>
        <v>1.615704366435217E-2</v>
      </c>
      <c r="AH296" s="6">
        <f t="shared" si="11"/>
        <v>2.0286172676389665E-2</v>
      </c>
      <c r="AI296" s="6">
        <f t="shared" si="11"/>
        <v>1.6941117840288563E-2</v>
      </c>
      <c r="AJ296" s="6">
        <f t="shared" si="11"/>
        <v>1.8951358180669613E-2</v>
      </c>
      <c r="AK296" s="6">
        <f t="shared" si="11"/>
        <v>1.7599305195353493E-2</v>
      </c>
      <c r="AL296" s="6">
        <f t="shared" si="11"/>
        <v>1.885709857561883E-2</v>
      </c>
      <c r="AM296" s="6">
        <f t="shared" si="11"/>
        <v>2.0027957460804734E-2</v>
      </c>
      <c r="AN296" s="6">
        <f t="shared" si="11"/>
        <v>1.9228522805096761E-2</v>
      </c>
      <c r="AO296" s="6">
        <f t="shared" si="11"/>
        <v>2.2351686707424611E-2</v>
      </c>
      <c r="AP296" s="6">
        <f t="shared" si="11"/>
        <v>1.880105007346336E-2</v>
      </c>
      <c r="AQ296" s="6">
        <f t="shared" si="11"/>
        <v>2.3733721531172206E-2</v>
      </c>
      <c r="AR296" s="6">
        <f t="shared" si="11"/>
        <v>2.1078342681382305E-2</v>
      </c>
    </row>
    <row r="297" spans="24:45" x14ac:dyDescent="0.3">
      <c r="X297" s="1" t="s">
        <v>73</v>
      </c>
      <c r="Y297" s="6">
        <f t="shared" si="12"/>
        <v>2.5628532449814851E-2</v>
      </c>
      <c r="Z297" s="6">
        <f t="shared" si="11"/>
        <v>2.1086880506255706E-2</v>
      </c>
      <c r="AA297" s="6">
        <f t="shared" si="11"/>
        <v>1.0545427036840912E-2</v>
      </c>
      <c r="AB297" s="6">
        <f t="shared" si="11"/>
        <v>1.0664030756509384E-2</v>
      </c>
      <c r="AC297" s="6">
        <f t="shared" si="11"/>
        <v>9.0037649194948069E-2</v>
      </c>
      <c r="AD297" s="6">
        <f t="shared" si="11"/>
        <v>1.7377035579134656E-2</v>
      </c>
      <c r="AE297" s="6">
        <f t="shared" si="11"/>
        <v>3.5549616361496332E-2</v>
      </c>
      <c r="AF297" s="6">
        <f t="shared" si="11"/>
        <v>1.8246684863203595E-2</v>
      </c>
      <c r="AG297" s="6">
        <f t="shared" si="11"/>
        <v>2.7381708919724333E-2</v>
      </c>
      <c r="AH297" s="6">
        <f t="shared" si="11"/>
        <v>1.8020615914167492E-2</v>
      </c>
      <c r="AI297" s="6">
        <f t="shared" si="11"/>
        <v>2.8517040446577224E-2</v>
      </c>
      <c r="AJ297" s="6">
        <f t="shared" si="11"/>
        <v>1.838388081310913E-2</v>
      </c>
      <c r="AK297" s="6">
        <f t="shared" si="11"/>
        <v>2.934203277146023E-2</v>
      </c>
      <c r="AL297" s="6">
        <f t="shared" si="11"/>
        <v>2.088460622419816E-2</v>
      </c>
      <c r="AM297" s="6">
        <f t="shared" si="11"/>
        <v>3.0474751290769424E-2</v>
      </c>
      <c r="AN297" s="6">
        <f t="shared" si="11"/>
        <v>2.6887946988239507E-2</v>
      </c>
      <c r="AO297" s="6">
        <f t="shared" si="11"/>
        <v>3.2775060002360745E-2</v>
      </c>
      <c r="AP297" s="6">
        <f t="shared" si="11"/>
        <v>3.0738895671874693E-2</v>
      </c>
      <c r="AQ297" s="6">
        <f t="shared" si="11"/>
        <v>3.1074639921127346E-2</v>
      </c>
      <c r="AR297" s="6">
        <f t="shared" si="11"/>
        <v>3.6437645023007045E-2</v>
      </c>
    </row>
    <row r="298" spans="24:45" x14ac:dyDescent="0.3">
      <c r="AS298" s="7">
        <f>AVERAGE(Y290:AR297)</f>
        <v>3.5273469753999379E-2</v>
      </c>
    </row>
    <row r="300" spans="24:45" x14ac:dyDescent="0.3">
      <c r="X300" s="5" t="s">
        <v>77</v>
      </c>
    </row>
    <row r="301" spans="24:45" x14ac:dyDescent="0.3">
      <c r="X301" s="1" t="s">
        <v>6</v>
      </c>
      <c r="Y301" s="1" t="s">
        <v>63</v>
      </c>
      <c r="Z301" s="1" t="s">
        <v>64</v>
      </c>
      <c r="AA301" s="1" t="s">
        <v>63</v>
      </c>
      <c r="AB301" s="1" t="s">
        <v>64</v>
      </c>
      <c r="AC301" s="1" t="s">
        <v>63</v>
      </c>
      <c r="AD301" s="1" t="s">
        <v>64</v>
      </c>
      <c r="AE301" s="1" t="s">
        <v>63</v>
      </c>
      <c r="AF301" s="1" t="s">
        <v>64</v>
      </c>
      <c r="AG301" s="1" t="s">
        <v>63</v>
      </c>
      <c r="AH301" s="1" t="s">
        <v>64</v>
      </c>
      <c r="AI301" s="1" t="s">
        <v>63</v>
      </c>
      <c r="AJ301" s="1" t="s">
        <v>64</v>
      </c>
      <c r="AK301" s="1" t="s">
        <v>63</v>
      </c>
      <c r="AL301" s="1" t="s">
        <v>64</v>
      </c>
      <c r="AM301" s="1" t="s">
        <v>63</v>
      </c>
      <c r="AN301" s="1" t="s">
        <v>64</v>
      </c>
      <c r="AO301" s="1" t="s">
        <v>63</v>
      </c>
      <c r="AP301" s="1" t="s">
        <v>64</v>
      </c>
      <c r="AQ301" s="1" t="s">
        <v>63</v>
      </c>
      <c r="AR301" s="1" t="s">
        <v>64</v>
      </c>
    </row>
    <row r="302" spans="24:45" x14ac:dyDescent="0.3">
      <c r="X302" s="1" t="s">
        <v>65</v>
      </c>
      <c r="Y302" s="1" t="s">
        <v>53</v>
      </c>
      <c r="Z302" s="1" t="s">
        <v>53</v>
      </c>
      <c r="AA302" s="1" t="s">
        <v>54</v>
      </c>
      <c r="AB302" s="1" t="s">
        <v>54</v>
      </c>
      <c r="AC302" s="1" t="s">
        <v>55</v>
      </c>
      <c r="AD302" s="1" t="s">
        <v>55</v>
      </c>
      <c r="AE302" s="1" t="s">
        <v>56</v>
      </c>
      <c r="AF302" s="1" t="s">
        <v>56</v>
      </c>
      <c r="AG302" s="1" t="s">
        <v>57</v>
      </c>
      <c r="AH302" s="1" t="s">
        <v>57</v>
      </c>
      <c r="AI302" s="1" t="s">
        <v>58</v>
      </c>
      <c r="AJ302" s="1" t="s">
        <v>58</v>
      </c>
      <c r="AK302" s="1" t="s">
        <v>59</v>
      </c>
      <c r="AL302" s="1" t="s">
        <v>59</v>
      </c>
      <c r="AM302" s="1" t="s">
        <v>60</v>
      </c>
      <c r="AN302" s="1" t="s">
        <v>60</v>
      </c>
      <c r="AO302" s="1" t="s">
        <v>61</v>
      </c>
      <c r="AP302" s="1" t="s">
        <v>61</v>
      </c>
      <c r="AQ302" s="1" t="s">
        <v>62</v>
      </c>
      <c r="AR302" s="1" t="s">
        <v>62</v>
      </c>
    </row>
    <row r="303" spans="24:45" x14ac:dyDescent="0.3">
      <c r="X303" s="1" t="s">
        <v>7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1" t="s">
        <v>66</v>
      </c>
      <c r="Y304" s="6">
        <f>Y107/(Y135+Y163+Y191+Y107)</f>
        <v>0.90198688573704744</v>
      </c>
      <c r="Z304" s="6">
        <f t="shared" ref="Z304:AR311" si="13">Z107/(Z135+Z163+Z191+Z107)</f>
        <v>0.89357696046720902</v>
      </c>
      <c r="AA304" s="6">
        <f t="shared" si="13"/>
        <v>0.96887925661510566</v>
      </c>
      <c r="AB304" s="6">
        <f t="shared" si="13"/>
        <v>0.9652092295658975</v>
      </c>
      <c r="AC304" s="6">
        <f t="shared" si="13"/>
        <v>0.94379605730744776</v>
      </c>
      <c r="AD304" s="6">
        <f t="shared" si="13"/>
        <v>0.94029817031850005</v>
      </c>
      <c r="AE304" s="6">
        <f t="shared" si="13"/>
        <v>0.89221833434756148</v>
      </c>
      <c r="AF304" s="6">
        <f t="shared" si="13"/>
        <v>0.8606391786719656</v>
      </c>
      <c r="AG304" s="6">
        <f t="shared" si="13"/>
        <v>0.91621459967729368</v>
      </c>
      <c r="AH304" s="6">
        <f t="shared" si="13"/>
        <v>0.84817713356664559</v>
      </c>
      <c r="AI304" s="6">
        <f t="shared" si="13"/>
        <v>0.91088189083953819</v>
      </c>
      <c r="AJ304" s="6">
        <f t="shared" si="13"/>
        <v>0.87406382131548521</v>
      </c>
      <c r="AK304" s="6">
        <f t="shared" si="13"/>
        <v>0.90473409333408206</v>
      </c>
      <c r="AL304" s="6">
        <f t="shared" si="13"/>
        <v>0.8115588115588116</v>
      </c>
      <c r="AM304" s="6">
        <f t="shared" si="13"/>
        <v>0.82296372015464481</v>
      </c>
      <c r="AN304" s="6">
        <f t="shared" si="13"/>
        <v>0.83261155691419353</v>
      </c>
      <c r="AO304" s="6">
        <f t="shared" si="13"/>
        <v>0.84323302347565776</v>
      </c>
      <c r="AP304" s="6">
        <f t="shared" si="13"/>
        <v>0.76479426722145161</v>
      </c>
      <c r="AQ304" s="6">
        <f t="shared" si="13"/>
        <v>0.8199634931309443</v>
      </c>
      <c r="AR304" s="6">
        <f t="shared" si="13"/>
        <v>0.73654390934844194</v>
      </c>
    </row>
    <row r="305" spans="24:45" x14ac:dyDescent="0.3">
      <c r="X305" s="1" t="s">
        <v>67</v>
      </c>
      <c r="Y305" s="6">
        <f t="shared" ref="Y305:AN311" si="14">Y108/(Y136+Y164+Y192+Y108)</f>
        <v>0.96334179638724715</v>
      </c>
      <c r="Z305" s="6">
        <f t="shared" si="14"/>
        <v>0.94571347997743949</v>
      </c>
      <c r="AA305" s="6">
        <f t="shared" si="14"/>
        <v>0.98038349640412104</v>
      </c>
      <c r="AB305" s="6">
        <f t="shared" si="14"/>
        <v>0.96612624398448821</v>
      </c>
      <c r="AC305" s="6">
        <f t="shared" si="14"/>
        <v>0.96681087466675186</v>
      </c>
      <c r="AD305" s="6">
        <f t="shared" si="14"/>
        <v>0.95800025539522415</v>
      </c>
      <c r="AE305" s="6">
        <f t="shared" si="14"/>
        <v>0.9746067976746674</v>
      </c>
      <c r="AF305" s="6">
        <f t="shared" si="14"/>
        <v>0.94422263095718761</v>
      </c>
      <c r="AG305" s="6">
        <f t="shared" si="14"/>
        <v>0.97281769439568777</v>
      </c>
      <c r="AH305" s="6">
        <f t="shared" si="14"/>
        <v>0.94580930690830389</v>
      </c>
      <c r="AI305" s="6">
        <f t="shared" si="14"/>
        <v>0.97312689799372731</v>
      </c>
      <c r="AJ305" s="6">
        <f t="shared" si="14"/>
        <v>0.94460072885365387</v>
      </c>
      <c r="AK305" s="6">
        <f t="shared" si="14"/>
        <v>0.96496480594388512</v>
      </c>
      <c r="AL305" s="6">
        <f t="shared" si="14"/>
        <v>0.95441066390280427</v>
      </c>
      <c r="AM305" s="6">
        <f t="shared" si="14"/>
        <v>0.96335730439864808</v>
      </c>
      <c r="AN305" s="6">
        <f t="shared" si="14"/>
        <v>0.95973913529214605</v>
      </c>
      <c r="AO305" s="6">
        <f t="shared" si="13"/>
        <v>0.96644208678592636</v>
      </c>
      <c r="AP305" s="6">
        <f t="shared" si="13"/>
        <v>0.94593136799032829</v>
      </c>
      <c r="AQ305" s="6">
        <f t="shared" si="13"/>
        <v>0.96050338182256667</v>
      </c>
      <c r="AR305" s="6">
        <f t="shared" si="13"/>
        <v>0.94142875790180325</v>
      </c>
    </row>
    <row r="306" spans="24:45" x14ac:dyDescent="0.3">
      <c r="X306" s="1" t="s">
        <v>68</v>
      </c>
      <c r="Y306" s="6">
        <f t="shared" si="14"/>
        <v>0.94526887531002757</v>
      </c>
      <c r="Z306" s="6">
        <f t="shared" si="13"/>
        <v>0.93833224578185392</v>
      </c>
      <c r="AA306" s="6">
        <f t="shared" si="13"/>
        <v>0.96878280685060003</v>
      </c>
      <c r="AB306" s="6">
        <f t="shared" si="13"/>
        <v>0.96348170265953759</v>
      </c>
      <c r="AC306" s="6">
        <f t="shared" si="13"/>
        <v>0.93291638896969209</v>
      </c>
      <c r="AD306" s="6">
        <f t="shared" si="13"/>
        <v>0.93409099359252423</v>
      </c>
      <c r="AE306" s="6">
        <f t="shared" si="13"/>
        <v>0.95131853798703525</v>
      </c>
      <c r="AF306" s="6">
        <f t="shared" si="13"/>
        <v>0.9318709418249379</v>
      </c>
      <c r="AG306" s="6">
        <f t="shared" si="13"/>
        <v>0.94116668413548477</v>
      </c>
      <c r="AH306" s="6">
        <f t="shared" si="13"/>
        <v>0.92813315034122379</v>
      </c>
      <c r="AI306" s="6">
        <f t="shared" si="13"/>
        <v>0.94225862178884134</v>
      </c>
      <c r="AJ306" s="6">
        <f t="shared" si="13"/>
        <v>0.9248937824816964</v>
      </c>
      <c r="AK306" s="6">
        <f t="shared" si="13"/>
        <v>0.93042951702126597</v>
      </c>
      <c r="AL306" s="6">
        <f t="shared" si="13"/>
        <v>0.92767819451946598</v>
      </c>
      <c r="AM306" s="6">
        <f t="shared" si="13"/>
        <v>0.9307372196564212</v>
      </c>
      <c r="AN306" s="6">
        <f t="shared" si="13"/>
        <v>0.93720023396373564</v>
      </c>
      <c r="AO306" s="6">
        <f t="shared" si="13"/>
        <v>0.94310536310604542</v>
      </c>
      <c r="AP306" s="6">
        <f t="shared" si="13"/>
        <v>0.91899982287299986</v>
      </c>
      <c r="AQ306" s="6">
        <f t="shared" si="13"/>
        <v>0.9348297867348615</v>
      </c>
      <c r="AR306" s="6">
        <f t="shared" si="13"/>
        <v>0.92855000651975494</v>
      </c>
    </row>
    <row r="307" spans="24:45" x14ac:dyDescent="0.3">
      <c r="X307" s="1" t="s">
        <v>69</v>
      </c>
      <c r="Y307" s="6">
        <f t="shared" si="14"/>
        <v>0.92794462119358112</v>
      </c>
      <c r="Z307" s="6">
        <f t="shared" si="13"/>
        <v>0.92780221446989219</v>
      </c>
      <c r="AA307" s="6">
        <f t="shared" si="13"/>
        <v>0.96375785235603473</v>
      </c>
      <c r="AB307" s="6">
        <f t="shared" si="13"/>
        <v>0.95566943367087276</v>
      </c>
      <c r="AC307" s="6">
        <f t="shared" si="13"/>
        <v>0.93133835434371093</v>
      </c>
      <c r="AD307" s="6">
        <f t="shared" si="13"/>
        <v>0.93896985595167581</v>
      </c>
      <c r="AE307" s="6">
        <f t="shared" si="13"/>
        <v>0.93298755483161167</v>
      </c>
      <c r="AF307" s="6">
        <f t="shared" si="13"/>
        <v>0.93481062923952241</v>
      </c>
      <c r="AG307" s="6">
        <f t="shared" si="13"/>
        <v>0.93099171098368927</v>
      </c>
      <c r="AH307" s="6">
        <f t="shared" si="13"/>
        <v>0.92799533136811863</v>
      </c>
      <c r="AI307" s="6">
        <f t="shared" si="13"/>
        <v>0.93002338014325925</v>
      </c>
      <c r="AJ307" s="6">
        <f t="shared" si="13"/>
        <v>0.92317757009345791</v>
      </c>
      <c r="AK307" s="6">
        <f t="shared" si="13"/>
        <v>0.92384188469815387</v>
      </c>
      <c r="AL307" s="6">
        <f t="shared" si="13"/>
        <v>0.9272889380803051</v>
      </c>
      <c r="AM307" s="6">
        <f t="shared" si="13"/>
        <v>0.92660917736926951</v>
      </c>
      <c r="AN307" s="6">
        <f t="shared" si="13"/>
        <v>0.92491896860335732</v>
      </c>
      <c r="AO307" s="6">
        <f t="shared" si="13"/>
        <v>0.93017233110592457</v>
      </c>
      <c r="AP307" s="6">
        <f t="shared" si="13"/>
        <v>0.91951807228915661</v>
      </c>
      <c r="AQ307" s="6">
        <f t="shared" si="13"/>
        <v>0.92164153172562369</v>
      </c>
      <c r="AR307" s="6">
        <f t="shared" si="13"/>
        <v>0.920627107829733</v>
      </c>
    </row>
    <row r="308" spans="24:45" x14ac:dyDescent="0.3">
      <c r="X308" s="1" t="s">
        <v>70</v>
      </c>
      <c r="Y308" s="6">
        <f t="shared" si="14"/>
        <v>0.93967698465375404</v>
      </c>
      <c r="Z308" s="6">
        <f t="shared" si="13"/>
        <v>0.9440445398633347</v>
      </c>
      <c r="AA308" s="6">
        <f t="shared" si="13"/>
        <v>0.96797112175081934</v>
      </c>
      <c r="AB308" s="6">
        <f t="shared" si="13"/>
        <v>0.9706319547142841</v>
      </c>
      <c r="AC308" s="6">
        <f t="shared" si="13"/>
        <v>0.94678605976521246</v>
      </c>
      <c r="AD308" s="6">
        <f t="shared" si="13"/>
        <v>0.95152794128018314</v>
      </c>
      <c r="AE308" s="6">
        <f t="shared" si="13"/>
        <v>0.94893756665846263</v>
      </c>
      <c r="AF308" s="6">
        <f t="shared" si="13"/>
        <v>0.94420244168051815</v>
      </c>
      <c r="AG308" s="6">
        <f t="shared" si="13"/>
        <v>0.94558275843539574</v>
      </c>
      <c r="AH308" s="6">
        <f t="shared" si="13"/>
        <v>0.9470735008035186</v>
      </c>
      <c r="AI308" s="6">
        <f t="shared" si="13"/>
        <v>0.9473848725884636</v>
      </c>
      <c r="AJ308" s="6">
        <f t="shared" si="13"/>
        <v>0.95107558481250731</v>
      </c>
      <c r="AK308" s="6">
        <f t="shared" si="13"/>
        <v>0.94434329417165752</v>
      </c>
      <c r="AL308" s="6">
        <f t="shared" si="13"/>
        <v>0.9507660427679232</v>
      </c>
      <c r="AM308" s="6">
        <f t="shared" si="13"/>
        <v>0.9417705397945012</v>
      </c>
      <c r="AN308" s="6">
        <f t="shared" si="13"/>
        <v>0.94556874082540532</v>
      </c>
      <c r="AO308" s="6">
        <f t="shared" si="13"/>
        <v>0.93725724435005475</v>
      </c>
      <c r="AP308" s="6">
        <f t="shared" si="13"/>
        <v>0.948540770246036</v>
      </c>
      <c r="AQ308" s="6">
        <f t="shared" si="13"/>
        <v>0.93720911370924476</v>
      </c>
      <c r="AR308" s="6">
        <f t="shared" si="13"/>
        <v>0.94364322165520298</v>
      </c>
    </row>
    <row r="309" spans="24:45" x14ac:dyDescent="0.3">
      <c r="X309" s="1" t="s">
        <v>71</v>
      </c>
      <c r="Y309" s="6">
        <f t="shared" si="14"/>
        <v>0.96208817829457371</v>
      </c>
      <c r="Z309" s="6">
        <f t="shared" si="13"/>
        <v>0.96814109391642134</v>
      </c>
      <c r="AA309" s="6">
        <f t="shared" si="13"/>
        <v>0.97977268016306218</v>
      </c>
      <c r="AB309" s="6">
        <f t="shared" si="13"/>
        <v>0.9846345746460029</v>
      </c>
      <c r="AC309" s="6">
        <f t="shared" si="13"/>
        <v>0.96116284733010315</v>
      </c>
      <c r="AD309" s="6">
        <f t="shared" si="13"/>
        <v>0.97078030376031244</v>
      </c>
      <c r="AE309" s="6">
        <f t="shared" si="13"/>
        <v>0.96929371451951107</v>
      </c>
      <c r="AF309" s="6">
        <f t="shared" si="13"/>
        <v>0.96652028270962997</v>
      </c>
      <c r="AG309" s="6">
        <f t="shared" si="13"/>
        <v>0.96866507318031492</v>
      </c>
      <c r="AH309" s="6">
        <f t="shared" si="13"/>
        <v>0.96765398605740349</v>
      </c>
      <c r="AI309" s="6">
        <f t="shared" si="13"/>
        <v>0.96537004373101776</v>
      </c>
      <c r="AJ309" s="6">
        <f t="shared" si="13"/>
        <v>0.97152663605578082</v>
      </c>
      <c r="AK309" s="6">
        <f t="shared" si="13"/>
        <v>0.96570901892602401</v>
      </c>
      <c r="AL309" s="6">
        <f t="shared" si="13"/>
        <v>0.97516700326238925</v>
      </c>
      <c r="AM309" s="6">
        <f t="shared" si="13"/>
        <v>0.96454098009843781</v>
      </c>
      <c r="AN309" s="6">
        <f t="shared" si="13"/>
        <v>0.96993285352418468</v>
      </c>
      <c r="AO309" s="6">
        <f t="shared" si="13"/>
        <v>0.95979078876745805</v>
      </c>
      <c r="AP309" s="6">
        <f t="shared" si="13"/>
        <v>0.97644450356968648</v>
      </c>
      <c r="AQ309" s="6">
        <f t="shared" si="13"/>
        <v>0.95858926342072415</v>
      </c>
      <c r="AR309" s="6">
        <f t="shared" si="13"/>
        <v>0.97050085674486264</v>
      </c>
    </row>
    <row r="310" spans="24:45" x14ac:dyDescent="0.3">
      <c r="X310" s="1" t="s">
        <v>72</v>
      </c>
      <c r="Y310" s="6">
        <f t="shared" si="14"/>
        <v>0.96695737066043763</v>
      </c>
      <c r="Z310" s="6">
        <f t="shared" si="13"/>
        <v>0.96405410237002154</v>
      </c>
      <c r="AA310" s="6">
        <f t="shared" si="13"/>
        <v>0.98335466716747633</v>
      </c>
      <c r="AB310" s="6">
        <f t="shared" si="13"/>
        <v>0.98431499402467415</v>
      </c>
      <c r="AC310" s="6">
        <f t="shared" si="13"/>
        <v>0.96676612530851325</v>
      </c>
      <c r="AD310" s="6">
        <f t="shared" si="13"/>
        <v>0.9705016245962903</v>
      </c>
      <c r="AE310" s="6">
        <f t="shared" si="13"/>
        <v>0.97107696796082565</v>
      </c>
      <c r="AF310" s="6">
        <f t="shared" si="13"/>
        <v>0.9626414461887246</v>
      </c>
      <c r="AG310" s="6">
        <f t="shared" si="13"/>
        <v>0.97065931538402561</v>
      </c>
      <c r="AH310" s="6">
        <f t="shared" si="13"/>
        <v>0.96661899541920449</v>
      </c>
      <c r="AI310" s="6">
        <f t="shared" si="13"/>
        <v>0.97010158593173113</v>
      </c>
      <c r="AJ310" s="6">
        <f t="shared" si="13"/>
        <v>0.96878446769234339</v>
      </c>
      <c r="AK310" s="6">
        <f t="shared" si="13"/>
        <v>0.97059142833017698</v>
      </c>
      <c r="AL310" s="6">
        <f t="shared" si="13"/>
        <v>0.97009277685904083</v>
      </c>
      <c r="AM310" s="6">
        <f t="shared" si="13"/>
        <v>0.96702390088806056</v>
      </c>
      <c r="AN310" s="6">
        <f t="shared" si="13"/>
        <v>0.96771807023049039</v>
      </c>
      <c r="AO310" s="6">
        <f t="shared" si="13"/>
        <v>0.9638823603204062</v>
      </c>
      <c r="AP310" s="6">
        <f t="shared" si="13"/>
        <v>0.97133188031390783</v>
      </c>
      <c r="AQ310" s="6">
        <f t="shared" si="13"/>
        <v>0.9639457312045574</v>
      </c>
      <c r="AR310" s="6">
        <f t="shared" si="13"/>
        <v>0.96753486835377323</v>
      </c>
    </row>
    <row r="311" spans="24:45" x14ac:dyDescent="0.3">
      <c r="X311" s="1" t="s">
        <v>73</v>
      </c>
      <c r="Y311" s="6">
        <f t="shared" si="14"/>
        <v>0.96537928495636538</v>
      </c>
      <c r="Z311" s="6">
        <f t="shared" si="13"/>
        <v>0.9729900301058394</v>
      </c>
      <c r="AA311" s="6">
        <f t="shared" si="13"/>
        <v>0.98545527901757579</v>
      </c>
      <c r="AB311" s="6">
        <f t="shared" si="13"/>
        <v>0.98481183498315328</v>
      </c>
      <c r="AC311" s="6">
        <f t="shared" si="13"/>
        <v>0.89530319617633713</v>
      </c>
      <c r="AD311" s="6">
        <f t="shared" si="13"/>
        <v>0.97797218752448689</v>
      </c>
      <c r="AE311" s="6">
        <f t="shared" si="13"/>
        <v>0.95654751896068047</v>
      </c>
      <c r="AF311" s="6">
        <f t="shared" si="13"/>
        <v>0.97684454856111247</v>
      </c>
      <c r="AG311" s="6">
        <f t="shared" si="13"/>
        <v>0.96373990461441639</v>
      </c>
      <c r="AH311" s="6">
        <f t="shared" si="13"/>
        <v>0.97765846424255742</v>
      </c>
      <c r="AI311" s="6">
        <f t="shared" si="13"/>
        <v>0.96443786113015384</v>
      </c>
      <c r="AJ311" s="6">
        <f t="shared" si="13"/>
        <v>0.97731284324546552</v>
      </c>
      <c r="AK311" s="6">
        <f t="shared" si="13"/>
        <v>0.96302532452659662</v>
      </c>
      <c r="AL311" s="6">
        <f t="shared" si="13"/>
        <v>0.97361761670371538</v>
      </c>
      <c r="AM311" s="6">
        <f t="shared" si="13"/>
        <v>0.96348066994081349</v>
      </c>
      <c r="AN311" s="6">
        <f t="shared" si="13"/>
        <v>0.96737508208465162</v>
      </c>
      <c r="AO311" s="6">
        <f t="shared" si="13"/>
        <v>0.95886395530315949</v>
      </c>
      <c r="AP311" s="6">
        <f t="shared" si="13"/>
        <v>0.96344369650237327</v>
      </c>
      <c r="AQ311" s="6">
        <f t="shared" si="13"/>
        <v>0.96087501204587067</v>
      </c>
      <c r="AR311" s="6">
        <f t="shared" si="13"/>
        <v>0.95688310326293569</v>
      </c>
    </row>
    <row r="312" spans="24:45" x14ac:dyDescent="0.3">
      <c r="AS312" s="7">
        <f>AVERAGE(Y304:AR311)</f>
        <v>0.94401914104979245</v>
      </c>
    </row>
    <row r="314" spans="24:45" x14ac:dyDescent="0.3">
      <c r="X314" t="s">
        <v>80</v>
      </c>
      <c r="AS314" s="9"/>
    </row>
    <row r="315" spans="24:45" x14ac:dyDescent="0.3">
      <c r="X315" s="1" t="s">
        <v>6</v>
      </c>
      <c r="Y315" s="1" t="s">
        <v>63</v>
      </c>
      <c r="Z315" s="1" t="s">
        <v>64</v>
      </c>
      <c r="AA315" s="1" t="s">
        <v>63</v>
      </c>
      <c r="AB315" s="1" t="s">
        <v>64</v>
      </c>
      <c r="AC315" s="1" t="s">
        <v>63</v>
      </c>
      <c r="AD315" s="1" t="s">
        <v>64</v>
      </c>
      <c r="AE315" s="1" t="s">
        <v>63</v>
      </c>
      <c r="AF315" s="1" t="s">
        <v>64</v>
      </c>
      <c r="AG315" s="1" t="s">
        <v>63</v>
      </c>
      <c r="AH315" s="1" t="s">
        <v>64</v>
      </c>
      <c r="AI315" s="1" t="s">
        <v>63</v>
      </c>
      <c r="AJ315" s="1" t="s">
        <v>64</v>
      </c>
      <c r="AK315" s="1" t="s">
        <v>63</v>
      </c>
      <c r="AL315" s="1" t="s">
        <v>64</v>
      </c>
      <c r="AM315" s="1" t="s">
        <v>63</v>
      </c>
      <c r="AN315" s="1" t="s">
        <v>64</v>
      </c>
      <c r="AO315" s="1" t="s">
        <v>63</v>
      </c>
      <c r="AP315" s="1" t="s">
        <v>64</v>
      </c>
      <c r="AQ315" s="1" t="s">
        <v>63</v>
      </c>
      <c r="AR315" s="1" t="s">
        <v>64</v>
      </c>
      <c r="AS315" s="9"/>
    </row>
    <row r="316" spans="24:45" x14ac:dyDescent="0.3">
      <c r="X316" s="1" t="s">
        <v>65</v>
      </c>
      <c r="Y316" s="1" t="s">
        <v>53</v>
      </c>
      <c r="Z316" s="1" t="s">
        <v>53</v>
      </c>
      <c r="AA316" s="1" t="s">
        <v>54</v>
      </c>
      <c r="AB316" s="1" t="s">
        <v>54</v>
      </c>
      <c r="AC316" s="1" t="s">
        <v>55</v>
      </c>
      <c r="AD316" s="1" t="s">
        <v>55</v>
      </c>
      <c r="AE316" s="1" t="s">
        <v>56</v>
      </c>
      <c r="AF316" s="1" t="s">
        <v>56</v>
      </c>
      <c r="AG316" s="1" t="s">
        <v>57</v>
      </c>
      <c r="AH316" s="1" t="s">
        <v>57</v>
      </c>
      <c r="AI316" s="1" t="s">
        <v>58</v>
      </c>
      <c r="AJ316" s="1" t="s">
        <v>58</v>
      </c>
      <c r="AK316" s="1" t="s">
        <v>59</v>
      </c>
      <c r="AL316" s="1" t="s">
        <v>59</v>
      </c>
      <c r="AM316" s="1" t="s">
        <v>60</v>
      </c>
      <c r="AN316" s="1" t="s">
        <v>60</v>
      </c>
      <c r="AO316" s="1" t="s">
        <v>61</v>
      </c>
      <c r="AP316" s="1" t="s">
        <v>61</v>
      </c>
      <c r="AQ316" s="1" t="s">
        <v>62</v>
      </c>
      <c r="AR316" s="1" t="s">
        <v>62</v>
      </c>
      <c r="AS316" s="9"/>
    </row>
    <row r="317" spans="24:45" x14ac:dyDescent="0.3">
      <c r="X317" s="1" t="s">
        <v>7</v>
      </c>
      <c r="Y317">
        <v>1.3</v>
      </c>
      <c r="Z317">
        <v>1.3</v>
      </c>
      <c r="AA317">
        <v>1.3</v>
      </c>
      <c r="AB317">
        <v>1.3</v>
      </c>
      <c r="AC317">
        <v>0.5</v>
      </c>
      <c r="AD317">
        <v>0.5</v>
      </c>
      <c r="AE317">
        <v>1.6</v>
      </c>
      <c r="AF317">
        <v>1.6</v>
      </c>
      <c r="AG317">
        <v>2</v>
      </c>
      <c r="AH317">
        <v>2</v>
      </c>
      <c r="AI317">
        <v>3.6</v>
      </c>
      <c r="AJ317">
        <v>3.6</v>
      </c>
      <c r="AK317">
        <v>2.9</v>
      </c>
      <c r="AL317">
        <v>2.9</v>
      </c>
      <c r="AM317">
        <v>3.8</v>
      </c>
      <c r="AN317">
        <v>3.8</v>
      </c>
      <c r="AO317">
        <v>3.4</v>
      </c>
      <c r="AP317">
        <v>3.4</v>
      </c>
      <c r="AQ317">
        <v>4.5</v>
      </c>
      <c r="AR317">
        <v>4.5</v>
      </c>
      <c r="AS317" s="9"/>
    </row>
    <row r="318" spans="24:45" x14ac:dyDescent="0.3">
      <c r="X318" s="1" t="s">
        <v>66</v>
      </c>
      <c r="Y318" s="8">
        <f>(Y135)/(Y135+AV135)</f>
        <v>7.5085964363863708E-2</v>
      </c>
      <c r="Z318" s="8">
        <f t="shared" ref="Z318:AR325" si="15">(Z135)/(Z135+AW135)</f>
        <v>0.12139893301719029</v>
      </c>
      <c r="AA318" s="8">
        <f t="shared" si="15"/>
        <v>2.5593299208934387E-2</v>
      </c>
      <c r="AB318" s="8">
        <f t="shared" si="15"/>
        <v>2.5453699395067472E-2</v>
      </c>
      <c r="AC318" s="8">
        <f t="shared" si="15"/>
        <v>2.5479094076655051E-2</v>
      </c>
      <c r="AD318" s="8">
        <f t="shared" si="15"/>
        <v>2.275234418091561E-2</v>
      </c>
      <c r="AE318" s="8">
        <f t="shared" si="15"/>
        <v>7.5091575091575088E-2</v>
      </c>
      <c r="AF318" s="8">
        <f t="shared" si="15"/>
        <v>5.1161029782937913E-2</v>
      </c>
      <c r="AG318" s="8">
        <f t="shared" si="15"/>
        <v>7.7067669172932327E-2</v>
      </c>
      <c r="AH318" s="8">
        <f t="shared" si="15"/>
        <v>4.3436754176610977E-2</v>
      </c>
      <c r="AI318" s="8">
        <f t="shared" si="15"/>
        <v>8.7500000000000008E-2</v>
      </c>
      <c r="AJ318" s="8">
        <f t="shared" si="15"/>
        <v>1.9609788359788358E-2</v>
      </c>
      <c r="AK318" s="8">
        <f t="shared" si="15"/>
        <v>8.5406162464985988E-2</v>
      </c>
      <c r="AL318" s="8">
        <f t="shared" si="15"/>
        <v>1.0265613783201722E-2</v>
      </c>
      <c r="AM318" s="8">
        <f t="shared" si="15"/>
        <v>0.14753508456279238</v>
      </c>
      <c r="AN318" s="8">
        <f t="shared" si="15"/>
        <v>2.9239332096474953E-2</v>
      </c>
      <c r="AO318" s="8">
        <f t="shared" si="15"/>
        <v>1.0254756530151564E-2</v>
      </c>
      <c r="AP318" s="8">
        <f t="shared" si="15"/>
        <v>1.0284113645458183E-2</v>
      </c>
      <c r="AQ318" s="8">
        <f t="shared" si="15"/>
        <v>1.6326530612244896E-2</v>
      </c>
      <c r="AR318" s="8">
        <f t="shared" si="15"/>
        <v>1.0265613783201722E-2</v>
      </c>
      <c r="AS318" s="9"/>
    </row>
    <row r="319" spans="24:45" x14ac:dyDescent="0.3">
      <c r="X319" s="1" t="s">
        <v>67</v>
      </c>
      <c r="Y319" s="8">
        <f t="shared" ref="Y319:Y325" si="16">(Y136)/(Y136+AV136)</f>
        <v>7.1474530831099198E-2</v>
      </c>
      <c r="Z319" s="8">
        <f t="shared" si="15"/>
        <v>7.1817562968005441E-2</v>
      </c>
      <c r="AA319" s="8">
        <f t="shared" si="15"/>
        <v>7.5823045267489717E-2</v>
      </c>
      <c r="AB319" s="8">
        <f t="shared" si="15"/>
        <v>7.6256983240223467E-2</v>
      </c>
      <c r="AC319" s="8">
        <f t="shared" si="15"/>
        <v>7.6452905811623242E-2</v>
      </c>
      <c r="AD319" s="8">
        <f t="shared" si="15"/>
        <v>7.6360637713029145E-2</v>
      </c>
      <c r="AE319" s="8">
        <f t="shared" si="15"/>
        <v>7.5410913872452343E-2</v>
      </c>
      <c r="AF319" s="8">
        <f t="shared" si="15"/>
        <v>7.6441351888668005E-2</v>
      </c>
      <c r="AG319" s="8">
        <f t="shared" si="15"/>
        <v>7.0879120879120877E-2</v>
      </c>
      <c r="AH319" s="8">
        <f t="shared" si="15"/>
        <v>7.1846619576185669E-2</v>
      </c>
      <c r="AI319" s="8">
        <f t="shared" si="15"/>
        <v>7.0278450363196132E-2</v>
      </c>
      <c r="AJ319" s="8">
        <f t="shared" si="15"/>
        <v>7.1799544419134401E-2</v>
      </c>
      <c r="AK319" s="8">
        <f t="shared" si="15"/>
        <v>7.1376370280146179E-2</v>
      </c>
      <c r="AL319" s="8">
        <f t="shared" si="15"/>
        <v>7.1696035242290734E-2</v>
      </c>
      <c r="AM319" s="8">
        <f t="shared" si="15"/>
        <v>7.1355498721227623E-2</v>
      </c>
      <c r="AN319" s="8">
        <f t="shared" si="15"/>
        <v>7.1483375959079276E-2</v>
      </c>
      <c r="AO319" s="8">
        <f t="shared" si="15"/>
        <v>7.1482317531978923E-2</v>
      </c>
      <c r="AP319" s="8">
        <f t="shared" si="15"/>
        <v>7.1900826446280999E-2</v>
      </c>
      <c r="AQ319" s="8">
        <f t="shared" si="15"/>
        <v>7.0559478544269416E-2</v>
      </c>
      <c r="AR319" s="8">
        <f t="shared" si="15"/>
        <v>7.1683848797250857E-2</v>
      </c>
      <c r="AS319" s="9"/>
    </row>
    <row r="320" spans="24:45" x14ac:dyDescent="0.3">
      <c r="X320" s="1" t="s">
        <v>68</v>
      </c>
      <c r="Y320" s="8">
        <f t="shared" si="16"/>
        <v>0.1262158183090773</v>
      </c>
      <c r="Z320" s="8">
        <f t="shared" si="15"/>
        <v>7.1848638226078579E-2</v>
      </c>
      <c r="AA320" s="8">
        <f t="shared" si="15"/>
        <v>0.11798185806604611</v>
      </c>
      <c r="AB320" s="8">
        <f t="shared" si="15"/>
        <v>7.6311502117953733E-2</v>
      </c>
      <c r="AC320" s="8">
        <f t="shared" si="15"/>
        <v>0.19375000000000001</v>
      </c>
      <c r="AD320" s="8">
        <f t="shared" si="15"/>
        <v>0.14365930897575271</v>
      </c>
      <c r="AE320" s="8">
        <f t="shared" si="15"/>
        <v>9.6558950702783433E-2</v>
      </c>
      <c r="AF320" s="8">
        <f t="shared" si="15"/>
        <v>9.0415013618217313E-2</v>
      </c>
      <c r="AG320" s="8">
        <f t="shared" si="15"/>
        <v>0.15145746579417013</v>
      </c>
      <c r="AH320" s="8">
        <f t="shared" si="15"/>
        <v>7.8623874940786362E-2</v>
      </c>
      <c r="AI320" s="8">
        <f t="shared" si="15"/>
        <v>0.15841664966333402</v>
      </c>
      <c r="AJ320" s="8">
        <f t="shared" si="15"/>
        <v>7.9453544484469521E-2</v>
      </c>
      <c r="AK320" s="8">
        <f t="shared" si="15"/>
        <v>0.16714936284104981</v>
      </c>
      <c r="AL320" s="8">
        <f t="shared" si="15"/>
        <v>8.1649389423508148E-2</v>
      </c>
      <c r="AM320" s="8">
        <f t="shared" si="15"/>
        <v>0.17020193817335283</v>
      </c>
      <c r="AN320" s="8">
        <f t="shared" si="15"/>
        <v>7.4998903524802263E-2</v>
      </c>
      <c r="AO320" s="8">
        <f t="shared" si="15"/>
        <v>8.7262368466949597E-2</v>
      </c>
      <c r="AP320" s="8">
        <f t="shared" si="15"/>
        <v>7.5558395301730572E-2</v>
      </c>
      <c r="AQ320" s="8">
        <f t="shared" si="15"/>
        <v>7.2343149807938531E-2</v>
      </c>
      <c r="AR320" s="8">
        <f t="shared" si="15"/>
        <v>7.4536130536130535E-2</v>
      </c>
      <c r="AS320" s="9"/>
    </row>
    <row r="321" spans="24:45" x14ac:dyDescent="0.3">
      <c r="X321" s="1" t="s">
        <v>69</v>
      </c>
      <c r="Y321" s="8">
        <f t="shared" si="16"/>
        <v>0.13121705702849443</v>
      </c>
      <c r="Z321" s="8">
        <f t="shared" si="15"/>
        <v>8.242914979757085E-2</v>
      </c>
      <c r="AA321" s="8">
        <f t="shared" si="15"/>
        <v>0.12265317594154018</v>
      </c>
      <c r="AB321" s="8">
        <f t="shared" si="15"/>
        <v>7.6390977443609023E-2</v>
      </c>
      <c r="AC321" s="8">
        <f t="shared" si="15"/>
        <v>0.13892371733788053</v>
      </c>
      <c r="AD321" s="8">
        <f t="shared" si="15"/>
        <v>0.12754085292945397</v>
      </c>
      <c r="AE321" s="8">
        <f t="shared" si="15"/>
        <v>0.11834076105587935</v>
      </c>
      <c r="AF321" s="8">
        <f t="shared" si="15"/>
        <v>7.649656526005888E-2</v>
      </c>
      <c r="AG321" s="8">
        <f t="shared" si="15"/>
        <v>0.11470055735027869</v>
      </c>
      <c r="AH321" s="8">
        <f t="shared" si="15"/>
        <v>7.2002597613442645E-2</v>
      </c>
      <c r="AI321" s="8">
        <f t="shared" si="15"/>
        <v>0.11491861050511831</v>
      </c>
      <c r="AJ321" s="8">
        <f t="shared" si="15"/>
        <v>7.2998211802106097E-2</v>
      </c>
      <c r="AK321" s="8">
        <f t="shared" si="15"/>
        <v>0.11638279305775509</v>
      </c>
      <c r="AL321" s="8">
        <f t="shared" si="15"/>
        <v>7.2590503055947345E-2</v>
      </c>
      <c r="AM321" s="8">
        <f t="shared" si="15"/>
        <v>8.7003222341568209E-2</v>
      </c>
      <c r="AN321" s="8">
        <f t="shared" si="15"/>
        <v>7.3031135531135535E-2</v>
      </c>
      <c r="AO321" s="8">
        <f t="shared" si="15"/>
        <v>7.2084130019120451E-2</v>
      </c>
      <c r="AP321" s="8">
        <f t="shared" si="15"/>
        <v>7.6561636263128799E-2</v>
      </c>
      <c r="AQ321" s="8">
        <f t="shared" si="15"/>
        <v>7.5208768267223391E-2</v>
      </c>
      <c r="AR321" s="8">
        <f t="shared" si="15"/>
        <v>7.6602269242563623E-2</v>
      </c>
      <c r="AS321" s="9"/>
    </row>
    <row r="322" spans="24:45" x14ac:dyDescent="0.3">
      <c r="X322" s="1" t="s">
        <v>70</v>
      </c>
      <c r="Y322" s="8">
        <f t="shared" si="16"/>
        <v>0.12747082143550217</v>
      </c>
      <c r="Z322" s="8">
        <f t="shared" si="15"/>
        <v>9.94131455399061E-2</v>
      </c>
      <c r="AA322" s="8">
        <f t="shared" si="15"/>
        <v>0.11136732329084588</v>
      </c>
      <c r="AB322" s="8">
        <f t="shared" si="15"/>
        <v>7.6073619631901845E-2</v>
      </c>
      <c r="AC322" s="8">
        <f t="shared" si="15"/>
        <v>0.12718502519798416</v>
      </c>
      <c r="AD322" s="8">
        <f t="shared" si="15"/>
        <v>0.12335195530726256</v>
      </c>
      <c r="AE322" s="8">
        <f t="shared" si="15"/>
        <v>7.6419369169258108E-2</v>
      </c>
      <c r="AF322" s="8">
        <f t="shared" si="15"/>
        <v>0.10204235294117647</v>
      </c>
      <c r="AG322" s="8">
        <f t="shared" si="15"/>
        <v>8.2787973447871935E-2</v>
      </c>
      <c r="AH322" s="8">
        <f t="shared" si="15"/>
        <v>8.9764758100310704E-2</v>
      </c>
      <c r="AI322" s="8">
        <f t="shared" si="15"/>
        <v>7.4095004095004094E-2</v>
      </c>
      <c r="AJ322" s="8">
        <f t="shared" si="15"/>
        <v>7.164055299539171E-2</v>
      </c>
      <c r="AK322" s="8">
        <f t="shared" si="15"/>
        <v>7.2020860495436767E-2</v>
      </c>
      <c r="AL322" s="8">
        <f t="shared" si="15"/>
        <v>7.1785009861932939E-2</v>
      </c>
      <c r="AM322" s="8">
        <f t="shared" si="15"/>
        <v>7.2155339805825239E-2</v>
      </c>
      <c r="AN322" s="8">
        <f t="shared" si="15"/>
        <v>7.2089397089397086E-2</v>
      </c>
      <c r="AO322" s="8">
        <f t="shared" si="15"/>
        <v>7.2276830491474431E-2</v>
      </c>
      <c r="AP322" s="8">
        <f t="shared" si="15"/>
        <v>7.2092078537576168E-2</v>
      </c>
      <c r="AQ322" s="8">
        <f t="shared" si="15"/>
        <v>7.2305986696230604E-2</v>
      </c>
      <c r="AR322" s="8">
        <f t="shared" si="15"/>
        <v>7.1653363740022805E-2</v>
      </c>
      <c r="AS322" s="9"/>
    </row>
    <row r="323" spans="24:45" x14ac:dyDescent="0.3">
      <c r="X323" s="1" t="s">
        <v>71</v>
      </c>
      <c r="Y323" s="8">
        <f t="shared" si="16"/>
        <v>7.7674567584881477E-2</v>
      </c>
      <c r="Z323" s="8">
        <f t="shared" si="15"/>
        <v>7.744441689395816E-2</v>
      </c>
      <c r="AA323" s="8">
        <f t="shared" si="15"/>
        <v>0.10584795321637429</v>
      </c>
      <c r="AB323" s="8">
        <f t="shared" si="15"/>
        <v>8.0032487817068607E-2</v>
      </c>
      <c r="AC323" s="8">
        <f t="shared" si="15"/>
        <v>0.12990936555891239</v>
      </c>
      <c r="AD323" s="8">
        <f t="shared" si="15"/>
        <v>0.12203562340966921</v>
      </c>
      <c r="AE323" s="8">
        <f t="shared" si="15"/>
        <v>8.2473586078309499E-2</v>
      </c>
      <c r="AF323" s="8">
        <f t="shared" si="15"/>
        <v>0.12100840336134455</v>
      </c>
      <c r="AG323" s="8">
        <f t="shared" si="15"/>
        <v>7.7538071065989853E-2</v>
      </c>
      <c r="AH323" s="8">
        <f t="shared" si="15"/>
        <v>0.10077859414409475</v>
      </c>
      <c r="AI323" s="8">
        <f t="shared" si="15"/>
        <v>7.6852846401718591E-2</v>
      </c>
      <c r="AJ323" s="8">
        <f t="shared" si="15"/>
        <v>9.8140441447611027E-2</v>
      </c>
      <c r="AK323" s="8">
        <f t="shared" si="15"/>
        <v>7.7097769754847723E-2</v>
      </c>
      <c r="AL323" s="8">
        <f t="shared" si="15"/>
        <v>8.3700159489633164E-2</v>
      </c>
      <c r="AM323" s="8">
        <f t="shared" si="15"/>
        <v>7.6958472334061903E-2</v>
      </c>
      <c r="AN323" s="8">
        <f t="shared" si="15"/>
        <v>8.3826903580385262E-2</v>
      </c>
      <c r="AO323" s="8">
        <f t="shared" si="15"/>
        <v>7.7368779822767547E-2</v>
      </c>
      <c r="AP323" s="8">
        <f t="shared" si="15"/>
        <v>7.5683912633335751E-2</v>
      </c>
      <c r="AQ323" s="8">
        <f t="shared" si="15"/>
        <v>7.7489786350545847E-2</v>
      </c>
      <c r="AR323" s="8">
        <f t="shared" si="15"/>
        <v>7.7170418006430874E-2</v>
      </c>
      <c r="AS323" s="9"/>
    </row>
    <row r="324" spans="24:45" x14ac:dyDescent="0.3">
      <c r="X324" s="1" t="s">
        <v>72</v>
      </c>
      <c r="Y324" s="8">
        <f t="shared" si="16"/>
        <v>0.11861476397548069</v>
      </c>
      <c r="Z324" s="8">
        <f t="shared" si="15"/>
        <v>0.11822368421052631</v>
      </c>
      <c r="AA324" s="8">
        <f t="shared" si="15"/>
        <v>8.0110913529642253E-2</v>
      </c>
      <c r="AB324" s="8">
        <f t="shared" si="15"/>
        <v>9.8122935631998698E-2</v>
      </c>
      <c r="AC324" s="8">
        <f t="shared" si="15"/>
        <v>0.1458347074731218</v>
      </c>
      <c r="AD324" s="8">
        <f t="shared" si="15"/>
        <v>0.11778003187943777</v>
      </c>
      <c r="AE324" s="8">
        <f t="shared" si="15"/>
        <v>9.911632974216196E-2</v>
      </c>
      <c r="AF324" s="8">
        <f t="shared" si="15"/>
        <v>0.17315642986462021</v>
      </c>
      <c r="AG324" s="8">
        <f t="shared" si="15"/>
        <v>7.8132714525525823E-2</v>
      </c>
      <c r="AH324" s="8">
        <f t="shared" si="15"/>
        <v>0.1434986074534397</v>
      </c>
      <c r="AI324" s="8">
        <f t="shared" si="15"/>
        <v>8.4136388512146942E-2</v>
      </c>
      <c r="AJ324" s="8">
        <f t="shared" si="15"/>
        <v>0.14266203378256243</v>
      </c>
      <c r="AK324" s="8">
        <f t="shared" si="15"/>
        <v>8.465930115768884E-2</v>
      </c>
      <c r="AL324" s="8">
        <f t="shared" si="15"/>
        <v>0.13009896210475502</v>
      </c>
      <c r="AM324" s="8">
        <f t="shared" si="15"/>
        <v>9.2587116171324368E-2</v>
      </c>
      <c r="AN324" s="8">
        <f t="shared" si="15"/>
        <v>0.10449476174383238</v>
      </c>
      <c r="AO324" s="8">
        <f t="shared" si="15"/>
        <v>7.7064125409984252E-2</v>
      </c>
      <c r="AP324" s="8">
        <f t="shared" si="15"/>
        <v>7.6673793932914611E-2</v>
      </c>
      <c r="AQ324" s="8">
        <f t="shared" si="15"/>
        <v>7.7069166207192299E-2</v>
      </c>
      <c r="AR324" s="8">
        <f t="shared" si="15"/>
        <v>7.6930376743744658E-2</v>
      </c>
      <c r="AS324" s="9"/>
    </row>
    <row r="325" spans="24:45" x14ac:dyDescent="0.3">
      <c r="X325" s="1" t="s">
        <v>73</v>
      </c>
      <c r="Y325" s="8">
        <f t="shared" si="16"/>
        <v>0.08</v>
      </c>
      <c r="Z325" s="8">
        <f t="shared" si="15"/>
        <v>7.8077455048409405E-2</v>
      </c>
      <c r="AA325" s="8">
        <f t="shared" si="15"/>
        <v>8.2918149466192179E-2</v>
      </c>
      <c r="AB325" s="8">
        <f t="shared" si="15"/>
        <v>8.2831325301204822E-2</v>
      </c>
      <c r="AC325" s="8">
        <f t="shared" si="15"/>
        <v>4.9999999999999996E-2</v>
      </c>
      <c r="AD325" s="8">
        <f t="shared" si="15"/>
        <v>8.3050847457627128E-2</v>
      </c>
      <c r="AE325" s="8">
        <f t="shared" si="15"/>
        <v>6.2100456621004566E-2</v>
      </c>
      <c r="AF325" s="8">
        <f t="shared" si="15"/>
        <v>8.9321266968325791E-2</v>
      </c>
      <c r="AG325" s="8">
        <f t="shared" si="15"/>
        <v>8.6597222222222228E-2</v>
      </c>
      <c r="AH325" s="8">
        <f t="shared" si="15"/>
        <v>8.1445839690177213E-2</v>
      </c>
      <c r="AI325" s="8">
        <f t="shared" si="15"/>
        <v>8.8985507246376813E-2</v>
      </c>
      <c r="AJ325" s="8">
        <f t="shared" si="15"/>
        <v>8.0835881753312952E-2</v>
      </c>
      <c r="AK325" s="8">
        <f t="shared" si="15"/>
        <v>8.936550491510277E-2</v>
      </c>
      <c r="AL325" s="8">
        <f t="shared" si="15"/>
        <v>7.8092986603624903E-2</v>
      </c>
      <c r="AM325" s="8">
        <f t="shared" si="15"/>
        <v>9.1946308724832213E-2</v>
      </c>
      <c r="AN325" s="8">
        <f t="shared" si="15"/>
        <v>8.5919540229885058E-2</v>
      </c>
      <c r="AO325" s="8">
        <f t="shared" si="15"/>
        <v>9.5933014354066981E-2</v>
      </c>
      <c r="AP325" s="8">
        <f t="shared" si="15"/>
        <v>9.2768361581920908E-2</v>
      </c>
      <c r="AQ325" s="8">
        <f t="shared" si="15"/>
        <v>7.869918699186991E-2</v>
      </c>
      <c r="AR325" s="8">
        <f t="shared" si="15"/>
        <v>8.8235294117647078E-2</v>
      </c>
      <c r="AS325" s="9"/>
    </row>
    <row r="326" spans="24:45" x14ac:dyDescent="0.3">
      <c r="AS326" s="9">
        <f>AVERAGE(Y318:AR325)</f>
        <v>8.62198146977744E-2</v>
      </c>
    </row>
    <row r="328" spans="24:45" x14ac:dyDescent="0.3">
      <c r="X328" t="s">
        <v>81</v>
      </c>
      <c r="AS328" s="9"/>
    </row>
    <row r="329" spans="24:45" x14ac:dyDescent="0.3">
      <c r="X329" s="1" t="s">
        <v>6</v>
      </c>
      <c r="Y329" s="1" t="s">
        <v>63</v>
      </c>
      <c r="Z329" s="1" t="s">
        <v>64</v>
      </c>
      <c r="AA329" s="1" t="s">
        <v>63</v>
      </c>
      <c r="AB329" s="1" t="s">
        <v>64</v>
      </c>
      <c r="AC329" s="1" t="s">
        <v>63</v>
      </c>
      <c r="AD329" s="1" t="s">
        <v>64</v>
      </c>
      <c r="AE329" s="1" t="s">
        <v>63</v>
      </c>
      <c r="AF329" s="1" t="s">
        <v>64</v>
      </c>
      <c r="AG329" s="1" t="s">
        <v>63</v>
      </c>
      <c r="AH329" s="1" t="s">
        <v>64</v>
      </c>
      <c r="AI329" s="1" t="s">
        <v>63</v>
      </c>
      <c r="AJ329" s="1" t="s">
        <v>64</v>
      </c>
      <c r="AK329" s="1" t="s">
        <v>63</v>
      </c>
      <c r="AL329" s="1" t="s">
        <v>64</v>
      </c>
      <c r="AM329" s="1" t="s">
        <v>63</v>
      </c>
      <c r="AN329" s="1" t="s">
        <v>64</v>
      </c>
      <c r="AO329" s="1" t="s">
        <v>63</v>
      </c>
      <c r="AP329" s="1" t="s">
        <v>64</v>
      </c>
      <c r="AQ329" s="1" t="s">
        <v>63</v>
      </c>
      <c r="AR329" s="1" t="s">
        <v>64</v>
      </c>
      <c r="AS329" s="9"/>
    </row>
    <row r="330" spans="24:45" x14ac:dyDescent="0.3">
      <c r="X330" s="1" t="s">
        <v>65</v>
      </c>
      <c r="Y330" s="1" t="s">
        <v>53</v>
      </c>
      <c r="Z330" s="1" t="s">
        <v>53</v>
      </c>
      <c r="AA330" s="1" t="s">
        <v>54</v>
      </c>
      <c r="AB330" s="1" t="s">
        <v>54</v>
      </c>
      <c r="AC330" s="1" t="s">
        <v>55</v>
      </c>
      <c r="AD330" s="1" t="s">
        <v>55</v>
      </c>
      <c r="AE330" s="1" t="s">
        <v>56</v>
      </c>
      <c r="AF330" s="1" t="s">
        <v>56</v>
      </c>
      <c r="AG330" s="1" t="s">
        <v>57</v>
      </c>
      <c r="AH330" s="1" t="s">
        <v>57</v>
      </c>
      <c r="AI330" s="1" t="s">
        <v>58</v>
      </c>
      <c r="AJ330" s="1" t="s">
        <v>58</v>
      </c>
      <c r="AK330" s="1" t="s">
        <v>59</v>
      </c>
      <c r="AL330" s="1" t="s">
        <v>59</v>
      </c>
      <c r="AM330" s="1" t="s">
        <v>60</v>
      </c>
      <c r="AN330" s="1" t="s">
        <v>60</v>
      </c>
      <c r="AO330" s="1" t="s">
        <v>61</v>
      </c>
      <c r="AP330" s="1" t="s">
        <v>61</v>
      </c>
      <c r="AQ330" s="1" t="s">
        <v>62</v>
      </c>
      <c r="AR330" s="1" t="s">
        <v>62</v>
      </c>
      <c r="AS330" s="9"/>
    </row>
    <row r="331" spans="24:45" x14ac:dyDescent="0.3">
      <c r="X331" s="1" t="s">
        <v>7</v>
      </c>
      <c r="Y331">
        <v>1.3</v>
      </c>
      <c r="Z331">
        <v>1.3</v>
      </c>
      <c r="AA331">
        <v>1.3</v>
      </c>
      <c r="AB331">
        <v>1.3</v>
      </c>
      <c r="AC331">
        <v>0.5</v>
      </c>
      <c r="AD331">
        <v>0.5</v>
      </c>
      <c r="AE331">
        <v>1.6</v>
      </c>
      <c r="AF331">
        <v>1.6</v>
      </c>
      <c r="AG331">
        <v>2</v>
      </c>
      <c r="AH331">
        <v>2</v>
      </c>
      <c r="AI331">
        <v>3.6</v>
      </c>
      <c r="AJ331">
        <v>3.6</v>
      </c>
      <c r="AK331">
        <v>2.9</v>
      </c>
      <c r="AL331">
        <v>2.9</v>
      </c>
      <c r="AM331">
        <v>3.8</v>
      </c>
      <c r="AN331">
        <v>3.8</v>
      </c>
      <c r="AO331">
        <v>3.4</v>
      </c>
      <c r="AP331">
        <v>3.4</v>
      </c>
      <c r="AQ331">
        <v>4.5</v>
      </c>
      <c r="AR331">
        <v>4.5</v>
      </c>
      <c r="AS331" s="9"/>
    </row>
    <row r="332" spans="24:45" x14ac:dyDescent="0.3">
      <c r="X332" s="1" t="s">
        <v>66</v>
      </c>
      <c r="Y332" s="8">
        <f>(Y163)/(Y163+AV163)</f>
        <v>7.2125435540069685E-2</v>
      </c>
      <c r="Z332" s="8">
        <f t="shared" ref="Z332:AR339" si="17">(Z163)/(Z163+AW163)</f>
        <v>9.1630591630591632E-2</v>
      </c>
      <c r="AA332" s="8">
        <f t="shared" si="17"/>
        <v>2.5682182985553772E-2</v>
      </c>
      <c r="AB332" s="8">
        <f t="shared" si="17"/>
        <v>2.5521669341894062E-2</v>
      </c>
      <c r="AC332" s="8">
        <f t="shared" si="17"/>
        <v>2.5563909774436091E-2</v>
      </c>
      <c r="AD332" s="8">
        <f t="shared" si="17"/>
        <v>2.3867595818815333E-2</v>
      </c>
      <c r="AE332" s="8">
        <f t="shared" si="17"/>
        <v>7.4357441721458445E-2</v>
      </c>
      <c r="AF332" s="8">
        <f t="shared" si="17"/>
        <v>4.9557522123893798E-2</v>
      </c>
      <c r="AG332" s="8">
        <f t="shared" si="17"/>
        <v>7.5271936185641777E-2</v>
      </c>
      <c r="AH332" s="8">
        <f t="shared" si="17"/>
        <v>4.3022614451185874E-2</v>
      </c>
      <c r="AI332" s="8">
        <f t="shared" si="17"/>
        <v>8.3526383526383544E-2</v>
      </c>
      <c r="AJ332" s="8">
        <f t="shared" si="17"/>
        <v>1.9464285714285715E-2</v>
      </c>
      <c r="AK332" s="8">
        <f t="shared" si="17"/>
        <v>8.0875576036866362E-2</v>
      </c>
      <c r="AL332" s="8">
        <f t="shared" si="17"/>
        <v>1.0218978102189781E-2</v>
      </c>
      <c r="AM332" s="8">
        <f t="shared" si="17"/>
        <v>0.14884169884169882</v>
      </c>
      <c r="AN332" s="8">
        <f t="shared" si="17"/>
        <v>2.9536679536679534E-2</v>
      </c>
      <c r="AO332" s="8">
        <f t="shared" si="17"/>
        <v>1.0204081632653059E-2</v>
      </c>
      <c r="AP332" s="8">
        <f t="shared" si="17"/>
        <v>1.0299003322259137E-2</v>
      </c>
      <c r="AQ332" s="8">
        <f t="shared" si="17"/>
        <v>1.6216216216216214E-2</v>
      </c>
      <c r="AR332" s="8">
        <f t="shared" si="17"/>
        <v>1.0285714285714285E-2</v>
      </c>
      <c r="AS332" s="9"/>
    </row>
    <row r="333" spans="24:45" x14ac:dyDescent="0.3">
      <c r="X333" s="1" t="s">
        <v>67</v>
      </c>
      <c r="Y333" s="8">
        <f t="shared" ref="Y333:Y339" si="18">(Y164)/(Y164+AV164)</f>
        <v>7.151639344262295E-2</v>
      </c>
      <c r="Z333" s="8">
        <f t="shared" si="17"/>
        <v>7.1865443425076447E-2</v>
      </c>
      <c r="AA333" s="8">
        <f t="shared" si="17"/>
        <v>7.5766871165644178E-2</v>
      </c>
      <c r="AB333" s="8">
        <f t="shared" si="17"/>
        <v>7.6337448559670784E-2</v>
      </c>
      <c r="AC333" s="8">
        <f t="shared" si="17"/>
        <v>7.6470588235294124E-2</v>
      </c>
      <c r="AD333" s="8">
        <f t="shared" si="17"/>
        <v>7.6357466063348409E-2</v>
      </c>
      <c r="AE333" s="8">
        <f t="shared" si="17"/>
        <v>7.5445816186556922E-2</v>
      </c>
      <c r="AF333" s="8">
        <f t="shared" si="17"/>
        <v>7.6458112407211037E-2</v>
      </c>
      <c r="AG333" s="8">
        <f t="shared" si="17"/>
        <v>7.0940170940170938E-2</v>
      </c>
      <c r="AH333" s="8">
        <f t="shared" si="17"/>
        <v>7.1857619577308129E-2</v>
      </c>
      <c r="AI333" s="8">
        <f t="shared" si="17"/>
        <v>7.0270270270270274E-2</v>
      </c>
      <c r="AJ333" s="8">
        <f t="shared" si="17"/>
        <v>7.1828908554572274E-2</v>
      </c>
      <c r="AK333" s="8">
        <f t="shared" si="17"/>
        <v>7.1503496503496494E-2</v>
      </c>
      <c r="AL333" s="8">
        <f t="shared" si="17"/>
        <v>7.1775417298937785E-2</v>
      </c>
      <c r="AM333" s="8">
        <f t="shared" si="17"/>
        <v>7.1476510067114085E-2</v>
      </c>
      <c r="AN333" s="8">
        <f t="shared" si="17"/>
        <v>7.1556350626118065E-2</v>
      </c>
      <c r="AO333" s="8">
        <f t="shared" si="17"/>
        <v>7.1458333333333332E-2</v>
      </c>
      <c r="AP333" s="8">
        <f t="shared" si="17"/>
        <v>7.1973466003316749E-2</v>
      </c>
      <c r="AQ333" s="8">
        <f t="shared" si="17"/>
        <v>7.0629370629370636E-2</v>
      </c>
      <c r="AR333" s="8">
        <f t="shared" si="17"/>
        <v>7.1639344262295082E-2</v>
      </c>
      <c r="AS333" s="9"/>
    </row>
    <row r="334" spans="24:45" x14ac:dyDescent="0.3">
      <c r="X334" s="1" t="s">
        <v>68</v>
      </c>
      <c r="Y334" s="8">
        <f t="shared" si="18"/>
        <v>0.12631065593757618</v>
      </c>
      <c r="Z334" s="8">
        <f t="shared" si="17"/>
        <v>7.1853388658367906E-2</v>
      </c>
      <c r="AA334" s="8">
        <f t="shared" si="17"/>
        <v>0.11806880601329865</v>
      </c>
      <c r="AB334" s="8">
        <f t="shared" si="17"/>
        <v>7.6303854875283447E-2</v>
      </c>
      <c r="AC334" s="8">
        <f t="shared" si="17"/>
        <v>0.19374437443744374</v>
      </c>
      <c r="AD334" s="8">
        <f t="shared" si="17"/>
        <v>0.14367931472930467</v>
      </c>
      <c r="AE334" s="8">
        <f t="shared" si="17"/>
        <v>9.6650546301271734E-2</v>
      </c>
      <c r="AF334" s="8">
        <f t="shared" si="17"/>
        <v>9.0448601224962746E-2</v>
      </c>
      <c r="AG334" s="8">
        <f t="shared" si="17"/>
        <v>0.15155956407365651</v>
      </c>
      <c r="AH334" s="8">
        <f t="shared" si="17"/>
        <v>7.8673351330505195E-2</v>
      </c>
      <c r="AI334" s="8">
        <f t="shared" si="17"/>
        <v>0.15858649456949472</v>
      </c>
      <c r="AJ334" s="8">
        <f t="shared" si="17"/>
        <v>7.9585811475760562E-2</v>
      </c>
      <c r="AK334" s="8">
        <f t="shared" si="17"/>
        <v>0.16730289237997356</v>
      </c>
      <c r="AL334" s="8">
        <f t="shared" si="17"/>
        <v>8.1739421587912781E-2</v>
      </c>
      <c r="AM334" s="8">
        <f t="shared" si="17"/>
        <v>0.1703530494115843</v>
      </c>
      <c r="AN334" s="8">
        <f t="shared" si="17"/>
        <v>7.5096737209191231E-2</v>
      </c>
      <c r="AO334" s="8">
        <f t="shared" si="17"/>
        <v>8.7371935075400017E-2</v>
      </c>
      <c r="AP334" s="8">
        <f t="shared" si="17"/>
        <v>7.5611493706957966E-2</v>
      </c>
      <c r="AQ334" s="8">
        <f t="shared" si="17"/>
        <v>7.244696881882462E-2</v>
      </c>
      <c r="AR334" s="8">
        <f t="shared" si="17"/>
        <v>7.4595399020276551E-2</v>
      </c>
      <c r="AS334" s="9"/>
    </row>
    <row r="335" spans="24:45" x14ac:dyDescent="0.3">
      <c r="X335" s="1" t="s">
        <v>69</v>
      </c>
      <c r="Y335" s="8">
        <f t="shared" si="18"/>
        <v>0.13122947308296443</v>
      </c>
      <c r="Z335" s="8">
        <f t="shared" si="17"/>
        <v>8.236514522821578E-2</v>
      </c>
      <c r="AA335" s="8">
        <f t="shared" si="17"/>
        <v>0.1226430298146656</v>
      </c>
      <c r="AB335" s="8">
        <f t="shared" si="17"/>
        <v>7.6262626262626254E-2</v>
      </c>
      <c r="AC335" s="8">
        <f t="shared" si="17"/>
        <v>0.13894402540690751</v>
      </c>
      <c r="AD335" s="8">
        <f t="shared" si="17"/>
        <v>0.12758277321384118</v>
      </c>
      <c r="AE335" s="8">
        <f t="shared" si="17"/>
        <v>0.11842532467532467</v>
      </c>
      <c r="AF335" s="8">
        <f t="shared" si="17"/>
        <v>7.6540755467196825E-2</v>
      </c>
      <c r="AG335" s="8">
        <f t="shared" si="17"/>
        <v>0.11474285714285715</v>
      </c>
      <c r="AH335" s="8">
        <f t="shared" si="17"/>
        <v>7.2094995759117902E-2</v>
      </c>
      <c r="AI335" s="8">
        <f t="shared" si="17"/>
        <v>0.11502659574468084</v>
      </c>
      <c r="AJ335" s="8">
        <f t="shared" si="17"/>
        <v>7.3071914339458838E-2</v>
      </c>
      <c r="AK335" s="8">
        <f t="shared" si="17"/>
        <v>0.11643993543924373</v>
      </c>
      <c r="AL335" s="8">
        <f t="shared" si="17"/>
        <v>7.267683772538143E-2</v>
      </c>
      <c r="AM335" s="8">
        <f t="shared" si="17"/>
        <v>8.7045813586097948E-2</v>
      </c>
      <c r="AN335" s="8">
        <f t="shared" si="17"/>
        <v>7.3042505592841159E-2</v>
      </c>
      <c r="AO335" s="8">
        <f t="shared" si="17"/>
        <v>7.2151898734177211E-2</v>
      </c>
      <c r="AP335" s="8">
        <f t="shared" si="17"/>
        <v>7.6533742331288346E-2</v>
      </c>
      <c r="AQ335" s="8">
        <f t="shared" si="17"/>
        <v>7.5230566534914375E-2</v>
      </c>
      <c r="AR335" s="8">
        <f t="shared" si="17"/>
        <v>7.6565143824027085E-2</v>
      </c>
      <c r="AS335" s="9"/>
    </row>
    <row r="336" spans="24:45" x14ac:dyDescent="0.3">
      <c r="X336" s="1" t="s">
        <v>70</v>
      </c>
      <c r="Y336" s="8">
        <f t="shared" si="18"/>
        <v>0.12749428789032749</v>
      </c>
      <c r="Z336" s="8">
        <f t="shared" si="17"/>
        <v>9.9435028248587562E-2</v>
      </c>
      <c r="AA336" s="8">
        <f t="shared" si="17"/>
        <v>0.11137440758293839</v>
      </c>
      <c r="AB336" s="8">
        <f t="shared" si="17"/>
        <v>7.6089385474860327E-2</v>
      </c>
      <c r="AC336" s="8">
        <f t="shared" si="17"/>
        <v>0.12717514124293786</v>
      </c>
      <c r="AD336" s="8">
        <f t="shared" si="17"/>
        <v>0.12333894815646643</v>
      </c>
      <c r="AE336" s="8">
        <f t="shared" si="17"/>
        <v>7.6437054631828982E-2</v>
      </c>
      <c r="AF336" s="8">
        <f t="shared" si="17"/>
        <v>0.10208504801097394</v>
      </c>
      <c r="AG336" s="8">
        <f t="shared" si="17"/>
        <v>8.2830626450116018E-2</v>
      </c>
      <c r="AH336" s="8">
        <f t="shared" si="17"/>
        <v>8.9815498154981549E-2</v>
      </c>
      <c r="AI336" s="8">
        <f t="shared" si="17"/>
        <v>7.4182344428364688E-2</v>
      </c>
      <c r="AJ336" s="8">
        <f t="shared" si="17"/>
        <v>7.1710914454277283E-2</v>
      </c>
      <c r="AK336" s="8">
        <f t="shared" si="17"/>
        <v>7.2070844686648497E-2</v>
      </c>
      <c r="AL336" s="8">
        <f t="shared" si="17"/>
        <v>7.1825613079019066E-2</v>
      </c>
      <c r="AM336" s="8">
        <f t="shared" si="17"/>
        <v>7.2194444444444436E-2</v>
      </c>
      <c r="AN336" s="8">
        <f t="shared" si="17"/>
        <v>7.2135785007072142E-2</v>
      </c>
      <c r="AO336" s="8">
        <f t="shared" si="17"/>
        <v>7.2324929971988791E-2</v>
      </c>
      <c r="AP336" s="8">
        <f t="shared" si="17"/>
        <v>7.2106135986733003E-2</v>
      </c>
      <c r="AQ336" s="8">
        <f t="shared" si="17"/>
        <v>7.2365930599369091E-2</v>
      </c>
      <c r="AR336" s="8">
        <f t="shared" si="17"/>
        <v>7.1704918032786891E-2</v>
      </c>
      <c r="AS336" s="9"/>
    </row>
    <row r="337" spans="24:45" x14ac:dyDescent="0.3">
      <c r="X337" s="1" t="s">
        <v>71</v>
      </c>
      <c r="Y337" s="8">
        <f t="shared" si="18"/>
        <v>7.7783063748810652E-2</v>
      </c>
      <c r="Z337" s="8">
        <f t="shared" si="17"/>
        <v>7.7770973668095517E-2</v>
      </c>
      <c r="AA337" s="8">
        <f t="shared" si="17"/>
        <v>0.10592417061611376</v>
      </c>
      <c r="AB337" s="8">
        <f t="shared" si="17"/>
        <v>8.0206985769728331E-2</v>
      </c>
      <c r="AC337" s="8">
        <f t="shared" si="17"/>
        <v>0.12992398064961991</v>
      </c>
      <c r="AD337" s="8">
        <f t="shared" si="17"/>
        <v>0.12227074235807858</v>
      </c>
      <c r="AE337" s="8">
        <f t="shared" si="17"/>
        <v>8.2493368700265246E-2</v>
      </c>
      <c r="AF337" s="8">
        <f t="shared" si="17"/>
        <v>0.12099187687045745</v>
      </c>
      <c r="AG337" s="8">
        <f t="shared" si="17"/>
        <v>7.7591036414565814E-2</v>
      </c>
      <c r="AH337" s="8">
        <f t="shared" si="17"/>
        <v>0.10069862683690677</v>
      </c>
      <c r="AI337" s="8">
        <f t="shared" si="17"/>
        <v>7.6849642004773275E-2</v>
      </c>
      <c r="AJ337" s="8">
        <f t="shared" si="17"/>
        <v>9.83078162771958E-2</v>
      </c>
      <c r="AK337" s="8">
        <f t="shared" si="17"/>
        <v>7.715070809554006E-2</v>
      </c>
      <c r="AL337" s="8">
        <f t="shared" si="17"/>
        <v>8.3620689655172428E-2</v>
      </c>
      <c r="AM337" s="8">
        <f t="shared" si="17"/>
        <v>7.7090592334494765E-2</v>
      </c>
      <c r="AN337" s="8">
        <f t="shared" si="17"/>
        <v>8.3892617449664419E-2</v>
      </c>
      <c r="AO337" s="8">
        <f t="shared" si="17"/>
        <v>7.7354476890350021E-2</v>
      </c>
      <c r="AP337" s="8">
        <f t="shared" si="17"/>
        <v>7.5939558310732264E-2</v>
      </c>
      <c r="AQ337" s="8">
        <f t="shared" si="17"/>
        <v>7.7560975609756097E-2</v>
      </c>
      <c r="AR337" s="8">
        <f t="shared" si="17"/>
        <v>7.7170418006430874E-2</v>
      </c>
      <c r="AS337" s="9"/>
    </row>
    <row r="338" spans="24:45" x14ac:dyDescent="0.3">
      <c r="X338" s="1" t="s">
        <v>72</v>
      </c>
      <c r="Y338" s="8">
        <f t="shared" si="18"/>
        <v>0.11867448259361167</v>
      </c>
      <c r="Z338" s="8">
        <f t="shared" si="17"/>
        <v>0.11828452847590498</v>
      </c>
      <c r="AA338" s="8">
        <f t="shared" si="17"/>
        <v>8.0162430440667773E-2</v>
      </c>
      <c r="AB338" s="8">
        <f t="shared" si="17"/>
        <v>9.8204994797086373E-2</v>
      </c>
      <c r="AC338" s="8">
        <f t="shared" si="17"/>
        <v>0.14580152671755725</v>
      </c>
      <c r="AD338" s="8">
        <f t="shared" si="17"/>
        <v>0.11779907397437277</v>
      </c>
      <c r="AE338" s="8">
        <f t="shared" si="17"/>
        <v>9.9187310290805852E-2</v>
      </c>
      <c r="AF338" s="8">
        <f t="shared" si="17"/>
        <v>0.1732088937688718</v>
      </c>
      <c r="AG338" s="8">
        <f t="shared" si="17"/>
        <v>7.8132726733260813E-2</v>
      </c>
      <c r="AH338" s="8">
        <f t="shared" si="17"/>
        <v>0.14355255314921517</v>
      </c>
      <c r="AI338" s="8">
        <f t="shared" si="17"/>
        <v>8.4230012727062362E-2</v>
      </c>
      <c r="AJ338" s="8">
        <f t="shared" si="17"/>
        <v>0.14276853096247286</v>
      </c>
      <c r="AK338" s="8">
        <f t="shared" si="17"/>
        <v>8.4729649435531795E-2</v>
      </c>
      <c r="AL338" s="8">
        <f t="shared" si="17"/>
        <v>0.13015873015873014</v>
      </c>
      <c r="AM338" s="8">
        <f t="shared" si="17"/>
        <v>9.2686667305664716E-2</v>
      </c>
      <c r="AN338" s="8">
        <f t="shared" si="17"/>
        <v>0.10454231944033895</v>
      </c>
      <c r="AO338" s="8">
        <f t="shared" si="17"/>
        <v>7.7105697770437659E-2</v>
      </c>
      <c r="AP338" s="8">
        <f t="shared" si="17"/>
        <v>7.6725978647686835E-2</v>
      </c>
      <c r="AQ338" s="8">
        <f t="shared" si="17"/>
        <v>7.7079365079365081E-2</v>
      </c>
      <c r="AR338" s="8">
        <f t="shared" si="17"/>
        <v>7.6910299003322261E-2</v>
      </c>
      <c r="AS338" s="9"/>
    </row>
    <row r="339" spans="24:45" x14ac:dyDescent="0.3">
      <c r="X339" s="1" t="s">
        <v>73</v>
      </c>
      <c r="Y339" s="8">
        <f t="shared" si="18"/>
        <v>8.0107526881720445E-2</v>
      </c>
      <c r="Z339" s="8">
        <f t="shared" si="17"/>
        <v>7.8078078078078081E-2</v>
      </c>
      <c r="AA339" s="8">
        <f t="shared" si="17"/>
        <v>8.2456140350877186E-2</v>
      </c>
      <c r="AB339" s="8">
        <f t="shared" si="17"/>
        <v>8.3006535947712429E-2</v>
      </c>
      <c r="AC339" s="8">
        <f t="shared" si="17"/>
        <v>4.9999999999999996E-2</v>
      </c>
      <c r="AD339" s="8">
        <f t="shared" si="17"/>
        <v>8.3006535947712429E-2</v>
      </c>
      <c r="AE339" s="8">
        <f t="shared" si="17"/>
        <v>6.2831858407079652E-2</v>
      </c>
      <c r="AF339" s="8">
        <f t="shared" si="17"/>
        <v>8.9491916859122403E-2</v>
      </c>
      <c r="AG339" s="8">
        <f t="shared" si="17"/>
        <v>8.6486486486486477E-2</v>
      </c>
      <c r="AH339" s="8">
        <f t="shared" si="17"/>
        <v>8.140670791273201E-2</v>
      </c>
      <c r="AI339" s="8">
        <f t="shared" si="17"/>
        <v>8.9147286821705418E-2</v>
      </c>
      <c r="AJ339" s="8">
        <f t="shared" si="17"/>
        <v>8.0798479087452468E-2</v>
      </c>
      <c r="AK339" s="8">
        <f t="shared" si="17"/>
        <v>8.9272030651340997E-2</v>
      </c>
      <c r="AL339" s="8">
        <f t="shared" si="17"/>
        <v>7.8E-2</v>
      </c>
      <c r="AM339" s="8">
        <f t="shared" si="17"/>
        <v>9.1999999999999998E-2</v>
      </c>
      <c r="AN339" s="8">
        <f t="shared" si="17"/>
        <v>8.533333333333333E-2</v>
      </c>
      <c r="AO339" s="8">
        <f t="shared" si="17"/>
        <v>9.6000000000000002E-2</v>
      </c>
      <c r="AP339" s="8">
        <f t="shared" si="17"/>
        <v>9.3333333333333324E-2</v>
      </c>
      <c r="AQ339" s="8">
        <f t="shared" si="17"/>
        <v>7.8666666666666663E-2</v>
      </c>
      <c r="AR339" s="8">
        <f t="shared" si="17"/>
        <v>8.8172043010752682E-2</v>
      </c>
      <c r="AS339" s="9"/>
    </row>
    <row r="340" spans="24:45" x14ac:dyDescent="0.3">
      <c r="AS340" s="9">
        <f>AVERAGE(Y332:AR339)</f>
        <v>8.5991411707078955E-2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Y262:AR2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2026-01-26T14:33:02Z</dcterms:created>
  <dcterms:modified xsi:type="dcterms:W3CDTF">2026-01-26T15:56:03Z</dcterms:modified>
</cp:coreProperties>
</file>