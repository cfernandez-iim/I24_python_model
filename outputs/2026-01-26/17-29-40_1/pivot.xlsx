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6\17-29-40_1\"/>
    </mc:Choice>
  </mc:AlternateContent>
  <xr:revisionPtr revIDLastSave="0" documentId="13_ncr:1_{871F3000-159F-44F5-8C88-C732049DCE5F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11" i="2" l="1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AS312" i="2" s="1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AS298" i="2" s="1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S284" i="2" s="1"/>
  <c r="AA276" i="2"/>
  <c r="Z276" i="2"/>
  <c r="Y276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AS270" i="2" s="1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AS256" i="2" s="1"/>
  <c r="Y248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AS241" i="2" s="1"/>
  <c r="W87" i="2"/>
  <c r="W45" i="2"/>
  <c r="W101" i="2" s="1"/>
  <c r="W73" i="2" l="1"/>
  <c r="W116" i="2" s="1"/>
  <c r="W59" i="2"/>
</calcChain>
</file>

<file path=xl/sharedStrings.xml><?xml version="1.0" encoding="utf-8"?>
<sst xmlns="http://schemas.openxmlformats.org/spreadsheetml/2006/main" count="3304" uniqueCount="80">
  <si>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</si>
  <si>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</si>
  <si>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</si>
  <si>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</si>
  <si>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</si>
  <si>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</si>
  <si>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</si>
  <si>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</si>
  <si>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</si>
  <si>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</si>
  <si>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</si>
  <si>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</si>
  <si>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</si>
  <si>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</si>
  <si>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</si>
  <si>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</si>
  <si>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</si>
  <si>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</si>
  <si>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</si>
  <si>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</si>
  <si>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</si>
  <si>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</si>
  <si>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</si>
  <si>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</si>
  <si>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</si>
  <si>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</si>
  <si>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</si>
  <si>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</si>
  <si>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</si>
  <si>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</si>
  <si>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</si>
  <si>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</si>
  <si>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</si>
  <si>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</si>
  <si>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</si>
  <si>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</si>
  <si>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</si>
  <si>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</si>
  <si>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</si>
  <si>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</si>
  <si>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</si>
  <si>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</si>
  <si>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</si>
  <si>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</si>
  <si>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</si>
  <si>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</si>
  <si>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</si>
  <si>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</si>
  <si>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</si>
  <si>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</si>
  <si>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</si>
  <si>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</si>
  <si>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</si>
  <si>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</si>
  <si>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</si>
  <si>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</si>
  <si>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</si>
  <si>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</si>
  <si>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</si>
  <si>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</si>
  <si>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</si>
  <si>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</si>
  <si>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</si>
  <si>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</si>
  <si>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</si>
  <si>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</si>
  <si>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</si>
  <si>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</si>
  <si>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</si>
  <si>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</si>
  <si>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</si>
  <si>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</si>
  <si>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</si>
  <si>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</si>
  <si>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 Heavies</t>
  </si>
  <si>
    <t>Capture Medium</t>
  </si>
  <si>
    <t>ML Medium A</t>
  </si>
  <si>
    <t>ML Medium B</t>
  </si>
  <si>
    <t>ML Heavy A</t>
  </si>
  <si>
    <t>ML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</si>
</sst>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164" fontId="0" fillId="0" borderId="0" xfId="1" applyNumberFormat="1" applyFont="1"/>
    <xf numFmtId="164" fontId="0" fillId="0" borderId="0" xfId="0" applyNumberFormat="1"/>
    <xf numFmtId="9" fontId="0" fillId="0" borderId="2" xfId="1" applyFont="1" applyBorder="1"/>
    <xf numFmtId="10" fontId="0" fillId="0" borderId="0" xfId="0" applyNumberFormat="1"/>
    <xf numFmtId="0" fontId="1" fillId="0" borderId="0" xfId="0" applyFont="1" applyAlignment="1">
      <alignment horizontal="center" vertical="top"/>
    </xf>
    <xf numFmtId="164" fontId="0" fillId="0" borderId="2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312"/>
  <sheetViews>
    <sheetView tabSelected="1" topLeftCell="V232" zoomScale="63" workbookViewId="0">
      <selection activeCell="X229" sqref="X229:AS31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63</v>
      </c>
      <c r="D6" s="1" t="s">
        <v>64</v>
      </c>
      <c r="E6" s="1" t="s">
        <v>63</v>
      </c>
      <c r="F6" s="1" t="s">
        <v>64</v>
      </c>
      <c r="G6" s="1" t="s">
        <v>63</v>
      </c>
      <c r="H6" s="1" t="s">
        <v>64</v>
      </c>
      <c r="I6" s="1" t="s">
        <v>63</v>
      </c>
      <c r="J6" s="1" t="s">
        <v>64</v>
      </c>
      <c r="K6" s="1" t="s">
        <v>63</v>
      </c>
      <c r="L6" s="1" t="s">
        <v>64</v>
      </c>
      <c r="M6" s="1" t="s">
        <v>63</v>
      </c>
      <c r="N6" s="1" t="s">
        <v>64</v>
      </c>
      <c r="O6" s="1" t="s">
        <v>63</v>
      </c>
      <c r="P6" s="1" t="s">
        <v>64</v>
      </c>
      <c r="Q6" s="1" t="s">
        <v>63</v>
      </c>
      <c r="R6" s="1" t="s">
        <v>64</v>
      </c>
      <c r="S6" s="1" t="s">
        <v>63</v>
      </c>
      <c r="T6" s="1" t="s">
        <v>64</v>
      </c>
      <c r="U6" s="1" t="s">
        <v>63</v>
      </c>
      <c r="V6" s="1" t="s">
        <v>64</v>
      </c>
      <c r="X6" s="1" t="s">
        <v>6</v>
      </c>
      <c r="Y6" s="1" t="s">
        <v>63</v>
      </c>
      <c r="Z6" s="1" t="s">
        <v>64</v>
      </c>
      <c r="AA6" s="1" t="s">
        <v>63</v>
      </c>
      <c r="AB6" s="1" t="s">
        <v>64</v>
      </c>
      <c r="AC6" s="1" t="s">
        <v>63</v>
      </c>
      <c r="AD6" s="1" t="s">
        <v>64</v>
      </c>
      <c r="AE6" s="1" t="s">
        <v>63</v>
      </c>
      <c r="AF6" s="1" t="s">
        <v>64</v>
      </c>
      <c r="AG6" s="1" t="s">
        <v>63</v>
      </c>
      <c r="AH6" s="1" t="s">
        <v>64</v>
      </c>
      <c r="AI6" s="1" t="s">
        <v>63</v>
      </c>
      <c r="AJ6" s="1" t="s">
        <v>64</v>
      </c>
      <c r="AK6" s="1" t="s">
        <v>63</v>
      </c>
      <c r="AL6" s="1" t="s">
        <v>64</v>
      </c>
      <c r="AM6" s="1" t="s">
        <v>63</v>
      </c>
      <c r="AN6" s="1" t="s">
        <v>64</v>
      </c>
      <c r="AO6" s="1" t="s">
        <v>63</v>
      </c>
      <c r="AP6" s="1" t="s">
        <v>64</v>
      </c>
      <c r="AQ6" s="1" t="s">
        <v>63</v>
      </c>
      <c r="AR6" s="1" t="s">
        <v>64</v>
      </c>
      <c r="AU6" s="1" t="s">
        <v>6</v>
      </c>
      <c r="AV6" s="1" t="s">
        <v>63</v>
      </c>
      <c r="AW6" s="1" t="s">
        <v>64</v>
      </c>
      <c r="AX6" s="1" t="s">
        <v>63</v>
      </c>
      <c r="AY6" s="1" t="s">
        <v>64</v>
      </c>
      <c r="AZ6" s="1" t="s">
        <v>63</v>
      </c>
      <c r="BA6" s="1" t="s">
        <v>64</v>
      </c>
      <c r="BB6" s="1" t="s">
        <v>63</v>
      </c>
      <c r="BC6" s="1" t="s">
        <v>64</v>
      </c>
      <c r="BD6" s="1" t="s">
        <v>63</v>
      </c>
      <c r="BE6" s="1" t="s">
        <v>64</v>
      </c>
      <c r="BF6" s="1" t="s">
        <v>63</v>
      </c>
      <c r="BG6" s="1" t="s">
        <v>64</v>
      </c>
      <c r="BH6" s="1" t="s">
        <v>63</v>
      </c>
      <c r="BI6" s="1" t="s">
        <v>64</v>
      </c>
      <c r="BJ6" s="1" t="s">
        <v>63</v>
      </c>
      <c r="BK6" s="1" t="s">
        <v>64</v>
      </c>
      <c r="BL6" s="1" t="s">
        <v>63</v>
      </c>
      <c r="BM6" s="1" t="s">
        <v>64</v>
      </c>
      <c r="BN6" s="1" t="s">
        <v>63</v>
      </c>
      <c r="BO6" s="1" t="s">
        <v>64</v>
      </c>
      <c r="BR6" s="1" t="s">
        <v>6</v>
      </c>
      <c r="BS6" s="1" t="s">
        <v>63</v>
      </c>
      <c r="BT6" s="1" t="s">
        <v>64</v>
      </c>
      <c r="BU6" s="1" t="s">
        <v>63</v>
      </c>
      <c r="BV6" s="1" t="s">
        <v>64</v>
      </c>
      <c r="BW6" s="1" t="s">
        <v>63</v>
      </c>
      <c r="BX6" s="1" t="s">
        <v>64</v>
      </c>
      <c r="BY6" s="1" t="s">
        <v>63</v>
      </c>
      <c r="BZ6" s="1" t="s">
        <v>64</v>
      </c>
      <c r="CA6" s="1" t="s">
        <v>63</v>
      </c>
      <c r="CB6" s="1" t="s">
        <v>64</v>
      </c>
      <c r="CC6" s="1" t="s">
        <v>63</v>
      </c>
      <c r="CD6" s="1" t="s">
        <v>64</v>
      </c>
      <c r="CE6" s="1" t="s">
        <v>63</v>
      </c>
      <c r="CF6" s="1" t="s">
        <v>64</v>
      </c>
      <c r="CG6" s="1" t="s">
        <v>63</v>
      </c>
      <c r="CH6" s="1" t="s">
        <v>64</v>
      </c>
      <c r="CI6" s="1" t="s">
        <v>63</v>
      </c>
      <c r="CJ6" s="1" t="s">
        <v>64</v>
      </c>
      <c r="CK6" s="1" t="s">
        <v>63</v>
      </c>
      <c r="CL6" s="1" t="s">
        <v>64</v>
      </c>
    </row>
    <row r="7" spans="2:90" x14ac:dyDescent="0.3">
      <c r="B7" s="1" t="s">
        <v>65</v>
      </c>
      <c r="C7" s="1" t="s">
        <v>53</v>
      </c>
      <c r="D7" s="1" t="s">
        <v>53</v>
      </c>
      <c r="E7" s="1" t="s">
        <v>54</v>
      </c>
      <c r="F7" s="1" t="s">
        <v>54</v>
      </c>
      <c r="G7" s="1" t="s">
        <v>55</v>
      </c>
      <c r="H7" s="1" t="s">
        <v>55</v>
      </c>
      <c r="I7" s="1" t="s">
        <v>56</v>
      </c>
      <c r="J7" s="1" t="s">
        <v>56</v>
      </c>
      <c r="K7" s="1" t="s">
        <v>57</v>
      </c>
      <c r="L7" s="1" t="s">
        <v>57</v>
      </c>
      <c r="M7" s="1" t="s">
        <v>58</v>
      </c>
      <c r="N7" s="1" t="s">
        <v>58</v>
      </c>
      <c r="O7" s="1" t="s">
        <v>59</v>
      </c>
      <c r="P7" s="1" t="s">
        <v>59</v>
      </c>
      <c r="Q7" s="1" t="s">
        <v>60</v>
      </c>
      <c r="R7" s="1" t="s">
        <v>60</v>
      </c>
      <c r="S7" s="1" t="s">
        <v>61</v>
      </c>
      <c r="T7" s="1" t="s">
        <v>61</v>
      </c>
      <c r="U7" s="1" t="s">
        <v>62</v>
      </c>
      <c r="V7" s="1" t="s">
        <v>62</v>
      </c>
      <c r="X7" s="1" t="s">
        <v>65</v>
      </c>
      <c r="Y7" s="1" t="s">
        <v>53</v>
      </c>
      <c r="Z7" s="1" t="s">
        <v>53</v>
      </c>
      <c r="AA7" s="1" t="s">
        <v>54</v>
      </c>
      <c r="AB7" s="1" t="s">
        <v>54</v>
      </c>
      <c r="AC7" s="1" t="s">
        <v>55</v>
      </c>
      <c r="AD7" s="1" t="s">
        <v>55</v>
      </c>
      <c r="AE7" s="1" t="s">
        <v>56</v>
      </c>
      <c r="AF7" s="1" t="s">
        <v>56</v>
      </c>
      <c r="AG7" s="1" t="s">
        <v>57</v>
      </c>
      <c r="AH7" s="1" t="s">
        <v>57</v>
      </c>
      <c r="AI7" s="1" t="s">
        <v>58</v>
      </c>
      <c r="AJ7" s="1" t="s">
        <v>58</v>
      </c>
      <c r="AK7" s="1" t="s">
        <v>59</v>
      </c>
      <c r="AL7" s="1" t="s">
        <v>59</v>
      </c>
      <c r="AM7" s="1" t="s">
        <v>60</v>
      </c>
      <c r="AN7" s="1" t="s">
        <v>60</v>
      </c>
      <c r="AO7" s="1" t="s">
        <v>61</v>
      </c>
      <c r="AP7" s="1" t="s">
        <v>61</v>
      </c>
      <c r="AQ7" s="1" t="s">
        <v>62</v>
      </c>
      <c r="AR7" s="1" t="s">
        <v>62</v>
      </c>
      <c r="AU7" s="1" t="s">
        <v>65</v>
      </c>
      <c r="AV7" s="1" t="s">
        <v>53</v>
      </c>
      <c r="AW7" s="1" t="s">
        <v>53</v>
      </c>
      <c r="AX7" s="1" t="s">
        <v>54</v>
      </c>
      <c r="AY7" s="1" t="s">
        <v>54</v>
      </c>
      <c r="AZ7" s="1" t="s">
        <v>55</v>
      </c>
      <c r="BA7" s="1" t="s">
        <v>55</v>
      </c>
      <c r="BB7" s="1" t="s">
        <v>56</v>
      </c>
      <c r="BC7" s="1" t="s">
        <v>56</v>
      </c>
      <c r="BD7" s="1" t="s">
        <v>57</v>
      </c>
      <c r="BE7" s="1" t="s">
        <v>57</v>
      </c>
      <c r="BF7" s="1" t="s">
        <v>58</v>
      </c>
      <c r="BG7" s="1" t="s">
        <v>58</v>
      </c>
      <c r="BH7" s="1" t="s">
        <v>59</v>
      </c>
      <c r="BI7" s="1" t="s">
        <v>59</v>
      </c>
      <c r="BJ7" s="1" t="s">
        <v>60</v>
      </c>
      <c r="BK7" s="1" t="s">
        <v>60</v>
      </c>
      <c r="BL7" s="1" t="s">
        <v>61</v>
      </c>
      <c r="BM7" s="1" t="s">
        <v>61</v>
      </c>
      <c r="BN7" s="1" t="s">
        <v>62</v>
      </c>
      <c r="BO7" s="1" t="s">
        <v>62</v>
      </c>
      <c r="BR7" s="1" t="s">
        <v>65</v>
      </c>
      <c r="BS7" s="1" t="s">
        <v>53</v>
      </c>
      <c r="BT7" s="1" t="s">
        <v>53</v>
      </c>
      <c r="BU7" s="1" t="s">
        <v>54</v>
      </c>
      <c r="BV7" s="1" t="s">
        <v>54</v>
      </c>
      <c r="BW7" s="1" t="s">
        <v>55</v>
      </c>
      <c r="BX7" s="1" t="s">
        <v>55</v>
      </c>
      <c r="BY7" s="1" t="s">
        <v>56</v>
      </c>
      <c r="BZ7" s="1" t="s">
        <v>56</v>
      </c>
      <c r="CA7" s="1" t="s">
        <v>57</v>
      </c>
      <c r="CB7" s="1" t="s">
        <v>57</v>
      </c>
      <c r="CC7" s="1" t="s">
        <v>58</v>
      </c>
      <c r="CD7" s="1" t="s">
        <v>58</v>
      </c>
      <c r="CE7" s="1" t="s">
        <v>59</v>
      </c>
      <c r="CF7" s="1" t="s">
        <v>59</v>
      </c>
      <c r="CG7" s="1" t="s">
        <v>60</v>
      </c>
      <c r="CH7" s="1" t="s">
        <v>60</v>
      </c>
      <c r="CI7" s="1" t="s">
        <v>61</v>
      </c>
      <c r="CJ7" s="1" t="s">
        <v>61</v>
      </c>
      <c r="CK7" s="1" t="s">
        <v>62</v>
      </c>
      <c r="CL7" s="1" t="s">
        <v>62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66</v>
      </c>
      <c r="Y9" s="2">
        <v>4547.2700000000004</v>
      </c>
      <c r="Z9" s="2">
        <v>4327.96</v>
      </c>
      <c r="AA9" s="2">
        <v>1027.75</v>
      </c>
      <c r="AB9" s="2">
        <v>942.25</v>
      </c>
      <c r="AC9" s="2">
        <v>323.2</v>
      </c>
      <c r="AD9" s="2">
        <v>492.8</v>
      </c>
      <c r="AE9" s="2">
        <v>3553.2</v>
      </c>
      <c r="AF9" s="2">
        <v>1834</v>
      </c>
      <c r="AG9" s="2">
        <v>6801.86</v>
      </c>
      <c r="AH9" s="2">
        <v>1871.8</v>
      </c>
      <c r="AI9" s="2">
        <v>12359.34</v>
      </c>
      <c r="AJ9" s="2">
        <v>2323.44</v>
      </c>
      <c r="AK9" s="2">
        <v>9447.07</v>
      </c>
      <c r="AL9" s="2">
        <v>485.04</v>
      </c>
      <c r="AM9" s="2">
        <v>8917.65</v>
      </c>
      <c r="AN9" s="2">
        <v>2371.39</v>
      </c>
      <c r="AO9" s="2">
        <v>560.92999999999995</v>
      </c>
      <c r="AP9" s="2">
        <v>427.04</v>
      </c>
      <c r="AQ9" s="2">
        <v>1268.44</v>
      </c>
      <c r="AR9" s="2">
        <v>599.08000000000004</v>
      </c>
      <c r="AU9" s="1" t="s">
        <v>66</v>
      </c>
      <c r="AV9" s="2">
        <v>21840</v>
      </c>
      <c r="AW9" s="2">
        <v>21840</v>
      </c>
      <c r="AX9" s="2">
        <v>18614.599999999999</v>
      </c>
      <c r="AY9" s="2">
        <v>17424.28</v>
      </c>
      <c r="AZ9" s="2">
        <v>6783.55</v>
      </c>
      <c r="BA9" s="2">
        <v>8400</v>
      </c>
      <c r="BB9" s="2">
        <v>26880</v>
      </c>
      <c r="BC9" s="2">
        <v>26880</v>
      </c>
      <c r="BD9" s="2">
        <v>33478.239999999998</v>
      </c>
      <c r="BE9" s="2">
        <v>33600</v>
      </c>
      <c r="BF9" s="2">
        <v>60480</v>
      </c>
      <c r="BG9" s="2">
        <v>60480</v>
      </c>
      <c r="BH9" s="2">
        <v>48440.41</v>
      </c>
      <c r="BI9" s="2">
        <v>48717.09</v>
      </c>
      <c r="BJ9" s="2">
        <v>63840</v>
      </c>
      <c r="BK9" s="2">
        <v>63840</v>
      </c>
      <c r="BL9" s="2">
        <v>56085.45</v>
      </c>
      <c r="BM9" s="2">
        <v>43180.51</v>
      </c>
      <c r="BN9" s="2">
        <v>75593.13</v>
      </c>
      <c r="BO9" s="2">
        <v>60208.52</v>
      </c>
      <c r="BR9" s="1" t="s">
        <v>66</v>
      </c>
      <c r="BS9" s="2">
        <v>26387.27</v>
      </c>
      <c r="BT9" s="2">
        <v>26167.96</v>
      </c>
      <c r="BU9" s="2">
        <v>19642.349999999999</v>
      </c>
      <c r="BV9" s="2">
        <v>18366.53</v>
      </c>
      <c r="BW9" s="2">
        <v>7106.75</v>
      </c>
      <c r="BX9" s="2">
        <v>8892.7999999999993</v>
      </c>
      <c r="BY9" s="2">
        <v>30433.200000000001</v>
      </c>
      <c r="BZ9" s="2">
        <v>28714</v>
      </c>
      <c r="CA9" s="2">
        <v>40280.1</v>
      </c>
      <c r="CB9" s="2">
        <v>35471.800000000003</v>
      </c>
      <c r="CC9" s="2">
        <v>72839.34</v>
      </c>
      <c r="CD9" s="2">
        <v>62803.44</v>
      </c>
      <c r="CE9" s="2">
        <v>57887.48</v>
      </c>
      <c r="CF9" s="2">
        <v>49202.12</v>
      </c>
      <c r="CG9" s="2">
        <v>72757.649999999994</v>
      </c>
      <c r="CH9" s="2">
        <v>66211.39</v>
      </c>
      <c r="CI9" s="2">
        <v>56646.38</v>
      </c>
      <c r="CJ9" s="2">
        <v>43607.55</v>
      </c>
      <c r="CK9" s="2">
        <v>76861.58</v>
      </c>
      <c r="CL9" s="2">
        <v>60807.6</v>
      </c>
    </row>
    <row r="10" spans="2:90" x14ac:dyDescent="0.3">
      <c r="B10" s="1" t="s">
        <v>67</v>
      </c>
      <c r="C10" s="2">
        <v>1.54</v>
      </c>
      <c r="D10" s="2">
        <v>0.82</v>
      </c>
      <c r="E10" s="2">
        <v>1.27</v>
      </c>
      <c r="F10" s="2">
        <v>0.78</v>
      </c>
      <c r="G10" s="2">
        <v>1.08</v>
      </c>
      <c r="H10" s="2">
        <v>1</v>
      </c>
      <c r="I10" s="2">
        <v>1.51</v>
      </c>
      <c r="J10" s="2">
        <v>1.46</v>
      </c>
      <c r="K10" s="2">
        <v>1.63</v>
      </c>
      <c r="L10" s="2">
        <v>1.1399999999999999</v>
      </c>
      <c r="M10" s="2">
        <v>1.8</v>
      </c>
      <c r="N10" s="2">
        <v>1.18</v>
      </c>
      <c r="O10" s="2">
        <v>1.74</v>
      </c>
      <c r="P10" s="2">
        <v>1.34</v>
      </c>
      <c r="Q10" s="2">
        <v>1.62</v>
      </c>
      <c r="R10" s="2">
        <v>1.22</v>
      </c>
      <c r="S10" s="2">
        <v>1.53</v>
      </c>
      <c r="T10" s="2">
        <v>0.92</v>
      </c>
      <c r="U10" s="2">
        <v>1.33</v>
      </c>
      <c r="V10" s="2">
        <v>0.76</v>
      </c>
      <c r="X10" s="1" t="s">
        <v>67</v>
      </c>
      <c r="Y10" s="2">
        <v>1115.92</v>
      </c>
      <c r="Z10" s="2">
        <v>734.18</v>
      </c>
      <c r="AA10" s="2">
        <v>1147.04</v>
      </c>
      <c r="AB10" s="2">
        <v>736.82</v>
      </c>
      <c r="AC10" s="2">
        <v>308.7</v>
      </c>
      <c r="AD10" s="2">
        <v>355.24</v>
      </c>
      <c r="AE10" s="2">
        <v>1552.02</v>
      </c>
      <c r="AF10" s="2">
        <v>1123.5</v>
      </c>
      <c r="AG10" s="2">
        <v>1814.85</v>
      </c>
      <c r="AH10" s="2">
        <v>1277.8800000000001</v>
      </c>
      <c r="AI10" s="2">
        <v>3526.65</v>
      </c>
      <c r="AJ10" s="2">
        <v>2336.5100000000002</v>
      </c>
      <c r="AK10" s="2">
        <v>2182.54</v>
      </c>
      <c r="AL10" s="2">
        <v>1995.69</v>
      </c>
      <c r="AM10" s="2">
        <v>2795.79</v>
      </c>
      <c r="AN10" s="2">
        <v>2557.16</v>
      </c>
      <c r="AO10" s="2">
        <v>2451.79</v>
      </c>
      <c r="AP10" s="2">
        <v>1926.1</v>
      </c>
      <c r="AQ10" s="2">
        <v>3710.92</v>
      </c>
      <c r="AR10" s="2">
        <v>2300.87</v>
      </c>
      <c r="AU10" s="1" t="s">
        <v>67</v>
      </c>
      <c r="AV10" s="2">
        <v>9575.74</v>
      </c>
      <c r="AW10" s="2">
        <v>6193.84</v>
      </c>
      <c r="AX10" s="2">
        <v>8843.2000000000007</v>
      </c>
      <c r="AY10" s="2">
        <v>5870.04</v>
      </c>
      <c r="AZ10" s="2">
        <v>2177.2800000000002</v>
      </c>
      <c r="BA10" s="2">
        <v>2839.23</v>
      </c>
      <c r="BB10" s="2">
        <v>12210.7</v>
      </c>
      <c r="BC10" s="2">
        <v>8215.7800000000007</v>
      </c>
      <c r="BD10" s="2">
        <v>15369.75</v>
      </c>
      <c r="BE10" s="2">
        <v>10195.620000000001</v>
      </c>
      <c r="BF10" s="2">
        <v>26538.21</v>
      </c>
      <c r="BG10" s="2">
        <v>18672.189999999999</v>
      </c>
      <c r="BH10" s="2">
        <v>18077.150000000001</v>
      </c>
      <c r="BI10" s="2">
        <v>16126.26</v>
      </c>
      <c r="BJ10" s="2">
        <v>23012.67</v>
      </c>
      <c r="BK10" s="2">
        <v>21356.43</v>
      </c>
      <c r="BL10" s="2">
        <v>20064.88</v>
      </c>
      <c r="BM10" s="2">
        <v>15113.85</v>
      </c>
      <c r="BN10" s="2">
        <v>32887.35</v>
      </c>
      <c r="BO10" s="2">
        <v>20846.46</v>
      </c>
      <c r="BR10" s="1" t="s">
        <v>67</v>
      </c>
      <c r="BS10" s="2">
        <v>10691.66</v>
      </c>
      <c r="BT10" s="2">
        <v>6928.02</v>
      </c>
      <c r="BU10" s="2">
        <v>9990.24</v>
      </c>
      <c r="BV10" s="2">
        <v>6606.86</v>
      </c>
      <c r="BW10" s="2">
        <v>2485.98</v>
      </c>
      <c r="BX10" s="2">
        <v>3194.48</v>
      </c>
      <c r="BY10" s="2">
        <v>13762.72</v>
      </c>
      <c r="BZ10" s="2">
        <v>9339.2800000000007</v>
      </c>
      <c r="CA10" s="2">
        <v>17184.599999999999</v>
      </c>
      <c r="CB10" s="2">
        <v>11473.5</v>
      </c>
      <c r="CC10" s="2">
        <v>30064.86</v>
      </c>
      <c r="CD10" s="2">
        <v>21008.7</v>
      </c>
      <c r="CE10" s="2">
        <v>20259.689999999999</v>
      </c>
      <c r="CF10" s="2">
        <v>18121.96</v>
      </c>
      <c r="CG10" s="2">
        <v>25808.46</v>
      </c>
      <c r="CH10" s="2">
        <v>23913.59</v>
      </c>
      <c r="CI10" s="2">
        <v>22516.67</v>
      </c>
      <c r="CJ10" s="2">
        <v>17039.95</v>
      </c>
      <c r="CK10" s="2">
        <v>36598.269999999997</v>
      </c>
      <c r="CL10" s="2">
        <v>23147.32</v>
      </c>
    </row>
    <row r="11" spans="2:90" x14ac:dyDescent="0.3">
      <c r="B11" s="1" t="s">
        <v>68</v>
      </c>
      <c r="C11" s="2">
        <v>3.6</v>
      </c>
      <c r="D11" s="2">
        <v>1.04</v>
      </c>
      <c r="E11" s="2">
        <v>4.0599999999999996</v>
      </c>
      <c r="F11" s="2">
        <v>0.88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1.62</v>
      </c>
      <c r="U11" s="2">
        <v>1.6</v>
      </c>
      <c r="V11" s="2">
        <v>1.39</v>
      </c>
      <c r="X11" s="1" t="s">
        <v>68</v>
      </c>
      <c r="Y11" s="2">
        <v>7330.64</v>
      </c>
      <c r="Z11" s="2">
        <v>1839.29</v>
      </c>
      <c r="AA11" s="2">
        <v>6886.34</v>
      </c>
      <c r="AB11" s="2">
        <v>1667.15</v>
      </c>
      <c r="AC11" s="2">
        <v>3079.56</v>
      </c>
      <c r="AD11" s="2">
        <v>2743.55</v>
      </c>
      <c r="AE11" s="2">
        <v>10144.94</v>
      </c>
      <c r="AF11" s="2">
        <v>4796.8100000000004</v>
      </c>
      <c r="AG11" s="2">
        <v>13420.63</v>
      </c>
      <c r="AH11" s="2">
        <v>4974.2700000000004</v>
      </c>
      <c r="AI11" s="2">
        <v>25771.81</v>
      </c>
      <c r="AJ11" s="2">
        <v>8963.25</v>
      </c>
      <c r="AK11" s="2">
        <v>19719.240000000002</v>
      </c>
      <c r="AL11" s="2">
        <v>7491.34</v>
      </c>
      <c r="AM11" s="2">
        <v>24970.22</v>
      </c>
      <c r="AN11" s="2">
        <v>8987.09</v>
      </c>
      <c r="AO11" s="2">
        <v>10154.84</v>
      </c>
      <c r="AP11" s="2">
        <v>6540.9</v>
      </c>
      <c r="AQ11" s="2">
        <v>8520.66</v>
      </c>
      <c r="AR11" s="2">
        <v>7743.93</v>
      </c>
      <c r="AU11" s="1" t="s">
        <v>68</v>
      </c>
      <c r="AV11" s="2">
        <v>30274.18</v>
      </c>
      <c r="AW11" s="2">
        <v>15823.23</v>
      </c>
      <c r="AX11" s="2">
        <v>29261.65</v>
      </c>
      <c r="AY11" s="2">
        <v>13319.57</v>
      </c>
      <c r="AZ11" s="2">
        <v>8041.73</v>
      </c>
      <c r="BA11" s="2">
        <v>9778.2099999999991</v>
      </c>
      <c r="BB11" s="2">
        <v>35202.17</v>
      </c>
      <c r="BC11" s="2">
        <v>28155.17</v>
      </c>
      <c r="BD11" s="2">
        <v>45754.67</v>
      </c>
      <c r="BE11" s="2">
        <v>34310.5</v>
      </c>
      <c r="BF11" s="2">
        <v>83956.19</v>
      </c>
      <c r="BG11" s="2">
        <v>61880.26</v>
      </c>
      <c r="BH11" s="2">
        <v>62292.1</v>
      </c>
      <c r="BI11" s="2">
        <v>50487.360000000001</v>
      </c>
      <c r="BJ11" s="2">
        <v>77207.740000000005</v>
      </c>
      <c r="BK11" s="2">
        <v>64134.01</v>
      </c>
      <c r="BL11" s="2">
        <v>61728.17</v>
      </c>
      <c r="BM11" s="2">
        <v>51345.38</v>
      </c>
      <c r="BN11" s="2">
        <v>66953.53</v>
      </c>
      <c r="BO11" s="2">
        <v>60356.33</v>
      </c>
      <c r="BR11" s="1" t="s">
        <v>68</v>
      </c>
      <c r="BS11" s="2">
        <v>37604.82</v>
      </c>
      <c r="BT11" s="2">
        <v>17662.52</v>
      </c>
      <c r="BU11" s="2">
        <v>36147.980000000003</v>
      </c>
      <c r="BV11" s="2">
        <v>14986.72</v>
      </c>
      <c r="BW11" s="2">
        <v>11121.28</v>
      </c>
      <c r="BX11" s="2">
        <v>12521.76</v>
      </c>
      <c r="BY11" s="2">
        <v>45347.11</v>
      </c>
      <c r="BZ11" s="2">
        <v>32951.980000000003</v>
      </c>
      <c r="CA11" s="2">
        <v>59175.3</v>
      </c>
      <c r="CB11" s="2">
        <v>39284.769999999997</v>
      </c>
      <c r="CC11" s="2">
        <v>109728</v>
      </c>
      <c r="CD11" s="2">
        <v>70843.520000000004</v>
      </c>
      <c r="CE11" s="2">
        <v>82011.34</v>
      </c>
      <c r="CF11" s="2">
        <v>57978.7</v>
      </c>
      <c r="CG11" s="2">
        <v>102177.96</v>
      </c>
      <c r="CH11" s="2">
        <v>73121.09</v>
      </c>
      <c r="CI11" s="2">
        <v>71883.009999999995</v>
      </c>
      <c r="CJ11" s="2">
        <v>57886.28</v>
      </c>
      <c r="CK11" s="2">
        <v>75474.2</v>
      </c>
      <c r="CL11" s="2">
        <v>68100.259999999995</v>
      </c>
    </row>
    <row r="12" spans="2:90" x14ac:dyDescent="0.3">
      <c r="B12" s="1" t="s">
        <v>69</v>
      </c>
      <c r="C12" s="2">
        <v>3.6</v>
      </c>
      <c r="D12" s="2">
        <v>0.92</v>
      </c>
      <c r="E12" s="2">
        <v>3.6</v>
      </c>
      <c r="F12" s="2">
        <v>0.75</v>
      </c>
      <c r="G12" s="2">
        <v>1.8</v>
      </c>
      <c r="H12" s="2">
        <v>1.8</v>
      </c>
      <c r="I12" s="2">
        <v>1.8</v>
      </c>
      <c r="J12" s="2">
        <v>1.8</v>
      </c>
      <c r="K12" s="2">
        <v>1.8</v>
      </c>
      <c r="L12" s="2">
        <v>1.55</v>
      </c>
      <c r="M12" s="2">
        <v>1.8</v>
      </c>
      <c r="N12" s="2">
        <v>1.45</v>
      </c>
      <c r="O12" s="2">
        <v>1.8</v>
      </c>
      <c r="P12" s="2">
        <v>1.47</v>
      </c>
      <c r="Q12" s="2">
        <v>1.8</v>
      </c>
      <c r="R12" s="2">
        <v>1.32</v>
      </c>
      <c r="S12" s="2">
        <v>1.32</v>
      </c>
      <c r="T12" s="2">
        <v>1.1499999999999999</v>
      </c>
      <c r="U12" s="2">
        <v>1.1299999999999999</v>
      </c>
      <c r="V12" s="2">
        <v>1.22</v>
      </c>
      <c r="X12" s="1" t="s">
        <v>69</v>
      </c>
      <c r="Y12" s="2">
        <v>1351.36</v>
      </c>
      <c r="Z12" s="2">
        <v>773.17</v>
      </c>
      <c r="AA12" s="2">
        <v>1362.37</v>
      </c>
      <c r="AB12" s="2">
        <v>674</v>
      </c>
      <c r="AC12" s="2">
        <v>712.62</v>
      </c>
      <c r="AD12" s="2">
        <v>867.61</v>
      </c>
      <c r="AE12" s="2">
        <v>2561.8200000000002</v>
      </c>
      <c r="AF12" s="2">
        <v>1357.95</v>
      </c>
      <c r="AG12" s="2">
        <v>3093.95</v>
      </c>
      <c r="AH12" s="2">
        <v>1484.14</v>
      </c>
      <c r="AI12" s="2">
        <v>5565.29</v>
      </c>
      <c r="AJ12" s="2">
        <v>2613.4299999999998</v>
      </c>
      <c r="AK12" s="2">
        <v>4472.1899999999996</v>
      </c>
      <c r="AL12" s="2">
        <v>2123.29</v>
      </c>
      <c r="AM12" s="2">
        <v>4110.7299999999996</v>
      </c>
      <c r="AN12" s="2">
        <v>2656.96</v>
      </c>
      <c r="AO12" s="2">
        <v>2367.88</v>
      </c>
      <c r="AP12" s="2">
        <v>2253.14</v>
      </c>
      <c r="AQ12" s="2">
        <v>2939.46</v>
      </c>
      <c r="AR12" s="2">
        <v>2342.3000000000002</v>
      </c>
      <c r="AU12" s="1" t="s">
        <v>69</v>
      </c>
      <c r="AV12" s="2">
        <v>9776.24</v>
      </c>
      <c r="AW12" s="2">
        <v>5523.96</v>
      </c>
      <c r="AX12" s="2">
        <v>9192.83</v>
      </c>
      <c r="AY12" s="2">
        <v>5522.71</v>
      </c>
      <c r="AZ12" s="2">
        <v>2756.72</v>
      </c>
      <c r="BA12" s="2">
        <v>3572.39</v>
      </c>
      <c r="BB12" s="2">
        <v>11511.54</v>
      </c>
      <c r="BC12" s="2">
        <v>10120.14</v>
      </c>
      <c r="BD12" s="2">
        <v>14666.05</v>
      </c>
      <c r="BE12" s="2">
        <v>12048.88</v>
      </c>
      <c r="BF12" s="2">
        <v>26402.71</v>
      </c>
      <c r="BG12" s="2">
        <v>21107</v>
      </c>
      <c r="BH12" s="2">
        <v>21279.81</v>
      </c>
      <c r="BI12" s="2">
        <v>17157.07</v>
      </c>
      <c r="BJ12" s="2">
        <v>26024.98</v>
      </c>
      <c r="BK12" s="2">
        <v>21301.279999999999</v>
      </c>
      <c r="BL12" s="2">
        <v>19007.240000000002</v>
      </c>
      <c r="BM12" s="2">
        <v>17818.25</v>
      </c>
      <c r="BN12" s="2">
        <v>23255.71</v>
      </c>
      <c r="BO12" s="2">
        <v>22541.48</v>
      </c>
      <c r="BR12" s="1" t="s">
        <v>69</v>
      </c>
      <c r="BS12" s="2">
        <v>11127.59</v>
      </c>
      <c r="BT12" s="2">
        <v>6297.13</v>
      </c>
      <c r="BU12" s="2">
        <v>10555.19</v>
      </c>
      <c r="BV12" s="2">
        <v>6196.71</v>
      </c>
      <c r="BW12" s="2">
        <v>3469.34</v>
      </c>
      <c r="BX12" s="2">
        <v>4440</v>
      </c>
      <c r="BY12" s="2">
        <v>14073.36</v>
      </c>
      <c r="BZ12" s="2">
        <v>11478.09</v>
      </c>
      <c r="CA12" s="2">
        <v>17760</v>
      </c>
      <c r="CB12" s="2">
        <v>13533.02</v>
      </c>
      <c r="CC12" s="2">
        <v>31968</v>
      </c>
      <c r="CD12" s="2">
        <v>23720.43</v>
      </c>
      <c r="CE12" s="2">
        <v>25752</v>
      </c>
      <c r="CF12" s="2">
        <v>19280.36</v>
      </c>
      <c r="CG12" s="2">
        <v>30135.71</v>
      </c>
      <c r="CH12" s="2">
        <v>23958.240000000002</v>
      </c>
      <c r="CI12" s="2">
        <v>21375.119999999999</v>
      </c>
      <c r="CJ12" s="2">
        <v>20071.39</v>
      </c>
      <c r="CK12" s="2">
        <v>26195.18</v>
      </c>
      <c r="CL12" s="2">
        <v>24883.78</v>
      </c>
    </row>
    <row r="13" spans="2:90" x14ac:dyDescent="0.3">
      <c r="B13" s="1" t="s">
        <v>70</v>
      </c>
      <c r="C13" s="2">
        <v>1.8</v>
      </c>
      <c r="D13" s="2">
        <v>1.8</v>
      </c>
      <c r="E13" s="2">
        <v>3.6</v>
      </c>
      <c r="F13" s="2">
        <v>1.42</v>
      </c>
      <c r="G13" s="2">
        <v>1.8</v>
      </c>
      <c r="H13" s="2">
        <v>1.8</v>
      </c>
      <c r="I13" s="2">
        <v>1.36</v>
      </c>
      <c r="J13" s="2">
        <v>1.8</v>
      </c>
      <c r="K13" s="2">
        <v>1.8</v>
      </c>
      <c r="L13" s="2">
        <v>1.8</v>
      </c>
      <c r="M13" s="2">
        <v>1.8</v>
      </c>
      <c r="N13" s="2">
        <v>1.8</v>
      </c>
      <c r="O13" s="2">
        <v>1.8</v>
      </c>
      <c r="P13" s="2">
        <v>1.79</v>
      </c>
      <c r="Q13" s="2">
        <v>1.46</v>
      </c>
      <c r="R13" s="2">
        <v>1.51</v>
      </c>
      <c r="S13" s="2">
        <v>1.29</v>
      </c>
      <c r="T13" s="2">
        <v>1.22</v>
      </c>
      <c r="U13" s="2">
        <v>1.25</v>
      </c>
      <c r="V13" s="2">
        <v>1.05</v>
      </c>
      <c r="X13" s="1" t="s">
        <v>70</v>
      </c>
      <c r="Y13" s="2">
        <v>7328.91</v>
      </c>
      <c r="Z13" s="2">
        <v>7471.87</v>
      </c>
      <c r="AA13" s="2">
        <v>5500.37</v>
      </c>
      <c r="AB13" s="2">
        <v>5966.99</v>
      </c>
      <c r="AC13" s="2">
        <v>2768.05</v>
      </c>
      <c r="AD13" s="2">
        <v>3060.03</v>
      </c>
      <c r="AE13" s="2">
        <v>6349.29</v>
      </c>
      <c r="AF13" s="2">
        <v>9432.44</v>
      </c>
      <c r="AG13" s="2">
        <v>10904.79</v>
      </c>
      <c r="AH13" s="2">
        <v>11666.24</v>
      </c>
      <c r="AI13" s="2">
        <v>17125.82</v>
      </c>
      <c r="AJ13" s="2">
        <v>16033.95</v>
      </c>
      <c r="AK13" s="2">
        <v>11334.53</v>
      </c>
      <c r="AL13" s="2">
        <v>11606.75</v>
      </c>
      <c r="AM13" s="2">
        <v>13791.14</v>
      </c>
      <c r="AN13" s="2">
        <v>13925.45</v>
      </c>
      <c r="AO13" s="2">
        <v>11712.38</v>
      </c>
      <c r="AP13" s="2">
        <v>11650.76</v>
      </c>
      <c r="AQ13" s="2">
        <v>15569.22</v>
      </c>
      <c r="AR13" s="2">
        <v>15453.96</v>
      </c>
      <c r="AU13" s="1" t="s">
        <v>70</v>
      </c>
      <c r="AV13" s="2">
        <v>30519.3</v>
      </c>
      <c r="AW13" s="2">
        <v>39959.599999999999</v>
      </c>
      <c r="AX13" s="2">
        <v>43133.279999999999</v>
      </c>
      <c r="AY13" s="2">
        <v>46849.41</v>
      </c>
      <c r="AZ13" s="2">
        <v>11145.58</v>
      </c>
      <c r="BA13" s="2">
        <v>12496.17</v>
      </c>
      <c r="BB13" s="2">
        <v>52111.11</v>
      </c>
      <c r="BC13" s="2">
        <v>47782.76</v>
      </c>
      <c r="BD13" s="2">
        <v>68379.710000000006</v>
      </c>
      <c r="BE13" s="2">
        <v>67697.759999999995</v>
      </c>
      <c r="BF13" s="2">
        <v>119853.28</v>
      </c>
      <c r="BG13" s="2">
        <v>124299.45</v>
      </c>
      <c r="BH13" s="2">
        <v>92809.54</v>
      </c>
      <c r="BI13" s="2">
        <v>99200.8</v>
      </c>
      <c r="BJ13" s="2">
        <v>111373.26</v>
      </c>
      <c r="BK13" s="2">
        <v>112822.6</v>
      </c>
      <c r="BL13" s="2">
        <v>92434.72</v>
      </c>
      <c r="BM13" s="2">
        <v>95224.84</v>
      </c>
      <c r="BN13" s="2">
        <v>125629.53</v>
      </c>
      <c r="BO13" s="2">
        <v>142127.04000000001</v>
      </c>
      <c r="BR13" s="1" t="s">
        <v>70</v>
      </c>
      <c r="BS13" s="2">
        <v>37848.21</v>
      </c>
      <c r="BT13" s="2">
        <v>47431.48</v>
      </c>
      <c r="BU13" s="2">
        <v>48633.65</v>
      </c>
      <c r="BV13" s="2">
        <v>52816.4</v>
      </c>
      <c r="BW13" s="2">
        <v>13913.62</v>
      </c>
      <c r="BX13" s="2">
        <v>15556.21</v>
      </c>
      <c r="BY13" s="2">
        <v>58460.4</v>
      </c>
      <c r="BZ13" s="2">
        <v>57215.199999999997</v>
      </c>
      <c r="CA13" s="2">
        <v>79284.5</v>
      </c>
      <c r="CB13" s="2">
        <v>79364</v>
      </c>
      <c r="CC13" s="2">
        <v>136979.1</v>
      </c>
      <c r="CD13" s="2">
        <v>140333.4</v>
      </c>
      <c r="CE13" s="2">
        <v>104144.07</v>
      </c>
      <c r="CF13" s="2">
        <v>110807.55</v>
      </c>
      <c r="CG13" s="2">
        <v>125164.4</v>
      </c>
      <c r="CH13" s="2">
        <v>126748.05</v>
      </c>
      <c r="CI13" s="2">
        <v>104147.1</v>
      </c>
      <c r="CJ13" s="2">
        <v>106875.6</v>
      </c>
      <c r="CK13" s="2">
        <v>141198.75</v>
      </c>
      <c r="CL13" s="2">
        <v>157581</v>
      </c>
    </row>
    <row r="14" spans="2:90" x14ac:dyDescent="0.3">
      <c r="B14" s="1" t="s">
        <v>71</v>
      </c>
      <c r="C14" s="2">
        <v>1.8</v>
      </c>
      <c r="D14" s="2">
        <v>1.8</v>
      </c>
      <c r="E14" s="2">
        <v>3.6</v>
      </c>
      <c r="F14" s="2">
        <v>3.58</v>
      </c>
      <c r="G14" s="2">
        <v>1.8</v>
      </c>
      <c r="H14" s="2">
        <v>1.8</v>
      </c>
      <c r="I14" s="2">
        <v>1.43</v>
      </c>
      <c r="J14" s="2">
        <v>1.8</v>
      </c>
      <c r="K14" s="2">
        <v>1.4</v>
      </c>
      <c r="L14" s="2">
        <v>1.8</v>
      </c>
      <c r="M14" s="2">
        <v>1.64</v>
      </c>
      <c r="N14" s="2">
        <v>3.3</v>
      </c>
      <c r="O14" s="2">
        <v>1.61</v>
      </c>
      <c r="P14" s="2">
        <v>1.8</v>
      </c>
      <c r="Q14" s="2">
        <v>1.58</v>
      </c>
      <c r="R14" s="2">
        <v>1.8</v>
      </c>
      <c r="S14" s="2">
        <v>1.45</v>
      </c>
      <c r="T14" s="2">
        <v>1.8</v>
      </c>
      <c r="U14" s="2">
        <v>1.23</v>
      </c>
      <c r="V14" s="2">
        <v>1.1100000000000001</v>
      </c>
      <c r="X14" s="1" t="s">
        <v>71</v>
      </c>
      <c r="Y14" s="2">
        <v>1899.99</v>
      </c>
      <c r="Z14" s="2">
        <v>1934.82</v>
      </c>
      <c r="AA14" s="2">
        <v>1507.71</v>
      </c>
      <c r="AB14" s="2">
        <v>1532.98</v>
      </c>
      <c r="AC14" s="2">
        <v>646.45000000000005</v>
      </c>
      <c r="AD14" s="2">
        <v>717.96</v>
      </c>
      <c r="AE14" s="2">
        <v>1341.12</v>
      </c>
      <c r="AF14" s="2">
        <v>1915.38</v>
      </c>
      <c r="AG14" s="2">
        <v>1573.71</v>
      </c>
      <c r="AH14" s="2">
        <v>3175.27</v>
      </c>
      <c r="AI14" s="2">
        <v>3014.13</v>
      </c>
      <c r="AJ14" s="2">
        <v>3782.02</v>
      </c>
      <c r="AK14" s="2">
        <v>2409.7399999999998</v>
      </c>
      <c r="AL14" s="2">
        <v>3946.45</v>
      </c>
      <c r="AM14" s="2">
        <v>3109</v>
      </c>
      <c r="AN14" s="2">
        <v>5053.12</v>
      </c>
      <c r="AO14" s="2">
        <v>2660.03</v>
      </c>
      <c r="AP14" s="2">
        <v>3862.08</v>
      </c>
      <c r="AQ14" s="2">
        <v>3306.22</v>
      </c>
      <c r="AR14" s="2">
        <v>3124.72</v>
      </c>
      <c r="AU14" s="1" t="s">
        <v>71</v>
      </c>
      <c r="AV14" s="2">
        <v>7078.87</v>
      </c>
      <c r="AW14" s="2">
        <v>7215.56</v>
      </c>
      <c r="AX14" s="2">
        <v>10017.73</v>
      </c>
      <c r="AY14" s="2">
        <v>10011.02</v>
      </c>
      <c r="AZ14" s="2">
        <v>2241.92</v>
      </c>
      <c r="BA14" s="2">
        <v>2560.0300000000002</v>
      </c>
      <c r="BB14" s="2">
        <v>9101.2800000000007</v>
      </c>
      <c r="BC14" s="2">
        <v>6996.5</v>
      </c>
      <c r="BD14" s="2">
        <v>11543.39</v>
      </c>
      <c r="BE14" s="2">
        <v>14142.73</v>
      </c>
      <c r="BF14" s="2">
        <v>22326.45</v>
      </c>
      <c r="BG14" s="2">
        <v>28185.98</v>
      </c>
      <c r="BH14" s="2">
        <v>17853.91</v>
      </c>
      <c r="BI14" s="2">
        <v>20344.91</v>
      </c>
      <c r="BJ14" s="2">
        <v>23213.54</v>
      </c>
      <c r="BK14" s="2">
        <v>26572.79</v>
      </c>
      <c r="BL14" s="2">
        <v>19955.29</v>
      </c>
      <c r="BM14" s="2">
        <v>23041.62</v>
      </c>
      <c r="BN14" s="2">
        <v>24467.27</v>
      </c>
      <c r="BO14" s="2">
        <v>22913.41</v>
      </c>
      <c r="BR14" s="1" t="s">
        <v>71</v>
      </c>
      <c r="BS14" s="2">
        <v>8978.86</v>
      </c>
      <c r="BT14" s="2">
        <v>9150.3799999999992</v>
      </c>
      <c r="BU14" s="2">
        <v>11525.44</v>
      </c>
      <c r="BV14" s="2">
        <v>11544</v>
      </c>
      <c r="BW14" s="2">
        <v>2888.37</v>
      </c>
      <c r="BX14" s="2">
        <v>3277.99</v>
      </c>
      <c r="BY14" s="2">
        <v>10442.4</v>
      </c>
      <c r="BZ14" s="2">
        <v>8911.8700000000008</v>
      </c>
      <c r="CA14" s="2">
        <v>13117.1</v>
      </c>
      <c r="CB14" s="2">
        <v>17318</v>
      </c>
      <c r="CC14" s="2">
        <v>25340.58</v>
      </c>
      <c r="CD14" s="2">
        <v>31968</v>
      </c>
      <c r="CE14" s="2">
        <v>20263.650000000001</v>
      </c>
      <c r="CF14" s="2">
        <v>24291.37</v>
      </c>
      <c r="CG14" s="2">
        <v>26322.54</v>
      </c>
      <c r="CH14" s="2">
        <v>31625.91</v>
      </c>
      <c r="CI14" s="2">
        <v>22615.33</v>
      </c>
      <c r="CJ14" s="2">
        <v>26903.7</v>
      </c>
      <c r="CK14" s="2">
        <v>27773.49</v>
      </c>
      <c r="CL14" s="2">
        <v>26038.12</v>
      </c>
    </row>
    <row r="15" spans="2:90" x14ac:dyDescent="0.3">
      <c r="B15" s="1" t="s">
        <v>72</v>
      </c>
      <c r="C15" s="2">
        <v>3.6</v>
      </c>
      <c r="D15" s="2">
        <v>3.6</v>
      </c>
      <c r="E15" s="2">
        <v>3.6</v>
      </c>
      <c r="F15" s="2">
        <v>3.6</v>
      </c>
      <c r="G15" s="2">
        <v>1.8</v>
      </c>
      <c r="H15" s="2">
        <v>3.6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3.47</v>
      </c>
      <c r="S15" s="2">
        <v>1.8</v>
      </c>
      <c r="T15" s="2">
        <v>1.8</v>
      </c>
      <c r="U15" s="2">
        <v>1.8</v>
      </c>
      <c r="V15" s="2">
        <v>1.8</v>
      </c>
      <c r="X15" s="1" t="s">
        <v>72</v>
      </c>
      <c r="Y15" s="2">
        <v>7054.33</v>
      </c>
      <c r="Z15" s="2">
        <v>7371.73</v>
      </c>
      <c r="AA15" s="2">
        <v>5025.93</v>
      </c>
      <c r="AB15" s="2">
        <v>7480.91</v>
      </c>
      <c r="AC15" s="2">
        <v>2285.12</v>
      </c>
      <c r="AD15" s="2">
        <v>2727.44</v>
      </c>
      <c r="AE15" s="2">
        <v>6772.48</v>
      </c>
      <c r="AF15" s="2">
        <v>9560.01</v>
      </c>
      <c r="AG15" s="2">
        <v>6417.86</v>
      </c>
      <c r="AH15" s="2">
        <v>14699.74</v>
      </c>
      <c r="AI15" s="2">
        <v>12670.29</v>
      </c>
      <c r="AJ15" s="2">
        <v>26467.119999999999</v>
      </c>
      <c r="AK15" s="2">
        <v>10273.459999999999</v>
      </c>
      <c r="AL15" s="2">
        <v>18677.98</v>
      </c>
      <c r="AM15" s="2">
        <v>14902.97</v>
      </c>
      <c r="AN15" s="2">
        <v>11060.09</v>
      </c>
      <c r="AO15" s="2">
        <v>9798.4599999999991</v>
      </c>
      <c r="AP15" s="2">
        <v>10427.66</v>
      </c>
      <c r="AQ15" s="2">
        <v>11066.13</v>
      </c>
      <c r="AR15" s="2">
        <v>10666.78</v>
      </c>
      <c r="AU15" s="1" t="s">
        <v>72</v>
      </c>
      <c r="AV15" s="2">
        <v>27139.52</v>
      </c>
      <c r="AW15" s="2">
        <v>28889.57</v>
      </c>
      <c r="AX15" s="2">
        <v>28245.69</v>
      </c>
      <c r="AY15" s="2">
        <v>31065.439999999999</v>
      </c>
      <c r="AZ15" s="2">
        <v>6868.29</v>
      </c>
      <c r="BA15" s="2">
        <v>10248.26</v>
      </c>
      <c r="BB15" s="2">
        <v>29846.65</v>
      </c>
      <c r="BC15" s="2">
        <v>24450.14</v>
      </c>
      <c r="BD15" s="2">
        <v>36346.35</v>
      </c>
      <c r="BE15" s="2">
        <v>46260.26</v>
      </c>
      <c r="BF15" s="2">
        <v>67328.12</v>
      </c>
      <c r="BG15" s="2">
        <v>83260.88</v>
      </c>
      <c r="BH15" s="2">
        <v>54364.01</v>
      </c>
      <c r="BI15" s="2">
        <v>64494.45</v>
      </c>
      <c r="BJ15" s="2">
        <v>73498.559999999998</v>
      </c>
      <c r="BK15" s="2">
        <v>83952.85</v>
      </c>
      <c r="BL15" s="2">
        <v>60057.96</v>
      </c>
      <c r="BM15" s="2">
        <v>61099.06</v>
      </c>
      <c r="BN15" s="2">
        <v>75747</v>
      </c>
      <c r="BO15" s="2">
        <v>74763.149999999994</v>
      </c>
      <c r="BR15" s="1" t="s">
        <v>72</v>
      </c>
      <c r="BS15" s="2">
        <v>34193.85</v>
      </c>
      <c r="BT15" s="2">
        <v>36261.300000000003</v>
      </c>
      <c r="BU15" s="2">
        <v>33271.629999999997</v>
      </c>
      <c r="BV15" s="2">
        <v>38546.35</v>
      </c>
      <c r="BW15" s="2">
        <v>9153.41</v>
      </c>
      <c r="BX15" s="2">
        <v>12975.7</v>
      </c>
      <c r="BY15" s="2">
        <v>36619.129999999997</v>
      </c>
      <c r="BZ15" s="2">
        <v>34010.15</v>
      </c>
      <c r="CA15" s="2">
        <v>42764.21</v>
      </c>
      <c r="CB15" s="2">
        <v>60960</v>
      </c>
      <c r="CC15" s="2">
        <v>79998.41</v>
      </c>
      <c r="CD15" s="2">
        <v>109728</v>
      </c>
      <c r="CE15" s="2">
        <v>64637.46</v>
      </c>
      <c r="CF15" s="2">
        <v>83172.44</v>
      </c>
      <c r="CG15" s="2">
        <v>88401.53</v>
      </c>
      <c r="CH15" s="2">
        <v>95012.94</v>
      </c>
      <c r="CI15" s="2">
        <v>69856.42</v>
      </c>
      <c r="CJ15" s="2">
        <v>71526.720000000001</v>
      </c>
      <c r="CK15" s="2">
        <v>86813.13</v>
      </c>
      <c r="CL15" s="2">
        <v>85429.94</v>
      </c>
    </row>
    <row r="16" spans="2:90" x14ac:dyDescent="0.3">
      <c r="B16" s="1" t="s">
        <v>73</v>
      </c>
      <c r="C16" s="2">
        <v>1.04</v>
      </c>
      <c r="D16" s="2">
        <v>1.54</v>
      </c>
      <c r="E16" s="2">
        <v>0.56000000000000005</v>
      </c>
      <c r="F16" s="2">
        <v>0.59</v>
      </c>
      <c r="G16" s="2">
        <v>0.2</v>
      </c>
      <c r="H16" s="2">
        <v>0.66</v>
      </c>
      <c r="I16" s="2">
        <v>0.51</v>
      </c>
      <c r="J16" s="2">
        <v>1.8</v>
      </c>
      <c r="K16" s="2">
        <v>1</v>
      </c>
      <c r="L16" s="2">
        <v>1.8</v>
      </c>
      <c r="M16" s="2">
        <v>1.42</v>
      </c>
      <c r="N16" s="2">
        <v>1.8</v>
      </c>
      <c r="O16" s="2">
        <v>1.59</v>
      </c>
      <c r="P16" s="2">
        <v>1.73</v>
      </c>
      <c r="Q16" s="2">
        <v>1.36</v>
      </c>
      <c r="R16" s="2">
        <v>1.27</v>
      </c>
      <c r="S16" s="2">
        <v>1.21</v>
      </c>
      <c r="T16" s="2">
        <v>1</v>
      </c>
      <c r="U16" s="2">
        <v>1.04</v>
      </c>
      <c r="V16" s="2">
        <v>0.85</v>
      </c>
      <c r="X16" s="1" t="s">
        <v>73</v>
      </c>
      <c r="Y16" s="2">
        <v>2558.8200000000002</v>
      </c>
      <c r="Z16" s="2">
        <v>2944.34</v>
      </c>
      <c r="AA16" s="2">
        <v>2068.46</v>
      </c>
      <c r="AB16" s="2">
        <v>2201.13</v>
      </c>
      <c r="AC16" s="2">
        <v>225.09</v>
      </c>
      <c r="AD16" s="2">
        <v>888.86</v>
      </c>
      <c r="AE16" s="2">
        <v>1957.33</v>
      </c>
      <c r="AF16" s="2">
        <v>3931.64</v>
      </c>
      <c r="AG16" s="2">
        <v>3465.54</v>
      </c>
      <c r="AH16" s="2">
        <v>4608.91</v>
      </c>
      <c r="AI16" s="2">
        <v>6287.76</v>
      </c>
      <c r="AJ16" s="2">
        <v>8503.7199999999993</v>
      </c>
      <c r="AK16" s="2">
        <v>5019.92</v>
      </c>
      <c r="AL16" s="2">
        <v>5844.02</v>
      </c>
      <c r="AM16" s="2">
        <v>6467.71</v>
      </c>
      <c r="AN16" s="2">
        <v>6773.86</v>
      </c>
      <c r="AO16" s="2">
        <v>5594.24</v>
      </c>
      <c r="AP16" s="2">
        <v>5581.63</v>
      </c>
      <c r="AQ16" s="2">
        <v>7534.52</v>
      </c>
      <c r="AR16" s="2">
        <v>7441.37</v>
      </c>
      <c r="AU16" s="1" t="s">
        <v>73</v>
      </c>
      <c r="AV16" s="2">
        <v>15495.84</v>
      </c>
      <c r="AW16" s="2">
        <v>19213.7</v>
      </c>
      <c r="AX16" s="2">
        <v>13820.33</v>
      </c>
      <c r="AY16" s="2">
        <v>14727.02</v>
      </c>
      <c r="AZ16" s="2">
        <v>4407.21</v>
      </c>
      <c r="BA16" s="2">
        <v>6266.36</v>
      </c>
      <c r="BB16" s="2">
        <v>14976.59</v>
      </c>
      <c r="BC16" s="2">
        <v>19448.93</v>
      </c>
      <c r="BD16" s="2">
        <v>19898.46</v>
      </c>
      <c r="BE16" s="2">
        <v>25125.35</v>
      </c>
      <c r="BF16" s="2">
        <v>34830.54</v>
      </c>
      <c r="BG16" s="2">
        <v>46711.48</v>
      </c>
      <c r="BH16" s="2">
        <v>28056.61</v>
      </c>
      <c r="BI16" s="2">
        <v>36578.480000000003</v>
      </c>
      <c r="BJ16" s="2">
        <v>34947.35</v>
      </c>
      <c r="BK16" s="2">
        <v>37948.910000000003</v>
      </c>
      <c r="BL16" s="2">
        <v>29137.27</v>
      </c>
      <c r="BM16" s="2">
        <v>29867.45</v>
      </c>
      <c r="BN16" s="2">
        <v>40586.230000000003</v>
      </c>
      <c r="BO16" s="2">
        <v>43315.26</v>
      </c>
      <c r="BR16" s="1" t="s">
        <v>73</v>
      </c>
      <c r="BS16" s="2">
        <v>18054.66</v>
      </c>
      <c r="BT16" s="2">
        <v>22158.04</v>
      </c>
      <c r="BU16" s="2">
        <v>15888.8</v>
      </c>
      <c r="BV16" s="2">
        <v>16928.14</v>
      </c>
      <c r="BW16" s="2">
        <v>4632.3</v>
      </c>
      <c r="BX16" s="2">
        <v>7155.22</v>
      </c>
      <c r="BY16" s="2">
        <v>16933.919999999998</v>
      </c>
      <c r="BZ16" s="2">
        <v>23380.57</v>
      </c>
      <c r="CA16" s="2">
        <v>23364</v>
      </c>
      <c r="CB16" s="2">
        <v>29734.25</v>
      </c>
      <c r="CC16" s="2">
        <v>41118.300000000003</v>
      </c>
      <c r="CD16" s="2">
        <v>55215.199999999997</v>
      </c>
      <c r="CE16" s="2">
        <v>33076.53</v>
      </c>
      <c r="CF16" s="2">
        <v>42422.5</v>
      </c>
      <c r="CG16" s="2">
        <v>41415.06</v>
      </c>
      <c r="CH16" s="2">
        <v>44722.77</v>
      </c>
      <c r="CI16" s="2">
        <v>34731.51</v>
      </c>
      <c r="CJ16" s="2">
        <v>35449.08</v>
      </c>
      <c r="CK16" s="2">
        <v>48120.75</v>
      </c>
      <c r="CL16" s="2">
        <v>50756.62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63</v>
      </c>
      <c r="D20" s="1" t="s">
        <v>64</v>
      </c>
      <c r="E20" s="1" t="s">
        <v>63</v>
      </c>
      <c r="F20" s="1" t="s">
        <v>64</v>
      </c>
      <c r="G20" s="1" t="s">
        <v>63</v>
      </c>
      <c r="H20" s="1" t="s">
        <v>64</v>
      </c>
      <c r="I20" s="1" t="s">
        <v>63</v>
      </c>
      <c r="J20" s="1" t="s">
        <v>64</v>
      </c>
      <c r="K20" s="1" t="s">
        <v>63</v>
      </c>
      <c r="L20" s="1" t="s">
        <v>64</v>
      </c>
      <c r="M20" s="1" t="s">
        <v>63</v>
      </c>
      <c r="N20" s="1" t="s">
        <v>64</v>
      </c>
      <c r="O20" s="1" t="s">
        <v>63</v>
      </c>
      <c r="P20" s="1" t="s">
        <v>64</v>
      </c>
      <c r="Q20" s="1" t="s">
        <v>63</v>
      </c>
      <c r="R20" s="1" t="s">
        <v>64</v>
      </c>
      <c r="S20" s="1" t="s">
        <v>63</v>
      </c>
      <c r="T20" s="1" t="s">
        <v>64</v>
      </c>
      <c r="U20" s="1" t="s">
        <v>63</v>
      </c>
      <c r="V20" s="1" t="s">
        <v>64</v>
      </c>
      <c r="X20" s="1" t="s">
        <v>6</v>
      </c>
      <c r="Y20" s="1" t="s">
        <v>63</v>
      </c>
      <c r="Z20" s="1" t="s">
        <v>64</v>
      </c>
      <c r="AA20" s="1" t="s">
        <v>63</v>
      </c>
      <c r="AB20" s="1" t="s">
        <v>64</v>
      </c>
      <c r="AC20" s="1" t="s">
        <v>63</v>
      </c>
      <c r="AD20" s="1" t="s">
        <v>64</v>
      </c>
      <c r="AE20" s="1" t="s">
        <v>63</v>
      </c>
      <c r="AF20" s="1" t="s">
        <v>64</v>
      </c>
      <c r="AG20" s="1" t="s">
        <v>63</v>
      </c>
      <c r="AH20" s="1" t="s">
        <v>64</v>
      </c>
      <c r="AI20" s="1" t="s">
        <v>63</v>
      </c>
      <c r="AJ20" s="1" t="s">
        <v>64</v>
      </c>
      <c r="AK20" s="1" t="s">
        <v>63</v>
      </c>
      <c r="AL20" s="1" t="s">
        <v>64</v>
      </c>
      <c r="AM20" s="1" t="s">
        <v>63</v>
      </c>
      <c r="AN20" s="1" t="s">
        <v>64</v>
      </c>
      <c r="AO20" s="1" t="s">
        <v>63</v>
      </c>
      <c r="AP20" s="1" t="s">
        <v>64</v>
      </c>
      <c r="AQ20" s="1" t="s">
        <v>63</v>
      </c>
      <c r="AR20" s="1" t="s">
        <v>64</v>
      </c>
      <c r="AU20" s="1" t="s">
        <v>6</v>
      </c>
      <c r="AV20" s="1" t="s">
        <v>63</v>
      </c>
      <c r="AW20" s="1" t="s">
        <v>64</v>
      </c>
      <c r="AX20" s="1" t="s">
        <v>63</v>
      </c>
      <c r="AY20" s="1" t="s">
        <v>64</v>
      </c>
      <c r="AZ20" s="1" t="s">
        <v>63</v>
      </c>
      <c r="BA20" s="1" t="s">
        <v>64</v>
      </c>
      <c r="BB20" s="1" t="s">
        <v>63</v>
      </c>
      <c r="BC20" s="1" t="s">
        <v>64</v>
      </c>
      <c r="BD20" s="1" t="s">
        <v>63</v>
      </c>
      <c r="BE20" s="1" t="s">
        <v>64</v>
      </c>
      <c r="BF20" s="1" t="s">
        <v>63</v>
      </c>
      <c r="BG20" s="1" t="s">
        <v>64</v>
      </c>
      <c r="BH20" s="1" t="s">
        <v>63</v>
      </c>
      <c r="BI20" s="1" t="s">
        <v>64</v>
      </c>
      <c r="BJ20" s="1" t="s">
        <v>63</v>
      </c>
      <c r="BK20" s="1" t="s">
        <v>64</v>
      </c>
      <c r="BL20" s="1" t="s">
        <v>63</v>
      </c>
      <c r="BM20" s="1" t="s">
        <v>64</v>
      </c>
      <c r="BN20" s="1" t="s">
        <v>63</v>
      </c>
      <c r="BO20" s="1" t="s">
        <v>64</v>
      </c>
      <c r="BR20" s="1" t="s">
        <v>6</v>
      </c>
      <c r="BS20" s="1" t="s">
        <v>63</v>
      </c>
      <c r="BT20" s="1" t="s">
        <v>64</v>
      </c>
      <c r="BU20" s="1" t="s">
        <v>63</v>
      </c>
      <c r="BV20" s="1" t="s">
        <v>64</v>
      </c>
      <c r="BW20" s="1" t="s">
        <v>63</v>
      </c>
      <c r="BX20" s="1" t="s">
        <v>64</v>
      </c>
      <c r="BY20" s="1" t="s">
        <v>63</v>
      </c>
      <c r="BZ20" s="1" t="s">
        <v>64</v>
      </c>
      <c r="CA20" s="1" t="s">
        <v>63</v>
      </c>
      <c r="CB20" s="1" t="s">
        <v>64</v>
      </c>
      <c r="CC20" s="1" t="s">
        <v>63</v>
      </c>
      <c r="CD20" s="1" t="s">
        <v>64</v>
      </c>
      <c r="CE20" s="1" t="s">
        <v>63</v>
      </c>
      <c r="CF20" s="1" t="s">
        <v>64</v>
      </c>
      <c r="CG20" s="1" t="s">
        <v>63</v>
      </c>
      <c r="CH20" s="1" t="s">
        <v>64</v>
      </c>
      <c r="CI20" s="1" t="s">
        <v>63</v>
      </c>
      <c r="CJ20" s="1" t="s">
        <v>64</v>
      </c>
      <c r="CK20" s="1" t="s">
        <v>63</v>
      </c>
      <c r="CL20" s="1" t="s">
        <v>64</v>
      </c>
    </row>
    <row r="21" spans="2:90" x14ac:dyDescent="0.3">
      <c r="B21" s="1" t="s">
        <v>65</v>
      </c>
      <c r="C21" s="1" t="s">
        <v>53</v>
      </c>
      <c r="D21" s="1" t="s">
        <v>53</v>
      </c>
      <c r="E21" s="1" t="s">
        <v>54</v>
      </c>
      <c r="F21" s="1" t="s">
        <v>54</v>
      </c>
      <c r="G21" s="1" t="s">
        <v>55</v>
      </c>
      <c r="H21" s="1" t="s">
        <v>55</v>
      </c>
      <c r="I21" s="1" t="s">
        <v>56</v>
      </c>
      <c r="J21" s="1" t="s">
        <v>56</v>
      </c>
      <c r="K21" s="1" t="s">
        <v>57</v>
      </c>
      <c r="L21" s="1" t="s">
        <v>57</v>
      </c>
      <c r="M21" s="1" t="s">
        <v>58</v>
      </c>
      <c r="N21" s="1" t="s">
        <v>58</v>
      </c>
      <c r="O21" s="1" t="s">
        <v>59</v>
      </c>
      <c r="P21" s="1" t="s">
        <v>59</v>
      </c>
      <c r="Q21" s="1" t="s">
        <v>60</v>
      </c>
      <c r="R21" s="1" t="s">
        <v>60</v>
      </c>
      <c r="S21" s="1" t="s">
        <v>61</v>
      </c>
      <c r="T21" s="1" t="s">
        <v>61</v>
      </c>
      <c r="U21" s="1" t="s">
        <v>62</v>
      </c>
      <c r="V21" s="1" t="s">
        <v>62</v>
      </c>
      <c r="X21" s="1" t="s">
        <v>65</v>
      </c>
      <c r="Y21" s="1" t="s">
        <v>53</v>
      </c>
      <c r="Z21" s="1" t="s">
        <v>53</v>
      </c>
      <c r="AA21" s="1" t="s">
        <v>54</v>
      </c>
      <c r="AB21" s="1" t="s">
        <v>54</v>
      </c>
      <c r="AC21" s="1" t="s">
        <v>55</v>
      </c>
      <c r="AD21" s="1" t="s">
        <v>55</v>
      </c>
      <c r="AE21" s="1" t="s">
        <v>56</v>
      </c>
      <c r="AF21" s="1" t="s">
        <v>56</v>
      </c>
      <c r="AG21" s="1" t="s">
        <v>57</v>
      </c>
      <c r="AH21" s="1" t="s">
        <v>57</v>
      </c>
      <c r="AI21" s="1" t="s">
        <v>58</v>
      </c>
      <c r="AJ21" s="1" t="s">
        <v>58</v>
      </c>
      <c r="AK21" s="1" t="s">
        <v>59</v>
      </c>
      <c r="AL21" s="1" t="s">
        <v>59</v>
      </c>
      <c r="AM21" s="1" t="s">
        <v>60</v>
      </c>
      <c r="AN21" s="1" t="s">
        <v>60</v>
      </c>
      <c r="AO21" s="1" t="s">
        <v>61</v>
      </c>
      <c r="AP21" s="1" t="s">
        <v>61</v>
      </c>
      <c r="AQ21" s="1" t="s">
        <v>62</v>
      </c>
      <c r="AR21" s="1" t="s">
        <v>62</v>
      </c>
      <c r="AU21" s="1" t="s">
        <v>65</v>
      </c>
      <c r="AV21" s="1" t="s">
        <v>53</v>
      </c>
      <c r="AW21" s="1" t="s">
        <v>53</v>
      </c>
      <c r="AX21" s="1" t="s">
        <v>54</v>
      </c>
      <c r="AY21" s="1" t="s">
        <v>54</v>
      </c>
      <c r="AZ21" s="1" t="s">
        <v>55</v>
      </c>
      <c r="BA21" s="1" t="s">
        <v>55</v>
      </c>
      <c r="BB21" s="1" t="s">
        <v>56</v>
      </c>
      <c r="BC21" s="1" t="s">
        <v>56</v>
      </c>
      <c r="BD21" s="1" t="s">
        <v>57</v>
      </c>
      <c r="BE21" s="1" t="s">
        <v>57</v>
      </c>
      <c r="BF21" s="1" t="s">
        <v>58</v>
      </c>
      <c r="BG21" s="1" t="s">
        <v>58</v>
      </c>
      <c r="BH21" s="1" t="s">
        <v>59</v>
      </c>
      <c r="BI21" s="1" t="s">
        <v>59</v>
      </c>
      <c r="BJ21" s="1" t="s">
        <v>60</v>
      </c>
      <c r="BK21" s="1" t="s">
        <v>60</v>
      </c>
      <c r="BL21" s="1" t="s">
        <v>61</v>
      </c>
      <c r="BM21" s="1" t="s">
        <v>61</v>
      </c>
      <c r="BN21" s="1" t="s">
        <v>62</v>
      </c>
      <c r="BO21" s="1" t="s">
        <v>62</v>
      </c>
      <c r="BR21" s="1" t="s">
        <v>65</v>
      </c>
      <c r="BS21" s="1" t="s">
        <v>53</v>
      </c>
      <c r="BT21" s="1" t="s">
        <v>53</v>
      </c>
      <c r="BU21" s="1" t="s">
        <v>54</v>
      </c>
      <c r="BV21" s="1" t="s">
        <v>54</v>
      </c>
      <c r="BW21" s="1" t="s">
        <v>55</v>
      </c>
      <c r="BX21" s="1" t="s">
        <v>55</v>
      </c>
      <c r="BY21" s="1" t="s">
        <v>56</v>
      </c>
      <c r="BZ21" s="1" t="s">
        <v>56</v>
      </c>
      <c r="CA21" s="1" t="s">
        <v>57</v>
      </c>
      <c r="CB21" s="1" t="s">
        <v>57</v>
      </c>
      <c r="CC21" s="1" t="s">
        <v>58</v>
      </c>
      <c r="CD21" s="1" t="s">
        <v>58</v>
      </c>
      <c r="CE21" s="1" t="s">
        <v>59</v>
      </c>
      <c r="CF21" s="1" t="s">
        <v>59</v>
      </c>
      <c r="CG21" s="1" t="s">
        <v>60</v>
      </c>
      <c r="CH21" s="1" t="s">
        <v>60</v>
      </c>
      <c r="CI21" s="1" t="s">
        <v>61</v>
      </c>
      <c r="CJ21" s="1" t="s">
        <v>61</v>
      </c>
      <c r="CK21" s="1" t="s">
        <v>62</v>
      </c>
      <c r="CL21" s="1" t="s">
        <v>62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66</v>
      </c>
      <c r="C23" s="2">
        <v>0.2</v>
      </c>
      <c r="D23" s="2">
        <v>0.2</v>
      </c>
      <c r="E23" s="2">
        <v>0.06</v>
      </c>
      <c r="F23" s="2">
        <v>0.06</v>
      </c>
      <c r="G23" s="2">
        <v>0.06</v>
      </c>
      <c r="H23" s="2">
        <v>7.0000000000000007E-2</v>
      </c>
      <c r="I23" s="2">
        <v>0.15</v>
      </c>
      <c r="J23" s="2">
        <v>0.08</v>
      </c>
      <c r="K23" s="2">
        <v>0.21</v>
      </c>
      <c r="L23" s="2">
        <v>0.06</v>
      </c>
      <c r="M23" s="2">
        <v>0.21</v>
      </c>
      <c r="N23" s="2">
        <v>0.04</v>
      </c>
      <c r="O23" s="2">
        <v>0.19</v>
      </c>
      <c r="P23" s="2">
        <v>0.01</v>
      </c>
      <c r="Q23" s="2">
        <v>0.14000000000000001</v>
      </c>
      <c r="R23" s="2">
        <v>0.04</v>
      </c>
      <c r="S23" s="2">
        <v>0.01</v>
      </c>
      <c r="T23" s="2">
        <v>0.01</v>
      </c>
      <c r="U23" s="2">
        <v>0.02</v>
      </c>
      <c r="V23" s="2">
        <v>0.01</v>
      </c>
      <c r="X23" s="1" t="s">
        <v>66</v>
      </c>
      <c r="Y23" s="2">
        <v>3497.9</v>
      </c>
      <c r="Z23" s="2">
        <v>3329.2</v>
      </c>
      <c r="AA23" s="2">
        <v>790.57</v>
      </c>
      <c r="AB23" s="2">
        <v>724.81</v>
      </c>
      <c r="AC23" s="2">
        <v>646.4</v>
      </c>
      <c r="AD23" s="2">
        <v>985.6</v>
      </c>
      <c r="AE23" s="2">
        <v>2220.75</v>
      </c>
      <c r="AF23" s="2">
        <v>1146.25</v>
      </c>
      <c r="AG23" s="2">
        <v>3400.93</v>
      </c>
      <c r="AH23" s="2">
        <v>935.9</v>
      </c>
      <c r="AI23" s="2">
        <v>3433.15</v>
      </c>
      <c r="AJ23" s="2">
        <v>645.4</v>
      </c>
      <c r="AK23" s="2">
        <v>3257.61</v>
      </c>
      <c r="AL23" s="2">
        <v>167.25</v>
      </c>
      <c r="AM23" s="2">
        <v>2346.75</v>
      </c>
      <c r="AN23" s="2">
        <v>624.04999999999995</v>
      </c>
      <c r="AO23" s="2">
        <v>164.98</v>
      </c>
      <c r="AP23" s="2">
        <v>125.6</v>
      </c>
      <c r="AQ23" s="2">
        <v>281.88</v>
      </c>
      <c r="AR23" s="2">
        <v>133.13</v>
      </c>
      <c r="AU23" s="1" t="s">
        <v>66</v>
      </c>
      <c r="AV23" s="2">
        <v>16800</v>
      </c>
      <c r="AW23" s="2">
        <v>16800</v>
      </c>
      <c r="AX23" s="2">
        <v>14318.93</v>
      </c>
      <c r="AY23" s="2">
        <v>13403.29</v>
      </c>
      <c r="AZ23" s="2">
        <v>13567.1</v>
      </c>
      <c r="BA23" s="2">
        <v>16800</v>
      </c>
      <c r="BB23" s="2">
        <v>16800</v>
      </c>
      <c r="BC23" s="2">
        <v>16800</v>
      </c>
      <c r="BD23" s="2">
        <v>16739.12</v>
      </c>
      <c r="BE23" s="2">
        <v>16800</v>
      </c>
      <c r="BF23" s="2">
        <v>16800</v>
      </c>
      <c r="BG23" s="2">
        <v>16800</v>
      </c>
      <c r="BH23" s="2">
        <v>16703.59</v>
      </c>
      <c r="BI23" s="2">
        <v>16799</v>
      </c>
      <c r="BJ23" s="2">
        <v>16800</v>
      </c>
      <c r="BK23" s="2">
        <v>16800</v>
      </c>
      <c r="BL23" s="2">
        <v>16495.72</v>
      </c>
      <c r="BM23" s="2">
        <v>12700.15</v>
      </c>
      <c r="BN23" s="2">
        <v>16798.47</v>
      </c>
      <c r="BO23" s="2">
        <v>13379.67</v>
      </c>
      <c r="BR23" s="1" t="s">
        <v>66</v>
      </c>
      <c r="BS23" s="2">
        <v>20297.900000000001</v>
      </c>
      <c r="BT23" s="2">
        <v>20129.2</v>
      </c>
      <c r="BU23" s="2">
        <v>15109.5</v>
      </c>
      <c r="BV23" s="2">
        <v>14128.1</v>
      </c>
      <c r="BW23" s="2">
        <v>14213.5</v>
      </c>
      <c r="BX23" s="2">
        <v>17785.599999999999</v>
      </c>
      <c r="BY23" s="2">
        <v>19020.75</v>
      </c>
      <c r="BZ23" s="2">
        <v>17946.25</v>
      </c>
      <c r="CA23" s="2">
        <v>20140.05</v>
      </c>
      <c r="CB23" s="2">
        <v>17735.900000000001</v>
      </c>
      <c r="CC23" s="2">
        <v>20233.150000000001</v>
      </c>
      <c r="CD23" s="2">
        <v>17445.400000000001</v>
      </c>
      <c r="CE23" s="2">
        <v>19961.2</v>
      </c>
      <c r="CF23" s="2">
        <v>16966.25</v>
      </c>
      <c r="CG23" s="2">
        <v>19146.75</v>
      </c>
      <c r="CH23" s="2">
        <v>17424.05</v>
      </c>
      <c r="CI23" s="2">
        <v>16660.7</v>
      </c>
      <c r="CJ23" s="2">
        <v>12825.75</v>
      </c>
      <c r="CK23" s="2">
        <v>17080.349999999999</v>
      </c>
      <c r="CL23" s="2">
        <v>13512.8</v>
      </c>
    </row>
    <row r="24" spans="2:90" x14ac:dyDescent="0.3">
      <c r="B24" s="1" t="s">
        <v>67</v>
      </c>
      <c r="C24" s="2">
        <v>0.11</v>
      </c>
      <c r="D24" s="2">
        <v>0.12</v>
      </c>
      <c r="E24" s="2">
        <v>0.12</v>
      </c>
      <c r="F24" s="2">
        <v>0.12</v>
      </c>
      <c r="G24" s="2">
        <v>0.13</v>
      </c>
      <c r="H24" s="2">
        <v>0.12</v>
      </c>
      <c r="I24" s="2">
        <v>0.12</v>
      </c>
      <c r="J24" s="2">
        <v>0.13</v>
      </c>
      <c r="K24" s="2">
        <v>0.11</v>
      </c>
      <c r="L24" s="2">
        <v>0.12</v>
      </c>
      <c r="M24" s="2">
        <v>0.12</v>
      </c>
      <c r="N24" s="2">
        <v>0.12</v>
      </c>
      <c r="O24" s="2">
        <v>0.12</v>
      </c>
      <c r="P24" s="2">
        <v>0.12</v>
      </c>
      <c r="Q24" s="2">
        <v>0.12</v>
      </c>
      <c r="R24" s="2">
        <v>0.12</v>
      </c>
      <c r="S24" s="2">
        <v>0.12</v>
      </c>
      <c r="T24" s="2">
        <v>0.13</v>
      </c>
      <c r="U24" s="2">
        <v>0.11</v>
      </c>
      <c r="V24" s="2">
        <v>0.11</v>
      </c>
      <c r="X24" s="1" t="s">
        <v>67</v>
      </c>
      <c r="Y24" s="2">
        <v>858.4</v>
      </c>
      <c r="Z24" s="2">
        <v>564.76</v>
      </c>
      <c r="AA24" s="2">
        <v>882.33</v>
      </c>
      <c r="AB24" s="2">
        <v>566.78</v>
      </c>
      <c r="AC24" s="2">
        <v>617.39</v>
      </c>
      <c r="AD24" s="2">
        <v>710.48</v>
      </c>
      <c r="AE24" s="2">
        <v>970.01</v>
      </c>
      <c r="AF24" s="2">
        <v>702.19</v>
      </c>
      <c r="AG24" s="2">
        <v>907.43</v>
      </c>
      <c r="AH24" s="2">
        <v>638.94000000000005</v>
      </c>
      <c r="AI24" s="2">
        <v>979.63</v>
      </c>
      <c r="AJ24" s="2">
        <v>649.03</v>
      </c>
      <c r="AK24" s="2">
        <v>752.6</v>
      </c>
      <c r="AL24" s="2">
        <v>688.17</v>
      </c>
      <c r="AM24" s="2">
        <v>735.73</v>
      </c>
      <c r="AN24" s="2">
        <v>672.94</v>
      </c>
      <c r="AO24" s="2">
        <v>721.11</v>
      </c>
      <c r="AP24" s="2">
        <v>566.5</v>
      </c>
      <c r="AQ24" s="2">
        <v>824.65</v>
      </c>
      <c r="AR24" s="2">
        <v>511.3</v>
      </c>
      <c r="AU24" s="1" t="s">
        <v>67</v>
      </c>
      <c r="AV24" s="2">
        <v>7365.95</v>
      </c>
      <c r="AW24" s="2">
        <v>4764.49</v>
      </c>
      <c r="AX24" s="2">
        <v>6802.47</v>
      </c>
      <c r="AY24" s="2">
        <v>4515.42</v>
      </c>
      <c r="AZ24" s="2">
        <v>4354.5600000000004</v>
      </c>
      <c r="BA24" s="2">
        <v>5678.47</v>
      </c>
      <c r="BB24" s="2">
        <v>7631.69</v>
      </c>
      <c r="BC24" s="2">
        <v>5134.8599999999997</v>
      </c>
      <c r="BD24" s="2">
        <v>7684.87</v>
      </c>
      <c r="BE24" s="2">
        <v>5097.8100000000004</v>
      </c>
      <c r="BF24" s="2">
        <v>7371.72</v>
      </c>
      <c r="BG24" s="2">
        <v>5186.72</v>
      </c>
      <c r="BH24" s="2">
        <v>6233.5</v>
      </c>
      <c r="BI24" s="2">
        <v>5560.78</v>
      </c>
      <c r="BJ24" s="2">
        <v>6055.97</v>
      </c>
      <c r="BK24" s="2">
        <v>5620.11</v>
      </c>
      <c r="BL24" s="2">
        <v>5901.44</v>
      </c>
      <c r="BM24" s="2">
        <v>4445.25</v>
      </c>
      <c r="BN24" s="2">
        <v>7308.3</v>
      </c>
      <c r="BO24" s="2">
        <v>4632.55</v>
      </c>
      <c r="BR24" s="1" t="s">
        <v>67</v>
      </c>
      <c r="BS24" s="2">
        <v>8224.35</v>
      </c>
      <c r="BT24" s="2">
        <v>5329.25</v>
      </c>
      <c r="BU24" s="2">
        <v>7684.8</v>
      </c>
      <c r="BV24" s="2">
        <v>5082.2</v>
      </c>
      <c r="BW24" s="2">
        <v>4971.95</v>
      </c>
      <c r="BX24" s="2">
        <v>6388.95</v>
      </c>
      <c r="BY24" s="2">
        <v>8601.7000000000007</v>
      </c>
      <c r="BZ24" s="2">
        <v>5837.05</v>
      </c>
      <c r="CA24" s="2">
        <v>8592.2999999999993</v>
      </c>
      <c r="CB24" s="2">
        <v>5736.75</v>
      </c>
      <c r="CC24" s="2">
        <v>8351.35</v>
      </c>
      <c r="CD24" s="2">
        <v>5835.75</v>
      </c>
      <c r="CE24" s="2">
        <v>6986.1</v>
      </c>
      <c r="CF24" s="2">
        <v>6248.95</v>
      </c>
      <c r="CG24" s="2">
        <v>6791.7</v>
      </c>
      <c r="CH24" s="2">
        <v>6293.05</v>
      </c>
      <c r="CI24" s="2">
        <v>6622.55</v>
      </c>
      <c r="CJ24" s="2">
        <v>5011.75</v>
      </c>
      <c r="CK24" s="2">
        <v>8132.95</v>
      </c>
      <c r="CL24" s="2">
        <v>5143.8500000000004</v>
      </c>
    </row>
    <row r="25" spans="2:90" x14ac:dyDescent="0.3">
      <c r="B25" s="1" t="s">
        <v>68</v>
      </c>
      <c r="C25" s="2">
        <v>0.21</v>
      </c>
      <c r="D25" s="2">
        <v>0.12</v>
      </c>
      <c r="E25" s="2">
        <v>0.2</v>
      </c>
      <c r="F25" s="2">
        <v>0.12</v>
      </c>
      <c r="G25" s="2">
        <v>0.31</v>
      </c>
      <c r="H25" s="2">
        <v>0.24</v>
      </c>
      <c r="I25" s="2">
        <v>0.24</v>
      </c>
      <c r="J25" s="2">
        <v>0.16</v>
      </c>
      <c r="K25" s="2">
        <v>0.25</v>
      </c>
      <c r="L25" s="2">
        <v>0.14000000000000001</v>
      </c>
      <c r="M25" s="2">
        <v>0.26</v>
      </c>
      <c r="N25" s="2">
        <v>0.14000000000000001</v>
      </c>
      <c r="O25" s="2">
        <v>0.27</v>
      </c>
      <c r="P25" s="2">
        <v>0.15</v>
      </c>
      <c r="Q25" s="2">
        <v>0.27</v>
      </c>
      <c r="R25" s="2">
        <v>0.14000000000000001</v>
      </c>
      <c r="S25" s="2">
        <v>0.16</v>
      </c>
      <c r="T25" s="2">
        <v>0.13</v>
      </c>
      <c r="U25" s="2">
        <v>0.13</v>
      </c>
      <c r="V25" s="2">
        <v>0.13</v>
      </c>
      <c r="X25" s="1" t="s">
        <v>68</v>
      </c>
      <c r="Y25" s="2">
        <v>5638.95</v>
      </c>
      <c r="Z25" s="2">
        <v>1414.84</v>
      </c>
      <c r="AA25" s="2">
        <v>5297.18</v>
      </c>
      <c r="AB25" s="2">
        <v>1282.43</v>
      </c>
      <c r="AC25" s="2">
        <v>6159.12</v>
      </c>
      <c r="AD25" s="2">
        <v>5487.1</v>
      </c>
      <c r="AE25" s="2">
        <v>6340.59</v>
      </c>
      <c r="AF25" s="2">
        <v>2998.01</v>
      </c>
      <c r="AG25" s="2">
        <v>6710.31</v>
      </c>
      <c r="AH25" s="2">
        <v>2487.13</v>
      </c>
      <c r="AI25" s="2">
        <v>7158.84</v>
      </c>
      <c r="AJ25" s="2">
        <v>2489.79</v>
      </c>
      <c r="AK25" s="2">
        <v>6799.74</v>
      </c>
      <c r="AL25" s="2">
        <v>2583.2199999999998</v>
      </c>
      <c r="AM25" s="2">
        <v>6571.11</v>
      </c>
      <c r="AN25" s="2">
        <v>2365.02</v>
      </c>
      <c r="AO25" s="2">
        <v>2986.72</v>
      </c>
      <c r="AP25" s="2">
        <v>1923.79</v>
      </c>
      <c r="AQ25" s="2">
        <v>1893.48</v>
      </c>
      <c r="AR25" s="2">
        <v>1720.87</v>
      </c>
      <c r="AU25" s="1" t="s">
        <v>68</v>
      </c>
      <c r="AV25" s="2">
        <v>23287.83</v>
      </c>
      <c r="AW25" s="2">
        <v>12171.71</v>
      </c>
      <c r="AX25" s="2">
        <v>22508.959999999999</v>
      </c>
      <c r="AY25" s="2">
        <v>10245.82</v>
      </c>
      <c r="AZ25" s="2">
        <v>16083.45</v>
      </c>
      <c r="BA25" s="2">
        <v>19556.419999999998</v>
      </c>
      <c r="BB25" s="2">
        <v>22001.360000000001</v>
      </c>
      <c r="BC25" s="2">
        <v>17596.98</v>
      </c>
      <c r="BD25" s="2">
        <v>22877.34</v>
      </c>
      <c r="BE25" s="2">
        <v>17155.25</v>
      </c>
      <c r="BF25" s="2">
        <v>23321.16</v>
      </c>
      <c r="BG25" s="2">
        <v>17188.96</v>
      </c>
      <c r="BH25" s="2">
        <v>21480.03</v>
      </c>
      <c r="BI25" s="2">
        <v>17409.43</v>
      </c>
      <c r="BJ25" s="2">
        <v>20317.830000000002</v>
      </c>
      <c r="BK25" s="2">
        <v>16877.37</v>
      </c>
      <c r="BL25" s="2">
        <v>18155.34</v>
      </c>
      <c r="BM25" s="2">
        <v>15101.58</v>
      </c>
      <c r="BN25" s="2">
        <v>14878.56</v>
      </c>
      <c r="BO25" s="2">
        <v>13412.52</v>
      </c>
      <c r="BR25" s="1" t="s">
        <v>68</v>
      </c>
      <c r="BS25" s="2">
        <v>28926.78</v>
      </c>
      <c r="BT25" s="2">
        <v>13586.55</v>
      </c>
      <c r="BU25" s="2">
        <v>27806.14</v>
      </c>
      <c r="BV25" s="2">
        <v>11528.25</v>
      </c>
      <c r="BW25" s="2">
        <v>22242.57</v>
      </c>
      <c r="BX25" s="2">
        <v>25043.52</v>
      </c>
      <c r="BY25" s="2">
        <v>28341.94</v>
      </c>
      <c r="BZ25" s="2">
        <v>20594.990000000002</v>
      </c>
      <c r="CA25" s="2">
        <v>29587.65</v>
      </c>
      <c r="CB25" s="2">
        <v>19642.38</v>
      </c>
      <c r="CC25" s="2">
        <v>30480</v>
      </c>
      <c r="CD25" s="2">
        <v>19678.75</v>
      </c>
      <c r="CE25" s="2">
        <v>28279.77</v>
      </c>
      <c r="CF25" s="2">
        <v>19992.650000000001</v>
      </c>
      <c r="CG25" s="2">
        <v>26888.94</v>
      </c>
      <c r="CH25" s="2">
        <v>19242.39</v>
      </c>
      <c r="CI25" s="2">
        <v>21142.06</v>
      </c>
      <c r="CJ25" s="2">
        <v>17025.38</v>
      </c>
      <c r="CK25" s="2">
        <v>16772.04</v>
      </c>
      <c r="CL25" s="2">
        <v>15133.39</v>
      </c>
    </row>
    <row r="26" spans="2:90" x14ac:dyDescent="0.3">
      <c r="B26" s="1" t="s">
        <v>69</v>
      </c>
      <c r="C26" s="2">
        <v>0.14000000000000001</v>
      </c>
      <c r="D26" s="2">
        <v>0.15</v>
      </c>
      <c r="E26" s="2">
        <v>0.14000000000000001</v>
      </c>
      <c r="F26" s="2">
        <v>0.12</v>
      </c>
      <c r="G26" s="2">
        <v>0.23</v>
      </c>
      <c r="H26" s="2">
        <v>0.22</v>
      </c>
      <c r="I26" s="2">
        <v>0.2</v>
      </c>
      <c r="J26" s="2">
        <v>0.14000000000000001</v>
      </c>
      <c r="K26" s="2">
        <v>0.2</v>
      </c>
      <c r="L26" s="2">
        <v>0.13</v>
      </c>
      <c r="M26" s="2">
        <v>0.2</v>
      </c>
      <c r="N26" s="2">
        <v>0.13</v>
      </c>
      <c r="O26" s="2">
        <v>0.2</v>
      </c>
      <c r="P26" s="2">
        <v>0.13</v>
      </c>
      <c r="Q26" s="2">
        <v>0.16</v>
      </c>
      <c r="R26" s="2">
        <v>0.13</v>
      </c>
      <c r="S26" s="2">
        <v>0.13</v>
      </c>
      <c r="T26" s="2">
        <v>0.14000000000000001</v>
      </c>
      <c r="U26" s="2">
        <v>0.13</v>
      </c>
      <c r="V26" s="2">
        <v>0.11</v>
      </c>
      <c r="X26" s="1" t="s">
        <v>69</v>
      </c>
      <c r="Y26" s="2">
        <v>1039.5</v>
      </c>
      <c r="Z26" s="2">
        <v>594.75</v>
      </c>
      <c r="AA26" s="2">
        <v>1047.98</v>
      </c>
      <c r="AB26" s="2">
        <v>518.46</v>
      </c>
      <c r="AC26" s="2">
        <v>1425.24</v>
      </c>
      <c r="AD26" s="2">
        <v>1735.23</v>
      </c>
      <c r="AE26" s="2">
        <v>1601.13</v>
      </c>
      <c r="AF26" s="2">
        <v>848.72</v>
      </c>
      <c r="AG26" s="2">
        <v>1546.98</v>
      </c>
      <c r="AH26" s="2">
        <v>742.07</v>
      </c>
      <c r="AI26" s="2">
        <v>1545.91</v>
      </c>
      <c r="AJ26" s="2">
        <v>725.95</v>
      </c>
      <c r="AK26" s="2">
        <v>1542.13</v>
      </c>
      <c r="AL26" s="2">
        <v>732.17</v>
      </c>
      <c r="AM26" s="2">
        <v>1081.77</v>
      </c>
      <c r="AN26" s="2">
        <v>699.2</v>
      </c>
      <c r="AO26" s="2">
        <v>696.43</v>
      </c>
      <c r="AP26" s="2">
        <v>662.69</v>
      </c>
      <c r="AQ26" s="2">
        <v>653.21</v>
      </c>
      <c r="AR26" s="2">
        <v>520.51</v>
      </c>
      <c r="AU26" s="1" t="s">
        <v>69</v>
      </c>
      <c r="AV26" s="2">
        <v>7520.18</v>
      </c>
      <c r="AW26" s="2">
        <v>4249.2</v>
      </c>
      <c r="AX26" s="2">
        <v>7071.4</v>
      </c>
      <c r="AY26" s="2">
        <v>4248.24</v>
      </c>
      <c r="AZ26" s="2">
        <v>5513.45</v>
      </c>
      <c r="BA26" s="2">
        <v>7144.77</v>
      </c>
      <c r="BB26" s="2">
        <v>7194.72</v>
      </c>
      <c r="BC26" s="2">
        <v>6325.09</v>
      </c>
      <c r="BD26" s="2">
        <v>7333.02</v>
      </c>
      <c r="BE26" s="2">
        <v>6024.44</v>
      </c>
      <c r="BF26" s="2">
        <v>7334.09</v>
      </c>
      <c r="BG26" s="2">
        <v>5863.06</v>
      </c>
      <c r="BH26" s="2">
        <v>7337.87</v>
      </c>
      <c r="BI26" s="2">
        <v>5916.23</v>
      </c>
      <c r="BJ26" s="2">
        <v>6848.68</v>
      </c>
      <c r="BK26" s="2">
        <v>5605.6</v>
      </c>
      <c r="BL26" s="2">
        <v>5590.37</v>
      </c>
      <c r="BM26" s="2">
        <v>5240.66</v>
      </c>
      <c r="BN26" s="2">
        <v>5167.9399999999996</v>
      </c>
      <c r="BO26" s="2">
        <v>5009.22</v>
      </c>
      <c r="BR26" s="1" t="s">
        <v>69</v>
      </c>
      <c r="BS26" s="2">
        <v>8559.69</v>
      </c>
      <c r="BT26" s="2">
        <v>4843.95</v>
      </c>
      <c r="BU26" s="2">
        <v>8119.38</v>
      </c>
      <c r="BV26" s="2">
        <v>4766.7</v>
      </c>
      <c r="BW26" s="2">
        <v>6938.68</v>
      </c>
      <c r="BX26" s="2">
        <v>8880</v>
      </c>
      <c r="BY26" s="2">
        <v>8795.85</v>
      </c>
      <c r="BZ26" s="2">
        <v>7173.81</v>
      </c>
      <c r="CA26" s="2">
        <v>8880</v>
      </c>
      <c r="CB26" s="2">
        <v>6766.51</v>
      </c>
      <c r="CC26" s="2">
        <v>8880</v>
      </c>
      <c r="CD26" s="2">
        <v>6589.01</v>
      </c>
      <c r="CE26" s="2">
        <v>8880</v>
      </c>
      <c r="CF26" s="2">
        <v>6648.4</v>
      </c>
      <c r="CG26" s="2">
        <v>7930.45</v>
      </c>
      <c r="CH26" s="2">
        <v>6304.8</v>
      </c>
      <c r="CI26" s="2">
        <v>6286.8</v>
      </c>
      <c r="CJ26" s="2">
        <v>5903.35</v>
      </c>
      <c r="CK26" s="2">
        <v>5821.15</v>
      </c>
      <c r="CL26" s="2">
        <v>5529.73</v>
      </c>
    </row>
    <row r="27" spans="2:90" x14ac:dyDescent="0.3">
      <c r="B27" s="1" t="s">
        <v>70</v>
      </c>
      <c r="C27" s="2">
        <v>0.22</v>
      </c>
      <c r="D27" s="2">
        <v>0.18</v>
      </c>
      <c r="E27" s="2">
        <v>0.12</v>
      </c>
      <c r="F27" s="2">
        <v>0.12</v>
      </c>
      <c r="G27" s="2">
        <v>0.22</v>
      </c>
      <c r="H27" s="2">
        <v>0.22</v>
      </c>
      <c r="I27" s="2">
        <v>0.12</v>
      </c>
      <c r="J27" s="2">
        <v>0.18</v>
      </c>
      <c r="K27" s="2">
        <v>0.15</v>
      </c>
      <c r="L27" s="2">
        <v>0.16</v>
      </c>
      <c r="M27" s="2">
        <v>0.14000000000000001</v>
      </c>
      <c r="N27" s="2">
        <v>0.13</v>
      </c>
      <c r="O27" s="2">
        <v>0.12</v>
      </c>
      <c r="P27" s="2">
        <v>0.12</v>
      </c>
      <c r="Q27" s="2">
        <v>0.13</v>
      </c>
      <c r="R27" s="2">
        <v>0.12</v>
      </c>
      <c r="S27" s="2">
        <v>0.13</v>
      </c>
      <c r="T27" s="2">
        <v>0.12</v>
      </c>
      <c r="U27" s="2">
        <v>0.13</v>
      </c>
      <c r="V27" s="2">
        <v>0.11</v>
      </c>
      <c r="X27" s="1" t="s">
        <v>70</v>
      </c>
      <c r="Y27" s="2">
        <v>5637.63</v>
      </c>
      <c r="Z27" s="2">
        <v>5747.59</v>
      </c>
      <c r="AA27" s="2">
        <v>4231.05</v>
      </c>
      <c r="AB27" s="2">
        <v>4589.99</v>
      </c>
      <c r="AC27" s="2">
        <v>5536.1</v>
      </c>
      <c r="AD27" s="2">
        <v>6120.07</v>
      </c>
      <c r="AE27" s="2">
        <v>3968.31</v>
      </c>
      <c r="AF27" s="2">
        <v>5895.28</v>
      </c>
      <c r="AG27" s="2">
        <v>5452.4</v>
      </c>
      <c r="AH27" s="2">
        <v>5833.12</v>
      </c>
      <c r="AI27" s="2">
        <v>4757.17</v>
      </c>
      <c r="AJ27" s="2">
        <v>4453.88</v>
      </c>
      <c r="AK27" s="2">
        <v>3908.46</v>
      </c>
      <c r="AL27" s="2">
        <v>4002.33</v>
      </c>
      <c r="AM27" s="2">
        <v>3629.25</v>
      </c>
      <c r="AN27" s="2">
        <v>3664.59</v>
      </c>
      <c r="AO27" s="2">
        <v>3444.82</v>
      </c>
      <c r="AP27" s="2">
        <v>3426.69</v>
      </c>
      <c r="AQ27" s="2">
        <v>3459.83</v>
      </c>
      <c r="AR27" s="2">
        <v>3434.21</v>
      </c>
      <c r="AU27" s="1" t="s">
        <v>70</v>
      </c>
      <c r="AV27" s="2">
        <v>23476.38</v>
      </c>
      <c r="AW27" s="2">
        <v>30738.16</v>
      </c>
      <c r="AX27" s="2">
        <v>33179.449999999997</v>
      </c>
      <c r="AY27" s="2">
        <v>36038.01</v>
      </c>
      <c r="AZ27" s="2">
        <v>22291.15</v>
      </c>
      <c r="BA27" s="2">
        <v>24992.35</v>
      </c>
      <c r="BB27" s="2">
        <v>32569.439999999999</v>
      </c>
      <c r="BC27" s="2">
        <v>29864.22</v>
      </c>
      <c r="BD27" s="2">
        <v>34189.85</v>
      </c>
      <c r="BE27" s="2">
        <v>33848.879999999997</v>
      </c>
      <c r="BF27" s="2">
        <v>33292.58</v>
      </c>
      <c r="BG27" s="2">
        <v>34527.620000000003</v>
      </c>
      <c r="BH27" s="2">
        <v>32003.29</v>
      </c>
      <c r="BI27" s="2">
        <v>34207.17</v>
      </c>
      <c r="BJ27" s="2">
        <v>29308.75</v>
      </c>
      <c r="BK27" s="2">
        <v>29690.16</v>
      </c>
      <c r="BL27" s="2">
        <v>27186.68</v>
      </c>
      <c r="BM27" s="2">
        <v>28007.31</v>
      </c>
      <c r="BN27" s="2">
        <v>27917.67</v>
      </c>
      <c r="BO27" s="2">
        <v>31583.79</v>
      </c>
      <c r="BR27" s="1" t="s">
        <v>70</v>
      </c>
      <c r="BS27" s="2">
        <v>29114.01</v>
      </c>
      <c r="BT27" s="2">
        <v>36485.75</v>
      </c>
      <c r="BU27" s="2">
        <v>37410.5</v>
      </c>
      <c r="BV27" s="2">
        <v>40628</v>
      </c>
      <c r="BW27" s="2">
        <v>27827.25</v>
      </c>
      <c r="BX27" s="2">
        <v>31112.41</v>
      </c>
      <c r="BY27" s="2">
        <v>36537.75</v>
      </c>
      <c r="BZ27" s="2">
        <v>35759.5</v>
      </c>
      <c r="CA27" s="2">
        <v>39642.25</v>
      </c>
      <c r="CB27" s="2">
        <v>39682</v>
      </c>
      <c r="CC27" s="2">
        <v>38049.75</v>
      </c>
      <c r="CD27" s="2">
        <v>38981.5</v>
      </c>
      <c r="CE27" s="2">
        <v>35911.75</v>
      </c>
      <c r="CF27" s="2">
        <v>38209.5</v>
      </c>
      <c r="CG27" s="2">
        <v>32938</v>
      </c>
      <c r="CH27" s="2">
        <v>33354.75</v>
      </c>
      <c r="CI27" s="2">
        <v>30631.5</v>
      </c>
      <c r="CJ27" s="2">
        <v>31434</v>
      </c>
      <c r="CK27" s="2">
        <v>31377.5</v>
      </c>
      <c r="CL27" s="2">
        <v>35018</v>
      </c>
    </row>
    <row r="28" spans="2:90" x14ac:dyDescent="0.3">
      <c r="B28" s="1" t="s">
        <v>71</v>
      </c>
      <c r="C28" s="2">
        <v>0.24</v>
      </c>
      <c r="D28" s="2">
        <v>0.24</v>
      </c>
      <c r="E28" s="2">
        <v>0.14000000000000001</v>
      </c>
      <c r="F28" s="2">
        <v>0.14000000000000001</v>
      </c>
      <c r="G28" s="2">
        <v>0.25</v>
      </c>
      <c r="H28" s="2">
        <v>0.24</v>
      </c>
      <c r="I28" s="2">
        <v>0.14000000000000001</v>
      </c>
      <c r="J28" s="2">
        <v>0.24</v>
      </c>
      <c r="K28" s="2">
        <v>0.13</v>
      </c>
      <c r="L28" s="2">
        <v>0.2</v>
      </c>
      <c r="M28" s="2">
        <v>0.13</v>
      </c>
      <c r="N28" s="2">
        <v>0.13</v>
      </c>
      <c r="O28" s="2">
        <v>0.13</v>
      </c>
      <c r="P28" s="2">
        <v>0.18</v>
      </c>
      <c r="Q28" s="2">
        <v>0.13</v>
      </c>
      <c r="R28" s="2">
        <v>0.17</v>
      </c>
      <c r="S28" s="2">
        <v>0.13</v>
      </c>
      <c r="T28" s="2">
        <v>0.16</v>
      </c>
      <c r="U28" s="2">
        <v>0.14000000000000001</v>
      </c>
      <c r="V28" s="2">
        <v>0.13</v>
      </c>
      <c r="X28" s="1" t="s">
        <v>71</v>
      </c>
      <c r="Y28" s="2">
        <v>1461.53</v>
      </c>
      <c r="Z28" s="2">
        <v>1488.32</v>
      </c>
      <c r="AA28" s="2">
        <v>1159.78</v>
      </c>
      <c r="AB28" s="2">
        <v>1179.22</v>
      </c>
      <c r="AC28" s="2">
        <v>1292.8900000000001</v>
      </c>
      <c r="AD28" s="2">
        <v>1435.91</v>
      </c>
      <c r="AE28" s="2">
        <v>838.2</v>
      </c>
      <c r="AF28" s="2">
        <v>1197.1099999999999</v>
      </c>
      <c r="AG28" s="2">
        <v>786.86</v>
      </c>
      <c r="AH28" s="2">
        <v>1587.63</v>
      </c>
      <c r="AI28" s="2">
        <v>837.26</v>
      </c>
      <c r="AJ28" s="2">
        <v>1050.56</v>
      </c>
      <c r="AK28" s="2">
        <v>830.95</v>
      </c>
      <c r="AL28" s="2">
        <v>1360.85</v>
      </c>
      <c r="AM28" s="2">
        <v>818.16</v>
      </c>
      <c r="AN28" s="2">
        <v>1329.77</v>
      </c>
      <c r="AO28" s="2">
        <v>782.36</v>
      </c>
      <c r="AP28" s="2">
        <v>1135.9100000000001</v>
      </c>
      <c r="AQ28" s="2">
        <v>734.72</v>
      </c>
      <c r="AR28" s="2">
        <v>694.38</v>
      </c>
      <c r="AU28" s="1" t="s">
        <v>71</v>
      </c>
      <c r="AV28" s="2">
        <v>5445.28</v>
      </c>
      <c r="AW28" s="2">
        <v>5550.43</v>
      </c>
      <c r="AX28" s="2">
        <v>7705.95</v>
      </c>
      <c r="AY28" s="2">
        <v>7700.78</v>
      </c>
      <c r="AZ28" s="2">
        <v>4483.84</v>
      </c>
      <c r="BA28" s="2">
        <v>5120.07</v>
      </c>
      <c r="BB28" s="2">
        <v>5688.3</v>
      </c>
      <c r="BC28" s="2">
        <v>4372.8100000000004</v>
      </c>
      <c r="BD28" s="2">
        <v>5771.69</v>
      </c>
      <c r="BE28" s="2">
        <v>7071.36</v>
      </c>
      <c r="BF28" s="2">
        <v>6201.79</v>
      </c>
      <c r="BG28" s="2">
        <v>7829.44</v>
      </c>
      <c r="BH28" s="2">
        <v>6156.52</v>
      </c>
      <c r="BI28" s="2">
        <v>7015.49</v>
      </c>
      <c r="BJ28" s="2">
        <v>6108.83</v>
      </c>
      <c r="BK28" s="2">
        <v>6992.84</v>
      </c>
      <c r="BL28" s="2">
        <v>5869.2</v>
      </c>
      <c r="BM28" s="2">
        <v>6776.95</v>
      </c>
      <c r="BN28" s="2">
        <v>5437.17</v>
      </c>
      <c r="BO28" s="2">
        <v>5091.87</v>
      </c>
      <c r="BR28" s="1" t="s">
        <v>71</v>
      </c>
      <c r="BS28" s="2">
        <v>6906.81</v>
      </c>
      <c r="BT28" s="2">
        <v>7038.75</v>
      </c>
      <c r="BU28" s="2">
        <v>8865.73</v>
      </c>
      <c r="BV28" s="2">
        <v>8880</v>
      </c>
      <c r="BW28" s="2">
        <v>5776.74</v>
      </c>
      <c r="BX28" s="2">
        <v>6555.98</v>
      </c>
      <c r="BY28" s="2">
        <v>6526.5</v>
      </c>
      <c r="BZ28" s="2">
        <v>5569.92</v>
      </c>
      <c r="CA28" s="2">
        <v>6558.55</v>
      </c>
      <c r="CB28" s="2">
        <v>8659</v>
      </c>
      <c r="CC28" s="2">
        <v>7039.05</v>
      </c>
      <c r="CD28" s="2">
        <v>8880</v>
      </c>
      <c r="CE28" s="2">
        <v>6987.47</v>
      </c>
      <c r="CF28" s="2">
        <v>8376.33</v>
      </c>
      <c r="CG28" s="2">
        <v>6926.99</v>
      </c>
      <c r="CH28" s="2">
        <v>8322.61</v>
      </c>
      <c r="CI28" s="2">
        <v>6651.57</v>
      </c>
      <c r="CJ28" s="2">
        <v>7912.85</v>
      </c>
      <c r="CK28" s="2">
        <v>6171.89</v>
      </c>
      <c r="CL28" s="2">
        <v>5786.25</v>
      </c>
    </row>
    <row r="29" spans="2:90" x14ac:dyDescent="0.3">
      <c r="B29" s="1" t="s">
        <v>72</v>
      </c>
      <c r="C29" s="2">
        <v>0.23</v>
      </c>
      <c r="D29" s="2">
        <v>0.23</v>
      </c>
      <c r="E29" s="2">
        <v>0.16</v>
      </c>
      <c r="F29" s="2">
        <v>0.2</v>
      </c>
      <c r="G29" s="2">
        <v>0.27</v>
      </c>
      <c r="H29" s="2">
        <v>0.23</v>
      </c>
      <c r="I29" s="2">
        <v>0.2</v>
      </c>
      <c r="J29" s="2">
        <v>0.31</v>
      </c>
      <c r="K29" s="2">
        <v>0.17</v>
      </c>
      <c r="L29" s="2">
        <v>0.27</v>
      </c>
      <c r="M29" s="2">
        <v>0.18</v>
      </c>
      <c r="N29" s="2">
        <v>0.26</v>
      </c>
      <c r="O29" s="2">
        <v>0.18</v>
      </c>
      <c r="P29" s="2">
        <v>0.25</v>
      </c>
      <c r="Q29" s="2">
        <v>0.19</v>
      </c>
      <c r="R29" s="2">
        <v>0.13</v>
      </c>
      <c r="S29" s="2">
        <v>0.16</v>
      </c>
      <c r="T29" s="2">
        <v>0.16</v>
      </c>
      <c r="U29" s="2">
        <v>0.15</v>
      </c>
      <c r="V29" s="2">
        <v>0.14000000000000001</v>
      </c>
      <c r="X29" s="1" t="s">
        <v>72</v>
      </c>
      <c r="Y29" s="2">
        <v>5426.41</v>
      </c>
      <c r="Z29" s="2">
        <v>5670.56</v>
      </c>
      <c r="AA29" s="2">
        <v>3866.1</v>
      </c>
      <c r="AB29" s="2">
        <v>5754.55</v>
      </c>
      <c r="AC29" s="2">
        <v>4570.2299999999996</v>
      </c>
      <c r="AD29" s="2">
        <v>5454.88</v>
      </c>
      <c r="AE29" s="2">
        <v>4232.8</v>
      </c>
      <c r="AF29" s="2">
        <v>5975.01</v>
      </c>
      <c r="AG29" s="2">
        <v>3208.93</v>
      </c>
      <c r="AH29" s="2">
        <v>7349.87</v>
      </c>
      <c r="AI29" s="2">
        <v>3519.53</v>
      </c>
      <c r="AJ29" s="2">
        <v>7351.98</v>
      </c>
      <c r="AK29" s="2">
        <v>3542.57</v>
      </c>
      <c r="AL29" s="2">
        <v>6440.68</v>
      </c>
      <c r="AM29" s="2">
        <v>3921.84</v>
      </c>
      <c r="AN29" s="2">
        <v>2910.55</v>
      </c>
      <c r="AO29" s="2">
        <v>2881.9</v>
      </c>
      <c r="AP29" s="2">
        <v>3066.96</v>
      </c>
      <c r="AQ29" s="2">
        <v>2459.14</v>
      </c>
      <c r="AR29" s="2">
        <v>2370.4</v>
      </c>
      <c r="AU29" s="1" t="s">
        <v>72</v>
      </c>
      <c r="AV29" s="2">
        <v>20876.55</v>
      </c>
      <c r="AW29" s="2">
        <v>22222.75</v>
      </c>
      <c r="AX29" s="2">
        <v>21727.46</v>
      </c>
      <c r="AY29" s="2">
        <v>23896.49</v>
      </c>
      <c r="AZ29" s="2">
        <v>13736.58</v>
      </c>
      <c r="BA29" s="2">
        <v>20496.509999999998</v>
      </c>
      <c r="BB29" s="2">
        <v>18654.16</v>
      </c>
      <c r="BC29" s="2">
        <v>15281.34</v>
      </c>
      <c r="BD29" s="2">
        <v>18173.169999999998</v>
      </c>
      <c r="BE29" s="2">
        <v>23130.13</v>
      </c>
      <c r="BF29" s="2">
        <v>18702.259999999998</v>
      </c>
      <c r="BG29" s="2">
        <v>23128.02</v>
      </c>
      <c r="BH29" s="2">
        <v>18746.21</v>
      </c>
      <c r="BI29" s="2">
        <v>22239.47</v>
      </c>
      <c r="BJ29" s="2">
        <v>19341.73</v>
      </c>
      <c r="BK29" s="2">
        <v>22092.85</v>
      </c>
      <c r="BL29" s="2">
        <v>17664.11</v>
      </c>
      <c r="BM29" s="2">
        <v>17970.310000000001</v>
      </c>
      <c r="BN29" s="2">
        <v>16832.669999999998</v>
      </c>
      <c r="BO29" s="2">
        <v>16614.03</v>
      </c>
      <c r="BR29" s="1" t="s">
        <v>72</v>
      </c>
      <c r="BS29" s="2">
        <v>26302.959999999999</v>
      </c>
      <c r="BT29" s="2">
        <v>27893.31</v>
      </c>
      <c r="BU29" s="2">
        <v>25593.56</v>
      </c>
      <c r="BV29" s="2">
        <v>29651.040000000001</v>
      </c>
      <c r="BW29" s="2">
        <v>18306.810000000001</v>
      </c>
      <c r="BX29" s="2">
        <v>25951.39</v>
      </c>
      <c r="BY29" s="2">
        <v>22886.959999999999</v>
      </c>
      <c r="BZ29" s="2">
        <v>21256.35</v>
      </c>
      <c r="CA29" s="2">
        <v>21382.11</v>
      </c>
      <c r="CB29" s="2">
        <v>30480</v>
      </c>
      <c r="CC29" s="2">
        <v>22221.78</v>
      </c>
      <c r="CD29" s="2">
        <v>30480</v>
      </c>
      <c r="CE29" s="2">
        <v>22288.78</v>
      </c>
      <c r="CF29" s="2">
        <v>28680.15</v>
      </c>
      <c r="CG29" s="2">
        <v>23263.56</v>
      </c>
      <c r="CH29" s="2">
        <v>25003.41</v>
      </c>
      <c r="CI29" s="2">
        <v>20546.009999999998</v>
      </c>
      <c r="CJ29" s="2">
        <v>21037.27</v>
      </c>
      <c r="CK29" s="2">
        <v>19291.810000000001</v>
      </c>
      <c r="CL29" s="2">
        <v>18984.43</v>
      </c>
    </row>
    <row r="30" spans="2:90" x14ac:dyDescent="0.3">
      <c r="B30" s="1" t="s">
        <v>73</v>
      </c>
      <c r="C30" s="2">
        <v>0.17</v>
      </c>
      <c r="D30" s="2">
        <v>0.15</v>
      </c>
      <c r="E30" s="2">
        <v>0.14000000000000001</v>
      </c>
      <c r="F30" s="2">
        <v>0.14000000000000001</v>
      </c>
      <c r="G30" s="2">
        <v>0.05</v>
      </c>
      <c r="H30" s="2">
        <v>0.14000000000000001</v>
      </c>
      <c r="I30" s="2">
        <v>0.14000000000000001</v>
      </c>
      <c r="J30" s="2">
        <v>0.19</v>
      </c>
      <c r="K30" s="2">
        <v>0.18</v>
      </c>
      <c r="L30" s="2">
        <v>0.17</v>
      </c>
      <c r="M30" s="2">
        <v>0.18</v>
      </c>
      <c r="N30" s="2">
        <v>0.17</v>
      </c>
      <c r="O30" s="2">
        <v>0.18</v>
      </c>
      <c r="P30" s="2">
        <v>0.16</v>
      </c>
      <c r="Q30" s="2">
        <v>0.19</v>
      </c>
      <c r="R30" s="2">
        <v>0.18</v>
      </c>
      <c r="S30" s="2">
        <v>0.19</v>
      </c>
      <c r="T30" s="2">
        <v>0.19</v>
      </c>
      <c r="U30" s="2">
        <v>0.19</v>
      </c>
      <c r="V30" s="2">
        <v>0.18</v>
      </c>
      <c r="X30" s="1" t="s">
        <v>73</v>
      </c>
      <c r="Y30" s="2">
        <v>1968.32</v>
      </c>
      <c r="Z30" s="2">
        <v>2264.88</v>
      </c>
      <c r="AA30" s="2">
        <v>1591.13</v>
      </c>
      <c r="AB30" s="2">
        <v>1693.18</v>
      </c>
      <c r="AC30" s="2">
        <v>450.18</v>
      </c>
      <c r="AD30" s="2">
        <v>1777.73</v>
      </c>
      <c r="AE30" s="2">
        <v>1223.33</v>
      </c>
      <c r="AF30" s="2">
        <v>2457.2800000000002</v>
      </c>
      <c r="AG30" s="2">
        <v>1732.77</v>
      </c>
      <c r="AH30" s="2">
        <v>2304.4499999999998</v>
      </c>
      <c r="AI30" s="2">
        <v>1746.6</v>
      </c>
      <c r="AJ30" s="2">
        <v>2362.14</v>
      </c>
      <c r="AK30" s="2">
        <v>1731.01</v>
      </c>
      <c r="AL30" s="2">
        <v>2015.18</v>
      </c>
      <c r="AM30" s="2">
        <v>1702.03</v>
      </c>
      <c r="AN30" s="2">
        <v>1782.59</v>
      </c>
      <c r="AO30" s="2">
        <v>1645.36</v>
      </c>
      <c r="AP30" s="2">
        <v>1641.66</v>
      </c>
      <c r="AQ30" s="2">
        <v>1674.34</v>
      </c>
      <c r="AR30" s="2">
        <v>1653.64</v>
      </c>
      <c r="AU30" s="1" t="s">
        <v>73</v>
      </c>
      <c r="AV30" s="2">
        <v>11919.88</v>
      </c>
      <c r="AW30" s="2">
        <v>14779.77</v>
      </c>
      <c r="AX30" s="2">
        <v>10631.02</v>
      </c>
      <c r="AY30" s="2">
        <v>11328.47</v>
      </c>
      <c r="AZ30" s="2">
        <v>8814.42</v>
      </c>
      <c r="BA30" s="2">
        <v>12532.72</v>
      </c>
      <c r="BB30" s="2">
        <v>9360.3700000000008</v>
      </c>
      <c r="BC30" s="2">
        <v>12155.58</v>
      </c>
      <c r="BD30" s="2">
        <v>9949.23</v>
      </c>
      <c r="BE30" s="2">
        <v>12562.67</v>
      </c>
      <c r="BF30" s="2">
        <v>9675.15</v>
      </c>
      <c r="BG30" s="2">
        <v>12975.41</v>
      </c>
      <c r="BH30" s="2">
        <v>9674.69</v>
      </c>
      <c r="BI30" s="2">
        <v>12613.27</v>
      </c>
      <c r="BJ30" s="2">
        <v>9196.67</v>
      </c>
      <c r="BK30" s="2">
        <v>9986.56</v>
      </c>
      <c r="BL30" s="2">
        <v>8569.7900000000009</v>
      </c>
      <c r="BM30" s="2">
        <v>8784.5400000000009</v>
      </c>
      <c r="BN30" s="2">
        <v>9019.16</v>
      </c>
      <c r="BO30" s="2">
        <v>9625.61</v>
      </c>
      <c r="BR30" s="1" t="s">
        <v>73</v>
      </c>
      <c r="BS30" s="2">
        <v>13888.2</v>
      </c>
      <c r="BT30" s="2">
        <v>17044.650000000001</v>
      </c>
      <c r="BU30" s="2">
        <v>12222.15</v>
      </c>
      <c r="BV30" s="2">
        <v>13021.65</v>
      </c>
      <c r="BW30" s="2">
        <v>9264.6</v>
      </c>
      <c r="BX30" s="2">
        <v>14310.45</v>
      </c>
      <c r="BY30" s="2">
        <v>10583.7</v>
      </c>
      <c r="BZ30" s="2">
        <v>14612.86</v>
      </c>
      <c r="CA30" s="2">
        <v>11682</v>
      </c>
      <c r="CB30" s="2">
        <v>14867.13</v>
      </c>
      <c r="CC30" s="2">
        <v>11421.75</v>
      </c>
      <c r="CD30" s="2">
        <v>15337.55</v>
      </c>
      <c r="CE30" s="2">
        <v>11405.7</v>
      </c>
      <c r="CF30" s="2">
        <v>14628.45</v>
      </c>
      <c r="CG30" s="2">
        <v>10898.7</v>
      </c>
      <c r="CH30" s="2">
        <v>11769.15</v>
      </c>
      <c r="CI30" s="2">
        <v>10215.15</v>
      </c>
      <c r="CJ30" s="2">
        <v>10426.200000000001</v>
      </c>
      <c r="CK30" s="2">
        <v>10693.5</v>
      </c>
      <c r="CL30" s="2">
        <v>11279.25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63</v>
      </c>
      <c r="D34" s="1" t="s">
        <v>64</v>
      </c>
      <c r="E34" s="1" t="s">
        <v>63</v>
      </c>
      <c r="F34" s="1" t="s">
        <v>64</v>
      </c>
      <c r="G34" s="1" t="s">
        <v>63</v>
      </c>
      <c r="H34" s="1" t="s">
        <v>64</v>
      </c>
      <c r="I34" s="1" t="s">
        <v>63</v>
      </c>
      <c r="J34" s="1" t="s">
        <v>64</v>
      </c>
      <c r="K34" s="1" t="s">
        <v>63</v>
      </c>
      <c r="L34" s="1" t="s">
        <v>64</v>
      </c>
      <c r="M34" s="1" t="s">
        <v>63</v>
      </c>
      <c r="N34" s="1" t="s">
        <v>64</v>
      </c>
      <c r="O34" s="1" t="s">
        <v>63</v>
      </c>
      <c r="P34" s="1" t="s">
        <v>64</v>
      </c>
      <c r="Q34" s="1" t="s">
        <v>63</v>
      </c>
      <c r="R34" s="1" t="s">
        <v>64</v>
      </c>
      <c r="S34" s="1" t="s">
        <v>63</v>
      </c>
      <c r="T34" s="1" t="s">
        <v>64</v>
      </c>
      <c r="U34" s="1" t="s">
        <v>63</v>
      </c>
      <c r="V34" s="1" t="s">
        <v>64</v>
      </c>
      <c r="X34" s="1" t="s">
        <v>6</v>
      </c>
      <c r="Y34" s="1" t="s">
        <v>63</v>
      </c>
      <c r="Z34" s="1" t="s">
        <v>64</v>
      </c>
      <c r="AA34" s="1" t="s">
        <v>63</v>
      </c>
      <c r="AB34" s="1" t="s">
        <v>64</v>
      </c>
      <c r="AC34" s="1" t="s">
        <v>63</v>
      </c>
      <c r="AD34" s="1" t="s">
        <v>64</v>
      </c>
      <c r="AE34" s="1" t="s">
        <v>63</v>
      </c>
      <c r="AF34" s="1" t="s">
        <v>64</v>
      </c>
      <c r="AG34" s="1" t="s">
        <v>63</v>
      </c>
      <c r="AH34" s="1" t="s">
        <v>64</v>
      </c>
      <c r="AI34" s="1" t="s">
        <v>63</v>
      </c>
      <c r="AJ34" s="1" t="s">
        <v>64</v>
      </c>
      <c r="AK34" s="1" t="s">
        <v>63</v>
      </c>
      <c r="AL34" s="1" t="s">
        <v>64</v>
      </c>
      <c r="AM34" s="1" t="s">
        <v>63</v>
      </c>
      <c r="AN34" s="1" t="s">
        <v>64</v>
      </c>
      <c r="AO34" s="1" t="s">
        <v>63</v>
      </c>
      <c r="AP34" s="1" t="s">
        <v>64</v>
      </c>
      <c r="AQ34" s="1" t="s">
        <v>63</v>
      </c>
      <c r="AR34" s="1" t="s">
        <v>64</v>
      </c>
      <c r="AU34" s="1" t="s">
        <v>6</v>
      </c>
      <c r="AV34" s="1" t="s">
        <v>63</v>
      </c>
      <c r="AW34" s="1" t="s">
        <v>64</v>
      </c>
      <c r="AX34" s="1" t="s">
        <v>63</v>
      </c>
      <c r="AY34" s="1" t="s">
        <v>64</v>
      </c>
      <c r="AZ34" s="1" t="s">
        <v>63</v>
      </c>
      <c r="BA34" s="1" t="s">
        <v>64</v>
      </c>
      <c r="BB34" s="1" t="s">
        <v>63</v>
      </c>
      <c r="BC34" s="1" t="s">
        <v>64</v>
      </c>
      <c r="BD34" s="1" t="s">
        <v>63</v>
      </c>
      <c r="BE34" s="1" t="s">
        <v>64</v>
      </c>
      <c r="BF34" s="1" t="s">
        <v>63</v>
      </c>
      <c r="BG34" s="1" t="s">
        <v>64</v>
      </c>
      <c r="BH34" s="1" t="s">
        <v>63</v>
      </c>
      <c r="BI34" s="1" t="s">
        <v>64</v>
      </c>
      <c r="BJ34" s="1" t="s">
        <v>63</v>
      </c>
      <c r="BK34" s="1" t="s">
        <v>64</v>
      </c>
      <c r="BL34" s="1" t="s">
        <v>63</v>
      </c>
      <c r="BM34" s="1" t="s">
        <v>64</v>
      </c>
      <c r="BN34" s="1" t="s">
        <v>63</v>
      </c>
      <c r="BO34" s="1" t="s">
        <v>64</v>
      </c>
      <c r="BR34" s="1" t="s">
        <v>6</v>
      </c>
      <c r="BS34" s="1" t="s">
        <v>63</v>
      </c>
      <c r="BT34" s="1" t="s">
        <v>64</v>
      </c>
      <c r="BU34" s="1" t="s">
        <v>63</v>
      </c>
      <c r="BV34" s="1" t="s">
        <v>64</v>
      </c>
      <c r="BW34" s="1" t="s">
        <v>63</v>
      </c>
      <c r="BX34" s="1" t="s">
        <v>64</v>
      </c>
      <c r="BY34" s="1" t="s">
        <v>63</v>
      </c>
      <c r="BZ34" s="1" t="s">
        <v>64</v>
      </c>
      <c r="CA34" s="1" t="s">
        <v>63</v>
      </c>
      <c r="CB34" s="1" t="s">
        <v>64</v>
      </c>
      <c r="CC34" s="1" t="s">
        <v>63</v>
      </c>
      <c r="CD34" s="1" t="s">
        <v>64</v>
      </c>
      <c r="CE34" s="1" t="s">
        <v>63</v>
      </c>
      <c r="CF34" s="1" t="s">
        <v>64</v>
      </c>
      <c r="CG34" s="1" t="s">
        <v>63</v>
      </c>
      <c r="CH34" s="1" t="s">
        <v>64</v>
      </c>
      <c r="CI34" s="1" t="s">
        <v>63</v>
      </c>
      <c r="CJ34" s="1" t="s">
        <v>64</v>
      </c>
      <c r="CK34" s="1" t="s">
        <v>63</v>
      </c>
      <c r="CL34" s="1" t="s">
        <v>64</v>
      </c>
    </row>
    <row r="35" spans="2:90" x14ac:dyDescent="0.3">
      <c r="B35" s="1" t="s">
        <v>65</v>
      </c>
      <c r="C35" s="1" t="s">
        <v>53</v>
      </c>
      <c r="D35" s="1" t="s">
        <v>53</v>
      </c>
      <c r="E35" s="1" t="s">
        <v>54</v>
      </c>
      <c r="F35" s="1" t="s">
        <v>54</v>
      </c>
      <c r="G35" s="1" t="s">
        <v>55</v>
      </c>
      <c r="H35" s="1" t="s">
        <v>55</v>
      </c>
      <c r="I35" s="1" t="s">
        <v>56</v>
      </c>
      <c r="J35" s="1" t="s">
        <v>56</v>
      </c>
      <c r="K35" s="1" t="s">
        <v>57</v>
      </c>
      <c r="L35" s="1" t="s">
        <v>57</v>
      </c>
      <c r="M35" s="1" t="s">
        <v>58</v>
      </c>
      <c r="N35" s="1" t="s">
        <v>58</v>
      </c>
      <c r="O35" s="1" t="s">
        <v>59</v>
      </c>
      <c r="P35" s="1" t="s">
        <v>59</v>
      </c>
      <c r="Q35" s="1" t="s">
        <v>60</v>
      </c>
      <c r="R35" s="1" t="s">
        <v>60</v>
      </c>
      <c r="S35" s="1" t="s">
        <v>61</v>
      </c>
      <c r="T35" s="1" t="s">
        <v>61</v>
      </c>
      <c r="U35" s="1" t="s">
        <v>62</v>
      </c>
      <c r="V35" s="1" t="s">
        <v>62</v>
      </c>
      <c r="X35" s="1" t="s">
        <v>65</v>
      </c>
      <c r="Y35" s="1" t="s">
        <v>53</v>
      </c>
      <c r="Z35" s="1" t="s">
        <v>53</v>
      </c>
      <c r="AA35" s="1" t="s">
        <v>54</v>
      </c>
      <c r="AB35" s="1" t="s">
        <v>54</v>
      </c>
      <c r="AC35" s="1" t="s">
        <v>55</v>
      </c>
      <c r="AD35" s="1" t="s">
        <v>55</v>
      </c>
      <c r="AE35" s="1" t="s">
        <v>56</v>
      </c>
      <c r="AF35" s="1" t="s">
        <v>56</v>
      </c>
      <c r="AG35" s="1" t="s">
        <v>57</v>
      </c>
      <c r="AH35" s="1" t="s">
        <v>57</v>
      </c>
      <c r="AI35" s="1" t="s">
        <v>58</v>
      </c>
      <c r="AJ35" s="1" t="s">
        <v>58</v>
      </c>
      <c r="AK35" s="1" t="s">
        <v>59</v>
      </c>
      <c r="AL35" s="1" t="s">
        <v>59</v>
      </c>
      <c r="AM35" s="1" t="s">
        <v>60</v>
      </c>
      <c r="AN35" s="1" t="s">
        <v>60</v>
      </c>
      <c r="AO35" s="1" t="s">
        <v>61</v>
      </c>
      <c r="AP35" s="1" t="s">
        <v>61</v>
      </c>
      <c r="AQ35" s="1" t="s">
        <v>62</v>
      </c>
      <c r="AR35" s="1" t="s">
        <v>62</v>
      </c>
      <c r="AU35" s="1" t="s">
        <v>65</v>
      </c>
      <c r="AV35" s="1" t="s">
        <v>53</v>
      </c>
      <c r="AW35" s="1" t="s">
        <v>53</v>
      </c>
      <c r="AX35" s="1" t="s">
        <v>54</v>
      </c>
      <c r="AY35" s="1" t="s">
        <v>54</v>
      </c>
      <c r="AZ35" s="1" t="s">
        <v>55</v>
      </c>
      <c r="BA35" s="1" t="s">
        <v>55</v>
      </c>
      <c r="BB35" s="1" t="s">
        <v>56</v>
      </c>
      <c r="BC35" s="1" t="s">
        <v>56</v>
      </c>
      <c r="BD35" s="1" t="s">
        <v>57</v>
      </c>
      <c r="BE35" s="1" t="s">
        <v>57</v>
      </c>
      <c r="BF35" s="1" t="s">
        <v>58</v>
      </c>
      <c r="BG35" s="1" t="s">
        <v>58</v>
      </c>
      <c r="BH35" s="1" t="s">
        <v>59</v>
      </c>
      <c r="BI35" s="1" t="s">
        <v>59</v>
      </c>
      <c r="BJ35" s="1" t="s">
        <v>60</v>
      </c>
      <c r="BK35" s="1" t="s">
        <v>60</v>
      </c>
      <c r="BL35" s="1" t="s">
        <v>61</v>
      </c>
      <c r="BM35" s="1" t="s">
        <v>61</v>
      </c>
      <c r="BN35" s="1" t="s">
        <v>62</v>
      </c>
      <c r="BO35" s="1" t="s">
        <v>62</v>
      </c>
      <c r="BR35" s="1" t="s">
        <v>65</v>
      </c>
      <c r="BS35" s="1" t="s">
        <v>53</v>
      </c>
      <c r="BT35" s="1" t="s">
        <v>53</v>
      </c>
      <c r="BU35" s="1" t="s">
        <v>54</v>
      </c>
      <c r="BV35" s="1" t="s">
        <v>54</v>
      </c>
      <c r="BW35" s="1" t="s">
        <v>55</v>
      </c>
      <c r="BX35" s="1" t="s">
        <v>55</v>
      </c>
      <c r="BY35" s="1" t="s">
        <v>56</v>
      </c>
      <c r="BZ35" s="1" t="s">
        <v>56</v>
      </c>
      <c r="CA35" s="1" t="s">
        <v>57</v>
      </c>
      <c r="CB35" s="1" t="s">
        <v>57</v>
      </c>
      <c r="CC35" s="1" t="s">
        <v>58</v>
      </c>
      <c r="CD35" s="1" t="s">
        <v>58</v>
      </c>
      <c r="CE35" s="1" t="s">
        <v>59</v>
      </c>
      <c r="CF35" s="1" t="s">
        <v>59</v>
      </c>
      <c r="CG35" s="1" t="s">
        <v>60</v>
      </c>
      <c r="CH35" s="1" t="s">
        <v>60</v>
      </c>
      <c r="CI35" s="1" t="s">
        <v>61</v>
      </c>
      <c r="CJ35" s="1" t="s">
        <v>61</v>
      </c>
      <c r="CK35" s="1" t="s">
        <v>62</v>
      </c>
      <c r="CL35" s="1" t="s">
        <v>62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66</v>
      </c>
      <c r="C37" s="2">
        <v>1239.76</v>
      </c>
      <c r="D37" s="2">
        <v>1169.8</v>
      </c>
      <c r="E37" s="2">
        <v>230.04</v>
      </c>
      <c r="F37" s="2">
        <v>213.4</v>
      </c>
      <c r="G37" s="2">
        <v>78.67</v>
      </c>
      <c r="H37" s="2">
        <v>119.89</v>
      </c>
      <c r="I37" s="2">
        <v>908.67</v>
      </c>
      <c r="J37" s="2">
        <v>488.36</v>
      </c>
      <c r="K37" s="2">
        <v>1727.84</v>
      </c>
      <c r="L37" s="2">
        <v>510.85</v>
      </c>
      <c r="M37" s="2">
        <v>3102.88</v>
      </c>
      <c r="N37" s="2">
        <v>659.65</v>
      </c>
      <c r="O37" s="2">
        <v>2573.4699999999998</v>
      </c>
      <c r="P37" s="2">
        <v>142.93</v>
      </c>
      <c r="Q37" s="2">
        <v>2365.9499999999998</v>
      </c>
      <c r="R37" s="2">
        <v>648.52</v>
      </c>
      <c r="S37" s="2">
        <v>157.91</v>
      </c>
      <c r="T37" s="2">
        <v>133.16</v>
      </c>
      <c r="U37" s="2">
        <v>368.81</v>
      </c>
      <c r="V37" s="2">
        <v>193.36</v>
      </c>
      <c r="X37" s="1" t="s">
        <v>66</v>
      </c>
      <c r="Y37" s="2">
        <v>499.7</v>
      </c>
      <c r="Z37" s="2">
        <v>475.6</v>
      </c>
      <c r="AA37" s="2">
        <v>112.94</v>
      </c>
      <c r="AB37" s="2">
        <v>103.54</v>
      </c>
      <c r="AC37" s="2">
        <v>92.34</v>
      </c>
      <c r="AD37" s="2">
        <v>140.80000000000001</v>
      </c>
      <c r="AE37" s="2">
        <v>317.25</v>
      </c>
      <c r="AF37" s="2">
        <v>163.75</v>
      </c>
      <c r="AG37" s="2">
        <v>485.85</v>
      </c>
      <c r="AH37" s="2">
        <v>133.69999999999999</v>
      </c>
      <c r="AI37" s="2">
        <v>490.45</v>
      </c>
      <c r="AJ37" s="2">
        <v>92.2</v>
      </c>
      <c r="AK37" s="2">
        <v>465.37</v>
      </c>
      <c r="AL37" s="2">
        <v>23.89</v>
      </c>
      <c r="AM37" s="2">
        <v>335.25</v>
      </c>
      <c r="AN37" s="2">
        <v>89.15</v>
      </c>
      <c r="AO37" s="2">
        <v>23.57</v>
      </c>
      <c r="AP37" s="2">
        <v>17.940000000000001</v>
      </c>
      <c r="AQ37" s="2">
        <v>40.270000000000003</v>
      </c>
      <c r="AR37" s="2">
        <v>19.02</v>
      </c>
      <c r="AU37" s="1" t="s">
        <v>66</v>
      </c>
      <c r="AV37" s="2">
        <v>2400</v>
      </c>
      <c r="AW37" s="2">
        <v>2400</v>
      </c>
      <c r="AX37" s="2">
        <v>2045.56</v>
      </c>
      <c r="AY37" s="2">
        <v>1914.76</v>
      </c>
      <c r="AZ37" s="2">
        <v>1938.16</v>
      </c>
      <c r="BA37" s="2">
        <v>2400</v>
      </c>
      <c r="BB37" s="2">
        <v>2400</v>
      </c>
      <c r="BC37" s="2">
        <v>2400</v>
      </c>
      <c r="BD37" s="2">
        <v>2391.3000000000002</v>
      </c>
      <c r="BE37" s="2">
        <v>2400</v>
      </c>
      <c r="BF37" s="2">
        <v>2400</v>
      </c>
      <c r="BG37" s="2">
        <v>2400</v>
      </c>
      <c r="BH37" s="2">
        <v>2386.23</v>
      </c>
      <c r="BI37" s="2">
        <v>2399.86</v>
      </c>
      <c r="BJ37" s="2">
        <v>2400</v>
      </c>
      <c r="BK37" s="2">
        <v>2400</v>
      </c>
      <c r="BL37" s="2">
        <v>2356.5300000000002</v>
      </c>
      <c r="BM37" s="2">
        <v>1814.31</v>
      </c>
      <c r="BN37" s="2">
        <v>2399.7800000000002</v>
      </c>
      <c r="BO37" s="2">
        <v>1911.38</v>
      </c>
      <c r="BR37" s="1" t="s">
        <v>66</v>
      </c>
      <c r="BS37" s="2">
        <v>2899.7</v>
      </c>
      <c r="BT37" s="2">
        <v>2875.6</v>
      </c>
      <c r="BU37" s="2">
        <v>2158.5</v>
      </c>
      <c r="BV37" s="2">
        <v>2018.3</v>
      </c>
      <c r="BW37" s="2">
        <v>2030.5</v>
      </c>
      <c r="BX37" s="2">
        <v>2540.8000000000002</v>
      </c>
      <c r="BY37" s="2">
        <v>2717.25</v>
      </c>
      <c r="BZ37" s="2">
        <v>2563.75</v>
      </c>
      <c r="CA37" s="2">
        <v>2877.15</v>
      </c>
      <c r="CB37" s="2">
        <v>2533.6999999999998</v>
      </c>
      <c r="CC37" s="2">
        <v>2890.45</v>
      </c>
      <c r="CD37" s="2">
        <v>2492.1999999999998</v>
      </c>
      <c r="CE37" s="2">
        <v>2851.6</v>
      </c>
      <c r="CF37" s="2">
        <v>2423.75</v>
      </c>
      <c r="CG37" s="2">
        <v>2735.25</v>
      </c>
      <c r="CH37" s="2">
        <v>2489.15</v>
      </c>
      <c r="CI37" s="2">
        <v>2380.1</v>
      </c>
      <c r="CJ37" s="2">
        <v>1832.25</v>
      </c>
      <c r="CK37" s="2">
        <v>2440.0500000000002</v>
      </c>
      <c r="CL37" s="2">
        <v>1930.4</v>
      </c>
    </row>
    <row r="38" spans="2:90" x14ac:dyDescent="0.3">
      <c r="B38" s="1" t="s">
        <v>67</v>
      </c>
      <c r="C38" s="2">
        <v>1869.49</v>
      </c>
      <c r="D38" s="2">
        <v>688.38</v>
      </c>
      <c r="E38" s="2">
        <v>1531.77</v>
      </c>
      <c r="F38" s="2">
        <v>624.89</v>
      </c>
      <c r="G38" s="2">
        <v>364.18</v>
      </c>
      <c r="H38" s="2">
        <v>387.08</v>
      </c>
      <c r="I38" s="2">
        <v>2485.91</v>
      </c>
      <c r="J38" s="2">
        <v>1843.62</v>
      </c>
      <c r="K38" s="2">
        <v>3162.08</v>
      </c>
      <c r="L38" s="2">
        <v>1635.69</v>
      </c>
      <c r="M38" s="2">
        <v>6775.13</v>
      </c>
      <c r="N38" s="2">
        <v>3093.67</v>
      </c>
      <c r="O38" s="2">
        <v>4143.95</v>
      </c>
      <c r="P38" s="2">
        <v>2973.94</v>
      </c>
      <c r="Q38" s="2">
        <v>4967.42</v>
      </c>
      <c r="R38" s="2">
        <v>3444.57</v>
      </c>
      <c r="S38" s="2">
        <v>4095.75</v>
      </c>
      <c r="T38" s="2">
        <v>2027.35</v>
      </c>
      <c r="U38" s="2">
        <v>5492.42</v>
      </c>
      <c r="V38" s="2">
        <v>2006.73</v>
      </c>
      <c r="X38" s="1" t="s">
        <v>67</v>
      </c>
      <c r="Y38" s="2">
        <v>858.4</v>
      </c>
      <c r="Z38" s="2">
        <v>564.76</v>
      </c>
      <c r="AA38" s="2">
        <v>882.33</v>
      </c>
      <c r="AB38" s="2">
        <v>566.78</v>
      </c>
      <c r="AC38" s="2">
        <v>617.39</v>
      </c>
      <c r="AD38" s="2">
        <v>710.48</v>
      </c>
      <c r="AE38" s="2">
        <v>970.01</v>
      </c>
      <c r="AF38" s="2">
        <v>702.19</v>
      </c>
      <c r="AG38" s="2">
        <v>907.43</v>
      </c>
      <c r="AH38" s="2">
        <v>638.94000000000005</v>
      </c>
      <c r="AI38" s="2">
        <v>979.63</v>
      </c>
      <c r="AJ38" s="2">
        <v>649.03</v>
      </c>
      <c r="AK38" s="2">
        <v>752.6</v>
      </c>
      <c r="AL38" s="2">
        <v>688.17</v>
      </c>
      <c r="AM38" s="2">
        <v>735.73</v>
      </c>
      <c r="AN38" s="2">
        <v>672.94</v>
      </c>
      <c r="AO38" s="2">
        <v>721.11</v>
      </c>
      <c r="AP38" s="2">
        <v>566.5</v>
      </c>
      <c r="AQ38" s="2">
        <v>824.65</v>
      </c>
      <c r="AR38" s="2">
        <v>511.3</v>
      </c>
      <c r="AU38" s="1" t="s">
        <v>67</v>
      </c>
      <c r="AV38" s="2">
        <v>7365.95</v>
      </c>
      <c r="AW38" s="2">
        <v>4764.49</v>
      </c>
      <c r="AX38" s="2">
        <v>6802.47</v>
      </c>
      <c r="AY38" s="2">
        <v>4515.42</v>
      </c>
      <c r="AZ38" s="2">
        <v>4354.5600000000004</v>
      </c>
      <c r="BA38" s="2">
        <v>5678.47</v>
      </c>
      <c r="BB38" s="2">
        <v>7631.69</v>
      </c>
      <c r="BC38" s="2">
        <v>5134.8599999999997</v>
      </c>
      <c r="BD38" s="2">
        <v>7684.87</v>
      </c>
      <c r="BE38" s="2">
        <v>5097.8100000000004</v>
      </c>
      <c r="BF38" s="2">
        <v>7371.72</v>
      </c>
      <c r="BG38" s="2">
        <v>5186.72</v>
      </c>
      <c r="BH38" s="2">
        <v>6233.5</v>
      </c>
      <c r="BI38" s="2">
        <v>5560.78</v>
      </c>
      <c r="BJ38" s="2">
        <v>6055.97</v>
      </c>
      <c r="BK38" s="2">
        <v>5620.11</v>
      </c>
      <c r="BL38" s="2">
        <v>5901.44</v>
      </c>
      <c r="BM38" s="2">
        <v>4445.25</v>
      </c>
      <c r="BN38" s="2">
        <v>7308.3</v>
      </c>
      <c r="BO38" s="2">
        <v>4632.55</v>
      </c>
      <c r="BR38" s="1" t="s">
        <v>67</v>
      </c>
      <c r="BS38" s="2">
        <v>8224.35</v>
      </c>
      <c r="BT38" s="2">
        <v>5329.25</v>
      </c>
      <c r="BU38" s="2">
        <v>7684.8</v>
      </c>
      <c r="BV38" s="2">
        <v>5082.2</v>
      </c>
      <c r="BW38" s="2">
        <v>4971.95</v>
      </c>
      <c r="BX38" s="2">
        <v>6388.95</v>
      </c>
      <c r="BY38" s="2">
        <v>8601.7000000000007</v>
      </c>
      <c r="BZ38" s="2">
        <v>5837.05</v>
      </c>
      <c r="CA38" s="2">
        <v>8592.2999999999993</v>
      </c>
      <c r="CB38" s="2">
        <v>5736.75</v>
      </c>
      <c r="CC38" s="2">
        <v>8351.35</v>
      </c>
      <c r="CD38" s="2">
        <v>5835.75</v>
      </c>
      <c r="CE38" s="2">
        <v>6986.1</v>
      </c>
      <c r="CF38" s="2">
        <v>6248.95</v>
      </c>
      <c r="CG38" s="2">
        <v>6791.7</v>
      </c>
      <c r="CH38" s="2">
        <v>6293.05</v>
      </c>
      <c r="CI38" s="2">
        <v>6622.55</v>
      </c>
      <c r="CJ38" s="2">
        <v>5011.75</v>
      </c>
      <c r="CK38" s="2">
        <v>8132.95</v>
      </c>
      <c r="CL38" s="2">
        <v>5143.8500000000004</v>
      </c>
    </row>
    <row r="39" spans="2:90" x14ac:dyDescent="0.3">
      <c r="B39" s="1" t="s">
        <v>68</v>
      </c>
      <c r="C39" s="2">
        <v>30228.26</v>
      </c>
      <c r="D39" s="2">
        <v>2220.2399999999998</v>
      </c>
      <c r="E39" s="2">
        <v>29926.57</v>
      </c>
      <c r="F39" s="2">
        <v>1602.16</v>
      </c>
      <c r="G39" s="2">
        <v>6500.8</v>
      </c>
      <c r="H39" s="2">
        <v>5611.64</v>
      </c>
      <c r="I39" s="2">
        <v>20640.13</v>
      </c>
      <c r="J39" s="2">
        <v>9973.8799999999992</v>
      </c>
      <c r="K39" s="2">
        <v>27461.7</v>
      </c>
      <c r="L39" s="2">
        <v>10404.83</v>
      </c>
      <c r="M39" s="2">
        <v>52804.37</v>
      </c>
      <c r="N39" s="2">
        <v>18880.53</v>
      </c>
      <c r="O39" s="2">
        <v>41329.64</v>
      </c>
      <c r="P39" s="2">
        <v>15840.41</v>
      </c>
      <c r="Q39" s="2">
        <v>52389.89</v>
      </c>
      <c r="R39" s="2">
        <v>18721.87</v>
      </c>
      <c r="S39" s="2">
        <v>20978.68</v>
      </c>
      <c r="T39" s="2">
        <v>12636.48</v>
      </c>
      <c r="U39" s="2">
        <v>15947.61</v>
      </c>
      <c r="V39" s="2">
        <v>12726.73</v>
      </c>
      <c r="X39" s="1" t="s">
        <v>68</v>
      </c>
      <c r="Y39" s="2">
        <v>1879.65</v>
      </c>
      <c r="Z39" s="2">
        <v>471.61</v>
      </c>
      <c r="AA39" s="2">
        <v>1765.73</v>
      </c>
      <c r="AB39" s="2">
        <v>427.48</v>
      </c>
      <c r="AC39" s="2">
        <v>2053.04</v>
      </c>
      <c r="AD39" s="2">
        <v>1829.03</v>
      </c>
      <c r="AE39" s="2">
        <v>2113.5300000000002</v>
      </c>
      <c r="AF39" s="2">
        <v>999.34</v>
      </c>
      <c r="AG39" s="2">
        <v>2236.77</v>
      </c>
      <c r="AH39" s="2">
        <v>829.04</v>
      </c>
      <c r="AI39" s="2">
        <v>2386.2800000000002</v>
      </c>
      <c r="AJ39" s="2">
        <v>829.93</v>
      </c>
      <c r="AK39" s="2">
        <v>2266.58</v>
      </c>
      <c r="AL39" s="2">
        <v>861.07</v>
      </c>
      <c r="AM39" s="2">
        <v>2190.37</v>
      </c>
      <c r="AN39" s="2">
        <v>788.34</v>
      </c>
      <c r="AO39" s="2">
        <v>995.57</v>
      </c>
      <c r="AP39" s="2">
        <v>641.26</v>
      </c>
      <c r="AQ39" s="2">
        <v>631.16</v>
      </c>
      <c r="AR39" s="2">
        <v>573.62</v>
      </c>
      <c r="AU39" s="1" t="s">
        <v>68</v>
      </c>
      <c r="AV39" s="2">
        <v>7762.61</v>
      </c>
      <c r="AW39" s="2">
        <v>4057.24</v>
      </c>
      <c r="AX39" s="2">
        <v>7502.99</v>
      </c>
      <c r="AY39" s="2">
        <v>3415.27</v>
      </c>
      <c r="AZ39" s="2">
        <v>5361.15</v>
      </c>
      <c r="BA39" s="2">
        <v>6518.81</v>
      </c>
      <c r="BB39" s="2">
        <v>7333.79</v>
      </c>
      <c r="BC39" s="2">
        <v>5865.66</v>
      </c>
      <c r="BD39" s="2">
        <v>7625.78</v>
      </c>
      <c r="BE39" s="2">
        <v>5718.42</v>
      </c>
      <c r="BF39" s="2">
        <v>7773.72</v>
      </c>
      <c r="BG39" s="2">
        <v>5729.65</v>
      </c>
      <c r="BH39" s="2">
        <v>7160.01</v>
      </c>
      <c r="BI39" s="2">
        <v>5803.14</v>
      </c>
      <c r="BJ39" s="2">
        <v>6772.61</v>
      </c>
      <c r="BK39" s="2">
        <v>5625.79</v>
      </c>
      <c r="BL39" s="2">
        <v>6051.78</v>
      </c>
      <c r="BM39" s="2">
        <v>5033.8599999999997</v>
      </c>
      <c r="BN39" s="2">
        <v>4959.5200000000004</v>
      </c>
      <c r="BO39" s="2">
        <v>4470.84</v>
      </c>
      <c r="BR39" s="1" t="s">
        <v>68</v>
      </c>
      <c r="BS39" s="2">
        <v>9642.26</v>
      </c>
      <c r="BT39" s="2">
        <v>4528.8500000000004</v>
      </c>
      <c r="BU39" s="2">
        <v>9268.7099999999991</v>
      </c>
      <c r="BV39" s="2">
        <v>3842.75</v>
      </c>
      <c r="BW39" s="2">
        <v>7414.19</v>
      </c>
      <c r="BX39" s="2">
        <v>8347.84</v>
      </c>
      <c r="BY39" s="2">
        <v>9447.31</v>
      </c>
      <c r="BZ39" s="2">
        <v>6865</v>
      </c>
      <c r="CA39" s="2">
        <v>9862.5499999999993</v>
      </c>
      <c r="CB39" s="2">
        <v>6547.46</v>
      </c>
      <c r="CC39" s="2">
        <v>10160</v>
      </c>
      <c r="CD39" s="2">
        <v>6559.58</v>
      </c>
      <c r="CE39" s="2">
        <v>9426.59</v>
      </c>
      <c r="CF39" s="2">
        <v>6664.22</v>
      </c>
      <c r="CG39" s="2">
        <v>8962.98</v>
      </c>
      <c r="CH39" s="2">
        <v>6414.13</v>
      </c>
      <c r="CI39" s="2">
        <v>7047.35</v>
      </c>
      <c r="CJ39" s="2">
        <v>5675.13</v>
      </c>
      <c r="CK39" s="2">
        <v>5590.68</v>
      </c>
      <c r="CL39" s="2">
        <v>5044.46</v>
      </c>
    </row>
    <row r="40" spans="2:90" x14ac:dyDescent="0.3">
      <c r="B40" s="1" t="s">
        <v>69</v>
      </c>
      <c r="C40" s="2">
        <v>5744.24</v>
      </c>
      <c r="D40" s="2">
        <v>857.5</v>
      </c>
      <c r="E40" s="2">
        <v>5326.84</v>
      </c>
      <c r="F40" s="2">
        <v>560.69000000000005</v>
      </c>
      <c r="G40" s="2">
        <v>1527.75</v>
      </c>
      <c r="H40" s="2">
        <v>1818.51</v>
      </c>
      <c r="I40" s="2">
        <v>5353.32</v>
      </c>
      <c r="J40" s="2">
        <v>2878.08</v>
      </c>
      <c r="K40" s="2">
        <v>6504.23</v>
      </c>
      <c r="L40" s="2">
        <v>2710.44</v>
      </c>
      <c r="M40" s="2">
        <v>11714.71</v>
      </c>
      <c r="N40" s="2">
        <v>4518.99</v>
      </c>
      <c r="O40" s="2">
        <v>9517.5300000000007</v>
      </c>
      <c r="P40" s="2">
        <v>3740.72</v>
      </c>
      <c r="Q40" s="2">
        <v>8706.2099999999991</v>
      </c>
      <c r="R40" s="2">
        <v>4174.54</v>
      </c>
      <c r="S40" s="2">
        <v>3672.74</v>
      </c>
      <c r="T40" s="2">
        <v>3155.64</v>
      </c>
      <c r="U40" s="2">
        <v>4000.02</v>
      </c>
      <c r="V40" s="2">
        <v>3462.48</v>
      </c>
      <c r="X40" s="1" t="s">
        <v>69</v>
      </c>
      <c r="Y40" s="2">
        <v>1039.5</v>
      </c>
      <c r="Z40" s="2">
        <v>594.75</v>
      </c>
      <c r="AA40" s="2">
        <v>1047.98</v>
      </c>
      <c r="AB40" s="2">
        <v>518.46</v>
      </c>
      <c r="AC40" s="2">
        <v>1425.24</v>
      </c>
      <c r="AD40" s="2">
        <v>1735.23</v>
      </c>
      <c r="AE40" s="2">
        <v>1601.13</v>
      </c>
      <c r="AF40" s="2">
        <v>848.72</v>
      </c>
      <c r="AG40" s="2">
        <v>1546.98</v>
      </c>
      <c r="AH40" s="2">
        <v>742.07</v>
      </c>
      <c r="AI40" s="2">
        <v>1545.91</v>
      </c>
      <c r="AJ40" s="2">
        <v>725.95</v>
      </c>
      <c r="AK40" s="2">
        <v>1542.13</v>
      </c>
      <c r="AL40" s="2">
        <v>732.17</v>
      </c>
      <c r="AM40" s="2">
        <v>1081.77</v>
      </c>
      <c r="AN40" s="2">
        <v>699.2</v>
      </c>
      <c r="AO40" s="2">
        <v>696.43</v>
      </c>
      <c r="AP40" s="2">
        <v>662.69</v>
      </c>
      <c r="AQ40" s="2">
        <v>653.21</v>
      </c>
      <c r="AR40" s="2">
        <v>520.51</v>
      </c>
      <c r="AU40" s="1" t="s">
        <v>69</v>
      </c>
      <c r="AV40" s="2">
        <v>7520.18</v>
      </c>
      <c r="AW40" s="2">
        <v>4249.2</v>
      </c>
      <c r="AX40" s="2">
        <v>7071.4</v>
      </c>
      <c r="AY40" s="2">
        <v>4248.24</v>
      </c>
      <c r="AZ40" s="2">
        <v>5513.45</v>
      </c>
      <c r="BA40" s="2">
        <v>7144.77</v>
      </c>
      <c r="BB40" s="2">
        <v>7194.72</v>
      </c>
      <c r="BC40" s="2">
        <v>6325.09</v>
      </c>
      <c r="BD40" s="2">
        <v>7333.02</v>
      </c>
      <c r="BE40" s="2">
        <v>6024.44</v>
      </c>
      <c r="BF40" s="2">
        <v>7334.09</v>
      </c>
      <c r="BG40" s="2">
        <v>5863.06</v>
      </c>
      <c r="BH40" s="2">
        <v>7337.87</v>
      </c>
      <c r="BI40" s="2">
        <v>5916.23</v>
      </c>
      <c r="BJ40" s="2">
        <v>6848.68</v>
      </c>
      <c r="BK40" s="2">
        <v>5605.6</v>
      </c>
      <c r="BL40" s="2">
        <v>5590.37</v>
      </c>
      <c r="BM40" s="2">
        <v>5240.66</v>
      </c>
      <c r="BN40" s="2">
        <v>5167.9399999999996</v>
      </c>
      <c r="BO40" s="2">
        <v>5009.22</v>
      </c>
      <c r="BR40" s="1" t="s">
        <v>69</v>
      </c>
      <c r="BS40" s="2">
        <v>8559.69</v>
      </c>
      <c r="BT40" s="2">
        <v>4843.95</v>
      </c>
      <c r="BU40" s="2">
        <v>8119.38</v>
      </c>
      <c r="BV40" s="2">
        <v>4766.7</v>
      </c>
      <c r="BW40" s="2">
        <v>6938.68</v>
      </c>
      <c r="BX40" s="2">
        <v>8880</v>
      </c>
      <c r="BY40" s="2">
        <v>8795.85</v>
      </c>
      <c r="BZ40" s="2">
        <v>7173.81</v>
      </c>
      <c r="CA40" s="2">
        <v>8880</v>
      </c>
      <c r="CB40" s="2">
        <v>6766.51</v>
      </c>
      <c r="CC40" s="2">
        <v>8880</v>
      </c>
      <c r="CD40" s="2">
        <v>6589.01</v>
      </c>
      <c r="CE40" s="2">
        <v>8880</v>
      </c>
      <c r="CF40" s="2">
        <v>6648.4</v>
      </c>
      <c r="CG40" s="2">
        <v>7930.45</v>
      </c>
      <c r="CH40" s="2">
        <v>6304.8</v>
      </c>
      <c r="CI40" s="2">
        <v>6286.8</v>
      </c>
      <c r="CJ40" s="2">
        <v>5903.35</v>
      </c>
      <c r="CK40" s="2">
        <v>5821.15</v>
      </c>
      <c r="CL40" s="2">
        <v>5529.73</v>
      </c>
    </row>
    <row r="41" spans="2:90" x14ac:dyDescent="0.3">
      <c r="B41" s="1" t="s">
        <v>70</v>
      </c>
      <c r="C41" s="2">
        <v>15514.68</v>
      </c>
      <c r="D41" s="2">
        <v>15709.27</v>
      </c>
      <c r="E41" s="2">
        <v>21255.93</v>
      </c>
      <c r="F41" s="2">
        <v>9062.61</v>
      </c>
      <c r="G41" s="2">
        <v>5744.73</v>
      </c>
      <c r="H41" s="2">
        <v>6255.55</v>
      </c>
      <c r="I41" s="2">
        <v>9677.4</v>
      </c>
      <c r="J41" s="2">
        <v>19443.939999999999</v>
      </c>
      <c r="K41" s="2">
        <v>22288.19</v>
      </c>
      <c r="L41" s="2">
        <v>23924.36</v>
      </c>
      <c r="M41" s="2">
        <v>35015.24</v>
      </c>
      <c r="N41" s="2">
        <v>32649.54</v>
      </c>
      <c r="O41" s="2">
        <v>23287.82</v>
      </c>
      <c r="P41" s="2">
        <v>23481.09</v>
      </c>
      <c r="Q41" s="2">
        <v>23162.34</v>
      </c>
      <c r="R41" s="2">
        <v>23981.64</v>
      </c>
      <c r="S41" s="2">
        <v>17616.14</v>
      </c>
      <c r="T41" s="2">
        <v>16285.51</v>
      </c>
      <c r="U41" s="2">
        <v>22806.11</v>
      </c>
      <c r="V41" s="2">
        <v>18790.39</v>
      </c>
      <c r="X41" s="1" t="s">
        <v>70</v>
      </c>
      <c r="Y41" s="2">
        <v>1127.53</v>
      </c>
      <c r="Z41" s="2">
        <v>1149.52</v>
      </c>
      <c r="AA41" s="2">
        <v>846.21</v>
      </c>
      <c r="AB41" s="2">
        <v>918</v>
      </c>
      <c r="AC41" s="2">
        <v>1107.22</v>
      </c>
      <c r="AD41" s="2">
        <v>1224.01</v>
      </c>
      <c r="AE41" s="2">
        <v>793.66</v>
      </c>
      <c r="AF41" s="2">
        <v>1179.06</v>
      </c>
      <c r="AG41" s="2">
        <v>1090.48</v>
      </c>
      <c r="AH41" s="2">
        <v>1166.6199999999999</v>
      </c>
      <c r="AI41" s="2">
        <v>951.43</v>
      </c>
      <c r="AJ41" s="2">
        <v>890.78</v>
      </c>
      <c r="AK41" s="2">
        <v>781.69</v>
      </c>
      <c r="AL41" s="2">
        <v>800.47</v>
      </c>
      <c r="AM41" s="2">
        <v>725.85</v>
      </c>
      <c r="AN41" s="2">
        <v>732.92</v>
      </c>
      <c r="AO41" s="2">
        <v>688.96</v>
      </c>
      <c r="AP41" s="2">
        <v>685.34</v>
      </c>
      <c r="AQ41" s="2">
        <v>691.97</v>
      </c>
      <c r="AR41" s="2">
        <v>686.84</v>
      </c>
      <c r="AU41" s="1" t="s">
        <v>70</v>
      </c>
      <c r="AV41" s="2">
        <v>4695.28</v>
      </c>
      <c r="AW41" s="2">
        <v>6147.63</v>
      </c>
      <c r="AX41" s="2">
        <v>6635.89</v>
      </c>
      <c r="AY41" s="2">
        <v>7207.6</v>
      </c>
      <c r="AZ41" s="2">
        <v>4458.2299999999996</v>
      </c>
      <c r="BA41" s="2">
        <v>4998.47</v>
      </c>
      <c r="BB41" s="2">
        <v>6513.89</v>
      </c>
      <c r="BC41" s="2">
        <v>5972.84</v>
      </c>
      <c r="BD41" s="2">
        <v>6837.97</v>
      </c>
      <c r="BE41" s="2">
        <v>6769.78</v>
      </c>
      <c r="BF41" s="2">
        <v>6658.52</v>
      </c>
      <c r="BG41" s="2">
        <v>6905.52</v>
      </c>
      <c r="BH41" s="2">
        <v>6400.66</v>
      </c>
      <c r="BI41" s="2">
        <v>6841.43</v>
      </c>
      <c r="BJ41" s="2">
        <v>5861.75</v>
      </c>
      <c r="BK41" s="2">
        <v>5938.03</v>
      </c>
      <c r="BL41" s="2">
        <v>5437.34</v>
      </c>
      <c r="BM41" s="2">
        <v>5601.46</v>
      </c>
      <c r="BN41" s="2">
        <v>5583.53</v>
      </c>
      <c r="BO41" s="2">
        <v>6316.76</v>
      </c>
      <c r="BR41" s="1" t="s">
        <v>70</v>
      </c>
      <c r="BS41" s="2">
        <v>5822.8</v>
      </c>
      <c r="BT41" s="2">
        <v>7297.15</v>
      </c>
      <c r="BU41" s="2">
        <v>7482.1</v>
      </c>
      <c r="BV41" s="2">
        <v>8125.6</v>
      </c>
      <c r="BW41" s="2">
        <v>5565.45</v>
      </c>
      <c r="BX41" s="2">
        <v>6222.48</v>
      </c>
      <c r="BY41" s="2">
        <v>7307.55</v>
      </c>
      <c r="BZ41" s="2">
        <v>7151.9</v>
      </c>
      <c r="CA41" s="2">
        <v>7928.45</v>
      </c>
      <c r="CB41" s="2">
        <v>7936.4</v>
      </c>
      <c r="CC41" s="2">
        <v>7609.95</v>
      </c>
      <c r="CD41" s="2">
        <v>7796.3</v>
      </c>
      <c r="CE41" s="2">
        <v>7182.35</v>
      </c>
      <c r="CF41" s="2">
        <v>7641.9</v>
      </c>
      <c r="CG41" s="2">
        <v>6587.6</v>
      </c>
      <c r="CH41" s="2">
        <v>6670.95</v>
      </c>
      <c r="CI41" s="2">
        <v>6126.3</v>
      </c>
      <c r="CJ41" s="2">
        <v>6286.8</v>
      </c>
      <c r="CK41" s="2">
        <v>6275.5</v>
      </c>
      <c r="CL41" s="2">
        <v>7003.6</v>
      </c>
    </row>
    <row r="42" spans="2:90" x14ac:dyDescent="0.3">
      <c r="B42" s="1" t="s">
        <v>71</v>
      </c>
      <c r="C42" s="2">
        <v>3909.36</v>
      </c>
      <c r="D42" s="2">
        <v>3922.5</v>
      </c>
      <c r="E42" s="2">
        <v>5717.34</v>
      </c>
      <c r="F42" s="2">
        <v>5701.45</v>
      </c>
      <c r="G42" s="2">
        <v>1307.49</v>
      </c>
      <c r="H42" s="2">
        <v>1422.12</v>
      </c>
      <c r="I42" s="2">
        <v>2073.71</v>
      </c>
      <c r="J42" s="2">
        <v>3825.4</v>
      </c>
      <c r="K42" s="2">
        <v>2386.08</v>
      </c>
      <c r="L42" s="2">
        <v>6278.43</v>
      </c>
      <c r="M42" s="2">
        <v>5391.09</v>
      </c>
      <c r="N42" s="2">
        <v>13429.72</v>
      </c>
      <c r="O42" s="2">
        <v>4241.71</v>
      </c>
      <c r="P42" s="2">
        <v>7642.08</v>
      </c>
      <c r="Q42" s="2">
        <v>5404.25</v>
      </c>
      <c r="R42" s="2">
        <v>9892.66</v>
      </c>
      <c r="S42" s="2">
        <v>4283.42</v>
      </c>
      <c r="T42" s="2">
        <v>7460.32</v>
      </c>
      <c r="U42" s="2">
        <v>4576.84</v>
      </c>
      <c r="V42" s="2">
        <v>3773.74</v>
      </c>
      <c r="X42" s="1" t="s">
        <v>71</v>
      </c>
      <c r="Y42" s="2">
        <v>1461.53</v>
      </c>
      <c r="Z42" s="2">
        <v>1488.32</v>
      </c>
      <c r="AA42" s="2">
        <v>1159.78</v>
      </c>
      <c r="AB42" s="2">
        <v>1179.22</v>
      </c>
      <c r="AC42" s="2">
        <v>1292.8900000000001</v>
      </c>
      <c r="AD42" s="2">
        <v>1435.91</v>
      </c>
      <c r="AE42" s="2">
        <v>838.2</v>
      </c>
      <c r="AF42" s="2">
        <v>1197.1099999999999</v>
      </c>
      <c r="AG42" s="2">
        <v>786.86</v>
      </c>
      <c r="AH42" s="2">
        <v>1587.63</v>
      </c>
      <c r="AI42" s="2">
        <v>837.26</v>
      </c>
      <c r="AJ42" s="2">
        <v>1050.56</v>
      </c>
      <c r="AK42" s="2">
        <v>830.95</v>
      </c>
      <c r="AL42" s="2">
        <v>1360.85</v>
      </c>
      <c r="AM42" s="2">
        <v>818.16</v>
      </c>
      <c r="AN42" s="2">
        <v>1329.77</v>
      </c>
      <c r="AO42" s="2">
        <v>782.36</v>
      </c>
      <c r="AP42" s="2">
        <v>1135.9100000000001</v>
      </c>
      <c r="AQ42" s="2">
        <v>734.72</v>
      </c>
      <c r="AR42" s="2">
        <v>694.38</v>
      </c>
      <c r="AU42" s="1" t="s">
        <v>71</v>
      </c>
      <c r="AV42" s="2">
        <v>5445.28</v>
      </c>
      <c r="AW42" s="2">
        <v>5550.43</v>
      </c>
      <c r="AX42" s="2">
        <v>7705.95</v>
      </c>
      <c r="AY42" s="2">
        <v>7700.78</v>
      </c>
      <c r="AZ42" s="2">
        <v>4483.84</v>
      </c>
      <c r="BA42" s="2">
        <v>5120.07</v>
      </c>
      <c r="BB42" s="2">
        <v>5688.3</v>
      </c>
      <c r="BC42" s="2">
        <v>4372.8100000000004</v>
      </c>
      <c r="BD42" s="2">
        <v>5771.69</v>
      </c>
      <c r="BE42" s="2">
        <v>7071.36</v>
      </c>
      <c r="BF42" s="2">
        <v>6201.79</v>
      </c>
      <c r="BG42" s="2">
        <v>7829.44</v>
      </c>
      <c r="BH42" s="2">
        <v>6156.52</v>
      </c>
      <c r="BI42" s="2">
        <v>7015.49</v>
      </c>
      <c r="BJ42" s="2">
        <v>6108.83</v>
      </c>
      <c r="BK42" s="2">
        <v>6992.84</v>
      </c>
      <c r="BL42" s="2">
        <v>5869.2</v>
      </c>
      <c r="BM42" s="2">
        <v>6776.95</v>
      </c>
      <c r="BN42" s="2">
        <v>5437.17</v>
      </c>
      <c r="BO42" s="2">
        <v>5091.87</v>
      </c>
      <c r="BR42" s="1" t="s">
        <v>71</v>
      </c>
      <c r="BS42" s="2">
        <v>6906.81</v>
      </c>
      <c r="BT42" s="2">
        <v>7038.75</v>
      </c>
      <c r="BU42" s="2">
        <v>8865.73</v>
      </c>
      <c r="BV42" s="2">
        <v>8880</v>
      </c>
      <c r="BW42" s="2">
        <v>5776.74</v>
      </c>
      <c r="BX42" s="2">
        <v>6555.98</v>
      </c>
      <c r="BY42" s="2">
        <v>6526.5</v>
      </c>
      <c r="BZ42" s="2">
        <v>5569.92</v>
      </c>
      <c r="CA42" s="2">
        <v>6558.55</v>
      </c>
      <c r="CB42" s="2">
        <v>8659</v>
      </c>
      <c r="CC42" s="2">
        <v>7039.05</v>
      </c>
      <c r="CD42" s="2">
        <v>8880</v>
      </c>
      <c r="CE42" s="2">
        <v>6987.47</v>
      </c>
      <c r="CF42" s="2">
        <v>8376.33</v>
      </c>
      <c r="CG42" s="2">
        <v>6926.99</v>
      </c>
      <c r="CH42" s="2">
        <v>8322.61</v>
      </c>
      <c r="CI42" s="2">
        <v>6651.57</v>
      </c>
      <c r="CJ42" s="2">
        <v>7912.85</v>
      </c>
      <c r="CK42" s="2">
        <v>6171.89</v>
      </c>
      <c r="CL42" s="2">
        <v>5786.25</v>
      </c>
    </row>
    <row r="43" spans="2:90" x14ac:dyDescent="0.3">
      <c r="B43" s="1" t="s">
        <v>72</v>
      </c>
      <c r="C43" s="2">
        <v>28391.71</v>
      </c>
      <c r="D43" s="2">
        <v>29876.01</v>
      </c>
      <c r="E43" s="2">
        <v>19032.22</v>
      </c>
      <c r="F43" s="2">
        <v>28247.599999999999</v>
      </c>
      <c r="G43" s="2">
        <v>4567.34</v>
      </c>
      <c r="H43" s="2">
        <v>10857.31</v>
      </c>
      <c r="I43" s="2">
        <v>13323.69</v>
      </c>
      <c r="J43" s="2">
        <v>19306.7</v>
      </c>
      <c r="K43" s="2">
        <v>12647.53</v>
      </c>
      <c r="L43" s="2">
        <v>29332.58</v>
      </c>
      <c r="M43" s="2">
        <v>25042.41</v>
      </c>
      <c r="N43" s="2">
        <v>52514.53</v>
      </c>
      <c r="O43" s="2">
        <v>20349.900000000001</v>
      </c>
      <c r="P43" s="2">
        <v>37054.589999999997</v>
      </c>
      <c r="Q43" s="2">
        <v>29820.6</v>
      </c>
      <c r="R43" s="2">
        <v>42063.49</v>
      </c>
      <c r="S43" s="2">
        <v>19784.34</v>
      </c>
      <c r="T43" s="2">
        <v>20715.36</v>
      </c>
      <c r="U43" s="2">
        <v>22397.360000000001</v>
      </c>
      <c r="V43" s="2">
        <v>21336.61</v>
      </c>
      <c r="X43" s="1" t="s">
        <v>72</v>
      </c>
      <c r="Y43" s="2">
        <v>1808.8</v>
      </c>
      <c r="Z43" s="2">
        <v>1890.19</v>
      </c>
      <c r="AA43" s="2">
        <v>1288.7</v>
      </c>
      <c r="AB43" s="2">
        <v>1918.18</v>
      </c>
      <c r="AC43" s="2">
        <v>1523.41</v>
      </c>
      <c r="AD43" s="2">
        <v>1818.29</v>
      </c>
      <c r="AE43" s="2">
        <v>1410.93</v>
      </c>
      <c r="AF43" s="2">
        <v>1991.67</v>
      </c>
      <c r="AG43" s="2">
        <v>1069.6400000000001</v>
      </c>
      <c r="AH43" s="2">
        <v>2449.96</v>
      </c>
      <c r="AI43" s="2">
        <v>1173.18</v>
      </c>
      <c r="AJ43" s="2">
        <v>2450.66</v>
      </c>
      <c r="AK43" s="2">
        <v>1180.8599999999999</v>
      </c>
      <c r="AL43" s="2">
        <v>2146.89</v>
      </c>
      <c r="AM43" s="2">
        <v>1307.28</v>
      </c>
      <c r="AN43" s="2">
        <v>970.18</v>
      </c>
      <c r="AO43" s="2">
        <v>960.63</v>
      </c>
      <c r="AP43" s="2">
        <v>1022.32</v>
      </c>
      <c r="AQ43" s="2">
        <v>819.71</v>
      </c>
      <c r="AR43" s="2">
        <v>790.13</v>
      </c>
      <c r="AU43" s="1" t="s">
        <v>72</v>
      </c>
      <c r="AV43" s="2">
        <v>6958.85</v>
      </c>
      <c r="AW43" s="2">
        <v>7407.58</v>
      </c>
      <c r="AX43" s="2">
        <v>7242.49</v>
      </c>
      <c r="AY43" s="2">
        <v>7965.5</v>
      </c>
      <c r="AZ43" s="2">
        <v>4578.8599999999997</v>
      </c>
      <c r="BA43" s="2">
        <v>6832.17</v>
      </c>
      <c r="BB43" s="2">
        <v>6218.05</v>
      </c>
      <c r="BC43" s="2">
        <v>5093.78</v>
      </c>
      <c r="BD43" s="2">
        <v>6057.72</v>
      </c>
      <c r="BE43" s="2">
        <v>7710.04</v>
      </c>
      <c r="BF43" s="2">
        <v>6234.09</v>
      </c>
      <c r="BG43" s="2">
        <v>7709.34</v>
      </c>
      <c r="BH43" s="2">
        <v>6248.74</v>
      </c>
      <c r="BI43" s="2">
        <v>7413.16</v>
      </c>
      <c r="BJ43" s="2">
        <v>6447.24</v>
      </c>
      <c r="BK43" s="2">
        <v>7364.28</v>
      </c>
      <c r="BL43" s="2">
        <v>5888.04</v>
      </c>
      <c r="BM43" s="2">
        <v>5990.1</v>
      </c>
      <c r="BN43" s="2">
        <v>5610.89</v>
      </c>
      <c r="BO43" s="2">
        <v>5538.01</v>
      </c>
      <c r="BR43" s="1" t="s">
        <v>72</v>
      </c>
      <c r="BS43" s="2">
        <v>8767.65</v>
      </c>
      <c r="BT43" s="2">
        <v>9297.77</v>
      </c>
      <c r="BU43" s="2">
        <v>8531.19</v>
      </c>
      <c r="BV43" s="2">
        <v>9883.68</v>
      </c>
      <c r="BW43" s="2">
        <v>6102.27</v>
      </c>
      <c r="BX43" s="2">
        <v>8650.4599999999991</v>
      </c>
      <c r="BY43" s="2">
        <v>7628.99</v>
      </c>
      <c r="BZ43" s="2">
        <v>7085.45</v>
      </c>
      <c r="CA43" s="2">
        <v>7127.37</v>
      </c>
      <c r="CB43" s="2">
        <v>10160</v>
      </c>
      <c r="CC43" s="2">
        <v>7407.26</v>
      </c>
      <c r="CD43" s="2">
        <v>10160</v>
      </c>
      <c r="CE43" s="2">
        <v>7429.59</v>
      </c>
      <c r="CF43" s="2">
        <v>9560.0499999999993</v>
      </c>
      <c r="CG43" s="2">
        <v>7754.52</v>
      </c>
      <c r="CH43" s="2">
        <v>8334.4699999999993</v>
      </c>
      <c r="CI43" s="2">
        <v>6848.67</v>
      </c>
      <c r="CJ43" s="2">
        <v>7012.42</v>
      </c>
      <c r="CK43" s="2">
        <v>6430.6</v>
      </c>
      <c r="CL43" s="2">
        <v>6328.14</v>
      </c>
    </row>
    <row r="44" spans="2:90" x14ac:dyDescent="0.3">
      <c r="B44" s="1" t="s">
        <v>73</v>
      </c>
      <c r="C44" s="2">
        <v>3035.69</v>
      </c>
      <c r="D44" s="2">
        <v>5049.66</v>
      </c>
      <c r="E44" s="2">
        <v>1219.06</v>
      </c>
      <c r="F44" s="2">
        <v>1369.35</v>
      </c>
      <c r="G44" s="2">
        <v>58.78</v>
      </c>
      <c r="H44" s="2">
        <v>640.14</v>
      </c>
      <c r="I44" s="2">
        <v>1127.71</v>
      </c>
      <c r="J44" s="2">
        <v>7784.04</v>
      </c>
      <c r="K44" s="2">
        <v>3972.21</v>
      </c>
      <c r="L44" s="2">
        <v>9115.1299999999992</v>
      </c>
      <c r="M44" s="2">
        <v>10278.83</v>
      </c>
      <c r="N44" s="2">
        <v>16846.75</v>
      </c>
      <c r="O44" s="2">
        <v>9186.85</v>
      </c>
      <c r="P44" s="2">
        <v>11234.38</v>
      </c>
      <c r="Q44" s="2">
        <v>10182.450000000001</v>
      </c>
      <c r="R44" s="2">
        <v>9837.1200000000008</v>
      </c>
      <c r="S44" s="2">
        <v>7886.09</v>
      </c>
      <c r="T44" s="2">
        <v>6434.45</v>
      </c>
      <c r="U44" s="2">
        <v>9113.36</v>
      </c>
      <c r="V44" s="2">
        <v>7487.64</v>
      </c>
      <c r="X44" s="1" t="s">
        <v>73</v>
      </c>
      <c r="Y44" s="2">
        <v>656.11</v>
      </c>
      <c r="Z44" s="2">
        <v>754.96</v>
      </c>
      <c r="AA44" s="2">
        <v>530.38</v>
      </c>
      <c r="AB44" s="2">
        <v>564.39</v>
      </c>
      <c r="AC44" s="2">
        <v>150.06</v>
      </c>
      <c r="AD44" s="2">
        <v>592.58000000000004</v>
      </c>
      <c r="AE44" s="2">
        <v>407.78</v>
      </c>
      <c r="AF44" s="2">
        <v>819.09</v>
      </c>
      <c r="AG44" s="2">
        <v>577.59</v>
      </c>
      <c r="AH44" s="2">
        <v>768.15</v>
      </c>
      <c r="AI44" s="2">
        <v>582.20000000000005</v>
      </c>
      <c r="AJ44" s="2">
        <v>787.38</v>
      </c>
      <c r="AK44" s="2">
        <v>577</v>
      </c>
      <c r="AL44" s="2">
        <v>671.73</v>
      </c>
      <c r="AM44" s="2">
        <v>567.34</v>
      </c>
      <c r="AN44" s="2">
        <v>594.20000000000005</v>
      </c>
      <c r="AO44" s="2">
        <v>548.45000000000005</v>
      </c>
      <c r="AP44" s="2">
        <v>547.22</v>
      </c>
      <c r="AQ44" s="2">
        <v>558.11</v>
      </c>
      <c r="AR44" s="2">
        <v>551.21</v>
      </c>
      <c r="AU44" s="1" t="s">
        <v>73</v>
      </c>
      <c r="AV44" s="2">
        <v>3973.29</v>
      </c>
      <c r="AW44" s="2">
        <v>4926.59</v>
      </c>
      <c r="AX44" s="2">
        <v>3543.67</v>
      </c>
      <c r="AY44" s="2">
        <v>3776.16</v>
      </c>
      <c r="AZ44" s="2">
        <v>2938.14</v>
      </c>
      <c r="BA44" s="2">
        <v>4177.57</v>
      </c>
      <c r="BB44" s="2">
        <v>3120.12</v>
      </c>
      <c r="BC44" s="2">
        <v>4051.86</v>
      </c>
      <c r="BD44" s="2">
        <v>3316.41</v>
      </c>
      <c r="BE44" s="2">
        <v>4187.5600000000004</v>
      </c>
      <c r="BF44" s="2">
        <v>3225.05</v>
      </c>
      <c r="BG44" s="2">
        <v>4325.1400000000003</v>
      </c>
      <c r="BH44" s="2">
        <v>3224.9</v>
      </c>
      <c r="BI44" s="2">
        <v>4204.42</v>
      </c>
      <c r="BJ44" s="2">
        <v>3065.56</v>
      </c>
      <c r="BK44" s="2">
        <v>3328.85</v>
      </c>
      <c r="BL44" s="2">
        <v>2856.6</v>
      </c>
      <c r="BM44" s="2">
        <v>2928.18</v>
      </c>
      <c r="BN44" s="2">
        <v>3006.39</v>
      </c>
      <c r="BO44" s="2">
        <v>3208.54</v>
      </c>
      <c r="BR44" s="1" t="s">
        <v>73</v>
      </c>
      <c r="BS44" s="2">
        <v>4629.3999999999996</v>
      </c>
      <c r="BT44" s="2">
        <v>5681.55</v>
      </c>
      <c r="BU44" s="2">
        <v>4074.05</v>
      </c>
      <c r="BV44" s="2">
        <v>4340.55</v>
      </c>
      <c r="BW44" s="2">
        <v>3088.2</v>
      </c>
      <c r="BX44" s="2">
        <v>4770.1499999999996</v>
      </c>
      <c r="BY44" s="2">
        <v>3527.9</v>
      </c>
      <c r="BZ44" s="2">
        <v>4870.95</v>
      </c>
      <c r="CA44" s="2">
        <v>3894</v>
      </c>
      <c r="CB44" s="2">
        <v>4955.71</v>
      </c>
      <c r="CC44" s="2">
        <v>3807.25</v>
      </c>
      <c r="CD44" s="2">
        <v>5112.5200000000004</v>
      </c>
      <c r="CE44" s="2">
        <v>3801.9</v>
      </c>
      <c r="CF44" s="2">
        <v>4876.1499999999996</v>
      </c>
      <c r="CG44" s="2">
        <v>3632.9</v>
      </c>
      <c r="CH44" s="2">
        <v>3923.05</v>
      </c>
      <c r="CI44" s="2">
        <v>3405.05</v>
      </c>
      <c r="CJ44" s="2">
        <v>3475.4</v>
      </c>
      <c r="CK44" s="2">
        <v>3564.5</v>
      </c>
      <c r="CL44" s="2">
        <v>3759.75</v>
      </c>
    </row>
    <row r="45" spans="2:90" x14ac:dyDescent="0.3">
      <c r="W45">
        <f>SUM(C37:V44)</f>
        <v>1674533.3000000003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63</v>
      </c>
      <c r="D48" s="1" t="s">
        <v>64</v>
      </c>
      <c r="E48" s="1" t="s">
        <v>63</v>
      </c>
      <c r="F48" s="1" t="s">
        <v>64</v>
      </c>
      <c r="G48" s="1" t="s">
        <v>63</v>
      </c>
      <c r="H48" s="1" t="s">
        <v>64</v>
      </c>
      <c r="I48" s="1" t="s">
        <v>63</v>
      </c>
      <c r="J48" s="1" t="s">
        <v>64</v>
      </c>
      <c r="K48" s="1" t="s">
        <v>63</v>
      </c>
      <c r="L48" s="1" t="s">
        <v>64</v>
      </c>
      <c r="M48" s="1" t="s">
        <v>63</v>
      </c>
      <c r="N48" s="1" t="s">
        <v>64</v>
      </c>
      <c r="O48" s="1" t="s">
        <v>63</v>
      </c>
      <c r="P48" s="1" t="s">
        <v>64</v>
      </c>
      <c r="Q48" s="1" t="s">
        <v>63</v>
      </c>
      <c r="R48" s="1" t="s">
        <v>64</v>
      </c>
      <c r="S48" s="1" t="s">
        <v>63</v>
      </c>
      <c r="T48" s="1" t="s">
        <v>64</v>
      </c>
      <c r="U48" s="1" t="s">
        <v>63</v>
      </c>
      <c r="V48" s="1" t="s">
        <v>64</v>
      </c>
      <c r="X48" s="1" t="s">
        <v>6</v>
      </c>
      <c r="Y48" s="1" t="s">
        <v>63</v>
      </c>
      <c r="Z48" s="1" t="s">
        <v>64</v>
      </c>
      <c r="AA48" s="1" t="s">
        <v>63</v>
      </c>
      <c r="AB48" s="1" t="s">
        <v>64</v>
      </c>
      <c r="AC48" s="1" t="s">
        <v>63</v>
      </c>
      <c r="AD48" s="1" t="s">
        <v>64</v>
      </c>
      <c r="AE48" s="1" t="s">
        <v>63</v>
      </c>
      <c r="AF48" s="1" t="s">
        <v>64</v>
      </c>
      <c r="AG48" s="1" t="s">
        <v>63</v>
      </c>
      <c r="AH48" s="1" t="s">
        <v>64</v>
      </c>
      <c r="AI48" s="1" t="s">
        <v>63</v>
      </c>
      <c r="AJ48" s="1" t="s">
        <v>64</v>
      </c>
      <c r="AK48" s="1" t="s">
        <v>63</v>
      </c>
      <c r="AL48" s="1" t="s">
        <v>64</v>
      </c>
      <c r="AM48" s="1" t="s">
        <v>63</v>
      </c>
      <c r="AN48" s="1" t="s">
        <v>64</v>
      </c>
      <c r="AO48" s="1" t="s">
        <v>63</v>
      </c>
      <c r="AP48" s="1" t="s">
        <v>64</v>
      </c>
      <c r="AQ48" s="1" t="s">
        <v>63</v>
      </c>
      <c r="AR48" s="1" t="s">
        <v>64</v>
      </c>
      <c r="AU48" s="1" t="s">
        <v>6</v>
      </c>
      <c r="AV48" s="1" t="s">
        <v>63</v>
      </c>
      <c r="AW48" s="1" t="s">
        <v>64</v>
      </c>
      <c r="AX48" s="1" t="s">
        <v>63</v>
      </c>
      <c r="AY48" s="1" t="s">
        <v>64</v>
      </c>
      <c r="AZ48" s="1" t="s">
        <v>63</v>
      </c>
      <c r="BA48" s="1" t="s">
        <v>64</v>
      </c>
      <c r="BB48" s="1" t="s">
        <v>63</v>
      </c>
      <c r="BC48" s="1" t="s">
        <v>64</v>
      </c>
      <c r="BD48" s="1" t="s">
        <v>63</v>
      </c>
      <c r="BE48" s="1" t="s">
        <v>64</v>
      </c>
      <c r="BF48" s="1" t="s">
        <v>63</v>
      </c>
      <c r="BG48" s="1" t="s">
        <v>64</v>
      </c>
      <c r="BH48" s="1" t="s">
        <v>63</v>
      </c>
      <c r="BI48" s="1" t="s">
        <v>64</v>
      </c>
      <c r="BJ48" s="1" t="s">
        <v>63</v>
      </c>
      <c r="BK48" s="1" t="s">
        <v>64</v>
      </c>
      <c r="BL48" s="1" t="s">
        <v>63</v>
      </c>
      <c r="BM48" s="1" t="s">
        <v>64</v>
      </c>
      <c r="BN48" s="1" t="s">
        <v>63</v>
      </c>
      <c r="BO48" s="1" t="s">
        <v>64</v>
      </c>
      <c r="BR48" s="1" t="s">
        <v>6</v>
      </c>
      <c r="BS48" s="1" t="s">
        <v>63</v>
      </c>
      <c r="BT48" s="1" t="s">
        <v>64</v>
      </c>
      <c r="BU48" s="1" t="s">
        <v>63</v>
      </c>
      <c r="BV48" s="1" t="s">
        <v>64</v>
      </c>
      <c r="BW48" s="1" t="s">
        <v>63</v>
      </c>
      <c r="BX48" s="1" t="s">
        <v>64</v>
      </c>
      <c r="BY48" s="1" t="s">
        <v>63</v>
      </c>
      <c r="BZ48" s="1" t="s">
        <v>64</v>
      </c>
      <c r="CA48" s="1" t="s">
        <v>63</v>
      </c>
      <c r="CB48" s="1" t="s">
        <v>64</v>
      </c>
      <c r="CC48" s="1" t="s">
        <v>63</v>
      </c>
      <c r="CD48" s="1" t="s">
        <v>64</v>
      </c>
      <c r="CE48" s="1" t="s">
        <v>63</v>
      </c>
      <c r="CF48" s="1" t="s">
        <v>64</v>
      </c>
      <c r="CG48" s="1" t="s">
        <v>63</v>
      </c>
      <c r="CH48" s="1" t="s">
        <v>64</v>
      </c>
      <c r="CI48" s="1" t="s">
        <v>63</v>
      </c>
      <c r="CJ48" s="1" t="s">
        <v>64</v>
      </c>
      <c r="CK48" s="1" t="s">
        <v>63</v>
      </c>
      <c r="CL48" s="1" t="s">
        <v>64</v>
      </c>
    </row>
    <row r="49" spans="2:90" x14ac:dyDescent="0.3">
      <c r="B49" s="1" t="s">
        <v>65</v>
      </c>
      <c r="C49" s="1" t="s">
        <v>53</v>
      </c>
      <c r="D49" s="1" t="s">
        <v>53</v>
      </c>
      <c r="E49" s="1" t="s">
        <v>54</v>
      </c>
      <c r="F49" s="1" t="s">
        <v>54</v>
      </c>
      <c r="G49" s="1" t="s">
        <v>55</v>
      </c>
      <c r="H49" s="1" t="s">
        <v>55</v>
      </c>
      <c r="I49" s="1" t="s">
        <v>56</v>
      </c>
      <c r="J49" s="1" t="s">
        <v>56</v>
      </c>
      <c r="K49" s="1" t="s">
        <v>57</v>
      </c>
      <c r="L49" s="1" t="s">
        <v>57</v>
      </c>
      <c r="M49" s="1" t="s">
        <v>58</v>
      </c>
      <c r="N49" s="1" t="s">
        <v>58</v>
      </c>
      <c r="O49" s="1" t="s">
        <v>59</v>
      </c>
      <c r="P49" s="1" t="s">
        <v>59</v>
      </c>
      <c r="Q49" s="1" t="s">
        <v>60</v>
      </c>
      <c r="R49" s="1" t="s">
        <v>60</v>
      </c>
      <c r="S49" s="1" t="s">
        <v>61</v>
      </c>
      <c r="T49" s="1" t="s">
        <v>61</v>
      </c>
      <c r="U49" s="1" t="s">
        <v>62</v>
      </c>
      <c r="V49" s="1" t="s">
        <v>62</v>
      </c>
      <c r="X49" s="1" t="s">
        <v>65</v>
      </c>
      <c r="Y49" s="1" t="s">
        <v>53</v>
      </c>
      <c r="Z49" s="1" t="s">
        <v>53</v>
      </c>
      <c r="AA49" s="1" t="s">
        <v>54</v>
      </c>
      <c r="AB49" s="1" t="s">
        <v>54</v>
      </c>
      <c r="AC49" s="1" t="s">
        <v>55</v>
      </c>
      <c r="AD49" s="1" t="s">
        <v>55</v>
      </c>
      <c r="AE49" s="1" t="s">
        <v>56</v>
      </c>
      <c r="AF49" s="1" t="s">
        <v>56</v>
      </c>
      <c r="AG49" s="1" t="s">
        <v>57</v>
      </c>
      <c r="AH49" s="1" t="s">
        <v>57</v>
      </c>
      <c r="AI49" s="1" t="s">
        <v>58</v>
      </c>
      <c r="AJ49" s="1" t="s">
        <v>58</v>
      </c>
      <c r="AK49" s="1" t="s">
        <v>59</v>
      </c>
      <c r="AL49" s="1" t="s">
        <v>59</v>
      </c>
      <c r="AM49" s="1" t="s">
        <v>60</v>
      </c>
      <c r="AN49" s="1" t="s">
        <v>60</v>
      </c>
      <c r="AO49" s="1" t="s">
        <v>61</v>
      </c>
      <c r="AP49" s="1" t="s">
        <v>61</v>
      </c>
      <c r="AQ49" s="1" t="s">
        <v>62</v>
      </c>
      <c r="AR49" s="1" t="s">
        <v>62</v>
      </c>
      <c r="AU49" s="1" t="s">
        <v>65</v>
      </c>
      <c r="AV49" s="1" t="s">
        <v>53</v>
      </c>
      <c r="AW49" s="1" t="s">
        <v>53</v>
      </c>
      <c r="AX49" s="1" t="s">
        <v>54</v>
      </c>
      <c r="AY49" s="1" t="s">
        <v>54</v>
      </c>
      <c r="AZ49" s="1" t="s">
        <v>55</v>
      </c>
      <c r="BA49" s="1" t="s">
        <v>55</v>
      </c>
      <c r="BB49" s="1" t="s">
        <v>56</v>
      </c>
      <c r="BC49" s="1" t="s">
        <v>56</v>
      </c>
      <c r="BD49" s="1" t="s">
        <v>57</v>
      </c>
      <c r="BE49" s="1" t="s">
        <v>57</v>
      </c>
      <c r="BF49" s="1" t="s">
        <v>58</v>
      </c>
      <c r="BG49" s="1" t="s">
        <v>58</v>
      </c>
      <c r="BH49" s="1" t="s">
        <v>59</v>
      </c>
      <c r="BI49" s="1" t="s">
        <v>59</v>
      </c>
      <c r="BJ49" s="1" t="s">
        <v>60</v>
      </c>
      <c r="BK49" s="1" t="s">
        <v>60</v>
      </c>
      <c r="BL49" s="1" t="s">
        <v>61</v>
      </c>
      <c r="BM49" s="1" t="s">
        <v>61</v>
      </c>
      <c r="BN49" s="1" t="s">
        <v>62</v>
      </c>
      <c r="BO49" s="1" t="s">
        <v>62</v>
      </c>
      <c r="BR49" s="1" t="s">
        <v>65</v>
      </c>
      <c r="BS49" s="1" t="s">
        <v>53</v>
      </c>
      <c r="BT49" s="1" t="s">
        <v>53</v>
      </c>
      <c r="BU49" s="1" t="s">
        <v>54</v>
      </c>
      <c r="BV49" s="1" t="s">
        <v>54</v>
      </c>
      <c r="BW49" s="1" t="s">
        <v>55</v>
      </c>
      <c r="BX49" s="1" t="s">
        <v>55</v>
      </c>
      <c r="BY49" s="1" t="s">
        <v>56</v>
      </c>
      <c r="BZ49" s="1" t="s">
        <v>56</v>
      </c>
      <c r="CA49" s="1" t="s">
        <v>57</v>
      </c>
      <c r="CB49" s="1" t="s">
        <v>57</v>
      </c>
      <c r="CC49" s="1" t="s">
        <v>58</v>
      </c>
      <c r="CD49" s="1" t="s">
        <v>58</v>
      </c>
      <c r="CE49" s="1" t="s">
        <v>59</v>
      </c>
      <c r="CF49" s="1" t="s">
        <v>59</v>
      </c>
      <c r="CG49" s="1" t="s">
        <v>60</v>
      </c>
      <c r="CH49" s="1" t="s">
        <v>60</v>
      </c>
      <c r="CI49" s="1" t="s">
        <v>61</v>
      </c>
      <c r="CJ49" s="1" t="s">
        <v>61</v>
      </c>
      <c r="CK49" s="1" t="s">
        <v>62</v>
      </c>
      <c r="CL49" s="1" t="s">
        <v>62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66</v>
      </c>
      <c r="C51" s="2">
        <v>631.16999999999996</v>
      </c>
      <c r="D51" s="2">
        <v>606.22</v>
      </c>
      <c r="E51" s="2">
        <v>177.79</v>
      </c>
      <c r="F51" s="2">
        <v>160.38999999999999</v>
      </c>
      <c r="G51" s="2">
        <v>50.45</v>
      </c>
      <c r="H51" s="2">
        <v>76.010000000000005</v>
      </c>
      <c r="I51" s="2">
        <v>535.54</v>
      </c>
      <c r="J51" s="2">
        <v>256.37</v>
      </c>
      <c r="K51" s="2">
        <v>1061.33</v>
      </c>
      <c r="L51" s="2">
        <v>257.19</v>
      </c>
      <c r="M51" s="2">
        <v>1953.42</v>
      </c>
      <c r="N51" s="2">
        <v>296.26</v>
      </c>
      <c r="O51" s="2">
        <v>1326.8</v>
      </c>
      <c r="P51" s="2">
        <v>57.82</v>
      </c>
      <c r="Q51" s="2">
        <v>1304.98</v>
      </c>
      <c r="R51" s="2">
        <v>329.92</v>
      </c>
      <c r="S51" s="2">
        <v>72.78</v>
      </c>
      <c r="T51" s="2">
        <v>44.99</v>
      </c>
      <c r="U51" s="2">
        <v>160.52000000000001</v>
      </c>
      <c r="V51" s="2">
        <v>58.5</v>
      </c>
      <c r="X51" s="1" t="s">
        <v>66</v>
      </c>
      <c r="Y51" s="2">
        <v>0.14000000000000001</v>
      </c>
      <c r="Z51" s="2">
        <v>0.13</v>
      </c>
      <c r="AA51" s="2">
        <v>0.03</v>
      </c>
      <c r="AB51" s="2">
        <v>0.03</v>
      </c>
      <c r="AC51" s="2">
        <v>0.03</v>
      </c>
      <c r="AD51" s="2">
        <v>0.04</v>
      </c>
      <c r="AE51" s="2">
        <v>0.09</v>
      </c>
      <c r="AF51" s="2">
        <v>0.05</v>
      </c>
      <c r="AG51" s="2">
        <v>0.13</v>
      </c>
      <c r="AH51" s="2">
        <v>0.04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0.09</v>
      </c>
      <c r="AN51" s="2">
        <v>0.02</v>
      </c>
      <c r="AO51" s="2">
        <v>0.01</v>
      </c>
      <c r="AP51" s="2">
        <v>0</v>
      </c>
      <c r="AQ51" s="2">
        <v>0.01</v>
      </c>
      <c r="AR51" s="2">
        <v>0.01</v>
      </c>
      <c r="AU51" s="1" t="s">
        <v>66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0.28999999999999998</v>
      </c>
      <c r="BM51" s="2">
        <v>0.23</v>
      </c>
      <c r="BN51" s="2">
        <v>0.3</v>
      </c>
      <c r="BO51" s="2">
        <v>0.24</v>
      </c>
      <c r="BR51" s="1" t="s">
        <v>66</v>
      </c>
      <c r="BS51" s="2">
        <v>0.36</v>
      </c>
      <c r="BT51" s="2">
        <v>0.36</v>
      </c>
      <c r="BU51" s="2">
        <v>0.27</v>
      </c>
      <c r="BV51" s="2">
        <v>0.25</v>
      </c>
      <c r="BW51" s="2">
        <v>0.25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0.31</v>
      </c>
      <c r="CE51" s="2">
        <v>0.36</v>
      </c>
      <c r="CF51" s="2">
        <v>0.3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67</v>
      </c>
      <c r="C52" s="2">
        <v>1467.9</v>
      </c>
      <c r="D52" s="2">
        <v>481.2</v>
      </c>
      <c r="E52" s="2">
        <v>1340.86</v>
      </c>
      <c r="F52" s="2">
        <v>497.83</v>
      </c>
      <c r="G52" s="2">
        <v>289.56</v>
      </c>
      <c r="H52" s="2">
        <v>295.69</v>
      </c>
      <c r="I52" s="2">
        <v>2096.42</v>
      </c>
      <c r="J52" s="2">
        <v>1293.23</v>
      </c>
      <c r="K52" s="2">
        <v>2634.95</v>
      </c>
      <c r="L52" s="2">
        <v>1160.05</v>
      </c>
      <c r="M52" s="2">
        <v>5646.94</v>
      </c>
      <c r="N52" s="2">
        <v>2172.91</v>
      </c>
      <c r="O52" s="2">
        <v>3276.85</v>
      </c>
      <c r="P52" s="2">
        <v>2203.9899999999998</v>
      </c>
      <c r="Q52" s="2">
        <v>3882.61</v>
      </c>
      <c r="R52" s="2">
        <v>2631.04</v>
      </c>
      <c r="S52" s="2">
        <v>3252.52</v>
      </c>
      <c r="T52" s="2">
        <v>1417.9</v>
      </c>
      <c r="U52" s="2">
        <v>4202.96</v>
      </c>
      <c r="V52" s="2">
        <v>1368.46</v>
      </c>
      <c r="X52" s="1" t="s">
        <v>67</v>
      </c>
      <c r="Y52" s="2">
        <v>0.24</v>
      </c>
      <c r="Z52" s="2">
        <v>0.16</v>
      </c>
      <c r="AA52" s="2">
        <v>0.25</v>
      </c>
      <c r="AB52" s="2">
        <v>0.16</v>
      </c>
      <c r="AC52" s="2">
        <v>0.17</v>
      </c>
      <c r="AD52" s="2">
        <v>0.2</v>
      </c>
      <c r="AE52" s="2">
        <v>0.27</v>
      </c>
      <c r="AF52" s="2">
        <v>0.2</v>
      </c>
      <c r="AG52" s="2">
        <v>0.25</v>
      </c>
      <c r="AH52" s="2">
        <v>0.18</v>
      </c>
      <c r="AI52" s="2">
        <v>0.27</v>
      </c>
      <c r="AJ52" s="2">
        <v>0.18</v>
      </c>
      <c r="AK52" s="2">
        <v>0.21</v>
      </c>
      <c r="AL52" s="2">
        <v>0.19</v>
      </c>
      <c r="AM52" s="2">
        <v>0.2</v>
      </c>
      <c r="AN52" s="2">
        <v>0.19</v>
      </c>
      <c r="AO52" s="2">
        <v>0.2</v>
      </c>
      <c r="AP52" s="2">
        <v>0.16</v>
      </c>
      <c r="AQ52" s="2">
        <v>0.23</v>
      </c>
      <c r="AR52" s="2">
        <v>0.14000000000000001</v>
      </c>
      <c r="AU52" s="1" t="s">
        <v>67</v>
      </c>
      <c r="AV52" s="2">
        <v>0.71</v>
      </c>
      <c r="AW52" s="2">
        <v>0.46</v>
      </c>
      <c r="AX52" s="2">
        <v>0.65</v>
      </c>
      <c r="AY52" s="2">
        <v>0.43</v>
      </c>
      <c r="AZ52" s="2">
        <v>0.56999999999999995</v>
      </c>
      <c r="BA52" s="2">
        <v>0.55000000000000004</v>
      </c>
      <c r="BB52" s="2">
        <v>0.73</v>
      </c>
      <c r="BC52" s="2">
        <v>0.7</v>
      </c>
      <c r="BD52" s="2">
        <v>0.77</v>
      </c>
      <c r="BE52" s="2">
        <v>0.64</v>
      </c>
      <c r="BF52" s="2">
        <v>0.82</v>
      </c>
      <c r="BG52" s="2">
        <v>0.65</v>
      </c>
      <c r="BH52" s="2">
        <v>0.78</v>
      </c>
      <c r="BI52" s="2">
        <v>0.7</v>
      </c>
      <c r="BJ52" s="2">
        <v>0.76</v>
      </c>
      <c r="BK52" s="2">
        <v>0.66</v>
      </c>
      <c r="BL52" s="2">
        <v>0.74</v>
      </c>
      <c r="BM52" s="2">
        <v>0.56000000000000005</v>
      </c>
      <c r="BN52" s="2">
        <v>0.7</v>
      </c>
      <c r="BO52" s="2">
        <v>0.46</v>
      </c>
      <c r="BR52" s="1" t="s">
        <v>67</v>
      </c>
      <c r="BS52" s="2">
        <v>0.79</v>
      </c>
      <c r="BT52" s="2">
        <v>0.51</v>
      </c>
      <c r="BU52" s="2">
        <v>0.74</v>
      </c>
      <c r="BV52" s="2">
        <v>0.49</v>
      </c>
      <c r="BW52" s="2">
        <v>0.65</v>
      </c>
      <c r="BX52" s="2">
        <v>0.61</v>
      </c>
      <c r="BY52" s="2">
        <v>0.83</v>
      </c>
      <c r="BZ52" s="2">
        <v>0.8</v>
      </c>
      <c r="CA52" s="2">
        <v>0.86</v>
      </c>
      <c r="CB52" s="2">
        <v>0.72</v>
      </c>
      <c r="CC52" s="2">
        <v>0.93</v>
      </c>
      <c r="CD52" s="2">
        <v>0.73</v>
      </c>
      <c r="CE52" s="2">
        <v>0.87</v>
      </c>
      <c r="CF52" s="2">
        <v>0.78</v>
      </c>
      <c r="CG52" s="2">
        <v>0.85</v>
      </c>
      <c r="CH52" s="2">
        <v>0.74</v>
      </c>
      <c r="CI52" s="2">
        <v>0.83</v>
      </c>
      <c r="CJ52" s="2">
        <v>0.63</v>
      </c>
      <c r="CK52" s="2">
        <v>0.78</v>
      </c>
      <c r="CL52" s="2">
        <v>0.52</v>
      </c>
    </row>
    <row r="53" spans="2:90" x14ac:dyDescent="0.3">
      <c r="B53" s="1" t="s">
        <v>68</v>
      </c>
      <c r="C53" s="2">
        <v>21294.32</v>
      </c>
      <c r="D53" s="2">
        <v>1481.8</v>
      </c>
      <c r="E53" s="2">
        <v>24530.54</v>
      </c>
      <c r="F53" s="2">
        <v>1258.45</v>
      </c>
      <c r="G53" s="2">
        <v>4327.97</v>
      </c>
      <c r="H53" s="2">
        <v>3815.31</v>
      </c>
      <c r="I53" s="2">
        <v>14822.92</v>
      </c>
      <c r="J53" s="2">
        <v>6519.5</v>
      </c>
      <c r="K53" s="2">
        <v>19263.39</v>
      </c>
      <c r="L53" s="2">
        <v>6644.66</v>
      </c>
      <c r="M53" s="2">
        <v>37206.33</v>
      </c>
      <c r="N53" s="2">
        <v>11834.45</v>
      </c>
      <c r="O53" s="2">
        <v>27349.65</v>
      </c>
      <c r="P53" s="2">
        <v>10027.35</v>
      </c>
      <c r="Q53" s="2">
        <v>34697.919999999998</v>
      </c>
      <c r="R53" s="2">
        <v>12445.12</v>
      </c>
      <c r="S53" s="2">
        <v>14465.86</v>
      </c>
      <c r="T53" s="2">
        <v>7628.94</v>
      </c>
      <c r="U53" s="2">
        <v>10418</v>
      </c>
      <c r="V53" s="2">
        <v>8020.59</v>
      </c>
      <c r="X53" s="1" t="s">
        <v>68</v>
      </c>
      <c r="Y53" s="2">
        <v>0.52</v>
      </c>
      <c r="Z53" s="2">
        <v>0.13</v>
      </c>
      <c r="AA53" s="2">
        <v>0.49</v>
      </c>
      <c r="AB53" s="2">
        <v>0.12</v>
      </c>
      <c r="AC53" s="2">
        <v>0.56999999999999995</v>
      </c>
      <c r="AD53" s="2">
        <v>0.51</v>
      </c>
      <c r="AE53" s="2">
        <v>0.59</v>
      </c>
      <c r="AF53" s="2">
        <v>0.28000000000000003</v>
      </c>
      <c r="AG53" s="2">
        <v>0.62</v>
      </c>
      <c r="AH53" s="2">
        <v>0.23</v>
      </c>
      <c r="AI53" s="2">
        <v>0.66</v>
      </c>
      <c r="AJ53" s="2">
        <v>0.23</v>
      </c>
      <c r="AK53" s="2">
        <v>0.63</v>
      </c>
      <c r="AL53" s="2">
        <v>0.24</v>
      </c>
      <c r="AM53" s="2">
        <v>0.61</v>
      </c>
      <c r="AN53" s="2">
        <v>0.22</v>
      </c>
      <c r="AO53" s="2">
        <v>0.28000000000000003</v>
      </c>
      <c r="AP53" s="2">
        <v>0.18</v>
      </c>
      <c r="AQ53" s="2">
        <v>0.18</v>
      </c>
      <c r="AR53" s="2">
        <v>0.16</v>
      </c>
      <c r="AU53" s="1" t="s">
        <v>68</v>
      </c>
      <c r="AV53" s="2">
        <v>1.02</v>
      </c>
      <c r="AW53" s="2">
        <v>0.39</v>
      </c>
      <c r="AX53" s="2">
        <v>1.03</v>
      </c>
      <c r="AY53" s="2">
        <v>0.33</v>
      </c>
      <c r="AZ53" s="2">
        <v>0.92</v>
      </c>
      <c r="BA53" s="2">
        <v>0.87</v>
      </c>
      <c r="BB53" s="2">
        <v>0.92</v>
      </c>
      <c r="BC53" s="2">
        <v>0.73</v>
      </c>
      <c r="BD53" s="2">
        <v>0.95</v>
      </c>
      <c r="BE53" s="2">
        <v>0.71</v>
      </c>
      <c r="BF53" s="2">
        <v>0.97</v>
      </c>
      <c r="BG53" s="2">
        <v>0.72</v>
      </c>
      <c r="BH53" s="2">
        <v>0.96</v>
      </c>
      <c r="BI53" s="2">
        <v>0.73</v>
      </c>
      <c r="BJ53" s="2">
        <v>0.96</v>
      </c>
      <c r="BK53" s="2">
        <v>0.7</v>
      </c>
      <c r="BL53" s="2">
        <v>0.76</v>
      </c>
      <c r="BM53" s="2">
        <v>0.63</v>
      </c>
      <c r="BN53" s="2">
        <v>0.62</v>
      </c>
      <c r="BO53" s="2">
        <v>0.56000000000000005</v>
      </c>
      <c r="BR53" s="1" t="s">
        <v>68</v>
      </c>
      <c r="BS53" s="2">
        <v>1.27</v>
      </c>
      <c r="BT53" s="2">
        <v>0.44</v>
      </c>
      <c r="BU53" s="2">
        <v>1.27</v>
      </c>
      <c r="BV53" s="2">
        <v>0.37</v>
      </c>
      <c r="BW53" s="2">
        <v>1.27</v>
      </c>
      <c r="BX53" s="2">
        <v>1.1100000000000001</v>
      </c>
      <c r="BY53" s="2">
        <v>1.18</v>
      </c>
      <c r="BZ53" s="2">
        <v>0.86</v>
      </c>
      <c r="CA53" s="2">
        <v>1.23</v>
      </c>
      <c r="CB53" s="2">
        <v>0.82</v>
      </c>
      <c r="CC53" s="2">
        <v>1.27</v>
      </c>
      <c r="CD53" s="2">
        <v>0.82</v>
      </c>
      <c r="CE53" s="2">
        <v>1.27</v>
      </c>
      <c r="CF53" s="2">
        <v>0.83</v>
      </c>
      <c r="CG53" s="2">
        <v>1.27</v>
      </c>
      <c r="CH53" s="2">
        <v>0.8</v>
      </c>
      <c r="CI53" s="2">
        <v>0.88</v>
      </c>
      <c r="CJ53" s="2">
        <v>0.71</v>
      </c>
      <c r="CK53" s="2">
        <v>0.7</v>
      </c>
      <c r="CL53" s="2">
        <v>0.63</v>
      </c>
    </row>
    <row r="54" spans="2:90" x14ac:dyDescent="0.3">
      <c r="B54" s="1" t="s">
        <v>69</v>
      </c>
      <c r="C54" s="2">
        <v>3751.6</v>
      </c>
      <c r="D54" s="2">
        <v>531.49</v>
      </c>
      <c r="E54" s="2">
        <v>4255.8599999999997</v>
      </c>
      <c r="F54" s="2">
        <v>418.07</v>
      </c>
      <c r="G54" s="2">
        <v>986.88</v>
      </c>
      <c r="H54" s="2">
        <v>1230.42</v>
      </c>
      <c r="I54" s="2">
        <v>3535.52</v>
      </c>
      <c r="J54" s="2">
        <v>1870.69</v>
      </c>
      <c r="K54" s="2">
        <v>4244.9799999999996</v>
      </c>
      <c r="L54" s="2">
        <v>1706.83</v>
      </c>
      <c r="M54" s="2">
        <v>7607.58</v>
      </c>
      <c r="N54" s="2">
        <v>2763.51</v>
      </c>
      <c r="O54" s="2">
        <v>5980.73</v>
      </c>
      <c r="P54" s="2">
        <v>2324.62</v>
      </c>
      <c r="Q54" s="2">
        <v>5492.35</v>
      </c>
      <c r="R54" s="2">
        <v>2580.41</v>
      </c>
      <c r="S54" s="2">
        <v>2343.2399999999998</v>
      </c>
      <c r="T54" s="2">
        <v>1872.51</v>
      </c>
      <c r="U54" s="2">
        <v>2417.0300000000002</v>
      </c>
      <c r="V54" s="2">
        <v>2099.37</v>
      </c>
      <c r="X54" s="1" t="s">
        <v>69</v>
      </c>
      <c r="Y54" s="2">
        <v>0.28999999999999998</v>
      </c>
      <c r="Z54" s="2">
        <v>0.17</v>
      </c>
      <c r="AA54" s="2">
        <v>0.28999999999999998</v>
      </c>
      <c r="AB54" s="2">
        <v>0.14000000000000001</v>
      </c>
      <c r="AC54" s="2">
        <v>0.4</v>
      </c>
      <c r="AD54" s="2">
        <v>0.48</v>
      </c>
      <c r="AE54" s="2">
        <v>0.44</v>
      </c>
      <c r="AF54" s="2">
        <v>0.24</v>
      </c>
      <c r="AG54" s="2">
        <v>0.43</v>
      </c>
      <c r="AH54" s="2">
        <v>0.21</v>
      </c>
      <c r="AI54" s="2">
        <v>0.43</v>
      </c>
      <c r="AJ54" s="2">
        <v>0.2</v>
      </c>
      <c r="AK54" s="2">
        <v>0.43</v>
      </c>
      <c r="AL54" s="2">
        <v>0.2</v>
      </c>
      <c r="AM54" s="2">
        <v>0.3</v>
      </c>
      <c r="AN54" s="2">
        <v>0.19</v>
      </c>
      <c r="AO54" s="2">
        <v>0.19</v>
      </c>
      <c r="AP54" s="2">
        <v>0.18</v>
      </c>
      <c r="AQ54" s="2">
        <v>0.18</v>
      </c>
      <c r="AR54" s="2">
        <v>0.14000000000000001</v>
      </c>
      <c r="AU54" s="1" t="s">
        <v>69</v>
      </c>
      <c r="AV54" s="2">
        <v>0.98</v>
      </c>
      <c r="AW54" s="2">
        <v>0.53</v>
      </c>
      <c r="AX54" s="2">
        <v>0.97</v>
      </c>
      <c r="AY54" s="2">
        <v>0.41</v>
      </c>
      <c r="AZ54" s="2">
        <v>0.88</v>
      </c>
      <c r="BA54" s="2">
        <v>0.89</v>
      </c>
      <c r="BB54" s="2">
        <v>0.9</v>
      </c>
      <c r="BC54" s="2">
        <v>0.79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0.86</v>
      </c>
      <c r="BK54" s="2">
        <v>0.7</v>
      </c>
      <c r="BL54" s="2">
        <v>0.7</v>
      </c>
      <c r="BM54" s="2">
        <v>0.66</v>
      </c>
      <c r="BN54" s="2">
        <v>0.65</v>
      </c>
      <c r="BO54" s="2">
        <v>0.63</v>
      </c>
      <c r="BR54" s="1" t="s">
        <v>69</v>
      </c>
      <c r="BS54" s="2">
        <v>1.1100000000000001</v>
      </c>
      <c r="BT54" s="2">
        <v>0.61</v>
      </c>
      <c r="BU54" s="2">
        <v>1.1100000000000001</v>
      </c>
      <c r="BV54" s="2">
        <v>0.46</v>
      </c>
      <c r="BW54" s="2">
        <v>1.1100000000000001</v>
      </c>
      <c r="BX54" s="2">
        <v>1.1100000000000001</v>
      </c>
      <c r="BY54" s="2">
        <v>1.1000000000000001</v>
      </c>
      <c r="BZ54" s="2">
        <v>0.9</v>
      </c>
      <c r="CA54" s="2">
        <v>1.1100000000000001</v>
      </c>
      <c r="CB54" s="2">
        <v>0.85</v>
      </c>
      <c r="CC54" s="2">
        <v>1.1100000000000001</v>
      </c>
      <c r="CD54" s="2">
        <v>0.82</v>
      </c>
      <c r="CE54" s="2">
        <v>1.1100000000000001</v>
      </c>
      <c r="CF54" s="2">
        <v>0.83</v>
      </c>
      <c r="CG54" s="2">
        <v>0.99</v>
      </c>
      <c r="CH54" s="2">
        <v>0.79</v>
      </c>
      <c r="CI54" s="2">
        <v>0.79</v>
      </c>
      <c r="CJ54" s="2">
        <v>0.74</v>
      </c>
      <c r="CK54" s="2">
        <v>0.73</v>
      </c>
      <c r="CL54" s="2">
        <v>0.69</v>
      </c>
    </row>
    <row r="55" spans="2:90" x14ac:dyDescent="0.3">
      <c r="B55" s="1" t="s">
        <v>70</v>
      </c>
      <c r="C55" s="2">
        <v>10449.33</v>
      </c>
      <c r="D55" s="2">
        <v>10757.86</v>
      </c>
      <c r="E55" s="2">
        <v>17413.7</v>
      </c>
      <c r="F55" s="2">
        <v>7435.01</v>
      </c>
      <c r="G55" s="2">
        <v>4040.99</v>
      </c>
      <c r="H55" s="2">
        <v>4540.03</v>
      </c>
      <c r="I55" s="2">
        <v>6944.52</v>
      </c>
      <c r="J55" s="2">
        <v>13520.21</v>
      </c>
      <c r="K55" s="2">
        <v>15624.89</v>
      </c>
      <c r="L55" s="2">
        <v>16877.28</v>
      </c>
      <c r="M55" s="2">
        <v>24653.439999999999</v>
      </c>
      <c r="N55" s="2">
        <v>23493.67</v>
      </c>
      <c r="O55" s="2">
        <v>16159.05</v>
      </c>
      <c r="P55" s="2">
        <v>16902.32</v>
      </c>
      <c r="Q55" s="2">
        <v>15784.15</v>
      </c>
      <c r="R55" s="2">
        <v>16700.48</v>
      </c>
      <c r="S55" s="2">
        <v>11671.31</v>
      </c>
      <c r="T55" s="2">
        <v>11466.21</v>
      </c>
      <c r="U55" s="2">
        <v>14996.76</v>
      </c>
      <c r="V55" s="2">
        <v>12888.41</v>
      </c>
      <c r="X55" s="1" t="s">
        <v>70</v>
      </c>
      <c r="Y55" s="2">
        <v>0.31</v>
      </c>
      <c r="Z55" s="2">
        <v>0.32</v>
      </c>
      <c r="AA55" s="2">
        <v>0.24</v>
      </c>
      <c r="AB55" s="2">
        <v>0.25</v>
      </c>
      <c r="AC55" s="2">
        <v>0.31</v>
      </c>
      <c r="AD55" s="2">
        <v>0.34</v>
      </c>
      <c r="AE55" s="2">
        <v>0.22</v>
      </c>
      <c r="AF55" s="2">
        <v>0.33</v>
      </c>
      <c r="AG55" s="2">
        <v>0.3</v>
      </c>
      <c r="AH55" s="2">
        <v>0.32</v>
      </c>
      <c r="AI55" s="2">
        <v>0.26</v>
      </c>
      <c r="AJ55" s="2">
        <v>0.25</v>
      </c>
      <c r="AK55" s="2">
        <v>0.22</v>
      </c>
      <c r="AL55" s="2">
        <v>0.22</v>
      </c>
      <c r="AM55" s="2">
        <v>0.2</v>
      </c>
      <c r="AN55" s="2">
        <v>0.2</v>
      </c>
      <c r="AO55" s="2">
        <v>0.19</v>
      </c>
      <c r="AP55" s="2">
        <v>0.19</v>
      </c>
      <c r="AQ55" s="2">
        <v>0.19</v>
      </c>
      <c r="AR55" s="2">
        <v>0.19</v>
      </c>
      <c r="AU55" s="1" t="s">
        <v>70</v>
      </c>
      <c r="AV55" s="2">
        <v>0.86</v>
      </c>
      <c r="AW55" s="2">
        <v>0.84</v>
      </c>
      <c r="AX55" s="2">
        <v>0.94</v>
      </c>
      <c r="AY55" s="2">
        <v>0.69</v>
      </c>
      <c r="AZ55" s="2">
        <v>0.85</v>
      </c>
      <c r="BA55" s="2">
        <v>0.86</v>
      </c>
      <c r="BB55" s="2">
        <v>0.68</v>
      </c>
      <c r="BC55" s="2">
        <v>0.86</v>
      </c>
      <c r="BD55" s="2">
        <v>0.85</v>
      </c>
      <c r="BE55" s="2">
        <v>0.87</v>
      </c>
      <c r="BF55" s="2">
        <v>0.83</v>
      </c>
      <c r="BG55" s="2">
        <v>0.82</v>
      </c>
      <c r="BH55" s="2">
        <v>0.8</v>
      </c>
      <c r="BI55" s="2">
        <v>0.79</v>
      </c>
      <c r="BJ55" s="2">
        <v>0.73</v>
      </c>
      <c r="BK55" s="2">
        <v>0.74</v>
      </c>
      <c r="BL55" s="2">
        <v>0.69</v>
      </c>
      <c r="BM55" s="2">
        <v>0.67</v>
      </c>
      <c r="BN55" s="2">
        <v>0.68</v>
      </c>
      <c r="BO55" s="2">
        <v>0.61</v>
      </c>
      <c r="BR55" s="1" t="s">
        <v>70</v>
      </c>
      <c r="BS55" s="2">
        <v>1.07</v>
      </c>
      <c r="BT55" s="2">
        <v>1</v>
      </c>
      <c r="BU55" s="2">
        <v>1.06</v>
      </c>
      <c r="BV55" s="2">
        <v>0.78</v>
      </c>
      <c r="BW55" s="2">
        <v>1.07</v>
      </c>
      <c r="BX55" s="2">
        <v>1.07</v>
      </c>
      <c r="BY55" s="2">
        <v>0.76</v>
      </c>
      <c r="BZ55" s="2">
        <v>1.03</v>
      </c>
      <c r="CA55" s="2">
        <v>0.99</v>
      </c>
      <c r="CB55" s="2">
        <v>1.02</v>
      </c>
      <c r="CC55" s="2">
        <v>0.95</v>
      </c>
      <c r="CD55" s="2">
        <v>0.92</v>
      </c>
      <c r="CE55" s="2">
        <v>0.9</v>
      </c>
      <c r="CF55" s="2">
        <v>0.89</v>
      </c>
      <c r="CG55" s="2">
        <v>0.82</v>
      </c>
      <c r="CH55" s="2">
        <v>0.83</v>
      </c>
      <c r="CI55" s="2">
        <v>0.78</v>
      </c>
      <c r="CJ55" s="2">
        <v>0.75</v>
      </c>
      <c r="CK55" s="2">
        <v>0.77</v>
      </c>
      <c r="CL55" s="2">
        <v>0.67</v>
      </c>
    </row>
    <row r="56" spans="2:90" x14ac:dyDescent="0.3">
      <c r="B56" s="1" t="s">
        <v>71</v>
      </c>
      <c r="C56" s="2">
        <v>2853.49</v>
      </c>
      <c r="D56" s="2">
        <v>2991.08</v>
      </c>
      <c r="E56" s="2">
        <v>4961.71</v>
      </c>
      <c r="F56" s="2">
        <v>5099.07</v>
      </c>
      <c r="G56" s="2">
        <v>986.54</v>
      </c>
      <c r="H56" s="2">
        <v>1139.28</v>
      </c>
      <c r="I56" s="2">
        <v>1663.49</v>
      </c>
      <c r="J56" s="2">
        <v>2983.13</v>
      </c>
      <c r="K56" s="2">
        <v>1903.5</v>
      </c>
      <c r="L56" s="2">
        <v>4946.1099999999997</v>
      </c>
      <c r="M56" s="2">
        <v>4211.42</v>
      </c>
      <c r="N56" s="2">
        <v>11002.14</v>
      </c>
      <c r="O56" s="2">
        <v>3317.55</v>
      </c>
      <c r="P56" s="2">
        <v>6324.32</v>
      </c>
      <c r="Q56" s="2">
        <v>4194.13</v>
      </c>
      <c r="R56" s="2">
        <v>7904.84</v>
      </c>
      <c r="S56" s="2">
        <v>3218.89</v>
      </c>
      <c r="T56" s="2">
        <v>6237.45</v>
      </c>
      <c r="U56" s="2">
        <v>3393.79</v>
      </c>
      <c r="V56" s="2">
        <v>3044.73</v>
      </c>
      <c r="X56" s="1" t="s">
        <v>71</v>
      </c>
      <c r="Y56" s="2">
        <v>0.41</v>
      </c>
      <c r="Z56" s="2">
        <v>0.41</v>
      </c>
      <c r="AA56" s="2">
        <v>0.32</v>
      </c>
      <c r="AB56" s="2">
        <v>0.33</v>
      </c>
      <c r="AC56" s="2">
        <v>0.36</v>
      </c>
      <c r="AD56" s="2">
        <v>0.4</v>
      </c>
      <c r="AE56" s="2">
        <v>0.23</v>
      </c>
      <c r="AF56" s="2">
        <v>0.33</v>
      </c>
      <c r="AG56" s="2">
        <v>0.22</v>
      </c>
      <c r="AH56" s="2">
        <v>0.44</v>
      </c>
      <c r="AI56" s="2">
        <v>0.23</v>
      </c>
      <c r="AJ56" s="2">
        <v>0.28999999999999998</v>
      </c>
      <c r="AK56" s="2">
        <v>0.23</v>
      </c>
      <c r="AL56" s="2">
        <v>0.38</v>
      </c>
      <c r="AM56" s="2">
        <v>0.23</v>
      </c>
      <c r="AN56" s="2">
        <v>0.37</v>
      </c>
      <c r="AO56" s="2">
        <v>0.22</v>
      </c>
      <c r="AP56" s="2">
        <v>0.32</v>
      </c>
      <c r="AQ56" s="2">
        <v>0.2</v>
      </c>
      <c r="AR56" s="2">
        <v>0.19</v>
      </c>
      <c r="AU56" s="1" t="s">
        <v>71</v>
      </c>
      <c r="AV56" s="2">
        <v>0.88</v>
      </c>
      <c r="AW56" s="2">
        <v>0.88</v>
      </c>
      <c r="AX56" s="2">
        <v>0.96</v>
      </c>
      <c r="AY56" s="2">
        <v>0.96</v>
      </c>
      <c r="AZ56" s="2">
        <v>0.86</v>
      </c>
      <c r="BA56" s="2">
        <v>0.87</v>
      </c>
      <c r="BB56" s="2">
        <v>0.71</v>
      </c>
      <c r="BC56" s="2">
        <v>0.87</v>
      </c>
      <c r="BD56" s="2">
        <v>0.72</v>
      </c>
      <c r="BE56" s="2">
        <v>0.91</v>
      </c>
      <c r="BF56" s="2">
        <v>0.78</v>
      </c>
      <c r="BG56" s="2">
        <v>0.98</v>
      </c>
      <c r="BH56" s="2">
        <v>0.77</v>
      </c>
      <c r="BI56" s="2">
        <v>0.88</v>
      </c>
      <c r="BJ56" s="2">
        <v>0.76</v>
      </c>
      <c r="BK56" s="2">
        <v>0.87</v>
      </c>
      <c r="BL56" s="2">
        <v>0.73</v>
      </c>
      <c r="BM56" s="2">
        <v>0.85</v>
      </c>
      <c r="BN56" s="2">
        <v>0.68</v>
      </c>
      <c r="BO56" s="2">
        <v>0.64</v>
      </c>
      <c r="BR56" s="1" t="s">
        <v>71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0.82</v>
      </c>
      <c r="BZ56" s="2">
        <v>1.1100000000000001</v>
      </c>
      <c r="CA56" s="2">
        <v>0.82</v>
      </c>
      <c r="CB56" s="2">
        <v>1.1100000000000001</v>
      </c>
      <c r="CC56" s="2">
        <v>0.88</v>
      </c>
      <c r="CD56" s="2">
        <v>1.1100000000000001</v>
      </c>
      <c r="CE56" s="2">
        <v>0.87</v>
      </c>
      <c r="CF56" s="2">
        <v>1.05</v>
      </c>
      <c r="CG56" s="2">
        <v>0.87</v>
      </c>
      <c r="CH56" s="2">
        <v>1.04</v>
      </c>
      <c r="CI56" s="2">
        <v>0.83</v>
      </c>
      <c r="CJ56" s="2">
        <v>0.99</v>
      </c>
      <c r="CK56" s="2">
        <v>0.77</v>
      </c>
      <c r="CL56" s="2">
        <v>0.72</v>
      </c>
    </row>
    <row r="57" spans="2:90" x14ac:dyDescent="0.3">
      <c r="B57" s="1" t="s">
        <v>72</v>
      </c>
      <c r="C57" s="2">
        <v>22078.25</v>
      </c>
      <c r="D57" s="2">
        <v>22794.04</v>
      </c>
      <c r="E57" s="2">
        <v>16751.439999999999</v>
      </c>
      <c r="F57" s="2">
        <v>25027.49</v>
      </c>
      <c r="G57" s="2">
        <v>3578.91</v>
      </c>
      <c r="H57" s="2">
        <v>8648.3799999999992</v>
      </c>
      <c r="I57" s="2">
        <v>10698.29</v>
      </c>
      <c r="J57" s="2">
        <v>14788.92</v>
      </c>
      <c r="K57" s="2">
        <v>10084.39</v>
      </c>
      <c r="L57" s="2">
        <v>23024.05</v>
      </c>
      <c r="M57" s="2">
        <v>19895.61</v>
      </c>
      <c r="N57" s="2">
        <v>41808.589999999997</v>
      </c>
      <c r="O57" s="2">
        <v>16185.78</v>
      </c>
      <c r="P57" s="2">
        <v>29625.75</v>
      </c>
      <c r="Q57" s="2">
        <v>23168.31</v>
      </c>
      <c r="R57" s="2">
        <v>33586.239999999998</v>
      </c>
      <c r="S57" s="2">
        <v>15012.89</v>
      </c>
      <c r="T57" s="2">
        <v>16516.939999999999</v>
      </c>
      <c r="U57" s="2">
        <v>17029.63</v>
      </c>
      <c r="V57" s="2">
        <v>16668.43</v>
      </c>
      <c r="X57" s="1" t="s">
        <v>72</v>
      </c>
      <c r="Y57" s="2">
        <v>0.5</v>
      </c>
      <c r="Z57" s="2">
        <v>0.53</v>
      </c>
      <c r="AA57" s="2">
        <v>0.36</v>
      </c>
      <c r="AB57" s="2">
        <v>0.53</v>
      </c>
      <c r="AC57" s="2">
        <v>0.42</v>
      </c>
      <c r="AD57" s="2">
        <v>0.51</v>
      </c>
      <c r="AE57" s="2">
        <v>0.39</v>
      </c>
      <c r="AF57" s="2">
        <v>0.55000000000000004</v>
      </c>
      <c r="AG57" s="2">
        <v>0.3</v>
      </c>
      <c r="AH57" s="2">
        <v>0.68</v>
      </c>
      <c r="AI57" s="2">
        <v>0.33</v>
      </c>
      <c r="AJ57" s="2">
        <v>0.68</v>
      </c>
      <c r="AK57" s="2">
        <v>0.33</v>
      </c>
      <c r="AL57" s="2">
        <v>0.6</v>
      </c>
      <c r="AM57" s="2">
        <v>0.36</v>
      </c>
      <c r="AN57" s="2">
        <v>0.27</v>
      </c>
      <c r="AO57" s="2">
        <v>0.27</v>
      </c>
      <c r="AP57" s="2">
        <v>0.28000000000000003</v>
      </c>
      <c r="AQ57" s="2">
        <v>0.23</v>
      </c>
      <c r="AR57" s="2">
        <v>0.22</v>
      </c>
      <c r="AU57" s="1" t="s">
        <v>72</v>
      </c>
      <c r="AV57" s="2">
        <v>1.01</v>
      </c>
      <c r="AW57" s="2">
        <v>1.01</v>
      </c>
      <c r="AX57" s="2">
        <v>0.93</v>
      </c>
      <c r="AY57" s="2">
        <v>1</v>
      </c>
      <c r="AZ57" s="2">
        <v>0.83</v>
      </c>
      <c r="BA57" s="2">
        <v>1</v>
      </c>
      <c r="BB57" s="2">
        <v>0.8</v>
      </c>
      <c r="BC57" s="2">
        <v>0.91</v>
      </c>
      <c r="BD57" s="2">
        <v>0.76</v>
      </c>
      <c r="BE57" s="2">
        <v>0.96</v>
      </c>
      <c r="BF57" s="2">
        <v>0.78</v>
      </c>
      <c r="BG57" s="2">
        <v>0.96</v>
      </c>
      <c r="BH57" s="2">
        <v>0.78</v>
      </c>
      <c r="BI57" s="2">
        <v>0.93</v>
      </c>
      <c r="BJ57" s="2">
        <v>0.81</v>
      </c>
      <c r="BK57" s="2">
        <v>0.92</v>
      </c>
      <c r="BL57" s="2">
        <v>0.74</v>
      </c>
      <c r="BM57" s="2">
        <v>0.75</v>
      </c>
      <c r="BN57" s="2">
        <v>0.7</v>
      </c>
      <c r="BO57" s="2">
        <v>0.69</v>
      </c>
      <c r="BR57" s="1" t="s">
        <v>72</v>
      </c>
      <c r="BS57" s="2">
        <v>1.27</v>
      </c>
      <c r="BT57" s="2">
        <v>1.27</v>
      </c>
      <c r="BU57" s="2">
        <v>1.1000000000000001</v>
      </c>
      <c r="BV57" s="2">
        <v>1.24</v>
      </c>
      <c r="BW57" s="2">
        <v>1.1100000000000001</v>
      </c>
      <c r="BX57" s="2">
        <v>1.27</v>
      </c>
      <c r="BY57" s="2">
        <v>0.98</v>
      </c>
      <c r="BZ57" s="2">
        <v>1.27</v>
      </c>
      <c r="CA57" s="2">
        <v>0.89</v>
      </c>
      <c r="CB57" s="2">
        <v>1.27</v>
      </c>
      <c r="CC57" s="2">
        <v>0.93</v>
      </c>
      <c r="CD57" s="2">
        <v>1.27</v>
      </c>
      <c r="CE57" s="2">
        <v>0.93</v>
      </c>
      <c r="CF57" s="2">
        <v>1.2</v>
      </c>
      <c r="CG57" s="2">
        <v>0.97</v>
      </c>
      <c r="CH57" s="2">
        <v>1.04</v>
      </c>
      <c r="CI57" s="2">
        <v>0.86</v>
      </c>
      <c r="CJ57" s="2">
        <v>0.88</v>
      </c>
      <c r="CK57" s="2">
        <v>0.8</v>
      </c>
      <c r="CL57" s="2">
        <v>0.79</v>
      </c>
    </row>
    <row r="58" spans="2:90" x14ac:dyDescent="0.3">
      <c r="B58" s="1" t="s">
        <v>73</v>
      </c>
      <c r="C58" s="2">
        <v>2297.11</v>
      </c>
      <c r="D58" s="2">
        <v>4046.3</v>
      </c>
      <c r="E58" s="2">
        <v>1083.6300000000001</v>
      </c>
      <c r="F58" s="2">
        <v>1212.1600000000001</v>
      </c>
      <c r="G58" s="2">
        <v>33.53</v>
      </c>
      <c r="H58" s="2">
        <v>535.95000000000005</v>
      </c>
      <c r="I58" s="2">
        <v>850.58</v>
      </c>
      <c r="J58" s="2">
        <v>6397.41</v>
      </c>
      <c r="K58" s="2">
        <v>2972.88</v>
      </c>
      <c r="L58" s="2">
        <v>7526.13</v>
      </c>
      <c r="M58" s="2">
        <v>7702.35</v>
      </c>
      <c r="N58" s="2">
        <v>13865.67</v>
      </c>
      <c r="O58" s="2">
        <v>6820.78</v>
      </c>
      <c r="P58" s="2">
        <v>9021.49</v>
      </c>
      <c r="Q58" s="2">
        <v>7560.55</v>
      </c>
      <c r="R58" s="2">
        <v>7509.7</v>
      </c>
      <c r="S58" s="2">
        <v>5695.62</v>
      </c>
      <c r="T58" s="2">
        <v>4774.76</v>
      </c>
      <c r="U58" s="2">
        <v>6562.11</v>
      </c>
      <c r="V58" s="2">
        <v>5292.98</v>
      </c>
      <c r="X58" s="1" t="s">
        <v>73</v>
      </c>
      <c r="Y58" s="2">
        <v>0.18</v>
      </c>
      <c r="Z58" s="2">
        <v>0.21</v>
      </c>
      <c r="AA58" s="2">
        <v>0.15</v>
      </c>
      <c r="AB58" s="2">
        <v>0.16</v>
      </c>
      <c r="AC58" s="2">
        <v>0.04</v>
      </c>
      <c r="AD58" s="2">
        <v>0.16</v>
      </c>
      <c r="AE58" s="2">
        <v>0.11</v>
      </c>
      <c r="AF58" s="2">
        <v>0.23</v>
      </c>
      <c r="AG58" s="2">
        <v>0.16</v>
      </c>
      <c r="AH58" s="2">
        <v>0.21</v>
      </c>
      <c r="AI58" s="2">
        <v>0.16</v>
      </c>
      <c r="AJ58" s="2">
        <v>0.22</v>
      </c>
      <c r="AK58" s="2">
        <v>0.16</v>
      </c>
      <c r="AL58" s="2">
        <v>0.19</v>
      </c>
      <c r="AM58" s="2">
        <v>0.16</v>
      </c>
      <c r="AN58" s="2">
        <v>0.17</v>
      </c>
      <c r="AO58" s="2">
        <v>0.15</v>
      </c>
      <c r="AP58" s="2">
        <v>0.15</v>
      </c>
      <c r="AQ58" s="2">
        <v>0.16</v>
      </c>
      <c r="AR58" s="2">
        <v>0.15</v>
      </c>
      <c r="AU58" s="1" t="s">
        <v>73</v>
      </c>
      <c r="AV58" s="2">
        <v>0.59</v>
      </c>
      <c r="AW58" s="2">
        <v>0.72</v>
      </c>
      <c r="AX58" s="2">
        <v>0.34</v>
      </c>
      <c r="AY58" s="2">
        <v>0.36</v>
      </c>
      <c r="AZ58" s="2">
        <v>0.3</v>
      </c>
      <c r="BA58" s="2">
        <v>0.4</v>
      </c>
      <c r="BB58" s="2">
        <v>0.3</v>
      </c>
      <c r="BC58" s="2">
        <v>0.82</v>
      </c>
      <c r="BD58" s="2">
        <v>0.62</v>
      </c>
      <c r="BE58" s="2">
        <v>0.83</v>
      </c>
      <c r="BF58" s="2">
        <v>0.74</v>
      </c>
      <c r="BG58" s="2">
        <v>0.83</v>
      </c>
      <c r="BH58" s="2">
        <v>0.78</v>
      </c>
      <c r="BI58" s="2">
        <v>0.8</v>
      </c>
      <c r="BJ58" s="2">
        <v>0.73</v>
      </c>
      <c r="BK58" s="2">
        <v>0.7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73</v>
      </c>
      <c r="BS58" s="2">
        <v>0.69</v>
      </c>
      <c r="BT58" s="2">
        <v>0.83</v>
      </c>
      <c r="BU58" s="2">
        <v>0.39</v>
      </c>
      <c r="BV58" s="2">
        <v>0.42</v>
      </c>
      <c r="BW58" s="2">
        <v>0.31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0.92</v>
      </c>
      <c r="CG58" s="2">
        <v>0.86</v>
      </c>
      <c r="CH58" s="2">
        <v>0.83</v>
      </c>
      <c r="CI58" s="2">
        <v>0.82</v>
      </c>
      <c r="CJ58" s="2">
        <v>0.74</v>
      </c>
      <c r="CK58" s="2">
        <v>0.75</v>
      </c>
      <c r="CL58" s="2">
        <v>0.66</v>
      </c>
    </row>
    <row r="59" spans="2:90" x14ac:dyDescent="0.3">
      <c r="W59" s="4">
        <f>SUM(C51:V58)/$W$45</f>
        <v>0.73484915468686096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63</v>
      </c>
      <c r="D62" s="1" t="s">
        <v>64</v>
      </c>
      <c r="E62" s="1" t="s">
        <v>63</v>
      </c>
      <c r="F62" s="1" t="s">
        <v>64</v>
      </c>
      <c r="G62" s="1" t="s">
        <v>63</v>
      </c>
      <c r="H62" s="1" t="s">
        <v>64</v>
      </c>
      <c r="I62" s="1" t="s">
        <v>63</v>
      </c>
      <c r="J62" s="1" t="s">
        <v>64</v>
      </c>
      <c r="K62" s="1" t="s">
        <v>63</v>
      </c>
      <c r="L62" s="1" t="s">
        <v>64</v>
      </c>
      <c r="M62" s="1" t="s">
        <v>63</v>
      </c>
      <c r="N62" s="1" t="s">
        <v>64</v>
      </c>
      <c r="O62" s="1" t="s">
        <v>63</v>
      </c>
      <c r="P62" s="1" t="s">
        <v>64</v>
      </c>
      <c r="Q62" s="1" t="s">
        <v>63</v>
      </c>
      <c r="R62" s="1" t="s">
        <v>64</v>
      </c>
      <c r="S62" s="1" t="s">
        <v>63</v>
      </c>
      <c r="T62" s="1" t="s">
        <v>64</v>
      </c>
      <c r="U62" s="1" t="s">
        <v>63</v>
      </c>
      <c r="V62" s="1" t="s">
        <v>64</v>
      </c>
      <c r="X62" s="1" t="s">
        <v>6</v>
      </c>
      <c r="Y62" s="1" t="s">
        <v>63</v>
      </c>
      <c r="Z62" s="1" t="s">
        <v>64</v>
      </c>
      <c r="AA62" s="1" t="s">
        <v>63</v>
      </c>
      <c r="AB62" s="1" t="s">
        <v>64</v>
      </c>
      <c r="AC62" s="1" t="s">
        <v>63</v>
      </c>
      <c r="AD62" s="1" t="s">
        <v>64</v>
      </c>
      <c r="AE62" s="1" t="s">
        <v>63</v>
      </c>
      <c r="AF62" s="1" t="s">
        <v>64</v>
      </c>
      <c r="AG62" s="1" t="s">
        <v>63</v>
      </c>
      <c r="AH62" s="1" t="s">
        <v>64</v>
      </c>
      <c r="AI62" s="1" t="s">
        <v>63</v>
      </c>
      <c r="AJ62" s="1" t="s">
        <v>64</v>
      </c>
      <c r="AK62" s="1" t="s">
        <v>63</v>
      </c>
      <c r="AL62" s="1" t="s">
        <v>64</v>
      </c>
      <c r="AM62" s="1" t="s">
        <v>63</v>
      </c>
      <c r="AN62" s="1" t="s">
        <v>64</v>
      </c>
      <c r="AO62" s="1" t="s">
        <v>63</v>
      </c>
      <c r="AP62" s="1" t="s">
        <v>64</v>
      </c>
      <c r="AQ62" s="1" t="s">
        <v>63</v>
      </c>
      <c r="AR62" s="1" t="s">
        <v>64</v>
      </c>
      <c r="AU62" s="1" t="s">
        <v>6</v>
      </c>
      <c r="AV62" s="1" t="s">
        <v>63</v>
      </c>
      <c r="AW62" s="1" t="s">
        <v>64</v>
      </c>
      <c r="AX62" s="1" t="s">
        <v>63</v>
      </c>
      <c r="AY62" s="1" t="s">
        <v>64</v>
      </c>
      <c r="AZ62" s="1" t="s">
        <v>63</v>
      </c>
      <c r="BA62" s="1" t="s">
        <v>64</v>
      </c>
      <c r="BB62" s="1" t="s">
        <v>63</v>
      </c>
      <c r="BC62" s="1" t="s">
        <v>64</v>
      </c>
      <c r="BD62" s="1" t="s">
        <v>63</v>
      </c>
      <c r="BE62" s="1" t="s">
        <v>64</v>
      </c>
      <c r="BF62" s="1" t="s">
        <v>63</v>
      </c>
      <c r="BG62" s="1" t="s">
        <v>64</v>
      </c>
      <c r="BH62" s="1" t="s">
        <v>63</v>
      </c>
      <c r="BI62" s="1" t="s">
        <v>64</v>
      </c>
      <c r="BJ62" s="1" t="s">
        <v>63</v>
      </c>
      <c r="BK62" s="1" t="s">
        <v>64</v>
      </c>
      <c r="BL62" s="1" t="s">
        <v>63</v>
      </c>
      <c r="BM62" s="1" t="s">
        <v>64</v>
      </c>
      <c r="BN62" s="1" t="s">
        <v>63</v>
      </c>
      <c r="BO62" s="1" t="s">
        <v>64</v>
      </c>
      <c r="BR62" s="1" t="s">
        <v>6</v>
      </c>
      <c r="BS62" s="1" t="s">
        <v>63</v>
      </c>
      <c r="BT62" s="1" t="s">
        <v>64</v>
      </c>
      <c r="BU62" s="1" t="s">
        <v>63</v>
      </c>
      <c r="BV62" s="1" t="s">
        <v>64</v>
      </c>
      <c r="BW62" s="1" t="s">
        <v>63</v>
      </c>
      <c r="BX62" s="1" t="s">
        <v>64</v>
      </c>
      <c r="BY62" s="1" t="s">
        <v>63</v>
      </c>
      <c r="BZ62" s="1" t="s">
        <v>64</v>
      </c>
      <c r="CA62" s="1" t="s">
        <v>63</v>
      </c>
      <c r="CB62" s="1" t="s">
        <v>64</v>
      </c>
      <c r="CC62" s="1" t="s">
        <v>63</v>
      </c>
      <c r="CD62" s="1" t="s">
        <v>64</v>
      </c>
      <c r="CE62" s="1" t="s">
        <v>63</v>
      </c>
      <c r="CF62" s="1" t="s">
        <v>64</v>
      </c>
      <c r="CG62" s="1" t="s">
        <v>63</v>
      </c>
      <c r="CH62" s="1" t="s">
        <v>64</v>
      </c>
      <c r="CI62" s="1" t="s">
        <v>63</v>
      </c>
      <c r="CJ62" s="1" t="s">
        <v>64</v>
      </c>
      <c r="CK62" s="1" t="s">
        <v>63</v>
      </c>
      <c r="CL62" s="1" t="s">
        <v>64</v>
      </c>
    </row>
    <row r="63" spans="2:90" x14ac:dyDescent="0.3">
      <c r="B63" s="1" t="s">
        <v>65</v>
      </c>
      <c r="C63" s="1" t="s">
        <v>53</v>
      </c>
      <c r="D63" s="1" t="s">
        <v>53</v>
      </c>
      <c r="E63" s="1" t="s">
        <v>54</v>
      </c>
      <c r="F63" s="1" t="s">
        <v>54</v>
      </c>
      <c r="G63" s="1" t="s">
        <v>55</v>
      </c>
      <c r="H63" s="1" t="s">
        <v>55</v>
      </c>
      <c r="I63" s="1" t="s">
        <v>56</v>
      </c>
      <c r="J63" s="1" t="s">
        <v>56</v>
      </c>
      <c r="K63" s="1" t="s">
        <v>57</v>
      </c>
      <c r="L63" s="1" t="s">
        <v>57</v>
      </c>
      <c r="M63" s="1" t="s">
        <v>58</v>
      </c>
      <c r="N63" s="1" t="s">
        <v>58</v>
      </c>
      <c r="O63" s="1" t="s">
        <v>59</v>
      </c>
      <c r="P63" s="1" t="s">
        <v>59</v>
      </c>
      <c r="Q63" s="1" t="s">
        <v>60</v>
      </c>
      <c r="R63" s="1" t="s">
        <v>60</v>
      </c>
      <c r="S63" s="1" t="s">
        <v>61</v>
      </c>
      <c r="T63" s="1" t="s">
        <v>61</v>
      </c>
      <c r="U63" s="1" t="s">
        <v>62</v>
      </c>
      <c r="V63" s="1" t="s">
        <v>62</v>
      </c>
      <c r="X63" s="1" t="s">
        <v>65</v>
      </c>
      <c r="Y63" s="1" t="s">
        <v>53</v>
      </c>
      <c r="Z63" s="1" t="s">
        <v>53</v>
      </c>
      <c r="AA63" s="1" t="s">
        <v>54</v>
      </c>
      <c r="AB63" s="1" t="s">
        <v>54</v>
      </c>
      <c r="AC63" s="1" t="s">
        <v>55</v>
      </c>
      <c r="AD63" s="1" t="s">
        <v>55</v>
      </c>
      <c r="AE63" s="1" t="s">
        <v>56</v>
      </c>
      <c r="AF63" s="1" t="s">
        <v>56</v>
      </c>
      <c r="AG63" s="1" t="s">
        <v>57</v>
      </c>
      <c r="AH63" s="1" t="s">
        <v>57</v>
      </c>
      <c r="AI63" s="1" t="s">
        <v>58</v>
      </c>
      <c r="AJ63" s="1" t="s">
        <v>58</v>
      </c>
      <c r="AK63" s="1" t="s">
        <v>59</v>
      </c>
      <c r="AL63" s="1" t="s">
        <v>59</v>
      </c>
      <c r="AM63" s="1" t="s">
        <v>60</v>
      </c>
      <c r="AN63" s="1" t="s">
        <v>60</v>
      </c>
      <c r="AO63" s="1" t="s">
        <v>61</v>
      </c>
      <c r="AP63" s="1" t="s">
        <v>61</v>
      </c>
      <c r="AQ63" s="1" t="s">
        <v>62</v>
      </c>
      <c r="AR63" s="1" t="s">
        <v>62</v>
      </c>
      <c r="AU63" s="1" t="s">
        <v>65</v>
      </c>
      <c r="AV63" s="1" t="s">
        <v>53</v>
      </c>
      <c r="AW63" s="1" t="s">
        <v>53</v>
      </c>
      <c r="AX63" s="1" t="s">
        <v>54</v>
      </c>
      <c r="AY63" s="1" t="s">
        <v>54</v>
      </c>
      <c r="AZ63" s="1" t="s">
        <v>55</v>
      </c>
      <c r="BA63" s="1" t="s">
        <v>55</v>
      </c>
      <c r="BB63" s="1" t="s">
        <v>56</v>
      </c>
      <c r="BC63" s="1" t="s">
        <v>56</v>
      </c>
      <c r="BD63" s="1" t="s">
        <v>57</v>
      </c>
      <c r="BE63" s="1" t="s">
        <v>57</v>
      </c>
      <c r="BF63" s="1" t="s">
        <v>58</v>
      </c>
      <c r="BG63" s="1" t="s">
        <v>58</v>
      </c>
      <c r="BH63" s="1" t="s">
        <v>59</v>
      </c>
      <c r="BI63" s="1" t="s">
        <v>59</v>
      </c>
      <c r="BJ63" s="1" t="s">
        <v>60</v>
      </c>
      <c r="BK63" s="1" t="s">
        <v>60</v>
      </c>
      <c r="BL63" s="1" t="s">
        <v>61</v>
      </c>
      <c r="BM63" s="1" t="s">
        <v>61</v>
      </c>
      <c r="BN63" s="1" t="s">
        <v>62</v>
      </c>
      <c r="BO63" s="1" t="s">
        <v>62</v>
      </c>
      <c r="BR63" s="1" t="s">
        <v>65</v>
      </c>
      <c r="BS63" s="1" t="s">
        <v>53</v>
      </c>
      <c r="BT63" s="1" t="s">
        <v>53</v>
      </c>
      <c r="BU63" s="1" t="s">
        <v>54</v>
      </c>
      <c r="BV63" s="1" t="s">
        <v>54</v>
      </c>
      <c r="BW63" s="1" t="s">
        <v>55</v>
      </c>
      <c r="BX63" s="1" t="s">
        <v>55</v>
      </c>
      <c r="BY63" s="1" t="s">
        <v>56</v>
      </c>
      <c r="BZ63" s="1" t="s">
        <v>56</v>
      </c>
      <c r="CA63" s="1" t="s">
        <v>57</v>
      </c>
      <c r="CB63" s="1" t="s">
        <v>57</v>
      </c>
      <c r="CC63" s="1" t="s">
        <v>58</v>
      </c>
      <c r="CD63" s="1" t="s">
        <v>58</v>
      </c>
      <c r="CE63" s="1" t="s">
        <v>59</v>
      </c>
      <c r="CF63" s="1" t="s">
        <v>59</v>
      </c>
      <c r="CG63" s="1" t="s">
        <v>60</v>
      </c>
      <c r="CH63" s="1" t="s">
        <v>60</v>
      </c>
      <c r="CI63" s="1" t="s">
        <v>61</v>
      </c>
      <c r="CJ63" s="1" t="s">
        <v>61</v>
      </c>
      <c r="CK63" s="1" t="s">
        <v>62</v>
      </c>
      <c r="CL63" s="1" t="s">
        <v>62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66</v>
      </c>
      <c r="C65" s="2">
        <v>34.159999999999997</v>
      </c>
      <c r="D65" s="2">
        <v>31.47</v>
      </c>
      <c r="E65" s="2">
        <v>10.29</v>
      </c>
      <c r="F65" s="2">
        <v>10.23</v>
      </c>
      <c r="G65" s="2">
        <v>4.21</v>
      </c>
      <c r="H65" s="2">
        <v>7.05</v>
      </c>
      <c r="I65" s="2">
        <v>23.26</v>
      </c>
      <c r="J65" s="2">
        <v>23.45</v>
      </c>
      <c r="K65" s="2">
        <v>23.31</v>
      </c>
      <c r="L65" s="2">
        <v>13.01</v>
      </c>
      <c r="M65" s="2">
        <v>51.3</v>
      </c>
      <c r="N65" s="2">
        <v>22.91</v>
      </c>
      <c r="O65" s="2">
        <v>61.79</v>
      </c>
      <c r="P65" s="2">
        <v>4.9800000000000004</v>
      </c>
      <c r="Q65" s="2">
        <v>49.92</v>
      </c>
      <c r="R65" s="2">
        <v>15.98</v>
      </c>
      <c r="S65" s="2">
        <v>6.5</v>
      </c>
      <c r="T65" s="2">
        <v>5.23</v>
      </c>
      <c r="U65" s="2">
        <v>8.89</v>
      </c>
      <c r="V65" s="2">
        <v>7.72</v>
      </c>
      <c r="X65" s="1" t="s">
        <v>66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66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66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67</v>
      </c>
      <c r="C66" s="2">
        <v>126.43</v>
      </c>
      <c r="D66" s="2">
        <v>56.54</v>
      </c>
      <c r="E66" s="2">
        <v>57.9</v>
      </c>
      <c r="F66" s="2">
        <v>39.299999999999997</v>
      </c>
      <c r="G66" s="2">
        <v>21.79</v>
      </c>
      <c r="H66" s="2">
        <v>32.71</v>
      </c>
      <c r="I66" s="2">
        <v>131.83000000000001</v>
      </c>
      <c r="J66" s="2">
        <v>188.24</v>
      </c>
      <c r="K66" s="2">
        <v>180.83</v>
      </c>
      <c r="L66" s="2">
        <v>168.55</v>
      </c>
      <c r="M66" s="2">
        <v>402.21</v>
      </c>
      <c r="N66" s="2">
        <v>346.47</v>
      </c>
      <c r="O66" s="2">
        <v>291.22000000000003</v>
      </c>
      <c r="P66" s="2">
        <v>258.88</v>
      </c>
      <c r="Q66" s="2">
        <v>342.29</v>
      </c>
      <c r="R66" s="2">
        <v>256.2</v>
      </c>
      <c r="S66" s="2">
        <v>246.91</v>
      </c>
      <c r="T66" s="2">
        <v>173.89</v>
      </c>
      <c r="U66" s="2">
        <v>374.08</v>
      </c>
      <c r="V66" s="2">
        <v>168.99</v>
      </c>
      <c r="X66" s="1" t="s">
        <v>67</v>
      </c>
      <c r="Y66" s="2">
        <v>59.99</v>
      </c>
      <c r="Z66" s="2">
        <v>60</v>
      </c>
      <c r="AA66" s="2">
        <v>59.99</v>
      </c>
      <c r="AB66" s="2">
        <v>60</v>
      </c>
      <c r="AC66" s="2">
        <v>60</v>
      </c>
      <c r="AD66" s="2">
        <v>60</v>
      </c>
      <c r="AE66" s="2">
        <v>69.97</v>
      </c>
      <c r="AF66" s="2">
        <v>70</v>
      </c>
      <c r="AG66" s="2">
        <v>69.98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70</v>
      </c>
      <c r="AM66" s="2">
        <v>69.989999999999995</v>
      </c>
      <c r="AN66" s="2">
        <v>70</v>
      </c>
      <c r="AO66" s="2">
        <v>70</v>
      </c>
      <c r="AP66" s="2">
        <v>70</v>
      </c>
      <c r="AQ66" s="2">
        <v>69.989999999999995</v>
      </c>
      <c r="AR66" s="2">
        <v>70</v>
      </c>
      <c r="AU66" s="1" t="s">
        <v>67</v>
      </c>
      <c r="AV66" s="2">
        <v>48.84</v>
      </c>
      <c r="AW66" s="2">
        <v>54.5</v>
      </c>
      <c r="AX66" s="2">
        <v>51.01</v>
      </c>
      <c r="AY66" s="2">
        <v>54.63</v>
      </c>
      <c r="AZ66" s="2">
        <v>53.16</v>
      </c>
      <c r="BA66" s="2">
        <v>53.58</v>
      </c>
      <c r="BB66" s="2">
        <v>56.22</v>
      </c>
      <c r="BC66" s="2">
        <v>57.98</v>
      </c>
      <c r="BD66" s="2">
        <v>57.75</v>
      </c>
      <c r="BE66" s="2">
        <v>65.599999999999994</v>
      </c>
      <c r="BF66" s="2">
        <v>53.72</v>
      </c>
      <c r="BG66" s="2">
        <v>65.14</v>
      </c>
      <c r="BH66" s="2">
        <v>57.2</v>
      </c>
      <c r="BI66" s="2">
        <v>62.9</v>
      </c>
      <c r="BJ66" s="2">
        <v>58.91</v>
      </c>
      <c r="BK66" s="2">
        <v>64.790000000000006</v>
      </c>
      <c r="BL66" s="2">
        <v>60.29</v>
      </c>
      <c r="BM66" s="2">
        <v>68</v>
      </c>
      <c r="BN66" s="2">
        <v>62.48</v>
      </c>
      <c r="BO66" s="2">
        <v>69.3</v>
      </c>
      <c r="BR66" s="1" t="s">
        <v>67</v>
      </c>
      <c r="BS66" s="2">
        <v>-0.3</v>
      </c>
      <c r="BT66" s="2">
        <v>-0.13</v>
      </c>
      <c r="BU66" s="2">
        <v>-0.23</v>
      </c>
      <c r="BV66" s="2">
        <v>-0.13</v>
      </c>
      <c r="BW66" s="2">
        <v>-0.06</v>
      </c>
      <c r="BX66" s="2">
        <v>-0.06</v>
      </c>
      <c r="BY66" s="2">
        <v>-0.34</v>
      </c>
      <c r="BZ66" s="2">
        <v>-0.28000000000000003</v>
      </c>
      <c r="CA66" s="2">
        <v>-0.36</v>
      </c>
      <c r="CB66" s="2">
        <v>-0.11</v>
      </c>
      <c r="CC66" s="2">
        <v>-0.93</v>
      </c>
      <c r="CD66" s="2">
        <v>-0.23</v>
      </c>
      <c r="CE66" s="2">
        <v>-0.56000000000000005</v>
      </c>
      <c r="CF66" s="2">
        <v>-0.28000000000000003</v>
      </c>
      <c r="CG66" s="2">
        <v>-0.61</v>
      </c>
      <c r="CH66" s="2">
        <v>-0.26</v>
      </c>
      <c r="CI66" s="2">
        <v>-0.47</v>
      </c>
      <c r="CJ66" s="2">
        <v>-0.09</v>
      </c>
      <c r="CK66" s="2">
        <v>-0.46</v>
      </c>
      <c r="CL66" s="2">
        <v>-0.04</v>
      </c>
    </row>
    <row r="67" spans="2:90" x14ac:dyDescent="0.3">
      <c r="B67" s="1" t="s">
        <v>68</v>
      </c>
      <c r="C67" s="2">
        <v>2509.4</v>
      </c>
      <c r="D67" s="2">
        <v>201.68</v>
      </c>
      <c r="E67" s="2">
        <v>2143.0500000000002</v>
      </c>
      <c r="F67" s="2">
        <v>126.94</v>
      </c>
      <c r="G67" s="2">
        <v>591.64</v>
      </c>
      <c r="H67" s="2">
        <v>680.42</v>
      </c>
      <c r="I67" s="2">
        <v>1746.9</v>
      </c>
      <c r="J67" s="2">
        <v>1139.0999999999999</v>
      </c>
      <c r="K67" s="2">
        <v>2697.67</v>
      </c>
      <c r="L67" s="2">
        <v>1318.28</v>
      </c>
      <c r="M67" s="2">
        <v>4900.2700000000004</v>
      </c>
      <c r="N67" s="2">
        <v>2499.33</v>
      </c>
      <c r="O67" s="2">
        <v>4182.09</v>
      </c>
      <c r="P67" s="2">
        <v>1826.48</v>
      </c>
      <c r="Q67" s="2">
        <v>5135.6000000000004</v>
      </c>
      <c r="R67" s="2">
        <v>1970.08</v>
      </c>
      <c r="S67" s="2">
        <v>2014.96</v>
      </c>
      <c r="T67" s="2">
        <v>1614.21</v>
      </c>
      <c r="U67" s="2">
        <v>1632.45</v>
      </c>
      <c r="V67" s="2">
        <v>1337.11</v>
      </c>
      <c r="X67" s="1" t="s">
        <v>68</v>
      </c>
      <c r="Y67" s="2">
        <v>58.44</v>
      </c>
      <c r="Z67" s="2">
        <v>60</v>
      </c>
      <c r="AA67" s="2">
        <v>58.94</v>
      </c>
      <c r="AB67" s="2">
        <v>60</v>
      </c>
      <c r="AC67" s="2">
        <v>57.33</v>
      </c>
      <c r="AD67" s="2">
        <v>58.68</v>
      </c>
      <c r="AE67" s="2">
        <v>66.3</v>
      </c>
      <c r="AF67" s="2">
        <v>69.97</v>
      </c>
      <c r="AG67" s="2">
        <v>64.83</v>
      </c>
      <c r="AH67" s="2">
        <v>69.989999999999995</v>
      </c>
      <c r="AI67" s="2">
        <v>62.5</v>
      </c>
      <c r="AJ67" s="2">
        <v>69.989999999999995</v>
      </c>
      <c r="AK67" s="2">
        <v>64.41</v>
      </c>
      <c r="AL67" s="2">
        <v>69.989999999999995</v>
      </c>
      <c r="AM67" s="2">
        <v>65.42</v>
      </c>
      <c r="AN67" s="2">
        <v>69.989999999999995</v>
      </c>
      <c r="AO67" s="2">
        <v>69.97</v>
      </c>
      <c r="AP67" s="2">
        <v>70</v>
      </c>
      <c r="AQ67" s="2">
        <v>70</v>
      </c>
      <c r="AR67" s="2">
        <v>70</v>
      </c>
      <c r="AU67" s="1" t="s">
        <v>68</v>
      </c>
      <c r="AV67" s="2">
        <v>25.67</v>
      </c>
      <c r="AW67" s="2">
        <v>54.81</v>
      </c>
      <c r="AX67" s="2">
        <v>25.22</v>
      </c>
      <c r="AY67" s="2">
        <v>54.93</v>
      </c>
      <c r="AZ67" s="2">
        <v>34.380000000000003</v>
      </c>
      <c r="BA67" s="2">
        <v>38.619999999999997</v>
      </c>
      <c r="BB67" s="2">
        <v>40.79</v>
      </c>
      <c r="BC67" s="2">
        <v>56.26</v>
      </c>
      <c r="BD67" s="2">
        <v>40</v>
      </c>
      <c r="BE67" s="2">
        <v>61.76</v>
      </c>
      <c r="BF67" s="2">
        <v>38.01</v>
      </c>
      <c r="BG67" s="2">
        <v>61.68</v>
      </c>
      <c r="BH67" s="2">
        <v>38.770000000000003</v>
      </c>
      <c r="BI67" s="2">
        <v>61.1</v>
      </c>
      <c r="BJ67" s="2">
        <v>39.299999999999997</v>
      </c>
      <c r="BK67" s="2">
        <v>62.45</v>
      </c>
      <c r="BL67" s="2">
        <v>58.95</v>
      </c>
      <c r="BM67" s="2">
        <v>65.91</v>
      </c>
      <c r="BN67" s="2">
        <v>66.239999999999995</v>
      </c>
      <c r="BO67" s="2">
        <v>67.930000000000007</v>
      </c>
      <c r="BR67" s="1" t="s">
        <v>68</v>
      </c>
      <c r="BS67" s="2">
        <v>-1.7</v>
      </c>
      <c r="BT67" s="2">
        <v>-0.12</v>
      </c>
      <c r="BU67" s="2">
        <v>-1.77</v>
      </c>
      <c r="BV67" s="2">
        <v>-0.12</v>
      </c>
      <c r="BW67" s="2">
        <v>-0.35</v>
      </c>
      <c r="BX67" s="2">
        <v>-0.27</v>
      </c>
      <c r="BY67" s="2">
        <v>-0.91</v>
      </c>
      <c r="BZ67" s="2">
        <v>-0.33</v>
      </c>
      <c r="CA67" s="2">
        <v>-1.1499999999999999</v>
      </c>
      <c r="CB67" s="2">
        <v>-0.23</v>
      </c>
      <c r="CC67" s="2">
        <v>-2.23</v>
      </c>
      <c r="CD67" s="2">
        <v>-0.42</v>
      </c>
      <c r="CE67" s="2">
        <v>-1.79</v>
      </c>
      <c r="CF67" s="2">
        <v>-0.36</v>
      </c>
      <c r="CG67" s="2">
        <v>-2.3199999999999998</v>
      </c>
      <c r="CH67" s="2">
        <v>-0.39</v>
      </c>
      <c r="CI67" s="2">
        <v>-0.54</v>
      </c>
      <c r="CJ67" s="2">
        <v>-0.18</v>
      </c>
      <c r="CK67" s="2">
        <v>-0.22</v>
      </c>
      <c r="CL67" s="2">
        <v>-0.12</v>
      </c>
    </row>
    <row r="68" spans="2:90" x14ac:dyDescent="0.3">
      <c r="B68" s="1" t="s">
        <v>69</v>
      </c>
      <c r="C68" s="2">
        <v>501.37</v>
      </c>
      <c r="D68" s="2">
        <v>64.42</v>
      </c>
      <c r="E68" s="2">
        <v>347.4</v>
      </c>
      <c r="F68" s="2">
        <v>46.59</v>
      </c>
      <c r="G68" s="2">
        <v>126.29</v>
      </c>
      <c r="H68" s="2">
        <v>148.29</v>
      </c>
      <c r="I68" s="2">
        <v>515.29999999999995</v>
      </c>
      <c r="J68" s="2">
        <v>242.65</v>
      </c>
      <c r="K68" s="2">
        <v>599.74</v>
      </c>
      <c r="L68" s="2">
        <v>291.70999999999998</v>
      </c>
      <c r="M68" s="2">
        <v>1143.3</v>
      </c>
      <c r="N68" s="2">
        <v>510.65</v>
      </c>
      <c r="O68" s="2">
        <v>962.41</v>
      </c>
      <c r="P68" s="2">
        <v>355.07</v>
      </c>
      <c r="Q68" s="2">
        <v>900.18</v>
      </c>
      <c r="R68" s="2">
        <v>427.86</v>
      </c>
      <c r="S68" s="2">
        <v>362.84</v>
      </c>
      <c r="T68" s="2">
        <v>286.83999999999997</v>
      </c>
      <c r="U68" s="2">
        <v>389.39</v>
      </c>
      <c r="V68" s="2">
        <v>306.83999999999997</v>
      </c>
      <c r="X68" s="1" t="s">
        <v>69</v>
      </c>
      <c r="Y68" s="2">
        <v>59.96</v>
      </c>
      <c r="Z68" s="2">
        <v>60</v>
      </c>
      <c r="AA68" s="2">
        <v>59.96</v>
      </c>
      <c r="AB68" s="2">
        <v>60</v>
      </c>
      <c r="AC68" s="2">
        <v>59.72</v>
      </c>
      <c r="AD68" s="2">
        <v>59.05</v>
      </c>
      <c r="AE68" s="2">
        <v>69.33</v>
      </c>
      <c r="AF68" s="2">
        <v>69.989999999999995</v>
      </c>
      <c r="AG68" s="2">
        <v>69.459999999999994</v>
      </c>
      <c r="AH68" s="2">
        <v>69.989999999999995</v>
      </c>
      <c r="AI68" s="2">
        <v>69.459999999999994</v>
      </c>
      <c r="AJ68" s="2">
        <v>70</v>
      </c>
      <c r="AK68" s="2">
        <v>69.47</v>
      </c>
      <c r="AL68" s="2">
        <v>70</v>
      </c>
      <c r="AM68" s="2">
        <v>69.94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69</v>
      </c>
      <c r="AV68" s="2">
        <v>29.57</v>
      </c>
      <c r="AW68" s="2">
        <v>53.79</v>
      </c>
      <c r="AX68" s="2">
        <v>30.28</v>
      </c>
      <c r="AY68" s="2">
        <v>54.75</v>
      </c>
      <c r="AZ68" s="2">
        <v>37.4</v>
      </c>
      <c r="BA68" s="2">
        <v>36.49</v>
      </c>
      <c r="BB68" s="2">
        <v>42.51</v>
      </c>
      <c r="BC68" s="2">
        <v>52.24</v>
      </c>
      <c r="BD68" s="2">
        <v>43.94</v>
      </c>
      <c r="BE68" s="2">
        <v>59.2</v>
      </c>
      <c r="BF68" s="2">
        <v>43.92</v>
      </c>
      <c r="BG68" s="2">
        <v>60.61</v>
      </c>
      <c r="BH68" s="2">
        <v>43.87</v>
      </c>
      <c r="BI68" s="2">
        <v>60.16</v>
      </c>
      <c r="BJ68" s="2">
        <v>50.23</v>
      </c>
      <c r="BK68" s="2">
        <v>62.59</v>
      </c>
      <c r="BL68" s="2">
        <v>62.7</v>
      </c>
      <c r="BM68" s="2">
        <v>64.87</v>
      </c>
      <c r="BN68" s="2">
        <v>65.260000000000005</v>
      </c>
      <c r="BO68" s="2">
        <v>66.02</v>
      </c>
      <c r="BR68" s="1" t="s">
        <v>69</v>
      </c>
      <c r="BS68" s="2">
        <v>-1.34</v>
      </c>
      <c r="BT68" s="2">
        <v>-0.15</v>
      </c>
      <c r="BU68" s="2">
        <v>-1.27</v>
      </c>
      <c r="BV68" s="2">
        <v>-0.12</v>
      </c>
      <c r="BW68" s="2">
        <v>-0.3</v>
      </c>
      <c r="BX68" s="2">
        <v>-0.31</v>
      </c>
      <c r="BY68" s="2">
        <v>-0.87</v>
      </c>
      <c r="BZ68" s="2">
        <v>-0.47</v>
      </c>
      <c r="CA68" s="2">
        <v>-1</v>
      </c>
      <c r="CB68" s="2">
        <v>-0.31</v>
      </c>
      <c r="CC68" s="2">
        <v>-1.81</v>
      </c>
      <c r="CD68" s="2">
        <v>-0.48</v>
      </c>
      <c r="CE68" s="2">
        <v>-1.46</v>
      </c>
      <c r="CF68" s="2">
        <v>-0.41</v>
      </c>
      <c r="CG68" s="2">
        <v>-1.28</v>
      </c>
      <c r="CH68" s="2">
        <v>-0.39</v>
      </c>
      <c r="CI68" s="2">
        <v>-0.34</v>
      </c>
      <c r="CJ68" s="2">
        <v>-0.23</v>
      </c>
      <c r="CK68" s="2">
        <v>-0.28000000000000003</v>
      </c>
      <c r="CL68" s="2">
        <v>-0.23</v>
      </c>
    </row>
    <row r="69" spans="2:90" x14ac:dyDescent="0.3">
      <c r="B69" s="1" t="s">
        <v>70</v>
      </c>
      <c r="C69" s="2">
        <v>1109.8</v>
      </c>
      <c r="D69" s="2">
        <v>1072.6300000000001</v>
      </c>
      <c r="E69" s="2">
        <v>1470.81</v>
      </c>
      <c r="F69" s="2">
        <v>652.09</v>
      </c>
      <c r="G69" s="2">
        <v>416.03</v>
      </c>
      <c r="H69" s="2">
        <v>418.87</v>
      </c>
      <c r="I69" s="2">
        <v>887.38</v>
      </c>
      <c r="J69" s="2">
        <v>1691.24</v>
      </c>
      <c r="K69" s="2">
        <v>2121.86</v>
      </c>
      <c r="L69" s="2">
        <v>2000.1</v>
      </c>
      <c r="M69" s="2">
        <v>3335.32</v>
      </c>
      <c r="N69" s="2">
        <v>2716.9</v>
      </c>
      <c r="O69" s="2">
        <v>2224.54</v>
      </c>
      <c r="P69" s="2">
        <v>1868.35</v>
      </c>
      <c r="Q69" s="2">
        <v>2157.8000000000002</v>
      </c>
      <c r="R69" s="2">
        <v>2063.4</v>
      </c>
      <c r="S69" s="2">
        <v>1703.94</v>
      </c>
      <c r="T69" s="2">
        <v>1144.8499999999999</v>
      </c>
      <c r="U69" s="2">
        <v>1956.34</v>
      </c>
      <c r="V69" s="2">
        <v>1415.51</v>
      </c>
      <c r="X69" s="1" t="s">
        <v>70</v>
      </c>
      <c r="Y69" s="2">
        <v>59.94</v>
      </c>
      <c r="Z69" s="2">
        <v>59.93</v>
      </c>
      <c r="AA69" s="2">
        <v>59.99</v>
      </c>
      <c r="AB69" s="2">
        <v>59.98</v>
      </c>
      <c r="AC69" s="2">
        <v>59.94</v>
      </c>
      <c r="AD69" s="2">
        <v>59.89</v>
      </c>
      <c r="AE69" s="2">
        <v>69.989999999999995</v>
      </c>
      <c r="AF69" s="2">
        <v>69.900000000000006</v>
      </c>
      <c r="AG69" s="2">
        <v>69.94</v>
      </c>
      <c r="AH69" s="2">
        <v>69.91</v>
      </c>
      <c r="AI69" s="2">
        <v>69.97</v>
      </c>
      <c r="AJ69" s="2">
        <v>69.98</v>
      </c>
      <c r="AK69" s="2">
        <v>69.989999999999995</v>
      </c>
      <c r="AL69" s="2">
        <v>69.989999999999995</v>
      </c>
      <c r="AM69" s="2">
        <v>70</v>
      </c>
      <c r="AN69" s="2">
        <v>70</v>
      </c>
      <c r="AO69" s="2">
        <v>70</v>
      </c>
      <c r="AP69" s="2">
        <v>70</v>
      </c>
      <c r="AQ69" s="2">
        <v>70</v>
      </c>
      <c r="AR69" s="2">
        <v>70</v>
      </c>
      <c r="AU69" s="1" t="s">
        <v>70</v>
      </c>
      <c r="AV69" s="2">
        <v>38.94</v>
      </c>
      <c r="AW69" s="2">
        <v>40.83</v>
      </c>
      <c r="AX69" s="2">
        <v>32.17</v>
      </c>
      <c r="AY69" s="2">
        <v>49.51</v>
      </c>
      <c r="AZ69" s="2">
        <v>39.57</v>
      </c>
      <c r="BA69" s="2">
        <v>39.200000000000003</v>
      </c>
      <c r="BB69" s="2">
        <v>59.15</v>
      </c>
      <c r="BC69" s="2">
        <v>46.5</v>
      </c>
      <c r="BD69" s="2">
        <v>50.36</v>
      </c>
      <c r="BE69" s="2">
        <v>48.92</v>
      </c>
      <c r="BF69" s="2">
        <v>52.53</v>
      </c>
      <c r="BG69" s="2">
        <v>54.05</v>
      </c>
      <c r="BH69" s="2">
        <v>55.45</v>
      </c>
      <c r="BI69" s="2">
        <v>55.92</v>
      </c>
      <c r="BJ69" s="2">
        <v>60.62</v>
      </c>
      <c r="BK69" s="2">
        <v>59.97</v>
      </c>
      <c r="BL69" s="2">
        <v>63</v>
      </c>
      <c r="BM69" s="2">
        <v>64.290000000000006</v>
      </c>
      <c r="BN69" s="2">
        <v>63.64</v>
      </c>
      <c r="BO69" s="2">
        <v>66.650000000000006</v>
      </c>
      <c r="BR69" s="1" t="s">
        <v>70</v>
      </c>
      <c r="BS69" s="2">
        <v>-0.7</v>
      </c>
      <c r="BT69" s="2">
        <v>-0.61</v>
      </c>
      <c r="BU69" s="2">
        <v>-1.1200000000000001</v>
      </c>
      <c r="BV69" s="2">
        <v>-0.27</v>
      </c>
      <c r="BW69" s="2">
        <v>-0.26</v>
      </c>
      <c r="BX69" s="2">
        <v>-0.26</v>
      </c>
      <c r="BY69" s="2">
        <v>-0.25</v>
      </c>
      <c r="BZ69" s="2">
        <v>-0.69</v>
      </c>
      <c r="CA69" s="2">
        <v>-0.67</v>
      </c>
      <c r="CB69" s="2">
        <v>-0.74</v>
      </c>
      <c r="CC69" s="2">
        <v>-1.02</v>
      </c>
      <c r="CD69" s="2">
        <v>-0.91</v>
      </c>
      <c r="CE69" s="2">
        <v>-0.65</v>
      </c>
      <c r="CF69" s="2">
        <v>-0.63</v>
      </c>
      <c r="CG69" s="2">
        <v>-0.5</v>
      </c>
      <c r="CH69" s="2">
        <v>-0.54</v>
      </c>
      <c r="CI69" s="2">
        <v>-0.32</v>
      </c>
      <c r="CJ69" s="2">
        <v>-0.26</v>
      </c>
      <c r="CK69" s="2">
        <v>-0.39</v>
      </c>
      <c r="CL69" s="2">
        <v>-0.19</v>
      </c>
    </row>
    <row r="70" spans="2:90" x14ac:dyDescent="0.3">
      <c r="B70" s="1" t="s">
        <v>71</v>
      </c>
      <c r="C70" s="2">
        <v>210.67</v>
      </c>
      <c r="D70" s="2">
        <v>201.18</v>
      </c>
      <c r="E70" s="2">
        <v>268.49</v>
      </c>
      <c r="F70" s="2">
        <v>311.23</v>
      </c>
      <c r="G70" s="2">
        <v>78.11</v>
      </c>
      <c r="H70" s="2">
        <v>63.76</v>
      </c>
      <c r="I70" s="2">
        <v>155.43</v>
      </c>
      <c r="J70" s="2">
        <v>207.82</v>
      </c>
      <c r="K70" s="2">
        <v>174.88</v>
      </c>
      <c r="L70" s="2">
        <v>399.22</v>
      </c>
      <c r="M70" s="2">
        <v>436.13</v>
      </c>
      <c r="N70" s="2">
        <v>887.57</v>
      </c>
      <c r="O70" s="2">
        <v>318.64</v>
      </c>
      <c r="P70" s="2">
        <v>433.69</v>
      </c>
      <c r="Q70" s="2">
        <v>416.48</v>
      </c>
      <c r="R70" s="2">
        <v>675.88</v>
      </c>
      <c r="S70" s="2">
        <v>348.49</v>
      </c>
      <c r="T70" s="2">
        <v>395.8</v>
      </c>
      <c r="U70" s="2">
        <v>341.47</v>
      </c>
      <c r="V70" s="2">
        <v>248.15</v>
      </c>
      <c r="X70" s="1" t="s">
        <v>71</v>
      </c>
      <c r="Y70" s="2">
        <v>59.67</v>
      </c>
      <c r="Z70" s="2">
        <v>59.63</v>
      </c>
      <c r="AA70" s="2">
        <v>59.92</v>
      </c>
      <c r="AB70" s="2">
        <v>59.92</v>
      </c>
      <c r="AC70" s="2">
        <v>59.85</v>
      </c>
      <c r="AD70" s="2">
        <v>59.71</v>
      </c>
      <c r="AE70" s="2">
        <v>69.989999999999995</v>
      </c>
      <c r="AF70" s="2">
        <v>69.89</v>
      </c>
      <c r="AG70" s="2">
        <v>69.989999999999995</v>
      </c>
      <c r="AH70" s="2">
        <v>69.36</v>
      </c>
      <c r="AI70" s="2">
        <v>69.989999999999995</v>
      </c>
      <c r="AJ70" s="2">
        <v>69.95</v>
      </c>
      <c r="AK70" s="2">
        <v>69.989999999999995</v>
      </c>
      <c r="AL70" s="2">
        <v>69.760000000000005</v>
      </c>
      <c r="AM70" s="2">
        <v>69.989999999999995</v>
      </c>
      <c r="AN70" s="2">
        <v>69.790000000000006</v>
      </c>
      <c r="AO70" s="2">
        <v>69.989999999999995</v>
      </c>
      <c r="AP70" s="2">
        <v>69.92</v>
      </c>
      <c r="AQ70" s="2">
        <v>69.989999999999995</v>
      </c>
      <c r="AR70" s="2">
        <v>70</v>
      </c>
      <c r="AU70" s="1" t="s">
        <v>71</v>
      </c>
      <c r="AV70" s="2">
        <v>37.950000000000003</v>
      </c>
      <c r="AW70" s="2">
        <v>37.94</v>
      </c>
      <c r="AX70" s="2">
        <v>30.58</v>
      </c>
      <c r="AY70" s="2">
        <v>30.63</v>
      </c>
      <c r="AZ70" s="2">
        <v>39.03</v>
      </c>
      <c r="BA70" s="2">
        <v>38.61</v>
      </c>
      <c r="BB70" s="2">
        <v>57.56</v>
      </c>
      <c r="BC70" s="2">
        <v>45.2</v>
      </c>
      <c r="BD70" s="2">
        <v>61.35</v>
      </c>
      <c r="BE70" s="2">
        <v>45.02</v>
      </c>
      <c r="BF70" s="2">
        <v>57.52</v>
      </c>
      <c r="BG70" s="2">
        <v>37.26</v>
      </c>
      <c r="BH70" s="2">
        <v>57.96</v>
      </c>
      <c r="BI70" s="2">
        <v>48.12</v>
      </c>
      <c r="BJ70" s="2">
        <v>58.42</v>
      </c>
      <c r="BK70" s="2">
        <v>48.41</v>
      </c>
      <c r="BL70" s="2">
        <v>60.56</v>
      </c>
      <c r="BM70" s="2">
        <v>51.11</v>
      </c>
      <c r="BN70" s="2">
        <v>63.72</v>
      </c>
      <c r="BO70" s="2">
        <v>65.64</v>
      </c>
      <c r="BR70" s="1" t="s">
        <v>71</v>
      </c>
      <c r="BS70" s="2">
        <v>-0.75</v>
      </c>
      <c r="BT70" s="2">
        <v>-0.75</v>
      </c>
      <c r="BU70" s="2">
        <v>-1.25</v>
      </c>
      <c r="BV70" s="2">
        <v>-1.24</v>
      </c>
      <c r="BW70" s="2">
        <v>-0.27</v>
      </c>
      <c r="BX70" s="2">
        <v>-0.27</v>
      </c>
      <c r="BY70" s="2">
        <v>-0.3</v>
      </c>
      <c r="BZ70" s="2">
        <v>-0.75</v>
      </c>
      <c r="CA70" s="2">
        <v>-0.24</v>
      </c>
      <c r="CB70" s="2">
        <v>-0.94</v>
      </c>
      <c r="CC70" s="2">
        <v>-0.67</v>
      </c>
      <c r="CD70" s="2">
        <v>-2.71</v>
      </c>
      <c r="CE70" s="2">
        <v>-0.52</v>
      </c>
      <c r="CF70" s="2">
        <v>-1.1200000000000001</v>
      </c>
      <c r="CG70" s="2">
        <v>-0.65</v>
      </c>
      <c r="CH70" s="2">
        <v>-1.44</v>
      </c>
      <c r="CI70" s="2">
        <v>-0.45</v>
      </c>
      <c r="CJ70" s="2">
        <v>-1.07</v>
      </c>
      <c r="CK70" s="2">
        <v>-0.38</v>
      </c>
      <c r="CL70" s="2">
        <v>-0.26</v>
      </c>
    </row>
    <row r="71" spans="2:90" x14ac:dyDescent="0.3">
      <c r="B71" s="1" t="s">
        <v>72</v>
      </c>
      <c r="C71" s="2">
        <v>1239.5</v>
      </c>
      <c r="D71" s="2">
        <v>1471.75</v>
      </c>
      <c r="E71" s="2">
        <v>750.04</v>
      </c>
      <c r="F71" s="2">
        <v>1072.48</v>
      </c>
      <c r="G71" s="2">
        <v>224.83</v>
      </c>
      <c r="H71" s="2">
        <v>435.49</v>
      </c>
      <c r="I71" s="2">
        <v>726.97</v>
      </c>
      <c r="J71" s="2">
        <v>996.82</v>
      </c>
      <c r="K71" s="2">
        <v>730.05</v>
      </c>
      <c r="L71" s="2">
        <v>1518.42</v>
      </c>
      <c r="M71" s="2">
        <v>1444.87</v>
      </c>
      <c r="N71" s="2">
        <v>2573.17</v>
      </c>
      <c r="O71" s="2">
        <v>1054.5999999999999</v>
      </c>
      <c r="P71" s="2">
        <v>1611.14</v>
      </c>
      <c r="Q71" s="2">
        <v>1584.03</v>
      </c>
      <c r="R71" s="2">
        <v>2332.37</v>
      </c>
      <c r="S71" s="2">
        <v>1144.97</v>
      </c>
      <c r="T71" s="2">
        <v>907.44</v>
      </c>
      <c r="U71" s="2">
        <v>1172.1400000000001</v>
      </c>
      <c r="V71" s="2">
        <v>1102.1199999999999</v>
      </c>
      <c r="X71" s="1" t="s">
        <v>72</v>
      </c>
      <c r="Y71" s="2">
        <v>58.77</v>
      </c>
      <c r="Z71" s="2">
        <v>58.39</v>
      </c>
      <c r="AA71" s="2">
        <v>59.85</v>
      </c>
      <c r="AB71" s="2">
        <v>58.23</v>
      </c>
      <c r="AC71" s="2">
        <v>59.58</v>
      </c>
      <c r="AD71" s="2">
        <v>58.73</v>
      </c>
      <c r="AE71" s="2">
        <v>69.69</v>
      </c>
      <c r="AF71" s="2">
        <v>67.41</v>
      </c>
      <c r="AG71" s="2">
        <v>69.95</v>
      </c>
      <c r="AH71" s="2">
        <v>61.32</v>
      </c>
      <c r="AI71" s="2">
        <v>69.900000000000006</v>
      </c>
      <c r="AJ71" s="2">
        <v>61.3</v>
      </c>
      <c r="AK71" s="2">
        <v>69.900000000000006</v>
      </c>
      <c r="AL71" s="2">
        <v>65.94</v>
      </c>
      <c r="AM71" s="2">
        <v>69.81</v>
      </c>
      <c r="AN71" s="2">
        <v>69.97</v>
      </c>
      <c r="AO71" s="2">
        <v>69.97</v>
      </c>
      <c r="AP71" s="2">
        <v>69.959999999999994</v>
      </c>
      <c r="AQ71" s="2">
        <v>69.989999999999995</v>
      </c>
      <c r="AR71" s="2">
        <v>69.989999999999995</v>
      </c>
      <c r="AU71" s="1" t="s">
        <v>72</v>
      </c>
      <c r="AV71" s="2">
        <v>26.84</v>
      </c>
      <c r="AW71" s="2">
        <v>26.53</v>
      </c>
      <c r="AX71" s="2">
        <v>33.21</v>
      </c>
      <c r="AY71" s="2">
        <v>27.86</v>
      </c>
      <c r="AZ71" s="2">
        <v>41.23</v>
      </c>
      <c r="BA71" s="2">
        <v>27.25</v>
      </c>
      <c r="BB71" s="2">
        <v>51.3</v>
      </c>
      <c r="BC71" s="2">
        <v>41.16</v>
      </c>
      <c r="BD71" s="2">
        <v>58.9</v>
      </c>
      <c r="BE71" s="2">
        <v>38.86</v>
      </c>
      <c r="BF71" s="2">
        <v>57.19</v>
      </c>
      <c r="BG71" s="2">
        <v>38.869999999999997</v>
      </c>
      <c r="BH71" s="2">
        <v>57.05</v>
      </c>
      <c r="BI71" s="2">
        <v>42.86</v>
      </c>
      <c r="BJ71" s="2">
        <v>54.95</v>
      </c>
      <c r="BK71" s="2">
        <v>43.52</v>
      </c>
      <c r="BL71" s="2">
        <v>60.4</v>
      </c>
      <c r="BM71" s="2">
        <v>59.51</v>
      </c>
      <c r="BN71" s="2">
        <v>62.55</v>
      </c>
      <c r="BO71" s="2">
        <v>63.06</v>
      </c>
      <c r="BR71" s="1" t="s">
        <v>72</v>
      </c>
      <c r="BS71" s="2">
        <v>-1.58</v>
      </c>
      <c r="BT71" s="2">
        <v>-1.6</v>
      </c>
      <c r="BU71" s="2">
        <v>-1.05</v>
      </c>
      <c r="BV71" s="2">
        <v>-1.46</v>
      </c>
      <c r="BW71" s="2">
        <v>-0.22</v>
      </c>
      <c r="BX71" s="2">
        <v>-0.59</v>
      </c>
      <c r="BY71" s="2">
        <v>-0.49</v>
      </c>
      <c r="BZ71" s="2">
        <v>-0.91</v>
      </c>
      <c r="CA71" s="2">
        <v>-0.32</v>
      </c>
      <c r="CB71" s="2">
        <v>-1.1299999999999999</v>
      </c>
      <c r="CC71" s="2">
        <v>-0.69</v>
      </c>
      <c r="CD71" s="2">
        <v>-2.0299999999999998</v>
      </c>
      <c r="CE71" s="2">
        <v>-0.56000000000000005</v>
      </c>
      <c r="CF71" s="2">
        <v>-1.42</v>
      </c>
      <c r="CG71" s="2">
        <v>-0.88</v>
      </c>
      <c r="CH71" s="2">
        <v>-1.98</v>
      </c>
      <c r="CI71" s="2">
        <v>-0.46</v>
      </c>
      <c r="CJ71" s="2">
        <v>-0.51</v>
      </c>
      <c r="CK71" s="2">
        <v>-0.46</v>
      </c>
      <c r="CL71" s="2">
        <v>-0.42</v>
      </c>
    </row>
    <row r="72" spans="2:90" x14ac:dyDescent="0.3">
      <c r="B72" s="1" t="s">
        <v>73</v>
      </c>
      <c r="C72" s="2">
        <v>129.04</v>
      </c>
      <c r="D72" s="2">
        <v>133.33000000000001</v>
      </c>
      <c r="E72" s="2">
        <v>25.81</v>
      </c>
      <c r="F72" s="2">
        <v>32.159999999999997</v>
      </c>
      <c r="G72" s="2">
        <v>1.48</v>
      </c>
      <c r="H72" s="2">
        <v>14.83</v>
      </c>
      <c r="I72" s="2">
        <v>37.51</v>
      </c>
      <c r="J72" s="2">
        <v>182.1</v>
      </c>
      <c r="K72" s="2">
        <v>154.53</v>
      </c>
      <c r="L72" s="2">
        <v>161.41999999999999</v>
      </c>
      <c r="M72" s="2">
        <v>291.5</v>
      </c>
      <c r="N72" s="2">
        <v>332.44</v>
      </c>
      <c r="O72" s="2">
        <v>283.48</v>
      </c>
      <c r="P72" s="2">
        <v>303.64</v>
      </c>
      <c r="Q72" s="2">
        <v>260.91000000000003</v>
      </c>
      <c r="R72" s="2">
        <v>271.08</v>
      </c>
      <c r="S72" s="2">
        <v>298.39999999999998</v>
      </c>
      <c r="T72" s="2">
        <v>170.39</v>
      </c>
      <c r="U72" s="2">
        <v>325.7</v>
      </c>
      <c r="V72" s="2">
        <v>201.09</v>
      </c>
      <c r="X72" s="1" t="s">
        <v>73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73</v>
      </c>
      <c r="AV72" s="2">
        <v>52.72</v>
      </c>
      <c r="AW72" s="2">
        <v>48.09</v>
      </c>
      <c r="AX72" s="2">
        <v>54.91</v>
      </c>
      <c r="AY72" s="2">
        <v>54.87</v>
      </c>
      <c r="AZ72" s="2">
        <v>54.96</v>
      </c>
      <c r="BA72" s="2">
        <v>54.77</v>
      </c>
      <c r="BB72" s="2">
        <v>64.95</v>
      </c>
      <c r="BC72" s="2">
        <v>50.25</v>
      </c>
      <c r="BD72" s="2">
        <v>66.28</v>
      </c>
      <c r="BE72" s="2">
        <v>52.93</v>
      </c>
      <c r="BF72" s="2">
        <v>60.01</v>
      </c>
      <c r="BG72" s="2">
        <v>52.84</v>
      </c>
      <c r="BH72" s="2">
        <v>57.39</v>
      </c>
      <c r="BI72" s="2">
        <v>55.87</v>
      </c>
      <c r="BJ72" s="2">
        <v>60.89</v>
      </c>
      <c r="BK72" s="2">
        <v>62.46</v>
      </c>
      <c r="BL72" s="2">
        <v>63.21</v>
      </c>
      <c r="BM72" s="2">
        <v>66.25</v>
      </c>
      <c r="BN72" s="2">
        <v>65.69</v>
      </c>
      <c r="BO72" s="2">
        <v>67.91</v>
      </c>
      <c r="BR72" s="1" t="s">
        <v>73</v>
      </c>
      <c r="BS72" s="2">
        <v>-0.18</v>
      </c>
      <c r="BT72" s="2">
        <v>-0.32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-0.1</v>
      </c>
      <c r="CB72" s="2">
        <v>-0.55000000000000004</v>
      </c>
      <c r="CC72" s="2">
        <v>-0.51</v>
      </c>
      <c r="CD72" s="2">
        <v>-1</v>
      </c>
      <c r="CE72" s="2">
        <v>-0.55000000000000004</v>
      </c>
      <c r="CF72" s="2">
        <v>-0.63</v>
      </c>
      <c r="CG72" s="2">
        <v>-0.49</v>
      </c>
      <c r="CH72" s="2">
        <v>-0.39</v>
      </c>
      <c r="CI72" s="2">
        <v>-0.31</v>
      </c>
      <c r="CJ72" s="2">
        <v>-0.16</v>
      </c>
      <c r="CK72" s="2">
        <v>-0.25</v>
      </c>
      <c r="CL72" s="2">
        <v>-0.12</v>
      </c>
    </row>
    <row r="73" spans="2:90" x14ac:dyDescent="0.3">
      <c r="W73" s="5">
        <f>SUM(C65:V72)/$W$45</f>
        <v>7.1531936689464434E-2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63</v>
      </c>
      <c r="D76" s="1" t="s">
        <v>64</v>
      </c>
      <c r="E76" s="1" t="s">
        <v>63</v>
      </c>
      <c r="F76" s="1" t="s">
        <v>64</v>
      </c>
      <c r="G76" s="1" t="s">
        <v>63</v>
      </c>
      <c r="H76" s="1" t="s">
        <v>64</v>
      </c>
      <c r="I76" s="1" t="s">
        <v>63</v>
      </c>
      <c r="J76" s="1" t="s">
        <v>64</v>
      </c>
      <c r="K76" s="1" t="s">
        <v>63</v>
      </c>
      <c r="L76" s="1" t="s">
        <v>64</v>
      </c>
      <c r="M76" s="1" t="s">
        <v>63</v>
      </c>
      <c r="N76" s="1" t="s">
        <v>64</v>
      </c>
      <c r="O76" s="1" t="s">
        <v>63</v>
      </c>
      <c r="P76" s="1" t="s">
        <v>64</v>
      </c>
      <c r="Q76" s="1" t="s">
        <v>63</v>
      </c>
      <c r="R76" s="1" t="s">
        <v>64</v>
      </c>
      <c r="S76" s="1" t="s">
        <v>63</v>
      </c>
      <c r="T76" s="1" t="s">
        <v>64</v>
      </c>
      <c r="U76" s="1" t="s">
        <v>63</v>
      </c>
      <c r="V76" s="1" t="s">
        <v>64</v>
      </c>
      <c r="X76" s="1" t="s">
        <v>6</v>
      </c>
      <c r="Y76" s="1" t="s">
        <v>63</v>
      </c>
      <c r="Z76" s="1" t="s">
        <v>64</v>
      </c>
      <c r="AA76" s="1" t="s">
        <v>63</v>
      </c>
      <c r="AB76" s="1" t="s">
        <v>64</v>
      </c>
      <c r="AC76" s="1" t="s">
        <v>63</v>
      </c>
      <c r="AD76" s="1" t="s">
        <v>64</v>
      </c>
      <c r="AE76" s="1" t="s">
        <v>63</v>
      </c>
      <c r="AF76" s="1" t="s">
        <v>64</v>
      </c>
      <c r="AG76" s="1" t="s">
        <v>63</v>
      </c>
      <c r="AH76" s="1" t="s">
        <v>64</v>
      </c>
      <c r="AI76" s="1" t="s">
        <v>63</v>
      </c>
      <c r="AJ76" s="1" t="s">
        <v>64</v>
      </c>
      <c r="AK76" s="1" t="s">
        <v>63</v>
      </c>
      <c r="AL76" s="1" t="s">
        <v>64</v>
      </c>
      <c r="AM76" s="1" t="s">
        <v>63</v>
      </c>
      <c r="AN76" s="1" t="s">
        <v>64</v>
      </c>
      <c r="AO76" s="1" t="s">
        <v>63</v>
      </c>
      <c r="AP76" s="1" t="s">
        <v>64</v>
      </c>
      <c r="AQ76" s="1" t="s">
        <v>63</v>
      </c>
      <c r="AR76" s="1" t="s">
        <v>64</v>
      </c>
      <c r="AU76" s="1" t="s">
        <v>6</v>
      </c>
      <c r="AV76" s="1" t="s">
        <v>63</v>
      </c>
      <c r="AW76" s="1" t="s">
        <v>64</v>
      </c>
      <c r="AX76" s="1" t="s">
        <v>63</v>
      </c>
      <c r="AY76" s="1" t="s">
        <v>64</v>
      </c>
      <c r="AZ76" s="1" t="s">
        <v>63</v>
      </c>
      <c r="BA76" s="1" t="s">
        <v>64</v>
      </c>
      <c r="BB76" s="1" t="s">
        <v>63</v>
      </c>
      <c r="BC76" s="1" t="s">
        <v>64</v>
      </c>
      <c r="BD76" s="1" t="s">
        <v>63</v>
      </c>
      <c r="BE76" s="1" t="s">
        <v>64</v>
      </c>
      <c r="BF76" s="1" t="s">
        <v>63</v>
      </c>
      <c r="BG76" s="1" t="s">
        <v>64</v>
      </c>
      <c r="BH76" s="1" t="s">
        <v>63</v>
      </c>
      <c r="BI76" s="1" t="s">
        <v>64</v>
      </c>
      <c r="BJ76" s="1" t="s">
        <v>63</v>
      </c>
      <c r="BK76" s="1" t="s">
        <v>64</v>
      </c>
      <c r="BL76" s="1" t="s">
        <v>63</v>
      </c>
      <c r="BM76" s="1" t="s">
        <v>64</v>
      </c>
      <c r="BN76" s="1" t="s">
        <v>63</v>
      </c>
      <c r="BO76" s="1" t="s">
        <v>64</v>
      </c>
      <c r="BR76" s="1" t="s">
        <v>6</v>
      </c>
      <c r="BS76" s="1" t="s">
        <v>63</v>
      </c>
      <c r="BT76" s="1" t="s">
        <v>64</v>
      </c>
      <c r="BU76" s="1" t="s">
        <v>63</v>
      </c>
      <c r="BV76" s="1" t="s">
        <v>64</v>
      </c>
      <c r="BW76" s="1" t="s">
        <v>63</v>
      </c>
      <c r="BX76" s="1" t="s">
        <v>64</v>
      </c>
      <c r="BY76" s="1" t="s">
        <v>63</v>
      </c>
      <c r="BZ76" s="1" t="s">
        <v>64</v>
      </c>
      <c r="CA76" s="1" t="s">
        <v>63</v>
      </c>
      <c r="CB76" s="1" t="s">
        <v>64</v>
      </c>
      <c r="CC76" s="1" t="s">
        <v>63</v>
      </c>
      <c r="CD76" s="1" t="s">
        <v>64</v>
      </c>
      <c r="CE76" s="1" t="s">
        <v>63</v>
      </c>
      <c r="CF76" s="1" t="s">
        <v>64</v>
      </c>
      <c r="CG76" s="1" t="s">
        <v>63</v>
      </c>
      <c r="CH76" s="1" t="s">
        <v>64</v>
      </c>
      <c r="CI76" s="1" t="s">
        <v>63</v>
      </c>
      <c r="CJ76" s="1" t="s">
        <v>64</v>
      </c>
      <c r="CK76" s="1" t="s">
        <v>63</v>
      </c>
      <c r="CL76" s="1" t="s">
        <v>64</v>
      </c>
    </row>
    <row r="77" spans="2:90" x14ac:dyDescent="0.3">
      <c r="B77" s="1" t="s">
        <v>65</v>
      </c>
      <c r="C77" s="1" t="s">
        <v>53</v>
      </c>
      <c r="D77" s="1" t="s">
        <v>53</v>
      </c>
      <c r="E77" s="1" t="s">
        <v>54</v>
      </c>
      <c r="F77" s="1" t="s">
        <v>54</v>
      </c>
      <c r="G77" s="1" t="s">
        <v>55</v>
      </c>
      <c r="H77" s="1" t="s">
        <v>55</v>
      </c>
      <c r="I77" s="1" t="s">
        <v>56</v>
      </c>
      <c r="J77" s="1" t="s">
        <v>56</v>
      </c>
      <c r="K77" s="1" t="s">
        <v>57</v>
      </c>
      <c r="L77" s="1" t="s">
        <v>57</v>
      </c>
      <c r="M77" s="1" t="s">
        <v>58</v>
      </c>
      <c r="N77" s="1" t="s">
        <v>58</v>
      </c>
      <c r="O77" s="1" t="s">
        <v>59</v>
      </c>
      <c r="P77" s="1" t="s">
        <v>59</v>
      </c>
      <c r="Q77" s="1" t="s">
        <v>60</v>
      </c>
      <c r="R77" s="1" t="s">
        <v>60</v>
      </c>
      <c r="S77" s="1" t="s">
        <v>61</v>
      </c>
      <c r="T77" s="1" t="s">
        <v>61</v>
      </c>
      <c r="U77" s="1" t="s">
        <v>62</v>
      </c>
      <c r="V77" s="1" t="s">
        <v>62</v>
      </c>
      <c r="X77" s="1" t="s">
        <v>65</v>
      </c>
      <c r="Y77" s="1" t="s">
        <v>53</v>
      </c>
      <c r="Z77" s="1" t="s">
        <v>53</v>
      </c>
      <c r="AA77" s="1" t="s">
        <v>54</v>
      </c>
      <c r="AB77" s="1" t="s">
        <v>54</v>
      </c>
      <c r="AC77" s="1" t="s">
        <v>55</v>
      </c>
      <c r="AD77" s="1" t="s">
        <v>55</v>
      </c>
      <c r="AE77" s="1" t="s">
        <v>56</v>
      </c>
      <c r="AF77" s="1" t="s">
        <v>56</v>
      </c>
      <c r="AG77" s="1" t="s">
        <v>57</v>
      </c>
      <c r="AH77" s="1" t="s">
        <v>57</v>
      </c>
      <c r="AI77" s="1" t="s">
        <v>58</v>
      </c>
      <c r="AJ77" s="1" t="s">
        <v>58</v>
      </c>
      <c r="AK77" s="1" t="s">
        <v>59</v>
      </c>
      <c r="AL77" s="1" t="s">
        <v>59</v>
      </c>
      <c r="AM77" s="1" t="s">
        <v>60</v>
      </c>
      <c r="AN77" s="1" t="s">
        <v>60</v>
      </c>
      <c r="AO77" s="1" t="s">
        <v>61</v>
      </c>
      <c r="AP77" s="1" t="s">
        <v>61</v>
      </c>
      <c r="AQ77" s="1" t="s">
        <v>62</v>
      </c>
      <c r="AR77" s="1" t="s">
        <v>62</v>
      </c>
      <c r="AU77" s="1" t="s">
        <v>65</v>
      </c>
      <c r="AV77" s="1" t="s">
        <v>53</v>
      </c>
      <c r="AW77" s="1" t="s">
        <v>53</v>
      </c>
      <c r="AX77" s="1" t="s">
        <v>54</v>
      </c>
      <c r="AY77" s="1" t="s">
        <v>54</v>
      </c>
      <c r="AZ77" s="1" t="s">
        <v>55</v>
      </c>
      <c r="BA77" s="1" t="s">
        <v>55</v>
      </c>
      <c r="BB77" s="1" t="s">
        <v>56</v>
      </c>
      <c r="BC77" s="1" t="s">
        <v>56</v>
      </c>
      <c r="BD77" s="1" t="s">
        <v>57</v>
      </c>
      <c r="BE77" s="1" t="s">
        <v>57</v>
      </c>
      <c r="BF77" s="1" t="s">
        <v>58</v>
      </c>
      <c r="BG77" s="1" t="s">
        <v>58</v>
      </c>
      <c r="BH77" s="1" t="s">
        <v>59</v>
      </c>
      <c r="BI77" s="1" t="s">
        <v>59</v>
      </c>
      <c r="BJ77" s="1" t="s">
        <v>60</v>
      </c>
      <c r="BK77" s="1" t="s">
        <v>60</v>
      </c>
      <c r="BL77" s="1" t="s">
        <v>61</v>
      </c>
      <c r="BM77" s="1" t="s">
        <v>61</v>
      </c>
      <c r="BN77" s="1" t="s">
        <v>62</v>
      </c>
      <c r="BO77" s="1" t="s">
        <v>62</v>
      </c>
      <c r="BR77" s="1" t="s">
        <v>65</v>
      </c>
      <c r="BS77" s="1" t="s">
        <v>53</v>
      </c>
      <c r="BT77" s="1" t="s">
        <v>53</v>
      </c>
      <c r="BU77" s="1" t="s">
        <v>54</v>
      </c>
      <c r="BV77" s="1" t="s">
        <v>54</v>
      </c>
      <c r="BW77" s="1" t="s">
        <v>55</v>
      </c>
      <c r="BX77" s="1" t="s">
        <v>55</v>
      </c>
      <c r="BY77" s="1" t="s">
        <v>56</v>
      </c>
      <c r="BZ77" s="1" t="s">
        <v>56</v>
      </c>
      <c r="CA77" s="1" t="s">
        <v>57</v>
      </c>
      <c r="CB77" s="1" t="s">
        <v>57</v>
      </c>
      <c r="CC77" s="1" t="s">
        <v>58</v>
      </c>
      <c r="CD77" s="1" t="s">
        <v>58</v>
      </c>
      <c r="CE77" s="1" t="s">
        <v>59</v>
      </c>
      <c r="CF77" s="1" t="s">
        <v>59</v>
      </c>
      <c r="CG77" s="1" t="s">
        <v>60</v>
      </c>
      <c r="CH77" s="1" t="s">
        <v>60</v>
      </c>
      <c r="CI77" s="1" t="s">
        <v>61</v>
      </c>
      <c r="CJ77" s="1" t="s">
        <v>61</v>
      </c>
      <c r="CK77" s="1" t="s">
        <v>62</v>
      </c>
      <c r="CL77" s="1" t="s">
        <v>62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66</v>
      </c>
      <c r="C79" s="2">
        <v>8.98</v>
      </c>
      <c r="D79" s="2">
        <v>12.6</v>
      </c>
      <c r="E79" s="2">
        <v>2.98</v>
      </c>
      <c r="F79" s="2">
        <v>2.97</v>
      </c>
      <c r="G79" s="2">
        <v>0.98</v>
      </c>
      <c r="H79" s="2">
        <v>2.2000000000000002</v>
      </c>
      <c r="I79" s="2">
        <v>14.26</v>
      </c>
      <c r="J79" s="2">
        <v>3.74</v>
      </c>
      <c r="K79" s="2">
        <v>9.7799999999999994</v>
      </c>
      <c r="L79" s="2">
        <v>7.89</v>
      </c>
      <c r="M79" s="2">
        <v>12.5</v>
      </c>
      <c r="N79" s="2">
        <v>8.43</v>
      </c>
      <c r="O79" s="2">
        <v>8.19</v>
      </c>
      <c r="P79" s="2">
        <v>1.71</v>
      </c>
      <c r="Q79" s="2">
        <v>8.99</v>
      </c>
      <c r="R79" s="2">
        <v>3.33</v>
      </c>
      <c r="S79" s="2">
        <v>0.72</v>
      </c>
      <c r="T79" s="2">
        <v>1.26</v>
      </c>
      <c r="U79" s="2">
        <v>0.74</v>
      </c>
      <c r="V79" s="2">
        <v>0.97</v>
      </c>
      <c r="X79" s="1" t="s">
        <v>66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66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66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67</v>
      </c>
      <c r="C80" s="2">
        <v>66.17</v>
      </c>
      <c r="D80" s="2">
        <v>25.17</v>
      </c>
      <c r="E80" s="2">
        <v>38.840000000000003</v>
      </c>
      <c r="F80" s="2">
        <v>17.78</v>
      </c>
      <c r="G80" s="2">
        <v>8.5399999999999991</v>
      </c>
      <c r="H80" s="2">
        <v>15.9</v>
      </c>
      <c r="I80" s="2">
        <v>63.19</v>
      </c>
      <c r="J80" s="2">
        <v>88.24</v>
      </c>
      <c r="K80" s="2">
        <v>77.52</v>
      </c>
      <c r="L80" s="2">
        <v>76.459999999999994</v>
      </c>
      <c r="M80" s="2">
        <v>135.18</v>
      </c>
      <c r="N80" s="2">
        <v>107.06</v>
      </c>
      <c r="O80" s="2">
        <v>101.48</v>
      </c>
      <c r="P80" s="2">
        <v>93.97</v>
      </c>
      <c r="Q80" s="2">
        <v>130.47999999999999</v>
      </c>
      <c r="R80" s="2">
        <v>91.6</v>
      </c>
      <c r="S80" s="2">
        <v>89.2</v>
      </c>
      <c r="T80" s="2">
        <v>72.23</v>
      </c>
      <c r="U80" s="2">
        <v>116.29</v>
      </c>
      <c r="V80" s="2">
        <v>70.86</v>
      </c>
      <c r="X80" s="1" t="s">
        <v>67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67</v>
      </c>
      <c r="AV80" s="2">
        <v>1.6</v>
      </c>
      <c r="AW80" s="2">
        <v>1.43</v>
      </c>
      <c r="AX80" s="2">
        <v>1.53</v>
      </c>
      <c r="AY80" s="2">
        <v>1.43</v>
      </c>
      <c r="AZ80" s="2">
        <v>0.56000000000000005</v>
      </c>
      <c r="BA80" s="2">
        <v>0.56000000000000005</v>
      </c>
      <c r="BB80" s="2">
        <v>1.71</v>
      </c>
      <c r="BC80" s="2">
        <v>1.66</v>
      </c>
      <c r="BD80" s="2">
        <v>2.08</v>
      </c>
      <c r="BE80" s="2">
        <v>1.83</v>
      </c>
      <c r="BF80" s="2">
        <v>4.0199999999999996</v>
      </c>
      <c r="BG80" s="2">
        <v>3.32</v>
      </c>
      <c r="BH80" s="2">
        <v>3.04</v>
      </c>
      <c r="BI80" s="2">
        <v>2.77</v>
      </c>
      <c r="BJ80" s="2">
        <v>3.87</v>
      </c>
      <c r="BK80" s="2">
        <v>3.52</v>
      </c>
      <c r="BL80" s="2">
        <v>3.38</v>
      </c>
      <c r="BM80" s="2">
        <v>3</v>
      </c>
      <c r="BN80" s="2">
        <v>4.32</v>
      </c>
      <c r="BO80" s="2">
        <v>3.9</v>
      </c>
      <c r="BR80" s="1" t="s">
        <v>67</v>
      </c>
      <c r="BS80" s="2">
        <v>-0.19</v>
      </c>
      <c r="BT80" s="2">
        <v>-0.09</v>
      </c>
      <c r="BU80" s="2">
        <v>-0.15</v>
      </c>
      <c r="BV80" s="2">
        <v>-0.09</v>
      </c>
      <c r="BW80" s="2">
        <v>-0.11</v>
      </c>
      <c r="BX80" s="2">
        <v>-0.11</v>
      </c>
      <c r="BY80" s="2">
        <v>-0.2</v>
      </c>
      <c r="BZ80" s="2">
        <v>-0.17</v>
      </c>
      <c r="CA80" s="2">
        <v>-0.17</v>
      </c>
      <c r="CB80" s="2">
        <v>-0.06</v>
      </c>
      <c r="CC80" s="2">
        <v>-0.23</v>
      </c>
      <c r="CD80" s="2">
        <v>-7.0000000000000007E-2</v>
      </c>
      <c r="CE80" s="2">
        <v>-0.18</v>
      </c>
      <c r="CF80" s="2">
        <v>-0.1</v>
      </c>
      <c r="CG80" s="2">
        <v>-0.16</v>
      </c>
      <c r="CH80" s="2">
        <v>-7.0000000000000007E-2</v>
      </c>
      <c r="CI80" s="2">
        <v>-0.14000000000000001</v>
      </c>
      <c r="CJ80" s="2">
        <v>-0.03</v>
      </c>
      <c r="CK80" s="2">
        <v>-0.11</v>
      </c>
      <c r="CL80" s="2">
        <v>-0.01</v>
      </c>
    </row>
    <row r="81" spans="2:90" x14ac:dyDescent="0.3">
      <c r="B81" s="1" t="s">
        <v>68</v>
      </c>
      <c r="C81" s="2">
        <v>621.21</v>
      </c>
      <c r="D81" s="2">
        <v>70.290000000000006</v>
      </c>
      <c r="E81" s="2">
        <v>549.59</v>
      </c>
      <c r="F81" s="2">
        <v>36.479999999999997</v>
      </c>
      <c r="G81" s="2">
        <v>110.05</v>
      </c>
      <c r="H81" s="2">
        <v>192.25</v>
      </c>
      <c r="I81" s="2">
        <v>587.5</v>
      </c>
      <c r="J81" s="2">
        <v>428.03</v>
      </c>
      <c r="K81" s="2">
        <v>712</v>
      </c>
      <c r="L81" s="2">
        <v>404.99</v>
      </c>
      <c r="M81" s="2">
        <v>1271.22</v>
      </c>
      <c r="N81" s="2">
        <v>662.18</v>
      </c>
      <c r="O81" s="2">
        <v>1138.45</v>
      </c>
      <c r="P81" s="2">
        <v>559.47</v>
      </c>
      <c r="Q81" s="2">
        <v>1451.49</v>
      </c>
      <c r="R81" s="2">
        <v>603.28</v>
      </c>
      <c r="S81" s="2">
        <v>509.08</v>
      </c>
      <c r="T81" s="2">
        <v>462.31</v>
      </c>
      <c r="U81" s="2">
        <v>487.63</v>
      </c>
      <c r="V81" s="2">
        <v>402.29</v>
      </c>
      <c r="X81" s="1" t="s">
        <v>68</v>
      </c>
      <c r="Y81" s="2">
        <v>1.33</v>
      </c>
      <c r="Z81" s="2">
        <v>1.3</v>
      </c>
      <c r="AA81" s="2">
        <v>1.32</v>
      </c>
      <c r="AB81" s="2">
        <v>1.3</v>
      </c>
      <c r="AC81" s="2">
        <v>0.52</v>
      </c>
      <c r="AD81" s="2">
        <v>0.51</v>
      </c>
      <c r="AE81" s="2">
        <v>1.45</v>
      </c>
      <c r="AF81" s="2">
        <v>1.37</v>
      </c>
      <c r="AG81" s="2">
        <v>1.85</v>
      </c>
      <c r="AH81" s="2">
        <v>1.71</v>
      </c>
      <c r="AI81" s="2">
        <v>3.46</v>
      </c>
      <c r="AJ81" s="2">
        <v>3.09</v>
      </c>
      <c r="AK81" s="2">
        <v>2.7</v>
      </c>
      <c r="AL81" s="2">
        <v>2.4900000000000002</v>
      </c>
      <c r="AM81" s="2">
        <v>3.48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68</v>
      </c>
      <c r="AV81" s="2">
        <v>3.04</v>
      </c>
      <c r="AW81" s="2">
        <v>1.42</v>
      </c>
      <c r="AX81" s="2">
        <v>3.09</v>
      </c>
      <c r="AY81" s="2">
        <v>1.42</v>
      </c>
      <c r="AZ81" s="2">
        <v>0.87</v>
      </c>
      <c r="BA81" s="2">
        <v>0.78</v>
      </c>
      <c r="BB81" s="2">
        <v>2.35</v>
      </c>
      <c r="BC81" s="2">
        <v>1.71</v>
      </c>
      <c r="BD81" s="2">
        <v>3</v>
      </c>
      <c r="BE81" s="2">
        <v>1.94</v>
      </c>
      <c r="BF81" s="2">
        <v>5.68</v>
      </c>
      <c r="BG81" s="2">
        <v>3.5</v>
      </c>
      <c r="BH81" s="2">
        <v>4.49</v>
      </c>
      <c r="BI81" s="2">
        <v>2.85</v>
      </c>
      <c r="BJ81" s="2">
        <v>5.8</v>
      </c>
      <c r="BK81" s="2">
        <v>3.65</v>
      </c>
      <c r="BL81" s="2">
        <v>3.46</v>
      </c>
      <c r="BM81" s="2">
        <v>3.1</v>
      </c>
      <c r="BN81" s="2">
        <v>4.08</v>
      </c>
      <c r="BO81" s="2">
        <v>3.97</v>
      </c>
      <c r="BR81" s="1" t="s">
        <v>68</v>
      </c>
      <c r="BS81" s="2">
        <v>-0.56000000000000005</v>
      </c>
      <c r="BT81" s="2">
        <v>-0.09</v>
      </c>
      <c r="BU81" s="2">
        <v>-0.56999999999999995</v>
      </c>
      <c r="BV81" s="2">
        <v>-0.08</v>
      </c>
      <c r="BW81" s="2">
        <v>-0.4</v>
      </c>
      <c r="BX81" s="2">
        <v>-0.34</v>
      </c>
      <c r="BY81" s="2">
        <v>-0.38</v>
      </c>
      <c r="BZ81" s="2">
        <v>-0.2</v>
      </c>
      <c r="CA81" s="2">
        <v>-0.38</v>
      </c>
      <c r="CB81" s="2">
        <v>-0.12</v>
      </c>
      <c r="CC81" s="2">
        <v>-0.39</v>
      </c>
      <c r="CD81" s="2">
        <v>-0.12</v>
      </c>
      <c r="CE81" s="2">
        <v>-0.4</v>
      </c>
      <c r="CF81" s="2">
        <v>-0.13</v>
      </c>
      <c r="CG81" s="2">
        <v>-0.4</v>
      </c>
      <c r="CH81" s="2">
        <v>-0.11</v>
      </c>
      <c r="CI81" s="2">
        <v>-0.16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69</v>
      </c>
      <c r="C82" s="2">
        <v>139.22999999999999</v>
      </c>
      <c r="D82" s="2">
        <v>25.15</v>
      </c>
      <c r="E82" s="2">
        <v>121.21</v>
      </c>
      <c r="F82" s="2">
        <v>13.87</v>
      </c>
      <c r="G82" s="2">
        <v>31.91</v>
      </c>
      <c r="H82" s="2">
        <v>47.49</v>
      </c>
      <c r="I82" s="2">
        <v>217.69</v>
      </c>
      <c r="J82" s="2">
        <v>107.83</v>
      </c>
      <c r="K82" s="2">
        <v>279.51</v>
      </c>
      <c r="L82" s="2">
        <v>97.74</v>
      </c>
      <c r="M82" s="2">
        <v>461.94</v>
      </c>
      <c r="N82" s="2">
        <v>140.33000000000001</v>
      </c>
      <c r="O82" s="2">
        <v>404.9</v>
      </c>
      <c r="P82" s="2">
        <v>120.4</v>
      </c>
      <c r="Q82" s="2">
        <v>408.26</v>
      </c>
      <c r="R82" s="2">
        <v>175.21</v>
      </c>
      <c r="S82" s="2">
        <v>164.47</v>
      </c>
      <c r="T82" s="2">
        <v>103.41</v>
      </c>
      <c r="U82" s="2">
        <v>154.30000000000001</v>
      </c>
      <c r="V82" s="2">
        <v>133.5</v>
      </c>
      <c r="X82" s="1" t="s">
        <v>69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0.51</v>
      </c>
      <c r="AE82" s="2">
        <v>1.38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69</v>
      </c>
      <c r="AV82" s="2">
        <v>2.64</v>
      </c>
      <c r="AW82" s="2">
        <v>1.45</v>
      </c>
      <c r="AX82" s="2">
        <v>2.58</v>
      </c>
      <c r="AY82" s="2">
        <v>1.42</v>
      </c>
      <c r="AZ82" s="2">
        <v>0.8</v>
      </c>
      <c r="BA82" s="2">
        <v>0.82</v>
      </c>
      <c r="BB82" s="2">
        <v>2.2599999999999998</v>
      </c>
      <c r="BC82" s="2">
        <v>1.84</v>
      </c>
      <c r="BD82" s="2">
        <v>2.73</v>
      </c>
      <c r="BE82" s="2">
        <v>2.0299999999999998</v>
      </c>
      <c r="BF82" s="2">
        <v>4.92</v>
      </c>
      <c r="BG82" s="2">
        <v>3.56</v>
      </c>
      <c r="BH82" s="2">
        <v>3.97</v>
      </c>
      <c r="BI82" s="2">
        <v>2.89</v>
      </c>
      <c r="BJ82" s="2">
        <v>4.54</v>
      </c>
      <c r="BK82" s="2">
        <v>3.64</v>
      </c>
      <c r="BL82" s="2">
        <v>3.25</v>
      </c>
      <c r="BM82" s="2">
        <v>3.14</v>
      </c>
      <c r="BN82" s="2">
        <v>4.1399999999999997</v>
      </c>
      <c r="BO82" s="2">
        <v>4.09</v>
      </c>
      <c r="BR82" s="1" t="s">
        <v>69</v>
      </c>
      <c r="BS82" s="2">
        <v>-0.51</v>
      </c>
      <c r="BT82" s="2">
        <v>-0.1</v>
      </c>
      <c r="BU82" s="2">
        <v>-0.49</v>
      </c>
      <c r="BV82" s="2">
        <v>-0.09</v>
      </c>
      <c r="BW82" s="2">
        <v>-0.37</v>
      </c>
      <c r="BX82" s="2">
        <v>-0.38</v>
      </c>
      <c r="BY82" s="2">
        <v>-0.39</v>
      </c>
      <c r="BZ82" s="2">
        <v>-0.25</v>
      </c>
      <c r="CA82" s="2">
        <v>-0.37</v>
      </c>
      <c r="CB82" s="2">
        <v>-0.15</v>
      </c>
      <c r="CC82" s="2">
        <v>-0.37</v>
      </c>
      <c r="CD82" s="2">
        <v>-0.13</v>
      </c>
      <c r="CE82" s="2">
        <v>-0.37</v>
      </c>
      <c r="CF82" s="2">
        <v>-0.14000000000000001</v>
      </c>
      <c r="CG82" s="2">
        <v>-0.28000000000000003</v>
      </c>
      <c r="CH82" s="2">
        <v>-0.11</v>
      </c>
      <c r="CI82" s="2">
        <v>-0.1</v>
      </c>
      <c r="CJ82" s="2">
        <v>-7.0000000000000007E-2</v>
      </c>
      <c r="CK82" s="2">
        <v>-7.0000000000000007E-2</v>
      </c>
      <c r="CL82" s="2">
        <v>-0.06</v>
      </c>
    </row>
    <row r="83" spans="2:90" x14ac:dyDescent="0.3">
      <c r="B83" s="1" t="s">
        <v>70</v>
      </c>
      <c r="C83" s="2">
        <v>303.01</v>
      </c>
      <c r="D83" s="2">
        <v>334.3</v>
      </c>
      <c r="E83" s="2">
        <v>359.75</v>
      </c>
      <c r="F83" s="2">
        <v>119.38</v>
      </c>
      <c r="G83" s="2">
        <v>106.03</v>
      </c>
      <c r="H83" s="2">
        <v>156.29</v>
      </c>
      <c r="I83" s="2">
        <v>332</v>
      </c>
      <c r="J83" s="2">
        <v>580.32000000000005</v>
      </c>
      <c r="K83" s="2">
        <v>714.43</v>
      </c>
      <c r="L83" s="2">
        <v>721.93</v>
      </c>
      <c r="M83" s="2">
        <v>944.39</v>
      </c>
      <c r="N83" s="2">
        <v>849.37</v>
      </c>
      <c r="O83" s="2">
        <v>709.96</v>
      </c>
      <c r="P83" s="2">
        <v>676.5</v>
      </c>
      <c r="Q83" s="2">
        <v>754.52</v>
      </c>
      <c r="R83" s="2">
        <v>758.54</v>
      </c>
      <c r="S83" s="2">
        <v>610.34</v>
      </c>
      <c r="T83" s="2">
        <v>467.5</v>
      </c>
      <c r="U83" s="2">
        <v>687.81</v>
      </c>
      <c r="V83" s="2">
        <v>492.47</v>
      </c>
      <c r="X83" s="1" t="s">
        <v>70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70</v>
      </c>
      <c r="AV83" s="2">
        <v>2</v>
      </c>
      <c r="AW83" s="2">
        <v>1.91</v>
      </c>
      <c r="AX83" s="2">
        <v>2.42</v>
      </c>
      <c r="AY83" s="2">
        <v>1.58</v>
      </c>
      <c r="AZ83" s="2">
        <v>0.76</v>
      </c>
      <c r="BA83" s="2">
        <v>0.77</v>
      </c>
      <c r="BB83" s="2">
        <v>1.62</v>
      </c>
      <c r="BC83" s="2">
        <v>2.06</v>
      </c>
      <c r="BD83" s="2">
        <v>2.38</v>
      </c>
      <c r="BE83" s="2">
        <v>2.4500000000000002</v>
      </c>
      <c r="BF83" s="2">
        <v>4.1100000000000003</v>
      </c>
      <c r="BG83" s="2">
        <v>4</v>
      </c>
      <c r="BH83" s="2">
        <v>3.14</v>
      </c>
      <c r="BI83" s="2">
        <v>3.11</v>
      </c>
      <c r="BJ83" s="2">
        <v>3.76</v>
      </c>
      <c r="BK83" s="2">
        <v>3.8</v>
      </c>
      <c r="BL83" s="2">
        <v>3.24</v>
      </c>
      <c r="BM83" s="2">
        <v>3.17</v>
      </c>
      <c r="BN83" s="2">
        <v>4.24</v>
      </c>
      <c r="BO83" s="2">
        <v>4.05</v>
      </c>
      <c r="BR83" s="1" t="s">
        <v>70</v>
      </c>
      <c r="BS83" s="2">
        <v>-0.35</v>
      </c>
      <c r="BT83" s="2">
        <v>-0.32</v>
      </c>
      <c r="BU83" s="2">
        <v>-0.46</v>
      </c>
      <c r="BV83" s="2">
        <v>-0.17</v>
      </c>
      <c r="BW83" s="2">
        <v>-0.34</v>
      </c>
      <c r="BX83" s="2">
        <v>-0.35</v>
      </c>
      <c r="BY83" s="2">
        <v>-0.15</v>
      </c>
      <c r="BZ83" s="2">
        <v>-0.33</v>
      </c>
      <c r="CA83" s="2">
        <v>-0.28000000000000003</v>
      </c>
      <c r="CB83" s="2">
        <v>-0.3</v>
      </c>
      <c r="CC83" s="2">
        <v>-0.25</v>
      </c>
      <c r="CD83" s="2">
        <v>-0.23</v>
      </c>
      <c r="CE83" s="2">
        <v>-0.21</v>
      </c>
      <c r="CF83" s="2">
        <v>-0.2</v>
      </c>
      <c r="CG83" s="2">
        <v>-0.13</v>
      </c>
      <c r="CH83" s="2">
        <v>-0.14000000000000001</v>
      </c>
      <c r="CI83" s="2">
        <v>-0.1</v>
      </c>
      <c r="CJ83" s="2">
        <v>-0.08</v>
      </c>
      <c r="CK83" s="2">
        <v>-0.09</v>
      </c>
      <c r="CL83" s="2">
        <v>-0.05</v>
      </c>
    </row>
    <row r="84" spans="2:90" x14ac:dyDescent="0.3">
      <c r="B84" s="1" t="s">
        <v>71</v>
      </c>
      <c r="C84" s="2">
        <v>70.91</v>
      </c>
      <c r="D84" s="2">
        <v>27.15</v>
      </c>
      <c r="E84" s="2">
        <v>82.85</v>
      </c>
      <c r="F84" s="2">
        <v>30.06</v>
      </c>
      <c r="G84" s="2">
        <v>19.510000000000002</v>
      </c>
      <c r="H84" s="2">
        <v>14.86</v>
      </c>
      <c r="I84" s="2">
        <v>36.43</v>
      </c>
      <c r="J84" s="2">
        <v>48.06</v>
      </c>
      <c r="K84" s="2">
        <v>39.619999999999997</v>
      </c>
      <c r="L84" s="2">
        <v>90.89</v>
      </c>
      <c r="M84" s="2">
        <v>98.19</v>
      </c>
      <c r="N84" s="2">
        <v>174.26</v>
      </c>
      <c r="O84" s="2">
        <v>87.81</v>
      </c>
      <c r="P84" s="2">
        <v>96.35</v>
      </c>
      <c r="Q84" s="2">
        <v>110.04</v>
      </c>
      <c r="R84" s="2">
        <v>161.30000000000001</v>
      </c>
      <c r="S84" s="2">
        <v>102.41</v>
      </c>
      <c r="T84" s="2">
        <v>74.13</v>
      </c>
      <c r="U84" s="2">
        <v>93.81</v>
      </c>
      <c r="V84" s="2">
        <v>62.06</v>
      </c>
      <c r="X84" s="1" t="s">
        <v>71</v>
      </c>
      <c r="Y84" s="2">
        <v>1.31</v>
      </c>
      <c r="Z84" s="2">
        <v>1.31</v>
      </c>
      <c r="AA84" s="2">
        <v>1.3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1.73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3.27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71</v>
      </c>
      <c r="AV84" s="2">
        <v>2.06</v>
      </c>
      <c r="AW84" s="2">
        <v>2.06</v>
      </c>
      <c r="AX84" s="2">
        <v>2.5499999999999998</v>
      </c>
      <c r="AY84" s="2">
        <v>2.5499999999999998</v>
      </c>
      <c r="AZ84" s="2">
        <v>0.77</v>
      </c>
      <c r="BA84" s="2">
        <v>0.78</v>
      </c>
      <c r="BB84" s="2">
        <v>1.67</v>
      </c>
      <c r="BC84" s="2">
        <v>2.12</v>
      </c>
      <c r="BD84" s="2">
        <v>1.96</v>
      </c>
      <c r="BE84" s="2">
        <v>2.67</v>
      </c>
      <c r="BF84" s="2">
        <v>3.76</v>
      </c>
      <c r="BG84" s="2">
        <v>5.8</v>
      </c>
      <c r="BH84" s="2">
        <v>3</v>
      </c>
      <c r="BI84" s="2">
        <v>3.62</v>
      </c>
      <c r="BJ84" s="2">
        <v>3.9</v>
      </c>
      <c r="BK84" s="2">
        <v>4.71</v>
      </c>
      <c r="BL84" s="2">
        <v>3.37</v>
      </c>
      <c r="BM84" s="2">
        <v>3.99</v>
      </c>
      <c r="BN84" s="2">
        <v>4.24</v>
      </c>
      <c r="BO84" s="2">
        <v>4.1100000000000003</v>
      </c>
      <c r="BR84" s="1" t="s">
        <v>71</v>
      </c>
      <c r="BS84" s="2">
        <v>-0.36</v>
      </c>
      <c r="BT84" s="2">
        <v>-0.36</v>
      </c>
      <c r="BU84" s="2">
        <v>-0.49</v>
      </c>
      <c r="BV84" s="2">
        <v>-0.49</v>
      </c>
      <c r="BW84" s="2">
        <v>-0.35</v>
      </c>
      <c r="BX84" s="2">
        <v>-0.35</v>
      </c>
      <c r="BY84" s="2">
        <v>-0.18</v>
      </c>
      <c r="BZ84" s="2">
        <v>-0.35</v>
      </c>
      <c r="CA84" s="2">
        <v>-0.12</v>
      </c>
      <c r="CB84" s="2">
        <v>-0.35</v>
      </c>
      <c r="CC84" s="2">
        <v>-0.18</v>
      </c>
      <c r="CD84" s="2">
        <v>-0.47</v>
      </c>
      <c r="CE84" s="2">
        <v>-0.17</v>
      </c>
      <c r="CF84" s="2">
        <v>-0.31</v>
      </c>
      <c r="CG84" s="2">
        <v>-0.17</v>
      </c>
      <c r="CH84" s="2">
        <v>-0.31</v>
      </c>
      <c r="CI84" s="2">
        <v>-0.13</v>
      </c>
      <c r="CJ84" s="2">
        <v>-0.27</v>
      </c>
      <c r="CK84" s="2">
        <v>-0.09</v>
      </c>
      <c r="CL84" s="2">
        <v>-0.06</v>
      </c>
    </row>
    <row r="85" spans="2:90" x14ac:dyDescent="0.3">
      <c r="B85" s="1" t="s">
        <v>72</v>
      </c>
      <c r="C85" s="2">
        <v>271.45999999999998</v>
      </c>
      <c r="D85" s="2">
        <v>280.04000000000002</v>
      </c>
      <c r="E85" s="2">
        <v>150.34</v>
      </c>
      <c r="F85" s="2">
        <v>221.47</v>
      </c>
      <c r="G85" s="2">
        <v>48.57</v>
      </c>
      <c r="H85" s="2">
        <v>117.23</v>
      </c>
      <c r="I85" s="2">
        <v>179.77</v>
      </c>
      <c r="J85" s="2">
        <v>196.27</v>
      </c>
      <c r="K85" s="2">
        <v>182.27</v>
      </c>
      <c r="L85" s="2">
        <v>289.63</v>
      </c>
      <c r="M85" s="2">
        <v>297.24</v>
      </c>
      <c r="N85" s="2">
        <v>500.1</v>
      </c>
      <c r="O85" s="2">
        <v>234.61</v>
      </c>
      <c r="P85" s="2">
        <v>392.08</v>
      </c>
      <c r="Q85" s="2">
        <v>407.39</v>
      </c>
      <c r="R85" s="2">
        <v>533.84</v>
      </c>
      <c r="S85" s="2">
        <v>286.57</v>
      </c>
      <c r="T85" s="2">
        <v>213.03</v>
      </c>
      <c r="U85" s="2">
        <v>282.85000000000002</v>
      </c>
      <c r="V85" s="2">
        <v>209.96</v>
      </c>
      <c r="X85" s="1" t="s">
        <v>72</v>
      </c>
      <c r="Y85" s="2">
        <v>1.33</v>
      </c>
      <c r="Z85" s="2">
        <v>1.34</v>
      </c>
      <c r="AA85" s="2">
        <v>1.3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1.96</v>
      </c>
      <c r="AI85" s="2">
        <v>3.09</v>
      </c>
      <c r="AJ85" s="2">
        <v>3.52</v>
      </c>
      <c r="AK85" s="2">
        <v>2.4900000000000002</v>
      </c>
      <c r="AL85" s="2">
        <v>2.64</v>
      </c>
      <c r="AM85" s="2">
        <v>3.27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72</v>
      </c>
      <c r="AV85" s="2">
        <v>2.91</v>
      </c>
      <c r="AW85" s="2">
        <v>2.94</v>
      </c>
      <c r="AX85" s="2">
        <v>2.35</v>
      </c>
      <c r="AY85" s="2">
        <v>2.8</v>
      </c>
      <c r="AZ85" s="2">
        <v>0.73</v>
      </c>
      <c r="BA85" s="2">
        <v>1.1000000000000001</v>
      </c>
      <c r="BB85" s="2">
        <v>1.87</v>
      </c>
      <c r="BC85" s="2">
        <v>2.33</v>
      </c>
      <c r="BD85" s="2">
        <v>2.04</v>
      </c>
      <c r="BE85" s="2">
        <v>3.09</v>
      </c>
      <c r="BF85" s="2">
        <v>3.78</v>
      </c>
      <c r="BG85" s="2">
        <v>5.56</v>
      </c>
      <c r="BH85" s="2">
        <v>3.05</v>
      </c>
      <c r="BI85" s="2">
        <v>4.0599999999999996</v>
      </c>
      <c r="BJ85" s="2">
        <v>4.1500000000000004</v>
      </c>
      <c r="BK85" s="2">
        <v>5.24</v>
      </c>
      <c r="BL85" s="2">
        <v>3.38</v>
      </c>
      <c r="BM85" s="2">
        <v>3.43</v>
      </c>
      <c r="BN85" s="2">
        <v>4.32</v>
      </c>
      <c r="BO85" s="2">
        <v>4.28</v>
      </c>
      <c r="BR85" s="1" t="s">
        <v>72</v>
      </c>
      <c r="BS85" s="2">
        <v>-0.54</v>
      </c>
      <c r="BT85" s="2">
        <v>-0.55000000000000004</v>
      </c>
      <c r="BU85" s="2">
        <v>-0.45</v>
      </c>
      <c r="BV85" s="2">
        <v>-0.52</v>
      </c>
      <c r="BW85" s="2">
        <v>-0.31</v>
      </c>
      <c r="BX85" s="2">
        <v>-0.54</v>
      </c>
      <c r="BY85" s="2">
        <v>-0.26</v>
      </c>
      <c r="BZ85" s="2">
        <v>-0.39</v>
      </c>
      <c r="CA85" s="2">
        <v>-0.16</v>
      </c>
      <c r="CB85" s="2">
        <v>-0.37</v>
      </c>
      <c r="CC85" s="2">
        <v>-0.18</v>
      </c>
      <c r="CD85" s="2">
        <v>-0.37</v>
      </c>
      <c r="CE85" s="2">
        <v>-0.18</v>
      </c>
      <c r="CF85" s="2">
        <v>-0.35</v>
      </c>
      <c r="CG85" s="2">
        <v>-0.21</v>
      </c>
      <c r="CH85" s="2">
        <v>-0.38</v>
      </c>
      <c r="CI85" s="2">
        <v>-0.14000000000000001</v>
      </c>
      <c r="CJ85" s="2">
        <v>-0.15</v>
      </c>
      <c r="CK85" s="2">
        <v>-0.11</v>
      </c>
      <c r="CL85" s="2">
        <v>-0.1</v>
      </c>
    </row>
    <row r="86" spans="2:90" x14ac:dyDescent="0.3">
      <c r="B86" s="1" t="s">
        <v>73</v>
      </c>
      <c r="C86" s="2">
        <v>12.7</v>
      </c>
      <c r="D86" s="2">
        <v>30.71</v>
      </c>
      <c r="E86" s="2">
        <v>3.49</v>
      </c>
      <c r="F86" s="2">
        <v>4.9400000000000004</v>
      </c>
      <c r="G86" s="2">
        <v>0.17</v>
      </c>
      <c r="H86" s="2">
        <v>2.14</v>
      </c>
      <c r="I86" s="2">
        <v>11.61</v>
      </c>
      <c r="J86" s="2">
        <v>28.54</v>
      </c>
      <c r="K86" s="2">
        <v>23.82</v>
      </c>
      <c r="L86" s="2">
        <v>58.17</v>
      </c>
      <c r="M86" s="2">
        <v>72.67</v>
      </c>
      <c r="N86" s="2">
        <v>71.31</v>
      </c>
      <c r="O86" s="2">
        <v>66.12</v>
      </c>
      <c r="P86" s="2">
        <v>35.89</v>
      </c>
      <c r="Q86" s="2">
        <v>43.78</v>
      </c>
      <c r="R86" s="2">
        <v>19.48</v>
      </c>
      <c r="S86" s="2">
        <v>17.850000000000001</v>
      </c>
      <c r="T86" s="2">
        <v>14.44</v>
      </c>
      <c r="U86" s="2">
        <v>39.72</v>
      </c>
      <c r="V86" s="2">
        <v>38.6</v>
      </c>
      <c r="X86" s="1" t="s">
        <v>73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73</v>
      </c>
      <c r="AV86" s="2">
        <v>1.48</v>
      </c>
      <c r="AW86" s="2">
        <v>1.62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1.81</v>
      </c>
      <c r="BE86" s="2">
        <v>2.27</v>
      </c>
      <c r="BF86" s="2">
        <v>3.6</v>
      </c>
      <c r="BG86" s="2">
        <v>4.09</v>
      </c>
      <c r="BH86" s="2">
        <v>3.03</v>
      </c>
      <c r="BI86" s="2">
        <v>3.11</v>
      </c>
      <c r="BJ86" s="2">
        <v>3.74</v>
      </c>
      <c r="BK86" s="2">
        <v>3.65</v>
      </c>
      <c r="BL86" s="2">
        <v>3.23</v>
      </c>
      <c r="BM86" s="2">
        <v>3.08</v>
      </c>
      <c r="BN86" s="2">
        <v>4.1100000000000003</v>
      </c>
      <c r="BO86" s="2">
        <v>3.98</v>
      </c>
      <c r="BR86" s="1" t="s">
        <v>73</v>
      </c>
      <c r="BS86" s="2">
        <v>-0.12</v>
      </c>
      <c r="BT86" s="2">
        <v>-0.2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-0.05</v>
      </c>
      <c r="CB86" s="2">
        <v>-0.24</v>
      </c>
      <c r="CC86" s="2">
        <v>-0.14000000000000001</v>
      </c>
      <c r="CD86" s="2">
        <v>-0.25</v>
      </c>
      <c r="CE86" s="2">
        <v>-0.18</v>
      </c>
      <c r="CF86" s="2">
        <v>-0.2</v>
      </c>
      <c r="CG86" s="2">
        <v>-0.13</v>
      </c>
      <c r="CH86" s="2">
        <v>-0.11</v>
      </c>
      <c r="CI86" s="2">
        <v>-0.1</v>
      </c>
      <c r="CJ86" s="2">
        <v>-0.05</v>
      </c>
      <c r="CK86" s="2">
        <v>-0.06</v>
      </c>
      <c r="CL86" s="2">
        <v>-0.03</v>
      </c>
    </row>
    <row r="87" spans="2:90" x14ac:dyDescent="0.3">
      <c r="W87" s="5">
        <f>SUM(C79:V86)/$W$45</f>
        <v>2.0482082977985559E-2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63</v>
      </c>
      <c r="D90" s="1" t="s">
        <v>64</v>
      </c>
      <c r="E90" s="1" t="s">
        <v>63</v>
      </c>
      <c r="F90" s="1" t="s">
        <v>64</v>
      </c>
      <c r="G90" s="1" t="s">
        <v>63</v>
      </c>
      <c r="H90" s="1" t="s">
        <v>64</v>
      </c>
      <c r="I90" s="1" t="s">
        <v>63</v>
      </c>
      <c r="J90" s="1" t="s">
        <v>64</v>
      </c>
      <c r="K90" s="1" t="s">
        <v>63</v>
      </c>
      <c r="L90" s="1" t="s">
        <v>64</v>
      </c>
      <c r="M90" s="1" t="s">
        <v>63</v>
      </c>
      <c r="N90" s="1" t="s">
        <v>64</v>
      </c>
      <c r="O90" s="1" t="s">
        <v>63</v>
      </c>
      <c r="P90" s="1" t="s">
        <v>64</v>
      </c>
      <c r="Q90" s="1" t="s">
        <v>63</v>
      </c>
      <c r="R90" s="1" t="s">
        <v>64</v>
      </c>
      <c r="S90" s="1" t="s">
        <v>63</v>
      </c>
      <c r="T90" s="1" t="s">
        <v>64</v>
      </c>
      <c r="U90" s="1" t="s">
        <v>63</v>
      </c>
      <c r="V90" s="1" t="s">
        <v>64</v>
      </c>
      <c r="X90" s="1" t="s">
        <v>6</v>
      </c>
      <c r="Y90" s="3" t="s">
        <v>63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64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63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64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63</v>
      </c>
      <c r="BT90" s="1" t="s">
        <v>64</v>
      </c>
      <c r="BU90" s="1" t="s">
        <v>63</v>
      </c>
      <c r="BV90" s="1" t="s">
        <v>64</v>
      </c>
      <c r="BW90" s="1" t="s">
        <v>63</v>
      </c>
      <c r="BX90" s="1" t="s">
        <v>64</v>
      </c>
      <c r="BY90" s="1" t="s">
        <v>63</v>
      </c>
      <c r="BZ90" s="1" t="s">
        <v>64</v>
      </c>
      <c r="CA90" s="1" t="s">
        <v>63</v>
      </c>
      <c r="CB90" s="1" t="s">
        <v>64</v>
      </c>
      <c r="CC90" s="1" t="s">
        <v>63</v>
      </c>
      <c r="CD90" s="1" t="s">
        <v>64</v>
      </c>
      <c r="CE90" s="1" t="s">
        <v>63</v>
      </c>
      <c r="CF90" s="1" t="s">
        <v>64</v>
      </c>
      <c r="CG90" s="1" t="s">
        <v>63</v>
      </c>
      <c r="CH90" s="1" t="s">
        <v>64</v>
      </c>
      <c r="CI90" s="1" t="s">
        <v>63</v>
      </c>
      <c r="CJ90" s="1" t="s">
        <v>64</v>
      </c>
      <c r="CK90" s="1" t="s">
        <v>63</v>
      </c>
      <c r="CL90" s="1" t="s">
        <v>64</v>
      </c>
    </row>
    <row r="91" spans="2:90" x14ac:dyDescent="0.3">
      <c r="B91" s="1" t="s">
        <v>65</v>
      </c>
      <c r="C91" s="1" t="s">
        <v>53</v>
      </c>
      <c r="D91" s="1" t="s">
        <v>53</v>
      </c>
      <c r="E91" s="1" t="s">
        <v>54</v>
      </c>
      <c r="F91" s="1" t="s">
        <v>54</v>
      </c>
      <c r="G91" s="1" t="s">
        <v>55</v>
      </c>
      <c r="H91" s="1" t="s">
        <v>55</v>
      </c>
      <c r="I91" s="1" t="s">
        <v>56</v>
      </c>
      <c r="J91" s="1" t="s">
        <v>56</v>
      </c>
      <c r="K91" s="1" t="s">
        <v>57</v>
      </c>
      <c r="L91" s="1" t="s">
        <v>57</v>
      </c>
      <c r="M91" s="1" t="s">
        <v>58</v>
      </c>
      <c r="N91" s="1" t="s">
        <v>58</v>
      </c>
      <c r="O91" s="1" t="s">
        <v>59</v>
      </c>
      <c r="P91" s="1" t="s">
        <v>59</v>
      </c>
      <c r="Q91" s="1" t="s">
        <v>60</v>
      </c>
      <c r="R91" s="1" t="s">
        <v>60</v>
      </c>
      <c r="S91" s="1" t="s">
        <v>61</v>
      </c>
      <c r="T91" s="1" t="s">
        <v>61</v>
      </c>
      <c r="U91" s="1" t="s">
        <v>62</v>
      </c>
      <c r="V91" s="1" t="s">
        <v>62</v>
      </c>
      <c r="X91" s="1" t="s">
        <v>65</v>
      </c>
      <c r="Y91" s="1" t="s">
        <v>53</v>
      </c>
      <c r="Z91" s="1" t="s">
        <v>62</v>
      </c>
      <c r="AA91" s="1" t="s">
        <v>54</v>
      </c>
      <c r="AB91" s="1" t="s">
        <v>55</v>
      </c>
      <c r="AC91" s="1" t="s">
        <v>56</v>
      </c>
      <c r="AD91" s="1" t="s">
        <v>57</v>
      </c>
      <c r="AE91" s="1" t="s">
        <v>58</v>
      </c>
      <c r="AF91" s="1" t="s">
        <v>59</v>
      </c>
      <c r="AG91" s="1" t="s">
        <v>60</v>
      </c>
      <c r="AH91" s="1" t="s">
        <v>61</v>
      </c>
      <c r="AI91" s="1" t="s">
        <v>53</v>
      </c>
      <c r="AJ91" s="1" t="s">
        <v>62</v>
      </c>
      <c r="AK91" s="1" t="s">
        <v>54</v>
      </c>
      <c r="AL91" s="1" t="s">
        <v>55</v>
      </c>
      <c r="AM91" s="1" t="s">
        <v>56</v>
      </c>
      <c r="AN91" s="1" t="s">
        <v>57</v>
      </c>
      <c r="AO91" s="1" t="s">
        <v>58</v>
      </c>
      <c r="AP91" s="1" t="s">
        <v>59</v>
      </c>
      <c r="AQ91" s="1" t="s">
        <v>60</v>
      </c>
      <c r="AR91" s="1" t="s">
        <v>61</v>
      </c>
      <c r="AU91" s="1" t="s">
        <v>65</v>
      </c>
      <c r="AV91" s="1" t="s">
        <v>53</v>
      </c>
      <c r="AW91" s="1" t="s">
        <v>62</v>
      </c>
      <c r="AX91" s="1" t="s">
        <v>54</v>
      </c>
      <c r="AY91" s="1" t="s">
        <v>55</v>
      </c>
      <c r="AZ91" s="1" t="s">
        <v>56</v>
      </c>
      <c r="BA91" s="1" t="s">
        <v>57</v>
      </c>
      <c r="BB91" s="1" t="s">
        <v>58</v>
      </c>
      <c r="BC91" s="1" t="s">
        <v>59</v>
      </c>
      <c r="BD91" s="1" t="s">
        <v>60</v>
      </c>
      <c r="BE91" s="1" t="s">
        <v>61</v>
      </c>
      <c r="BF91" s="1" t="s">
        <v>53</v>
      </c>
      <c r="BG91" s="1" t="s">
        <v>62</v>
      </c>
      <c r="BH91" s="1" t="s">
        <v>54</v>
      </c>
      <c r="BI91" s="1" t="s">
        <v>55</v>
      </c>
      <c r="BJ91" s="1" t="s">
        <v>56</v>
      </c>
      <c r="BK91" s="1" t="s">
        <v>57</v>
      </c>
      <c r="BL91" s="1" t="s">
        <v>58</v>
      </c>
      <c r="BM91" s="1" t="s">
        <v>59</v>
      </c>
      <c r="BN91" s="1" t="s">
        <v>60</v>
      </c>
      <c r="BO91" s="1" t="s">
        <v>61</v>
      </c>
      <c r="BR91" s="1" t="s">
        <v>65</v>
      </c>
      <c r="BS91" s="1" t="s">
        <v>53</v>
      </c>
      <c r="BT91" s="1" t="s">
        <v>53</v>
      </c>
      <c r="BU91" s="1" t="s">
        <v>54</v>
      </c>
      <c r="BV91" s="1" t="s">
        <v>54</v>
      </c>
      <c r="BW91" s="1" t="s">
        <v>55</v>
      </c>
      <c r="BX91" s="1" t="s">
        <v>55</v>
      </c>
      <c r="BY91" s="1" t="s">
        <v>56</v>
      </c>
      <c r="BZ91" s="1" t="s">
        <v>56</v>
      </c>
      <c r="CA91" s="1" t="s">
        <v>57</v>
      </c>
      <c r="CB91" s="1" t="s">
        <v>57</v>
      </c>
      <c r="CC91" s="1" t="s">
        <v>58</v>
      </c>
      <c r="CD91" s="1" t="s">
        <v>58</v>
      </c>
      <c r="CE91" s="1" t="s">
        <v>59</v>
      </c>
      <c r="CF91" s="1" t="s">
        <v>59</v>
      </c>
      <c r="CG91" s="1" t="s">
        <v>60</v>
      </c>
      <c r="CH91" s="1" t="s">
        <v>60</v>
      </c>
      <c r="CI91" s="1" t="s">
        <v>61</v>
      </c>
      <c r="CJ91" s="1" t="s">
        <v>61</v>
      </c>
      <c r="CK91" s="1" t="s">
        <v>62</v>
      </c>
      <c r="CL91" s="1" t="s">
        <v>62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66</v>
      </c>
      <c r="C93" s="2">
        <v>565.45000000000005</v>
      </c>
      <c r="D93" s="2">
        <v>519.51</v>
      </c>
      <c r="E93" s="2">
        <v>38.979999999999997</v>
      </c>
      <c r="F93" s="2">
        <v>39.81</v>
      </c>
      <c r="G93" s="2">
        <v>23.04</v>
      </c>
      <c r="H93" s="2">
        <v>34.64</v>
      </c>
      <c r="I93" s="2">
        <v>335.61</v>
      </c>
      <c r="J93" s="2">
        <v>204.8</v>
      </c>
      <c r="K93" s="2">
        <v>633.41999999999996</v>
      </c>
      <c r="L93" s="2">
        <v>232.77</v>
      </c>
      <c r="M93" s="2">
        <v>1085.6600000000001</v>
      </c>
      <c r="N93" s="2">
        <v>332.05</v>
      </c>
      <c r="O93" s="2">
        <v>1176.7</v>
      </c>
      <c r="P93" s="2">
        <v>78.42</v>
      </c>
      <c r="Q93" s="2">
        <v>1002.05</v>
      </c>
      <c r="R93" s="2">
        <v>299.29000000000002</v>
      </c>
      <c r="S93" s="2">
        <v>77.91</v>
      </c>
      <c r="T93" s="2">
        <v>81.67</v>
      </c>
      <c r="U93" s="2">
        <v>198.65</v>
      </c>
      <c r="V93" s="2">
        <v>126.16</v>
      </c>
      <c r="X93" s="1" t="s">
        <v>66</v>
      </c>
      <c r="Y93" s="2">
        <v>3155.84</v>
      </c>
      <c r="Z93" s="2">
        <v>802.61</v>
      </c>
      <c r="AA93" s="2">
        <v>888.93</v>
      </c>
      <c r="AB93" s="2">
        <v>252.23</v>
      </c>
      <c r="AC93" s="2">
        <v>2677.71</v>
      </c>
      <c r="AD93" s="2">
        <v>5306.63</v>
      </c>
      <c r="AE93" s="2">
        <v>9767.1200000000008</v>
      </c>
      <c r="AF93" s="2">
        <v>6633.99</v>
      </c>
      <c r="AG93" s="2">
        <v>6524.92</v>
      </c>
      <c r="AH93" s="2">
        <v>363.92</v>
      </c>
      <c r="AI93" s="2">
        <v>3031.09</v>
      </c>
      <c r="AJ93" s="2">
        <v>292.5</v>
      </c>
      <c r="AK93" s="2">
        <v>801.94</v>
      </c>
      <c r="AL93" s="2">
        <v>380.03</v>
      </c>
      <c r="AM93" s="2">
        <v>1281.8499999999999</v>
      </c>
      <c r="AN93" s="2">
        <v>1285.94</v>
      </c>
      <c r="AO93" s="2">
        <v>1481.31</v>
      </c>
      <c r="AP93" s="2">
        <v>289.12</v>
      </c>
      <c r="AQ93" s="2">
        <v>1649.6</v>
      </c>
      <c r="AR93" s="2">
        <v>224.96</v>
      </c>
      <c r="AU93" s="1" t="s">
        <v>66</v>
      </c>
      <c r="AV93" s="2">
        <v>12542.57</v>
      </c>
      <c r="AW93" s="2">
        <v>43199.74</v>
      </c>
      <c r="AX93" s="2">
        <v>13596.45</v>
      </c>
      <c r="AY93" s="2">
        <v>3876.02</v>
      </c>
      <c r="AZ93" s="2">
        <v>15769.81</v>
      </c>
      <c r="BA93" s="2">
        <v>19655.37</v>
      </c>
      <c r="BB93" s="2">
        <v>36442.120000000003</v>
      </c>
      <c r="BC93" s="2">
        <v>29022.959999999999</v>
      </c>
      <c r="BD93" s="2">
        <v>38737.64</v>
      </c>
      <c r="BE93" s="2">
        <v>35076.660000000003</v>
      </c>
      <c r="BF93" s="2">
        <v>12217.78</v>
      </c>
      <c r="BG93" s="2">
        <v>28192.95</v>
      </c>
      <c r="BH93" s="2">
        <v>12333.91</v>
      </c>
      <c r="BI93" s="2">
        <v>5145.07</v>
      </c>
      <c r="BJ93" s="2">
        <v>15390.47</v>
      </c>
      <c r="BK93" s="2">
        <v>19296.86</v>
      </c>
      <c r="BL93" s="2">
        <v>35403.93</v>
      </c>
      <c r="BM93" s="2">
        <v>27866.98</v>
      </c>
      <c r="BN93" s="2">
        <v>38032.28</v>
      </c>
      <c r="BO93" s="2">
        <v>21682.94</v>
      </c>
      <c r="BR93" s="1" t="s">
        <v>66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67</v>
      </c>
      <c r="C94" s="2">
        <v>208.99</v>
      </c>
      <c r="D94" s="2">
        <v>125.46</v>
      </c>
      <c r="E94" s="2">
        <v>94.17</v>
      </c>
      <c r="F94" s="2">
        <v>69.97</v>
      </c>
      <c r="G94" s="2">
        <v>44.29</v>
      </c>
      <c r="H94" s="2">
        <v>42.79</v>
      </c>
      <c r="I94" s="2">
        <v>194.47</v>
      </c>
      <c r="J94" s="2">
        <v>273.91000000000003</v>
      </c>
      <c r="K94" s="2">
        <v>268.79000000000002</v>
      </c>
      <c r="L94" s="2">
        <v>230.64</v>
      </c>
      <c r="M94" s="2">
        <v>590.79</v>
      </c>
      <c r="N94" s="2">
        <v>467.23</v>
      </c>
      <c r="O94" s="2">
        <v>474.4</v>
      </c>
      <c r="P94" s="2">
        <v>417.1</v>
      </c>
      <c r="Q94" s="2">
        <v>612.04</v>
      </c>
      <c r="R94" s="2">
        <v>465.73</v>
      </c>
      <c r="S94" s="2">
        <v>507.13</v>
      </c>
      <c r="T94" s="2">
        <v>363.33</v>
      </c>
      <c r="U94" s="2">
        <v>799.09</v>
      </c>
      <c r="V94" s="2">
        <v>398.42</v>
      </c>
      <c r="X94" s="1" t="s">
        <v>67</v>
      </c>
      <c r="Y94" s="2">
        <v>953.49</v>
      </c>
      <c r="Z94" s="2">
        <v>3148.29</v>
      </c>
      <c r="AA94" s="2">
        <v>1052.1099999999999</v>
      </c>
      <c r="AB94" s="2">
        <v>267.77</v>
      </c>
      <c r="AC94" s="2">
        <v>1389.11</v>
      </c>
      <c r="AD94" s="2">
        <v>1612.6</v>
      </c>
      <c r="AE94" s="2">
        <v>3137.19</v>
      </c>
      <c r="AF94" s="2">
        <v>1878.4</v>
      </c>
      <c r="AG94" s="2">
        <v>2391.54</v>
      </c>
      <c r="AH94" s="2">
        <v>2126.56</v>
      </c>
      <c r="AI94" s="2">
        <v>585.82000000000005</v>
      </c>
      <c r="AJ94" s="2">
        <v>1810.52</v>
      </c>
      <c r="AK94" s="2">
        <v>637.5</v>
      </c>
      <c r="AL94" s="2">
        <v>296.27999999999997</v>
      </c>
      <c r="AM94" s="2">
        <v>885.39</v>
      </c>
      <c r="AN94" s="2">
        <v>1013.22</v>
      </c>
      <c r="AO94" s="2">
        <v>1845.45</v>
      </c>
      <c r="AP94" s="2">
        <v>1643.2</v>
      </c>
      <c r="AQ94" s="2">
        <v>2156.08</v>
      </c>
      <c r="AR94" s="2">
        <v>1535.4</v>
      </c>
      <c r="AU94" s="1" t="s">
        <v>67</v>
      </c>
      <c r="AV94" s="2">
        <v>7519.26</v>
      </c>
      <c r="AW94" s="2">
        <v>25058.61</v>
      </c>
      <c r="AX94" s="2">
        <v>7757.08</v>
      </c>
      <c r="AY94" s="2">
        <v>1722.53</v>
      </c>
      <c r="AZ94" s="2">
        <v>10284.65</v>
      </c>
      <c r="BA94" s="2">
        <v>12798.8</v>
      </c>
      <c r="BB94" s="2">
        <v>22171.17</v>
      </c>
      <c r="BC94" s="2">
        <v>14297.51</v>
      </c>
      <c r="BD94" s="2">
        <v>17982.54</v>
      </c>
      <c r="BE94" s="2">
        <v>15840.4</v>
      </c>
      <c r="BF94" s="2">
        <v>4294.25</v>
      </c>
      <c r="BG94" s="2">
        <v>14142.88</v>
      </c>
      <c r="BH94" s="2">
        <v>4674.5600000000004</v>
      </c>
      <c r="BI94" s="2">
        <v>2171.9699999999998</v>
      </c>
      <c r="BJ94" s="2">
        <v>5763.25</v>
      </c>
      <c r="BK94" s="2">
        <v>7187.38</v>
      </c>
      <c r="BL94" s="2">
        <v>13075.11</v>
      </c>
      <c r="BM94" s="2">
        <v>11859.49</v>
      </c>
      <c r="BN94" s="2">
        <v>16246.56</v>
      </c>
      <c r="BO94" s="2">
        <v>10569.28</v>
      </c>
      <c r="BR94" s="1" t="s">
        <v>67</v>
      </c>
      <c r="BS94" s="2">
        <v>2</v>
      </c>
      <c r="BT94" s="2">
        <v>1.07</v>
      </c>
      <c r="BU94" s="2">
        <v>1.66</v>
      </c>
      <c r="BV94" s="2">
        <v>1.02</v>
      </c>
      <c r="BW94" s="2">
        <v>0.54</v>
      </c>
      <c r="BX94" s="2">
        <v>0.5</v>
      </c>
      <c r="BY94" s="2">
        <v>2.41</v>
      </c>
      <c r="BZ94" s="2">
        <v>2.34</v>
      </c>
      <c r="CA94" s="2">
        <v>3.27</v>
      </c>
      <c r="CB94" s="2">
        <v>2.29</v>
      </c>
      <c r="CC94" s="2">
        <v>6.48</v>
      </c>
      <c r="CD94" s="2">
        <v>4.24</v>
      </c>
      <c r="CE94" s="2">
        <v>5.0599999999999996</v>
      </c>
      <c r="CF94" s="2">
        <v>3.89</v>
      </c>
      <c r="CG94" s="2">
        <v>6.17</v>
      </c>
      <c r="CH94" s="2">
        <v>4.6399999999999997</v>
      </c>
      <c r="CI94" s="2">
        <v>5.2</v>
      </c>
      <c r="CJ94" s="2">
        <v>3.14</v>
      </c>
      <c r="CK94" s="2">
        <v>6.01</v>
      </c>
      <c r="CL94" s="2">
        <v>3.4</v>
      </c>
    </row>
    <row r="95" spans="2:90" x14ac:dyDescent="0.3">
      <c r="B95" s="1" t="s">
        <v>68</v>
      </c>
      <c r="C95" s="2">
        <v>5803.33</v>
      </c>
      <c r="D95" s="2">
        <v>466.47</v>
      </c>
      <c r="E95" s="2">
        <v>2703.38</v>
      </c>
      <c r="F95" s="2">
        <v>180.29</v>
      </c>
      <c r="G95" s="2">
        <v>1471.13</v>
      </c>
      <c r="H95" s="2">
        <v>923.65</v>
      </c>
      <c r="I95" s="2">
        <v>3482.8</v>
      </c>
      <c r="J95" s="2">
        <v>1887.25</v>
      </c>
      <c r="K95" s="2">
        <v>4788.6499999999996</v>
      </c>
      <c r="L95" s="2">
        <v>2036.9</v>
      </c>
      <c r="M95" s="2">
        <v>9426.56</v>
      </c>
      <c r="N95" s="2">
        <v>3884.57</v>
      </c>
      <c r="O95" s="2">
        <v>8659.4599999999991</v>
      </c>
      <c r="P95" s="2">
        <v>3427.1</v>
      </c>
      <c r="Q95" s="2">
        <v>11104.88</v>
      </c>
      <c r="R95" s="2">
        <v>3703.39</v>
      </c>
      <c r="S95" s="2">
        <v>3988.78</v>
      </c>
      <c r="T95" s="2">
        <v>2931.01</v>
      </c>
      <c r="U95" s="2">
        <v>3409.53</v>
      </c>
      <c r="V95" s="2">
        <v>2966.74</v>
      </c>
      <c r="X95" s="1" t="s">
        <v>68</v>
      </c>
      <c r="Y95" s="2">
        <v>5915.09</v>
      </c>
      <c r="Z95" s="2">
        <v>6505.09</v>
      </c>
      <c r="AA95" s="2">
        <v>6047.53</v>
      </c>
      <c r="AB95" s="2">
        <v>2404.4299999999998</v>
      </c>
      <c r="AC95" s="2">
        <v>8234.9599999999991</v>
      </c>
      <c r="AD95" s="2">
        <v>10701.92</v>
      </c>
      <c r="AE95" s="2">
        <v>20670.21</v>
      </c>
      <c r="AF95" s="2">
        <v>15194.25</v>
      </c>
      <c r="AG95" s="2">
        <v>19276.62</v>
      </c>
      <c r="AH95" s="2">
        <v>8036.59</v>
      </c>
      <c r="AI95" s="2">
        <v>1428.17</v>
      </c>
      <c r="AJ95" s="2">
        <v>5782.3</v>
      </c>
      <c r="AK95" s="2">
        <v>1425.39</v>
      </c>
      <c r="AL95" s="2">
        <v>2119.62</v>
      </c>
      <c r="AM95" s="2">
        <v>3621.94</v>
      </c>
      <c r="AN95" s="2">
        <v>3691.48</v>
      </c>
      <c r="AO95" s="2">
        <v>6574.69</v>
      </c>
      <c r="AP95" s="2">
        <v>5570.75</v>
      </c>
      <c r="AQ95" s="2">
        <v>6913.96</v>
      </c>
      <c r="AR95" s="2">
        <v>4700.67</v>
      </c>
      <c r="AU95" s="1" t="s">
        <v>68</v>
      </c>
      <c r="AV95" s="2">
        <v>21656.3</v>
      </c>
      <c r="AW95" s="2">
        <v>43557.66</v>
      </c>
      <c r="AX95" s="2">
        <v>24287.7</v>
      </c>
      <c r="AY95" s="2">
        <v>5466.17</v>
      </c>
      <c r="AZ95" s="2">
        <v>25700.93</v>
      </c>
      <c r="BA95" s="2">
        <v>32680.48</v>
      </c>
      <c r="BB95" s="2">
        <v>60291.81</v>
      </c>
      <c r="BC95" s="2">
        <v>42055.59</v>
      </c>
      <c r="BD95" s="2">
        <v>52285.7</v>
      </c>
      <c r="BE95" s="2">
        <v>42635.58</v>
      </c>
      <c r="BF95" s="2">
        <v>10471.9</v>
      </c>
      <c r="BG95" s="2">
        <v>37818.74</v>
      </c>
      <c r="BH95" s="2">
        <v>10452.06</v>
      </c>
      <c r="BI95" s="2">
        <v>6785.6</v>
      </c>
      <c r="BJ95" s="2">
        <v>18526.830000000002</v>
      </c>
      <c r="BK95" s="2">
        <v>21918.39</v>
      </c>
      <c r="BL95" s="2">
        <v>38796.949999999997</v>
      </c>
      <c r="BM95" s="2">
        <v>31861.62</v>
      </c>
      <c r="BN95" s="2">
        <v>42633.09</v>
      </c>
      <c r="BO95" s="2">
        <v>30891.17</v>
      </c>
      <c r="BR95" s="1" t="s">
        <v>68</v>
      </c>
      <c r="BS95" s="2">
        <v>4.68</v>
      </c>
      <c r="BT95" s="2">
        <v>1.35</v>
      </c>
      <c r="BU95" s="2">
        <v>5.27</v>
      </c>
      <c r="BV95" s="2">
        <v>1.1499999999999999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5.52</v>
      </c>
      <c r="CK95" s="2">
        <v>7.21</v>
      </c>
      <c r="CL95" s="2">
        <v>6.24</v>
      </c>
    </row>
    <row r="96" spans="2:90" x14ac:dyDescent="0.3">
      <c r="B96" s="1" t="s">
        <v>69</v>
      </c>
      <c r="C96" s="2">
        <v>1352.04</v>
      </c>
      <c r="D96" s="2">
        <v>236.43</v>
      </c>
      <c r="E96" s="2">
        <v>602.37</v>
      </c>
      <c r="F96" s="2">
        <v>82.16</v>
      </c>
      <c r="G96" s="2">
        <v>382.67</v>
      </c>
      <c r="H96" s="2">
        <v>392.31</v>
      </c>
      <c r="I96" s="2">
        <v>1084.8</v>
      </c>
      <c r="J96" s="2">
        <v>656.9</v>
      </c>
      <c r="K96" s="2">
        <v>1380.01</v>
      </c>
      <c r="L96" s="2">
        <v>614.16</v>
      </c>
      <c r="M96" s="2">
        <v>2501.9</v>
      </c>
      <c r="N96" s="2">
        <v>1104.51</v>
      </c>
      <c r="O96" s="2">
        <v>2169.48</v>
      </c>
      <c r="P96" s="2">
        <v>940.63</v>
      </c>
      <c r="Q96" s="2">
        <v>1905.42</v>
      </c>
      <c r="R96" s="2">
        <v>991.06</v>
      </c>
      <c r="S96" s="2">
        <v>802.18</v>
      </c>
      <c r="T96" s="2">
        <v>892.87</v>
      </c>
      <c r="U96" s="2">
        <v>1039.29</v>
      </c>
      <c r="V96" s="2">
        <v>922.76</v>
      </c>
      <c r="X96" s="1" t="s">
        <v>69</v>
      </c>
      <c r="Y96" s="2">
        <v>1042.1099999999999</v>
      </c>
      <c r="Z96" s="2">
        <v>2142.89</v>
      </c>
      <c r="AA96" s="2">
        <v>1182.18</v>
      </c>
      <c r="AB96" s="2">
        <v>548.27</v>
      </c>
      <c r="AC96" s="2">
        <v>1964.18</v>
      </c>
      <c r="AD96" s="2">
        <v>2358.3200000000002</v>
      </c>
      <c r="AE96" s="2">
        <v>4226.43</v>
      </c>
      <c r="AF96" s="2">
        <v>3322.63</v>
      </c>
      <c r="AG96" s="2">
        <v>3051.3</v>
      </c>
      <c r="AH96" s="2">
        <v>1774.69</v>
      </c>
      <c r="AI96" s="2">
        <v>580.86</v>
      </c>
      <c r="AJ96" s="2">
        <v>1718.28</v>
      </c>
      <c r="AK96" s="2">
        <v>559.45000000000005</v>
      </c>
      <c r="AL96" s="2">
        <v>683.57</v>
      </c>
      <c r="AM96" s="2">
        <v>1039.28</v>
      </c>
      <c r="AN96" s="2">
        <v>1103.98</v>
      </c>
      <c r="AO96" s="2">
        <v>1910.97</v>
      </c>
      <c r="AP96" s="2">
        <v>1579.99</v>
      </c>
      <c r="AQ96" s="2">
        <v>1954.56</v>
      </c>
      <c r="AR96" s="2">
        <v>1635.05</v>
      </c>
      <c r="AU96" s="1" t="s">
        <v>69</v>
      </c>
      <c r="AV96" s="2">
        <v>6362.79</v>
      </c>
      <c r="AW96" s="2">
        <v>13972.96</v>
      </c>
      <c r="AX96" s="2">
        <v>7379.11</v>
      </c>
      <c r="AY96" s="2">
        <v>1790.51</v>
      </c>
      <c r="AZ96" s="2">
        <v>7673.74</v>
      </c>
      <c r="BA96" s="2">
        <v>9649.0499999999993</v>
      </c>
      <c r="BB96" s="2">
        <v>17327.599999999999</v>
      </c>
      <c r="BC96" s="2">
        <v>13491.71</v>
      </c>
      <c r="BD96" s="2">
        <v>16506.919999999998</v>
      </c>
      <c r="BE96" s="2">
        <v>12058.21</v>
      </c>
      <c r="BF96" s="2">
        <v>3395.45</v>
      </c>
      <c r="BG96" s="2">
        <v>13394.06</v>
      </c>
      <c r="BH96" s="2">
        <v>4099.3599999999997</v>
      </c>
      <c r="BI96" s="2">
        <v>2442.3200000000002</v>
      </c>
      <c r="BJ96" s="2">
        <v>6526.12</v>
      </c>
      <c r="BK96" s="2">
        <v>7569.85</v>
      </c>
      <c r="BL96" s="2">
        <v>12861.57</v>
      </c>
      <c r="BM96" s="2">
        <v>10580.87</v>
      </c>
      <c r="BN96" s="2">
        <v>13123.08</v>
      </c>
      <c r="BO96" s="2">
        <v>10444.81</v>
      </c>
      <c r="BR96" s="1" t="s">
        <v>69</v>
      </c>
      <c r="BS96" s="2">
        <v>4.68</v>
      </c>
      <c r="BT96" s="2">
        <v>1.19</v>
      </c>
      <c r="BU96" s="2">
        <v>4.68</v>
      </c>
      <c r="BV96" s="2">
        <v>0.97</v>
      </c>
      <c r="BW96" s="2">
        <v>0.9</v>
      </c>
      <c r="BX96" s="2">
        <v>0.9</v>
      </c>
      <c r="BY96" s="2">
        <v>2.88</v>
      </c>
      <c r="BZ96" s="2">
        <v>2.88</v>
      </c>
      <c r="CA96" s="2">
        <v>3.6</v>
      </c>
      <c r="CB96" s="2">
        <v>3.09</v>
      </c>
      <c r="CC96" s="2">
        <v>6.48</v>
      </c>
      <c r="CD96" s="2">
        <v>5.21</v>
      </c>
      <c r="CE96" s="2">
        <v>5.22</v>
      </c>
      <c r="CF96" s="2">
        <v>4.2699999999999996</v>
      </c>
      <c r="CG96" s="2">
        <v>6.84</v>
      </c>
      <c r="CH96" s="2">
        <v>5.0199999999999996</v>
      </c>
      <c r="CI96" s="2">
        <v>4.49</v>
      </c>
      <c r="CJ96" s="2">
        <v>3.89</v>
      </c>
      <c r="CK96" s="2">
        <v>5.08</v>
      </c>
      <c r="CL96" s="2">
        <v>5.5</v>
      </c>
    </row>
    <row r="97" spans="2:90" x14ac:dyDescent="0.3">
      <c r="B97" s="1" t="s">
        <v>70</v>
      </c>
      <c r="C97" s="2">
        <v>3652.54</v>
      </c>
      <c r="D97" s="2">
        <v>3544.48</v>
      </c>
      <c r="E97" s="2">
        <v>2011.67</v>
      </c>
      <c r="F97" s="2">
        <v>856.12</v>
      </c>
      <c r="G97" s="2">
        <v>1181.68</v>
      </c>
      <c r="H97" s="2">
        <v>1140.3599999999999</v>
      </c>
      <c r="I97" s="2">
        <v>1513.49</v>
      </c>
      <c r="J97" s="2">
        <v>3652.17</v>
      </c>
      <c r="K97" s="2">
        <v>3827.01</v>
      </c>
      <c r="L97" s="2">
        <v>4325.05</v>
      </c>
      <c r="M97" s="2">
        <v>6082.1</v>
      </c>
      <c r="N97" s="2">
        <v>5589.61</v>
      </c>
      <c r="O97" s="2">
        <v>4194.26</v>
      </c>
      <c r="P97" s="2">
        <v>4033.92</v>
      </c>
      <c r="Q97" s="2">
        <v>4465.87</v>
      </c>
      <c r="R97" s="2">
        <v>4459.22</v>
      </c>
      <c r="S97" s="2">
        <v>3630.55</v>
      </c>
      <c r="T97" s="2">
        <v>3206.95</v>
      </c>
      <c r="U97" s="2">
        <v>5165.2</v>
      </c>
      <c r="V97" s="2">
        <v>3994</v>
      </c>
      <c r="X97" s="1" t="s">
        <v>70</v>
      </c>
      <c r="Y97" s="2">
        <v>5805.18</v>
      </c>
      <c r="Z97" s="2">
        <v>12026.86</v>
      </c>
      <c r="AA97" s="2">
        <v>4837.1400000000003</v>
      </c>
      <c r="AB97" s="2">
        <v>2245</v>
      </c>
      <c r="AC97" s="2">
        <v>5121.5200000000004</v>
      </c>
      <c r="AD97" s="2">
        <v>8680.5</v>
      </c>
      <c r="AE97" s="2">
        <v>13696.35</v>
      </c>
      <c r="AF97" s="2">
        <v>8977.31</v>
      </c>
      <c r="AG97" s="2">
        <v>10816.46</v>
      </c>
      <c r="AH97" s="2">
        <v>9019.5499999999993</v>
      </c>
      <c r="AI97" s="2">
        <v>5976.59</v>
      </c>
      <c r="AJ97" s="2">
        <v>12302.39</v>
      </c>
      <c r="AK97" s="2">
        <v>5253.48</v>
      </c>
      <c r="AL97" s="2">
        <v>2522.2399999999998</v>
      </c>
      <c r="AM97" s="2">
        <v>7511.23</v>
      </c>
      <c r="AN97" s="2">
        <v>9376.27</v>
      </c>
      <c r="AO97" s="2">
        <v>13052.04</v>
      </c>
      <c r="AP97" s="2">
        <v>9453.66</v>
      </c>
      <c r="AQ97" s="2">
        <v>11093.81</v>
      </c>
      <c r="AR97" s="2">
        <v>9418.2000000000007</v>
      </c>
      <c r="AU97" s="1" t="s">
        <v>70</v>
      </c>
      <c r="AV97" s="2">
        <v>20724.61</v>
      </c>
      <c r="AW97" s="2">
        <v>81789.14</v>
      </c>
      <c r="AX97" s="2">
        <v>35294.51</v>
      </c>
      <c r="AY97" s="2">
        <v>7880</v>
      </c>
      <c r="AZ97" s="2">
        <v>37284.080000000002</v>
      </c>
      <c r="BA97" s="2">
        <v>48120.5</v>
      </c>
      <c r="BB97" s="2">
        <v>84479.25</v>
      </c>
      <c r="BC97" s="2">
        <v>64146.19</v>
      </c>
      <c r="BD97" s="2">
        <v>75538.539999999994</v>
      </c>
      <c r="BE97" s="2">
        <v>60898.05</v>
      </c>
      <c r="BF97" s="2">
        <v>27421.71</v>
      </c>
      <c r="BG97" s="2">
        <v>96125.11</v>
      </c>
      <c r="BH97" s="2">
        <v>38393.370000000003</v>
      </c>
      <c r="BI97" s="2">
        <v>9126.9500000000007</v>
      </c>
      <c r="BJ97" s="2">
        <v>33375.97</v>
      </c>
      <c r="BK97" s="2">
        <v>47880.73</v>
      </c>
      <c r="BL97" s="2">
        <v>89096.16</v>
      </c>
      <c r="BM97" s="2">
        <v>70883.59</v>
      </c>
      <c r="BN97" s="2">
        <v>78185.289999999994</v>
      </c>
      <c r="BO97" s="2">
        <v>66335.5</v>
      </c>
      <c r="BR97" s="1" t="s">
        <v>70</v>
      </c>
      <c r="BS97" s="2">
        <v>2.34</v>
      </c>
      <c r="BT97" s="2">
        <v>2.34</v>
      </c>
      <c r="BU97" s="2">
        <v>4.68</v>
      </c>
      <c r="BV97" s="2">
        <v>1.84</v>
      </c>
      <c r="BW97" s="2">
        <v>0.9</v>
      </c>
      <c r="BX97" s="2">
        <v>0.9</v>
      </c>
      <c r="BY97" s="2">
        <v>2.17</v>
      </c>
      <c r="BZ97" s="2">
        <v>2.88</v>
      </c>
      <c r="CA97" s="2">
        <v>3.6</v>
      </c>
      <c r="CB97" s="2">
        <v>3.6</v>
      </c>
      <c r="CC97" s="2">
        <v>6.48</v>
      </c>
      <c r="CD97" s="2">
        <v>6.48</v>
      </c>
      <c r="CE97" s="2">
        <v>5.22</v>
      </c>
      <c r="CF97" s="2">
        <v>5.18</v>
      </c>
      <c r="CG97" s="2">
        <v>5.55</v>
      </c>
      <c r="CH97" s="2">
        <v>5.72</v>
      </c>
      <c r="CI97" s="2">
        <v>4.4000000000000004</v>
      </c>
      <c r="CJ97" s="2">
        <v>4.1399999999999997</v>
      </c>
      <c r="CK97" s="2">
        <v>5.61</v>
      </c>
      <c r="CL97" s="2">
        <v>4.71</v>
      </c>
    </row>
    <row r="98" spans="2:90" x14ac:dyDescent="0.3">
      <c r="B98" s="1" t="s">
        <v>71</v>
      </c>
      <c r="C98" s="2">
        <v>774.3</v>
      </c>
      <c r="D98" s="2">
        <v>703.09</v>
      </c>
      <c r="E98" s="2">
        <v>404.3</v>
      </c>
      <c r="F98" s="2">
        <v>261.08</v>
      </c>
      <c r="G98" s="2">
        <v>223.33</v>
      </c>
      <c r="H98" s="2">
        <v>204.22</v>
      </c>
      <c r="I98" s="2">
        <v>218.36</v>
      </c>
      <c r="J98" s="2">
        <v>586.39</v>
      </c>
      <c r="K98" s="2">
        <v>268.08</v>
      </c>
      <c r="L98" s="2">
        <v>842.22</v>
      </c>
      <c r="M98" s="2">
        <v>645.34</v>
      </c>
      <c r="N98" s="2">
        <v>1365.75</v>
      </c>
      <c r="O98" s="2">
        <v>517.71</v>
      </c>
      <c r="P98" s="2">
        <v>787.72</v>
      </c>
      <c r="Q98" s="2">
        <v>683.6</v>
      </c>
      <c r="R98" s="2">
        <v>1150.6400000000001</v>
      </c>
      <c r="S98" s="2">
        <v>613.63</v>
      </c>
      <c r="T98" s="2">
        <v>752.93</v>
      </c>
      <c r="U98" s="2">
        <v>747.77</v>
      </c>
      <c r="V98" s="2">
        <v>418.8</v>
      </c>
      <c r="X98" s="1" t="s">
        <v>71</v>
      </c>
      <c r="Y98" s="2">
        <v>1585.27</v>
      </c>
      <c r="Z98" s="2">
        <v>2752.18</v>
      </c>
      <c r="AA98" s="2">
        <v>1378.25</v>
      </c>
      <c r="AB98" s="2">
        <v>548.08000000000004</v>
      </c>
      <c r="AC98" s="2">
        <v>1163.8</v>
      </c>
      <c r="AD98" s="2">
        <v>1363.39</v>
      </c>
      <c r="AE98" s="2">
        <v>2573.1</v>
      </c>
      <c r="AF98" s="2">
        <v>2061.42</v>
      </c>
      <c r="AG98" s="2">
        <v>2647.16</v>
      </c>
      <c r="AH98" s="2">
        <v>2219.6</v>
      </c>
      <c r="AI98" s="2">
        <v>1661.71</v>
      </c>
      <c r="AJ98" s="2">
        <v>2731.75</v>
      </c>
      <c r="AK98" s="2">
        <v>1422.43</v>
      </c>
      <c r="AL98" s="2">
        <v>632.92999999999995</v>
      </c>
      <c r="AM98" s="2">
        <v>1657.3</v>
      </c>
      <c r="AN98" s="2">
        <v>2747.84</v>
      </c>
      <c r="AO98" s="2">
        <v>3336.21</v>
      </c>
      <c r="AP98" s="2">
        <v>3513.51</v>
      </c>
      <c r="AQ98" s="2">
        <v>4391.58</v>
      </c>
      <c r="AR98" s="2">
        <v>3465.25</v>
      </c>
      <c r="AU98" s="1" t="s">
        <v>71</v>
      </c>
      <c r="AV98" s="2">
        <v>5023.99</v>
      </c>
      <c r="AW98" s="2">
        <v>17389.57</v>
      </c>
      <c r="AX98" s="2">
        <v>8582.99</v>
      </c>
      <c r="AY98" s="2">
        <v>1647.96</v>
      </c>
      <c r="AZ98" s="2">
        <v>7126.28</v>
      </c>
      <c r="BA98" s="2">
        <v>8962.61</v>
      </c>
      <c r="BB98" s="2">
        <v>16986.419999999998</v>
      </c>
      <c r="BC98" s="2">
        <v>13583.44</v>
      </c>
      <c r="BD98" s="2">
        <v>17454.96</v>
      </c>
      <c r="BE98" s="2">
        <v>14454.32</v>
      </c>
      <c r="BF98" s="2">
        <v>5367.94</v>
      </c>
      <c r="BG98" s="2">
        <v>17979.5</v>
      </c>
      <c r="BH98" s="2">
        <v>8918.1</v>
      </c>
      <c r="BI98" s="2">
        <v>2002.59</v>
      </c>
      <c r="BJ98" s="2">
        <v>5326.95</v>
      </c>
      <c r="BK98" s="2">
        <v>10868.3</v>
      </c>
      <c r="BL98" s="2">
        <v>22629.78</v>
      </c>
      <c r="BM98" s="2">
        <v>16509.54</v>
      </c>
      <c r="BN98" s="2">
        <v>20813.310000000001</v>
      </c>
      <c r="BO98" s="2">
        <v>18872.099999999999</v>
      </c>
      <c r="BR98" s="1" t="s">
        <v>71</v>
      </c>
      <c r="BS98" s="2">
        <v>2.34</v>
      </c>
      <c r="BT98" s="2">
        <v>2.34</v>
      </c>
      <c r="BU98" s="2">
        <v>4.68</v>
      </c>
      <c r="BV98" s="2">
        <v>4.66</v>
      </c>
      <c r="BW98" s="2">
        <v>0.9</v>
      </c>
      <c r="BX98" s="2">
        <v>0.9</v>
      </c>
      <c r="BY98" s="2">
        <v>2.29</v>
      </c>
      <c r="BZ98" s="2">
        <v>2.88</v>
      </c>
      <c r="CA98" s="2">
        <v>2.79</v>
      </c>
      <c r="CB98" s="2">
        <v>3.6</v>
      </c>
      <c r="CC98" s="2">
        <v>5.89</v>
      </c>
      <c r="CD98" s="2">
        <v>11.87</v>
      </c>
      <c r="CE98" s="2">
        <v>4.67</v>
      </c>
      <c r="CF98" s="2">
        <v>5.22</v>
      </c>
      <c r="CG98" s="2">
        <v>6.02</v>
      </c>
      <c r="CH98" s="2">
        <v>6.84</v>
      </c>
      <c r="CI98" s="2">
        <v>4.93</v>
      </c>
      <c r="CJ98" s="2">
        <v>6.12</v>
      </c>
      <c r="CK98" s="2">
        <v>5.55</v>
      </c>
      <c r="CL98" s="2">
        <v>5.0199999999999996</v>
      </c>
    </row>
    <row r="99" spans="2:90" x14ac:dyDescent="0.3">
      <c r="B99" s="1" t="s">
        <v>72</v>
      </c>
      <c r="C99" s="2">
        <v>4802.49</v>
      </c>
      <c r="D99" s="2">
        <v>5330.18</v>
      </c>
      <c r="E99" s="2">
        <v>1380.39</v>
      </c>
      <c r="F99" s="2">
        <v>1926.16</v>
      </c>
      <c r="G99" s="2">
        <v>715.02</v>
      </c>
      <c r="H99" s="2">
        <v>1656.22</v>
      </c>
      <c r="I99" s="2">
        <v>1718.66</v>
      </c>
      <c r="J99" s="2">
        <v>3324.69</v>
      </c>
      <c r="K99" s="2">
        <v>1650.82</v>
      </c>
      <c r="L99" s="2">
        <v>4500.4799999999996</v>
      </c>
      <c r="M99" s="2">
        <v>3404.68</v>
      </c>
      <c r="N99" s="2">
        <v>7632.68</v>
      </c>
      <c r="O99" s="2">
        <v>2874.91</v>
      </c>
      <c r="P99" s="2">
        <v>5425.61</v>
      </c>
      <c r="Q99" s="2">
        <v>4660.87</v>
      </c>
      <c r="R99" s="2">
        <v>5611.05</v>
      </c>
      <c r="S99" s="2">
        <v>3339.91</v>
      </c>
      <c r="T99" s="2">
        <v>3077.94</v>
      </c>
      <c r="U99" s="2">
        <v>3912.74</v>
      </c>
      <c r="V99" s="2">
        <v>3356.09</v>
      </c>
      <c r="X99" s="1" t="s">
        <v>72</v>
      </c>
      <c r="Y99" s="2">
        <v>6132.85</v>
      </c>
      <c r="Z99" s="2">
        <v>9460.92</v>
      </c>
      <c r="AA99" s="2">
        <v>4653.18</v>
      </c>
      <c r="AB99" s="2">
        <v>1988.3</v>
      </c>
      <c r="AC99" s="2">
        <v>5943.49</v>
      </c>
      <c r="AD99" s="2">
        <v>5602.44</v>
      </c>
      <c r="AE99" s="2">
        <v>11053.12</v>
      </c>
      <c r="AF99" s="2">
        <v>8992.1</v>
      </c>
      <c r="AG99" s="2">
        <v>12871.29</v>
      </c>
      <c r="AH99" s="2">
        <v>8340.49</v>
      </c>
      <c r="AI99" s="2">
        <v>6331.68</v>
      </c>
      <c r="AJ99" s="2">
        <v>9260.26</v>
      </c>
      <c r="AK99" s="2">
        <v>6952.08</v>
      </c>
      <c r="AL99" s="2">
        <v>2402.33</v>
      </c>
      <c r="AM99" s="2">
        <v>8216.07</v>
      </c>
      <c r="AN99" s="2">
        <v>12791.14</v>
      </c>
      <c r="AO99" s="2">
        <v>23227</v>
      </c>
      <c r="AP99" s="2">
        <v>16458.75</v>
      </c>
      <c r="AQ99" s="2">
        <v>9678.7900000000009</v>
      </c>
      <c r="AR99" s="2">
        <v>9176.08</v>
      </c>
      <c r="AU99" s="1" t="s">
        <v>72</v>
      </c>
      <c r="AV99" s="2">
        <v>20524.63</v>
      </c>
      <c r="AW99" s="2">
        <v>55107.35</v>
      </c>
      <c r="AX99" s="2">
        <v>24478.05</v>
      </c>
      <c r="AY99" s="2">
        <v>5256.62</v>
      </c>
      <c r="AZ99" s="2">
        <v>23335.16</v>
      </c>
      <c r="BA99" s="2">
        <v>28105.05</v>
      </c>
      <c r="BB99" s="2">
        <v>51902.2</v>
      </c>
      <c r="BC99" s="2">
        <v>41824.44</v>
      </c>
      <c r="BD99" s="2">
        <v>55308.22</v>
      </c>
      <c r="BE99" s="2">
        <v>43778.17</v>
      </c>
      <c r="BF99" s="2">
        <v>21363.09</v>
      </c>
      <c r="BG99" s="2">
        <v>55833.17</v>
      </c>
      <c r="BH99" s="2">
        <v>27214.35</v>
      </c>
      <c r="BI99" s="2">
        <v>7899.29</v>
      </c>
      <c r="BJ99" s="2">
        <v>18198.919999999998</v>
      </c>
      <c r="BK99" s="2">
        <v>35444.769999999997</v>
      </c>
      <c r="BL99" s="2">
        <v>64863.69</v>
      </c>
      <c r="BM99" s="2">
        <v>50250.239999999998</v>
      </c>
      <c r="BN99" s="2">
        <v>64680.17</v>
      </c>
      <c r="BO99" s="2">
        <v>46773.66</v>
      </c>
      <c r="BR99" s="1" t="s">
        <v>72</v>
      </c>
      <c r="BS99" s="2">
        <v>4.68</v>
      </c>
      <c r="BT99" s="2">
        <v>4.68</v>
      </c>
      <c r="BU99" s="2">
        <v>4.68</v>
      </c>
      <c r="BV99" s="2">
        <v>4.68</v>
      </c>
      <c r="BW99" s="2">
        <v>0.9</v>
      </c>
      <c r="BX99" s="2">
        <v>1.8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13.19</v>
      </c>
      <c r="CI99" s="2">
        <v>6.12</v>
      </c>
      <c r="CJ99" s="2">
        <v>6.12</v>
      </c>
      <c r="CK99" s="2">
        <v>8.1</v>
      </c>
      <c r="CL99" s="2">
        <v>8.1</v>
      </c>
    </row>
    <row r="100" spans="2:90" x14ac:dyDescent="0.3">
      <c r="B100" s="1" t="s">
        <v>73</v>
      </c>
      <c r="C100" s="2">
        <v>596.84</v>
      </c>
      <c r="D100" s="2">
        <v>839.32</v>
      </c>
      <c r="E100" s="2">
        <v>106.12</v>
      </c>
      <c r="F100" s="2">
        <v>120.1</v>
      </c>
      <c r="G100" s="2">
        <v>23.6</v>
      </c>
      <c r="H100" s="2">
        <v>87.22</v>
      </c>
      <c r="I100" s="2">
        <v>228.01</v>
      </c>
      <c r="J100" s="2">
        <v>1175.98</v>
      </c>
      <c r="K100" s="2">
        <v>820.98</v>
      </c>
      <c r="L100" s="2">
        <v>1369.4</v>
      </c>
      <c r="M100" s="2">
        <v>2212.31</v>
      </c>
      <c r="N100" s="2">
        <v>2577.34</v>
      </c>
      <c r="O100" s="2">
        <v>2016.46</v>
      </c>
      <c r="P100" s="2">
        <v>1873.35</v>
      </c>
      <c r="Q100" s="2">
        <v>2317.21</v>
      </c>
      <c r="R100" s="2">
        <v>2036.86</v>
      </c>
      <c r="S100" s="2">
        <v>1874.22</v>
      </c>
      <c r="T100" s="2">
        <v>1474.85</v>
      </c>
      <c r="U100" s="2">
        <v>2185.83</v>
      </c>
      <c r="V100" s="2">
        <v>1954.97</v>
      </c>
      <c r="X100" s="1" t="s">
        <v>73</v>
      </c>
      <c r="Y100" s="2">
        <v>2200.62</v>
      </c>
      <c r="Z100" s="2">
        <v>6335.99</v>
      </c>
      <c r="AA100" s="2">
        <v>1943.12</v>
      </c>
      <c r="AB100" s="2">
        <v>167.65</v>
      </c>
      <c r="AC100" s="2">
        <v>1682.99</v>
      </c>
      <c r="AD100" s="2">
        <v>2966.19</v>
      </c>
      <c r="AE100" s="2">
        <v>5408.84</v>
      </c>
      <c r="AF100" s="2">
        <v>4292.68</v>
      </c>
      <c r="AG100" s="2">
        <v>5552</v>
      </c>
      <c r="AH100" s="2">
        <v>4711.74</v>
      </c>
      <c r="AI100" s="2">
        <v>2622.59</v>
      </c>
      <c r="AJ100" s="2">
        <v>6221.72</v>
      </c>
      <c r="AK100" s="2">
        <v>2061.0500000000002</v>
      </c>
      <c r="AL100" s="2">
        <v>810.91</v>
      </c>
      <c r="AM100" s="2">
        <v>3554.13</v>
      </c>
      <c r="AN100" s="2">
        <v>4181.1899999999996</v>
      </c>
      <c r="AO100" s="2">
        <v>7703.15</v>
      </c>
      <c r="AP100" s="2">
        <v>5216.21</v>
      </c>
      <c r="AQ100" s="2">
        <v>5898.09</v>
      </c>
      <c r="AR100" s="2">
        <v>4792.59</v>
      </c>
      <c r="AU100" s="1" t="s">
        <v>73</v>
      </c>
      <c r="AV100" s="2">
        <v>10932.24</v>
      </c>
      <c r="AW100" s="2">
        <v>27183.16</v>
      </c>
      <c r="AX100" s="2">
        <v>11869.12</v>
      </c>
      <c r="AY100" s="2">
        <v>3185.3</v>
      </c>
      <c r="AZ100" s="2">
        <v>10242.129999999999</v>
      </c>
      <c r="BA100" s="2">
        <v>13671.81</v>
      </c>
      <c r="BB100" s="2">
        <v>24197.200000000001</v>
      </c>
      <c r="BC100" s="2">
        <v>19180.79</v>
      </c>
      <c r="BD100" s="2">
        <v>24046.959999999999</v>
      </c>
      <c r="BE100" s="2">
        <v>19740.72</v>
      </c>
      <c r="BF100" s="2">
        <v>14521.81</v>
      </c>
      <c r="BG100" s="2">
        <v>28270.78</v>
      </c>
      <c r="BH100" s="2">
        <v>12593.59</v>
      </c>
      <c r="BI100" s="2">
        <v>4947.74</v>
      </c>
      <c r="BJ100" s="2">
        <v>15118.4</v>
      </c>
      <c r="BK100" s="2">
        <v>19719.64</v>
      </c>
      <c r="BL100" s="2">
        <v>36707.33</v>
      </c>
      <c r="BM100" s="2">
        <v>27705.46</v>
      </c>
      <c r="BN100" s="2">
        <v>27152.79</v>
      </c>
      <c r="BO100" s="2">
        <v>20538.09</v>
      </c>
      <c r="BR100" s="1" t="s">
        <v>73</v>
      </c>
      <c r="BS100" s="2">
        <v>1.36</v>
      </c>
      <c r="BT100" s="2">
        <v>2.0099999999999998</v>
      </c>
      <c r="BU100" s="2">
        <v>0.72</v>
      </c>
      <c r="BV100" s="2">
        <v>0.76</v>
      </c>
      <c r="BW100" s="2">
        <v>0.1</v>
      </c>
      <c r="BX100" s="2">
        <v>0.33</v>
      </c>
      <c r="BY100" s="2">
        <v>0.81</v>
      </c>
      <c r="BZ100" s="2">
        <v>2.88</v>
      </c>
      <c r="CA100" s="2">
        <v>2</v>
      </c>
      <c r="CB100" s="2">
        <v>3.6</v>
      </c>
      <c r="CC100" s="2">
        <v>5.13</v>
      </c>
      <c r="CD100" s="2">
        <v>6.48</v>
      </c>
      <c r="CE100" s="2">
        <v>4.6100000000000003</v>
      </c>
      <c r="CF100" s="2">
        <v>5.0199999999999996</v>
      </c>
      <c r="CG100" s="2">
        <v>5.17</v>
      </c>
      <c r="CH100" s="2">
        <v>4.84</v>
      </c>
      <c r="CI100" s="2">
        <v>4.1100000000000003</v>
      </c>
      <c r="CJ100" s="2">
        <v>3.39</v>
      </c>
      <c r="CK100" s="2">
        <v>4.66</v>
      </c>
      <c r="CL100" s="2">
        <v>3.83</v>
      </c>
    </row>
    <row r="101" spans="2:90" x14ac:dyDescent="0.3">
      <c r="W101" s="5">
        <f>SUM(C93:V100)/$W$45</f>
        <v>0.1731367300966781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63</v>
      </c>
      <c r="D104" s="1" t="s">
        <v>64</v>
      </c>
      <c r="E104" s="1" t="s">
        <v>63</v>
      </c>
      <c r="F104" s="1" t="s">
        <v>64</v>
      </c>
      <c r="G104" s="1" t="s">
        <v>63</v>
      </c>
      <c r="H104" s="1" t="s">
        <v>64</v>
      </c>
      <c r="I104" s="1" t="s">
        <v>63</v>
      </c>
      <c r="J104" s="1" t="s">
        <v>64</v>
      </c>
      <c r="K104" s="1" t="s">
        <v>63</v>
      </c>
      <c r="L104" s="1" t="s">
        <v>64</v>
      </c>
      <c r="M104" s="1" t="s">
        <v>63</v>
      </c>
      <c r="N104" s="1" t="s">
        <v>64</v>
      </c>
      <c r="O104" s="1" t="s">
        <v>63</v>
      </c>
      <c r="P104" s="1" t="s">
        <v>64</v>
      </c>
      <c r="Q104" s="1" t="s">
        <v>63</v>
      </c>
      <c r="R104" s="1" t="s">
        <v>64</v>
      </c>
      <c r="S104" s="1" t="s">
        <v>63</v>
      </c>
      <c r="T104" s="1" t="s">
        <v>64</v>
      </c>
      <c r="U104" s="1" t="s">
        <v>63</v>
      </c>
      <c r="V104" s="1" t="s">
        <v>64</v>
      </c>
      <c r="X104" s="1" t="s">
        <v>6</v>
      </c>
      <c r="Y104" s="1" t="s">
        <v>63</v>
      </c>
      <c r="Z104" s="1" t="s">
        <v>64</v>
      </c>
      <c r="AA104" s="1" t="s">
        <v>63</v>
      </c>
      <c r="AB104" s="1" t="s">
        <v>64</v>
      </c>
      <c r="AC104" s="1" t="s">
        <v>63</v>
      </c>
      <c r="AD104" s="1" t="s">
        <v>64</v>
      </c>
      <c r="AE104" s="1" t="s">
        <v>63</v>
      </c>
      <c r="AF104" s="1" t="s">
        <v>64</v>
      </c>
      <c r="AG104" s="1" t="s">
        <v>63</v>
      </c>
      <c r="AH104" s="1" t="s">
        <v>64</v>
      </c>
      <c r="AI104" s="1" t="s">
        <v>63</v>
      </c>
      <c r="AJ104" s="1" t="s">
        <v>64</v>
      </c>
      <c r="AK104" s="1" t="s">
        <v>63</v>
      </c>
      <c r="AL104" s="1" t="s">
        <v>64</v>
      </c>
      <c r="AM104" s="1" t="s">
        <v>63</v>
      </c>
      <c r="AN104" s="1" t="s">
        <v>64</v>
      </c>
      <c r="AO104" s="1" t="s">
        <v>63</v>
      </c>
      <c r="AP104" s="1" t="s">
        <v>64</v>
      </c>
      <c r="AQ104" s="1" t="s">
        <v>63</v>
      </c>
      <c r="AR104" s="1" t="s">
        <v>64</v>
      </c>
      <c r="AU104" s="1" t="s">
        <v>6</v>
      </c>
      <c r="AV104" s="1" t="s">
        <v>63</v>
      </c>
      <c r="AW104" s="1" t="s">
        <v>64</v>
      </c>
      <c r="AX104" s="1" t="s">
        <v>63</v>
      </c>
      <c r="AY104" s="1" t="s">
        <v>64</v>
      </c>
      <c r="AZ104" s="1" t="s">
        <v>63</v>
      </c>
      <c r="BA104" s="1" t="s">
        <v>64</v>
      </c>
      <c r="BB104" s="1" t="s">
        <v>63</v>
      </c>
      <c r="BC104" s="1" t="s">
        <v>64</v>
      </c>
      <c r="BD104" s="1" t="s">
        <v>63</v>
      </c>
      <c r="BE104" s="1" t="s">
        <v>64</v>
      </c>
      <c r="BF104" s="1" t="s">
        <v>63</v>
      </c>
      <c r="BG104" s="1" t="s">
        <v>64</v>
      </c>
      <c r="BH104" s="1" t="s">
        <v>63</v>
      </c>
      <c r="BI104" s="1" t="s">
        <v>64</v>
      </c>
      <c r="BJ104" s="1" t="s">
        <v>63</v>
      </c>
      <c r="BK104" s="1" t="s">
        <v>64</v>
      </c>
      <c r="BL104" s="1" t="s">
        <v>63</v>
      </c>
      <c r="BM104" s="1" t="s">
        <v>64</v>
      </c>
      <c r="BN104" s="1" t="s">
        <v>63</v>
      </c>
      <c r="BO104" s="1" t="s">
        <v>64</v>
      </c>
      <c r="BR104" s="1" t="s">
        <v>6</v>
      </c>
      <c r="BS104" s="1" t="s">
        <v>63</v>
      </c>
      <c r="BT104" s="1" t="s">
        <v>64</v>
      </c>
      <c r="BU104" s="1" t="s">
        <v>63</v>
      </c>
      <c r="BV104" s="1" t="s">
        <v>64</v>
      </c>
      <c r="BW104" s="1" t="s">
        <v>63</v>
      </c>
      <c r="BX104" s="1" t="s">
        <v>64</v>
      </c>
      <c r="BY104" s="1" t="s">
        <v>63</v>
      </c>
      <c r="BZ104" s="1" t="s">
        <v>64</v>
      </c>
      <c r="CA104" s="1" t="s">
        <v>63</v>
      </c>
      <c r="CB104" s="1" t="s">
        <v>64</v>
      </c>
      <c r="CC104" s="1" t="s">
        <v>63</v>
      </c>
      <c r="CD104" s="1" t="s">
        <v>64</v>
      </c>
      <c r="CE104" s="1" t="s">
        <v>63</v>
      </c>
      <c r="CF104" s="1" t="s">
        <v>64</v>
      </c>
      <c r="CG104" s="1" t="s">
        <v>63</v>
      </c>
      <c r="CH104" s="1" t="s">
        <v>64</v>
      </c>
      <c r="CI104" s="1" t="s">
        <v>63</v>
      </c>
      <c r="CJ104" s="1" t="s">
        <v>64</v>
      </c>
      <c r="CK104" s="1" t="s">
        <v>63</v>
      </c>
      <c r="CL104" s="1" t="s">
        <v>64</v>
      </c>
    </row>
    <row r="105" spans="2:90" x14ac:dyDescent="0.3">
      <c r="B105" s="1" t="s">
        <v>65</v>
      </c>
      <c r="C105" s="1" t="s">
        <v>53</v>
      </c>
      <c r="D105" s="1" t="s">
        <v>53</v>
      </c>
      <c r="E105" s="1" t="s">
        <v>54</v>
      </c>
      <c r="F105" s="1" t="s">
        <v>54</v>
      </c>
      <c r="G105" s="1" t="s">
        <v>55</v>
      </c>
      <c r="H105" s="1" t="s">
        <v>55</v>
      </c>
      <c r="I105" s="1" t="s">
        <v>56</v>
      </c>
      <c r="J105" s="1" t="s">
        <v>56</v>
      </c>
      <c r="K105" s="1" t="s">
        <v>57</v>
      </c>
      <c r="L105" s="1" t="s">
        <v>57</v>
      </c>
      <c r="M105" s="1" t="s">
        <v>58</v>
      </c>
      <c r="N105" s="1" t="s">
        <v>58</v>
      </c>
      <c r="O105" s="1" t="s">
        <v>59</v>
      </c>
      <c r="P105" s="1" t="s">
        <v>59</v>
      </c>
      <c r="Q105" s="1" t="s">
        <v>60</v>
      </c>
      <c r="R105" s="1" t="s">
        <v>60</v>
      </c>
      <c r="S105" s="1" t="s">
        <v>61</v>
      </c>
      <c r="T105" s="1" t="s">
        <v>61</v>
      </c>
      <c r="U105" s="1" t="s">
        <v>62</v>
      </c>
      <c r="V105" s="1" t="s">
        <v>62</v>
      </c>
      <c r="X105" s="1" t="s">
        <v>65</v>
      </c>
      <c r="Y105" s="1" t="s">
        <v>53</v>
      </c>
      <c r="Z105" s="1" t="s">
        <v>53</v>
      </c>
      <c r="AA105" s="1" t="s">
        <v>54</v>
      </c>
      <c r="AB105" s="1" t="s">
        <v>54</v>
      </c>
      <c r="AC105" s="1" t="s">
        <v>55</v>
      </c>
      <c r="AD105" s="1" t="s">
        <v>55</v>
      </c>
      <c r="AE105" s="1" t="s">
        <v>56</v>
      </c>
      <c r="AF105" s="1" t="s">
        <v>56</v>
      </c>
      <c r="AG105" s="1" t="s">
        <v>57</v>
      </c>
      <c r="AH105" s="1" t="s">
        <v>57</v>
      </c>
      <c r="AI105" s="1" t="s">
        <v>58</v>
      </c>
      <c r="AJ105" s="1" t="s">
        <v>58</v>
      </c>
      <c r="AK105" s="1" t="s">
        <v>59</v>
      </c>
      <c r="AL105" s="1" t="s">
        <v>59</v>
      </c>
      <c r="AM105" s="1" t="s">
        <v>60</v>
      </c>
      <c r="AN105" s="1" t="s">
        <v>60</v>
      </c>
      <c r="AO105" s="1" t="s">
        <v>61</v>
      </c>
      <c r="AP105" s="1" t="s">
        <v>61</v>
      </c>
      <c r="AQ105" s="1" t="s">
        <v>62</v>
      </c>
      <c r="AR105" s="1" t="s">
        <v>62</v>
      </c>
      <c r="AU105" s="1" t="s">
        <v>65</v>
      </c>
      <c r="AV105" s="1" t="s">
        <v>53</v>
      </c>
      <c r="AW105" s="1" t="s">
        <v>53</v>
      </c>
      <c r="AX105" s="1" t="s">
        <v>54</v>
      </c>
      <c r="AY105" s="1" t="s">
        <v>54</v>
      </c>
      <c r="AZ105" s="1" t="s">
        <v>55</v>
      </c>
      <c r="BA105" s="1" t="s">
        <v>55</v>
      </c>
      <c r="BB105" s="1" t="s">
        <v>56</v>
      </c>
      <c r="BC105" s="1" t="s">
        <v>56</v>
      </c>
      <c r="BD105" s="1" t="s">
        <v>57</v>
      </c>
      <c r="BE105" s="1" t="s">
        <v>57</v>
      </c>
      <c r="BF105" s="1" t="s">
        <v>58</v>
      </c>
      <c r="BG105" s="1" t="s">
        <v>58</v>
      </c>
      <c r="BH105" s="1" t="s">
        <v>59</v>
      </c>
      <c r="BI105" s="1" t="s">
        <v>59</v>
      </c>
      <c r="BJ105" s="1" t="s">
        <v>60</v>
      </c>
      <c r="BK105" s="1" t="s">
        <v>60</v>
      </c>
      <c r="BL105" s="1" t="s">
        <v>61</v>
      </c>
      <c r="BM105" s="1" t="s">
        <v>61</v>
      </c>
      <c r="BN105" s="1" t="s">
        <v>62</v>
      </c>
      <c r="BO105" s="1" t="s">
        <v>62</v>
      </c>
      <c r="BR105" s="1" t="s">
        <v>65</v>
      </c>
      <c r="BS105" s="1" t="s">
        <v>53</v>
      </c>
      <c r="BT105" s="1" t="s">
        <v>53</v>
      </c>
      <c r="BU105" s="1" t="s">
        <v>54</v>
      </c>
      <c r="BV105" s="1" t="s">
        <v>54</v>
      </c>
      <c r="BW105" s="1" t="s">
        <v>55</v>
      </c>
      <c r="BX105" s="1" t="s">
        <v>55</v>
      </c>
      <c r="BY105" s="1" t="s">
        <v>56</v>
      </c>
      <c r="BZ105" s="1" t="s">
        <v>56</v>
      </c>
      <c r="CA105" s="1" t="s">
        <v>57</v>
      </c>
      <c r="CB105" s="1" t="s">
        <v>57</v>
      </c>
      <c r="CC105" s="1" t="s">
        <v>58</v>
      </c>
      <c r="CD105" s="1" t="s">
        <v>58</v>
      </c>
      <c r="CE105" s="1" t="s">
        <v>59</v>
      </c>
      <c r="CF105" s="1" t="s">
        <v>59</v>
      </c>
      <c r="CG105" s="1" t="s">
        <v>60</v>
      </c>
      <c r="CH105" s="1" t="s">
        <v>60</v>
      </c>
      <c r="CI105" s="1" t="s">
        <v>61</v>
      </c>
      <c r="CJ105" s="1" t="s">
        <v>61</v>
      </c>
      <c r="CK105" s="1" t="s">
        <v>62</v>
      </c>
      <c r="CL105" s="1" t="s">
        <v>62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66</v>
      </c>
      <c r="C107" s="2">
        <v>1.378534443179431E-2</v>
      </c>
      <c r="D107" s="2">
        <v>1.9662698492739359E-2</v>
      </c>
      <c r="E107" s="2">
        <v>2.7307766865935171E-3</v>
      </c>
      <c r="F107" s="2">
        <v>4.503805758075562E-3</v>
      </c>
      <c r="G107" s="2">
        <v>3.904268739944039E-3</v>
      </c>
      <c r="H107" s="2">
        <v>4.4219880024667828E-3</v>
      </c>
      <c r="I107" s="2">
        <v>1.6345766743766119E-2</v>
      </c>
      <c r="J107" s="2">
        <v>7.4508704226564082E-3</v>
      </c>
      <c r="K107" s="2">
        <v>2.1557617193592098E-2</v>
      </c>
      <c r="L107" s="2">
        <v>6.0879029548823052E-3</v>
      </c>
      <c r="M107" s="2">
        <v>2.0668689607690041E-2</v>
      </c>
      <c r="N107" s="2">
        <v>4.6260913374800428E-3</v>
      </c>
      <c r="O107" s="2">
        <v>2.2450060790780001E-2</v>
      </c>
      <c r="P107" s="2">
        <v>1.3997630401838641E-3</v>
      </c>
      <c r="Q107" s="2">
        <v>1.7269820219999961E-2</v>
      </c>
      <c r="R107" s="2">
        <v>5.7511053354511411E-3</v>
      </c>
      <c r="S107" s="2">
        <v>2.012231400367021E-3</v>
      </c>
      <c r="T107" s="2">
        <v>1.93410814825122E-3</v>
      </c>
      <c r="U107" s="2">
        <v>4.3541792671364134E-3</v>
      </c>
      <c r="V107" s="2">
        <v>2.7710866855991771E-3</v>
      </c>
      <c r="X107" s="1" t="s">
        <v>66</v>
      </c>
      <c r="Y107" s="2">
        <v>2427.5700000000002</v>
      </c>
      <c r="Z107" s="2">
        <v>2331.61</v>
      </c>
      <c r="AA107" s="2">
        <v>683.79</v>
      </c>
      <c r="AB107" s="2">
        <v>616.88</v>
      </c>
      <c r="AC107" s="2">
        <v>504.47</v>
      </c>
      <c r="AD107" s="2">
        <v>760.07</v>
      </c>
      <c r="AE107" s="2">
        <v>1673.57</v>
      </c>
      <c r="AF107" s="2">
        <v>801.15</v>
      </c>
      <c r="AG107" s="2">
        <v>2653.31</v>
      </c>
      <c r="AH107" s="2">
        <v>642.97</v>
      </c>
      <c r="AI107" s="2">
        <v>2713.09</v>
      </c>
      <c r="AJ107" s="2">
        <v>411.48</v>
      </c>
      <c r="AK107" s="2">
        <v>2287.58</v>
      </c>
      <c r="AL107" s="2">
        <v>99.7</v>
      </c>
      <c r="AM107" s="2">
        <v>1717.08</v>
      </c>
      <c r="AN107" s="2">
        <v>434.11</v>
      </c>
      <c r="AO107" s="2">
        <v>107.04</v>
      </c>
      <c r="AP107" s="2">
        <v>66.17</v>
      </c>
      <c r="AQ107" s="2">
        <v>178.36</v>
      </c>
      <c r="AR107" s="2">
        <v>65</v>
      </c>
      <c r="AU107" s="1" t="s">
        <v>66</v>
      </c>
      <c r="AV107" s="2">
        <v>9648.1299999999992</v>
      </c>
      <c r="AW107" s="2">
        <v>9398.2900000000009</v>
      </c>
      <c r="AX107" s="2">
        <v>10458.81</v>
      </c>
      <c r="AY107" s="2">
        <v>9487.6200000000008</v>
      </c>
      <c r="AZ107" s="2">
        <v>7752.03</v>
      </c>
      <c r="BA107" s="2">
        <v>10290.129999999999</v>
      </c>
      <c r="BB107" s="2">
        <v>9856.1299999999992</v>
      </c>
      <c r="BC107" s="2">
        <v>9619.0499999999993</v>
      </c>
      <c r="BD107" s="2">
        <v>9827.69</v>
      </c>
      <c r="BE107" s="2">
        <v>9648.43</v>
      </c>
      <c r="BF107" s="2">
        <v>10122.81</v>
      </c>
      <c r="BG107" s="2">
        <v>9834.42</v>
      </c>
      <c r="BH107" s="2">
        <v>10007.92</v>
      </c>
      <c r="BI107" s="2">
        <v>9609.2999999999993</v>
      </c>
      <c r="BJ107" s="2">
        <v>10194.120000000001</v>
      </c>
      <c r="BK107" s="2">
        <v>10008.49</v>
      </c>
      <c r="BL107" s="2">
        <v>10316.66</v>
      </c>
      <c r="BM107" s="2">
        <v>6377.33</v>
      </c>
      <c r="BN107" s="2">
        <v>9599.94</v>
      </c>
      <c r="BO107" s="2">
        <v>6265.1</v>
      </c>
      <c r="BR107" s="1" t="s">
        <v>66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67</v>
      </c>
      <c r="C108" s="2">
        <v>2.0787542396750298E-2</v>
      </c>
      <c r="D108" s="2">
        <v>1.157070301626938E-2</v>
      </c>
      <c r="E108" s="2">
        <v>1.8183454204587689E-2</v>
      </c>
      <c r="F108" s="2">
        <v>1.318829981332633E-2</v>
      </c>
      <c r="G108" s="2">
        <v>1.8073682340318038E-2</v>
      </c>
      <c r="H108" s="2">
        <v>1.4276946500916189E-2</v>
      </c>
      <c r="I108" s="2">
        <v>4.4718220042474853E-2</v>
      </c>
      <c r="J108" s="2">
        <v>2.812796651776928E-2</v>
      </c>
      <c r="K108" s="2">
        <v>3.9452096360492697E-2</v>
      </c>
      <c r="L108" s="2">
        <v>1.9492849142158049E-2</v>
      </c>
      <c r="M108" s="2">
        <v>4.513002727200182E-2</v>
      </c>
      <c r="N108" s="2">
        <v>2.1695747726858009E-2</v>
      </c>
      <c r="O108" s="2">
        <v>3.6150384272578572E-2</v>
      </c>
      <c r="P108" s="2">
        <v>2.9124825409112161E-2</v>
      </c>
      <c r="Q108" s="2">
        <v>3.6258775695696119E-2</v>
      </c>
      <c r="R108" s="2">
        <v>3.054660597257592E-2</v>
      </c>
      <c r="S108" s="2">
        <v>5.2191734266691332E-2</v>
      </c>
      <c r="T108" s="2">
        <v>2.9446636785499469E-2</v>
      </c>
      <c r="U108" s="2">
        <v>6.4843635721388723E-2</v>
      </c>
      <c r="V108" s="2">
        <v>2.875890972586076E-2</v>
      </c>
      <c r="X108" s="1" t="s">
        <v>67</v>
      </c>
      <c r="Y108" s="2">
        <v>733.45</v>
      </c>
      <c r="Z108" s="2">
        <v>450.63</v>
      </c>
      <c r="AA108" s="2">
        <v>809.32</v>
      </c>
      <c r="AB108" s="2">
        <v>490.38</v>
      </c>
      <c r="AC108" s="2">
        <v>535.54</v>
      </c>
      <c r="AD108" s="2">
        <v>592.55999999999995</v>
      </c>
      <c r="AE108" s="2">
        <v>868.19</v>
      </c>
      <c r="AF108" s="2">
        <v>553.37</v>
      </c>
      <c r="AG108" s="2">
        <v>806.3</v>
      </c>
      <c r="AH108" s="2">
        <v>506.61</v>
      </c>
      <c r="AI108" s="2">
        <v>871.44</v>
      </c>
      <c r="AJ108" s="2">
        <v>512.63</v>
      </c>
      <c r="AK108" s="2">
        <v>647.72</v>
      </c>
      <c r="AL108" s="2">
        <v>566.62</v>
      </c>
      <c r="AM108" s="2">
        <v>629.35</v>
      </c>
      <c r="AN108" s="2">
        <v>567.39</v>
      </c>
      <c r="AO108" s="2">
        <v>625.46</v>
      </c>
      <c r="AP108" s="2">
        <v>451.59</v>
      </c>
      <c r="AQ108" s="2">
        <v>699.62</v>
      </c>
      <c r="AR108" s="2">
        <v>402.34</v>
      </c>
      <c r="AU108" s="1" t="s">
        <v>67</v>
      </c>
      <c r="AV108" s="2">
        <v>5784.05</v>
      </c>
      <c r="AW108" s="2">
        <v>3303.27</v>
      </c>
      <c r="AX108" s="2">
        <v>5966.98</v>
      </c>
      <c r="AY108" s="2">
        <v>3595.82</v>
      </c>
      <c r="AZ108" s="2">
        <v>3445.06</v>
      </c>
      <c r="BA108" s="2">
        <v>4343.9399999999996</v>
      </c>
      <c r="BB108" s="2">
        <v>6427.91</v>
      </c>
      <c r="BC108" s="2">
        <v>3602.03</v>
      </c>
      <c r="BD108" s="2">
        <v>6399.4</v>
      </c>
      <c r="BE108" s="2">
        <v>3593.69</v>
      </c>
      <c r="BF108" s="2">
        <v>6158.66</v>
      </c>
      <c r="BG108" s="2">
        <v>3631.97</v>
      </c>
      <c r="BH108" s="2">
        <v>4930.18</v>
      </c>
      <c r="BI108" s="2">
        <v>4089.48</v>
      </c>
      <c r="BJ108" s="2">
        <v>4732.25</v>
      </c>
      <c r="BK108" s="2">
        <v>4275.41</v>
      </c>
      <c r="BL108" s="2">
        <v>4658.9399999999996</v>
      </c>
      <c r="BM108" s="2">
        <v>3108.61</v>
      </c>
      <c r="BN108" s="2">
        <v>5568.58</v>
      </c>
      <c r="BO108" s="2">
        <v>3142.86</v>
      </c>
      <c r="BR108" s="1" t="s">
        <v>67</v>
      </c>
      <c r="BS108" s="2">
        <v>6</v>
      </c>
      <c r="BT108" s="2">
        <v>3.2</v>
      </c>
      <c r="BU108" s="2">
        <v>4.97</v>
      </c>
      <c r="BV108" s="2">
        <v>3.05</v>
      </c>
      <c r="BW108" s="2">
        <v>1.62</v>
      </c>
      <c r="BX108" s="2">
        <v>1.5</v>
      </c>
      <c r="BY108" s="2">
        <v>7.24</v>
      </c>
      <c r="BZ108" s="2">
        <v>7.01</v>
      </c>
      <c r="CA108" s="2">
        <v>9.8000000000000007</v>
      </c>
      <c r="CB108" s="2">
        <v>6.87</v>
      </c>
      <c r="CC108" s="2">
        <v>19.440000000000001</v>
      </c>
      <c r="CD108" s="2">
        <v>12.72</v>
      </c>
      <c r="CE108" s="2">
        <v>15.18</v>
      </c>
      <c r="CF108" s="2">
        <v>11.67</v>
      </c>
      <c r="CG108" s="2">
        <v>18.510000000000002</v>
      </c>
      <c r="CH108" s="2">
        <v>13.91</v>
      </c>
      <c r="CI108" s="2">
        <v>15.6</v>
      </c>
      <c r="CJ108" s="2">
        <v>9.42</v>
      </c>
      <c r="CK108" s="2">
        <v>18.02</v>
      </c>
      <c r="CL108" s="2">
        <v>10.199999999999999</v>
      </c>
    </row>
    <row r="109" spans="2:90" x14ac:dyDescent="0.3">
      <c r="B109" s="1" t="s">
        <v>68</v>
      </c>
      <c r="C109" s="2">
        <v>0.33611906794365898</v>
      </c>
      <c r="D109" s="2">
        <v>3.7319122671841017E-2</v>
      </c>
      <c r="E109" s="2">
        <v>0.3552546499117934</v>
      </c>
      <c r="F109" s="2">
        <v>3.3813577475906013E-2</v>
      </c>
      <c r="G109" s="2">
        <v>0.32262451029144801</v>
      </c>
      <c r="H109" s="2">
        <v>0.2069781028789949</v>
      </c>
      <c r="I109" s="2">
        <v>0.37128853218551222</v>
      </c>
      <c r="J109" s="2">
        <v>0.1521707090898605</v>
      </c>
      <c r="K109" s="2">
        <v>0.34262941944003389</v>
      </c>
      <c r="L109" s="2">
        <v>0.1239964672644574</v>
      </c>
      <c r="M109" s="2">
        <v>0.3517368165896263</v>
      </c>
      <c r="N109" s="2">
        <v>0.13240818052002129</v>
      </c>
      <c r="O109" s="2">
        <v>0.36054546214296368</v>
      </c>
      <c r="P109" s="2">
        <v>0.15513062659594831</v>
      </c>
      <c r="Q109" s="2">
        <v>0.38241044047658412</v>
      </c>
      <c r="R109" s="2">
        <v>0.16602640850956429</v>
      </c>
      <c r="S109" s="2">
        <v>0.26732922952473948</v>
      </c>
      <c r="T109" s="2">
        <v>0.18354099529298271</v>
      </c>
      <c r="U109" s="2">
        <v>0.1882778471906329</v>
      </c>
      <c r="V109" s="2">
        <v>0.1823896982530803</v>
      </c>
      <c r="X109" s="1" t="s">
        <v>68</v>
      </c>
      <c r="Y109" s="2">
        <v>4550.07</v>
      </c>
      <c r="Z109" s="2">
        <v>1098.5899999999999</v>
      </c>
      <c r="AA109" s="2">
        <v>4651.9399999999996</v>
      </c>
      <c r="AB109" s="2">
        <v>1096.45</v>
      </c>
      <c r="AC109" s="2">
        <v>4808.8599999999997</v>
      </c>
      <c r="AD109" s="2">
        <v>4239.2299999999996</v>
      </c>
      <c r="AE109" s="2">
        <v>5146.8500000000004</v>
      </c>
      <c r="AF109" s="2">
        <v>2263.71</v>
      </c>
      <c r="AG109" s="2">
        <v>5350.96</v>
      </c>
      <c r="AH109" s="2">
        <v>1845.74</v>
      </c>
      <c r="AI109" s="2">
        <v>5741.73</v>
      </c>
      <c r="AJ109" s="2">
        <v>1826.3</v>
      </c>
      <c r="AK109" s="2">
        <v>5239.3999999999996</v>
      </c>
      <c r="AL109" s="2">
        <v>1920.95</v>
      </c>
      <c r="AM109" s="2">
        <v>5072.8</v>
      </c>
      <c r="AN109" s="2">
        <v>1819.46</v>
      </c>
      <c r="AO109" s="2">
        <v>2363.6999999999998</v>
      </c>
      <c r="AP109" s="2">
        <v>1382.55</v>
      </c>
      <c r="AQ109" s="2">
        <v>1445.58</v>
      </c>
      <c r="AR109" s="2">
        <v>1284.96</v>
      </c>
      <c r="AU109" s="1" t="s">
        <v>68</v>
      </c>
      <c r="AV109" s="2">
        <v>16658.689999999999</v>
      </c>
      <c r="AW109" s="2">
        <v>8055.31</v>
      </c>
      <c r="AX109" s="2">
        <v>18682.849999999999</v>
      </c>
      <c r="AY109" s="2">
        <v>8040.05</v>
      </c>
      <c r="AZ109" s="2">
        <v>10932.35</v>
      </c>
      <c r="BA109" s="2">
        <v>13571.2</v>
      </c>
      <c r="BB109" s="2">
        <v>16063.08</v>
      </c>
      <c r="BC109" s="2">
        <v>11579.27</v>
      </c>
      <c r="BD109" s="2">
        <v>16340.24</v>
      </c>
      <c r="BE109" s="2">
        <v>10959.19</v>
      </c>
      <c r="BF109" s="2">
        <v>16747.73</v>
      </c>
      <c r="BG109" s="2">
        <v>10776.93</v>
      </c>
      <c r="BH109" s="2">
        <v>14501.93</v>
      </c>
      <c r="BI109" s="2">
        <v>10986.77</v>
      </c>
      <c r="BJ109" s="2">
        <v>13759.4</v>
      </c>
      <c r="BK109" s="2">
        <v>11219.23</v>
      </c>
      <c r="BL109" s="2">
        <v>12539.88</v>
      </c>
      <c r="BM109" s="2">
        <v>9085.64</v>
      </c>
      <c r="BN109" s="2">
        <v>9679.48</v>
      </c>
      <c r="BO109" s="2">
        <v>8404.16</v>
      </c>
      <c r="BR109" s="1" t="s">
        <v>68</v>
      </c>
      <c r="BS109" s="2">
        <v>14.04</v>
      </c>
      <c r="BT109" s="2">
        <v>4.05</v>
      </c>
      <c r="BU109" s="2">
        <v>15.82</v>
      </c>
      <c r="BV109" s="2">
        <v>3.44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16.55</v>
      </c>
      <c r="CK109" s="2">
        <v>21.62</v>
      </c>
      <c r="CL109" s="2">
        <v>18.73</v>
      </c>
    </row>
    <row r="110" spans="2:90" x14ac:dyDescent="0.3">
      <c r="B110" s="1" t="s">
        <v>69</v>
      </c>
      <c r="C110" s="2">
        <v>6.3872303428800861E-2</v>
      </c>
      <c r="D110" s="2">
        <v>1.441337318988203E-2</v>
      </c>
      <c r="E110" s="2">
        <v>6.3234265715587781E-2</v>
      </c>
      <c r="F110" s="2">
        <v>1.1833359186951199E-2</v>
      </c>
      <c r="G110" s="2">
        <v>7.5819836881269934E-2</v>
      </c>
      <c r="H110" s="2">
        <v>6.7073395632378588E-2</v>
      </c>
      <c r="I110" s="2">
        <v>9.6299118519086152E-2</v>
      </c>
      <c r="J110" s="2">
        <v>4.3910642038739782E-2</v>
      </c>
      <c r="K110" s="2">
        <v>8.1150859153091448E-2</v>
      </c>
      <c r="L110" s="2">
        <v>3.2300862650545548E-2</v>
      </c>
      <c r="M110" s="2">
        <v>7.8033215862070904E-2</v>
      </c>
      <c r="N110" s="2">
        <v>3.1691443179199481E-2</v>
      </c>
      <c r="O110" s="2">
        <v>8.3027634702589267E-2</v>
      </c>
      <c r="P110" s="2">
        <v>3.663416777217228E-2</v>
      </c>
      <c r="Q110" s="2">
        <v>6.35493909412988E-2</v>
      </c>
      <c r="R110" s="2">
        <v>3.7020013672753663E-2</v>
      </c>
      <c r="S110" s="2">
        <v>4.6801359973301079E-2</v>
      </c>
      <c r="T110" s="2">
        <v>4.5834702890864207E-2</v>
      </c>
      <c r="U110" s="2">
        <v>4.7224327301675639E-2</v>
      </c>
      <c r="V110" s="2">
        <v>4.962159819587008E-2</v>
      </c>
      <c r="X110" s="1" t="s">
        <v>69</v>
      </c>
      <c r="Y110" s="2">
        <v>801.62</v>
      </c>
      <c r="Z110" s="2">
        <v>446.82</v>
      </c>
      <c r="AA110" s="2">
        <v>909.37</v>
      </c>
      <c r="AB110" s="2">
        <v>430.35</v>
      </c>
      <c r="AC110" s="2">
        <v>1096.53</v>
      </c>
      <c r="AD110" s="2">
        <v>1367.14</v>
      </c>
      <c r="AE110" s="2">
        <v>1227.6099999999999</v>
      </c>
      <c r="AF110" s="2">
        <v>649.54999999999995</v>
      </c>
      <c r="AG110" s="2">
        <v>1179.1600000000001</v>
      </c>
      <c r="AH110" s="2">
        <v>551.99</v>
      </c>
      <c r="AI110" s="2">
        <v>1174.01</v>
      </c>
      <c r="AJ110" s="2">
        <v>530.83000000000004</v>
      </c>
      <c r="AK110" s="2">
        <v>1145.73</v>
      </c>
      <c r="AL110" s="2">
        <v>544.82000000000005</v>
      </c>
      <c r="AM110" s="2">
        <v>802.97</v>
      </c>
      <c r="AN110" s="2">
        <v>514.36</v>
      </c>
      <c r="AO110" s="2">
        <v>521.97</v>
      </c>
      <c r="AP110" s="2">
        <v>480.9</v>
      </c>
      <c r="AQ110" s="2">
        <v>476.2</v>
      </c>
      <c r="AR110" s="2">
        <v>381.84</v>
      </c>
      <c r="AU110" s="1" t="s">
        <v>69</v>
      </c>
      <c r="AV110" s="2">
        <v>4894.45</v>
      </c>
      <c r="AW110" s="2">
        <v>2611.88</v>
      </c>
      <c r="AX110" s="2">
        <v>5676.24</v>
      </c>
      <c r="AY110" s="2">
        <v>3153.35</v>
      </c>
      <c r="AZ110" s="2">
        <v>3581.03</v>
      </c>
      <c r="BA110" s="2">
        <v>4884.6499999999996</v>
      </c>
      <c r="BB110" s="2">
        <v>4796.09</v>
      </c>
      <c r="BC110" s="2">
        <v>4078.83</v>
      </c>
      <c r="BD110" s="2">
        <v>4824.53</v>
      </c>
      <c r="BE110" s="2">
        <v>3784.93</v>
      </c>
      <c r="BF110" s="2">
        <v>4813.22</v>
      </c>
      <c r="BG110" s="2">
        <v>3572.66</v>
      </c>
      <c r="BH110" s="2">
        <v>4652.32</v>
      </c>
      <c r="BI110" s="2">
        <v>3648.58</v>
      </c>
      <c r="BJ110" s="2">
        <v>4343.93</v>
      </c>
      <c r="BK110" s="2">
        <v>3453.44</v>
      </c>
      <c r="BL110" s="2">
        <v>3546.53</v>
      </c>
      <c r="BM110" s="2">
        <v>3072</v>
      </c>
      <c r="BN110" s="2">
        <v>3105.1</v>
      </c>
      <c r="BO110" s="2">
        <v>2976.46</v>
      </c>
      <c r="BR110" s="1" t="s">
        <v>69</v>
      </c>
      <c r="BS110" s="2">
        <v>14.04</v>
      </c>
      <c r="BT110" s="2">
        <v>3.57</v>
      </c>
      <c r="BU110" s="2">
        <v>14.04</v>
      </c>
      <c r="BV110" s="2">
        <v>2.91</v>
      </c>
      <c r="BW110" s="2">
        <v>2.7</v>
      </c>
      <c r="BX110" s="2">
        <v>2.7</v>
      </c>
      <c r="BY110" s="2">
        <v>8.64</v>
      </c>
      <c r="BZ110" s="2">
        <v>8.64</v>
      </c>
      <c r="CA110" s="2">
        <v>10.8</v>
      </c>
      <c r="CB110" s="2">
        <v>9.2799999999999994</v>
      </c>
      <c r="CC110" s="2">
        <v>19.440000000000001</v>
      </c>
      <c r="CD110" s="2">
        <v>15.62</v>
      </c>
      <c r="CE110" s="2">
        <v>15.66</v>
      </c>
      <c r="CF110" s="2">
        <v>12.8</v>
      </c>
      <c r="CG110" s="2">
        <v>20.52</v>
      </c>
      <c r="CH110" s="2">
        <v>15.05</v>
      </c>
      <c r="CI110" s="2">
        <v>13.47</v>
      </c>
      <c r="CJ110" s="2">
        <v>11.68</v>
      </c>
      <c r="CK110" s="2">
        <v>15.23</v>
      </c>
      <c r="CL110" s="2">
        <v>16.489999999999998</v>
      </c>
    </row>
    <row r="111" spans="2:90" x14ac:dyDescent="0.3">
      <c r="B111" s="1" t="s">
        <v>70</v>
      </c>
      <c r="C111" s="2">
        <v>0.17251339577746549</v>
      </c>
      <c r="D111" s="2">
        <v>0.26405081172083739</v>
      </c>
      <c r="E111" s="2">
        <v>0.25232654362660301</v>
      </c>
      <c r="F111" s="2">
        <v>0.19126633130830911</v>
      </c>
      <c r="G111" s="2">
        <v>0.28510194176202769</v>
      </c>
      <c r="H111" s="2">
        <v>0.2307278926418474</v>
      </c>
      <c r="I111" s="2">
        <v>0.17408357609046429</v>
      </c>
      <c r="J111" s="2">
        <v>0.29665467574311127</v>
      </c>
      <c r="K111" s="2">
        <v>0.27808145890710217</v>
      </c>
      <c r="L111" s="2">
        <v>0.28511144550781647</v>
      </c>
      <c r="M111" s="2">
        <v>0.23324109443445201</v>
      </c>
      <c r="N111" s="2">
        <v>0.22896953561238259</v>
      </c>
      <c r="O111" s="2">
        <v>0.20315487442431521</v>
      </c>
      <c r="P111" s="2">
        <v>0.22995845466473749</v>
      </c>
      <c r="Q111" s="2">
        <v>0.1690692735157184</v>
      </c>
      <c r="R111" s="2">
        <v>0.21267029198308221</v>
      </c>
      <c r="S111" s="2">
        <v>0.22448071725198851</v>
      </c>
      <c r="T111" s="2">
        <v>0.23654203656823911</v>
      </c>
      <c r="U111" s="2">
        <v>0.26924945453223181</v>
      </c>
      <c r="V111" s="2">
        <v>0.26928940601063261</v>
      </c>
      <c r="X111" s="1" t="s">
        <v>70</v>
      </c>
      <c r="Y111" s="2">
        <v>4465.53</v>
      </c>
      <c r="Z111" s="2">
        <v>4597.38</v>
      </c>
      <c r="AA111" s="2">
        <v>3720.88</v>
      </c>
      <c r="AB111" s="2">
        <v>4041.14</v>
      </c>
      <c r="AC111" s="2">
        <v>4490</v>
      </c>
      <c r="AD111" s="2">
        <v>5044.4799999999996</v>
      </c>
      <c r="AE111" s="2">
        <v>3200.95</v>
      </c>
      <c r="AF111" s="2">
        <v>4694.5200000000004</v>
      </c>
      <c r="AG111" s="2">
        <v>4340.25</v>
      </c>
      <c r="AH111" s="2">
        <v>4688.13</v>
      </c>
      <c r="AI111" s="2">
        <v>3804.54</v>
      </c>
      <c r="AJ111" s="2">
        <v>3625.57</v>
      </c>
      <c r="AK111" s="2">
        <v>3095.63</v>
      </c>
      <c r="AL111" s="2">
        <v>3259.88</v>
      </c>
      <c r="AM111" s="2">
        <v>2846.44</v>
      </c>
      <c r="AN111" s="2">
        <v>2919.42</v>
      </c>
      <c r="AO111" s="2">
        <v>2652.81</v>
      </c>
      <c r="AP111" s="2">
        <v>2770.06</v>
      </c>
      <c r="AQ111" s="2">
        <v>2672.63</v>
      </c>
      <c r="AR111" s="2">
        <v>2733.86</v>
      </c>
      <c r="AU111" s="1" t="s">
        <v>70</v>
      </c>
      <c r="AV111" s="2">
        <v>15942.01</v>
      </c>
      <c r="AW111" s="2">
        <v>21093.62</v>
      </c>
      <c r="AX111" s="2">
        <v>27149.62</v>
      </c>
      <c r="AY111" s="2">
        <v>29533.360000000001</v>
      </c>
      <c r="AZ111" s="2">
        <v>15760</v>
      </c>
      <c r="BA111" s="2">
        <v>18253.89</v>
      </c>
      <c r="BB111" s="2">
        <v>23302.55</v>
      </c>
      <c r="BC111" s="2">
        <v>20859.98</v>
      </c>
      <c r="BD111" s="2">
        <v>24060.25</v>
      </c>
      <c r="BE111" s="2">
        <v>23940.37</v>
      </c>
      <c r="BF111" s="2">
        <v>23466.46</v>
      </c>
      <c r="BG111" s="2">
        <v>24748.93</v>
      </c>
      <c r="BH111" s="2">
        <v>22119.37</v>
      </c>
      <c r="BI111" s="2">
        <v>24442.62</v>
      </c>
      <c r="BJ111" s="2">
        <v>19878.560000000001</v>
      </c>
      <c r="BK111" s="2">
        <v>20575.080000000002</v>
      </c>
      <c r="BL111" s="2">
        <v>17911.189999999999</v>
      </c>
      <c r="BM111" s="2">
        <v>19510.439999999999</v>
      </c>
      <c r="BN111" s="2">
        <v>18175.37</v>
      </c>
      <c r="BO111" s="2">
        <v>21361.14</v>
      </c>
      <c r="BR111" s="1" t="s">
        <v>70</v>
      </c>
      <c r="BS111" s="2">
        <v>7.02</v>
      </c>
      <c r="BT111" s="2">
        <v>7.02</v>
      </c>
      <c r="BU111" s="2">
        <v>14.04</v>
      </c>
      <c r="BV111" s="2">
        <v>5.52</v>
      </c>
      <c r="BW111" s="2">
        <v>2.7</v>
      </c>
      <c r="BX111" s="2">
        <v>2.7</v>
      </c>
      <c r="BY111" s="2">
        <v>6.51</v>
      </c>
      <c r="BZ111" s="2">
        <v>8.64</v>
      </c>
      <c r="CA111" s="2">
        <v>10.8</v>
      </c>
      <c r="CB111" s="2">
        <v>10.8</v>
      </c>
      <c r="CC111" s="2">
        <v>19.440000000000001</v>
      </c>
      <c r="CD111" s="2">
        <v>19.440000000000001</v>
      </c>
      <c r="CE111" s="2">
        <v>15.66</v>
      </c>
      <c r="CF111" s="2">
        <v>15.55</v>
      </c>
      <c r="CG111" s="2">
        <v>16.64</v>
      </c>
      <c r="CH111" s="2">
        <v>17.16</v>
      </c>
      <c r="CI111" s="2">
        <v>13.2</v>
      </c>
      <c r="CJ111" s="2">
        <v>12.42</v>
      </c>
      <c r="CK111" s="2">
        <v>16.829999999999998</v>
      </c>
      <c r="CL111" s="2">
        <v>14.14</v>
      </c>
    </row>
    <row r="112" spans="2:90" x14ac:dyDescent="0.3">
      <c r="B112" s="1" t="s">
        <v>71</v>
      </c>
      <c r="C112" s="2">
        <v>4.3469602268083683E-2</v>
      </c>
      <c r="D112" s="2">
        <v>6.5931727507069701E-2</v>
      </c>
      <c r="E112" s="2">
        <v>6.7869843424311335E-2</v>
      </c>
      <c r="F112" s="2">
        <v>0.12032906906925921</v>
      </c>
      <c r="G112" s="2">
        <v>6.4888678464337518E-2</v>
      </c>
      <c r="H112" s="2">
        <v>5.2453061790541843E-2</v>
      </c>
      <c r="I112" s="2">
        <v>3.7303289372616268E-2</v>
      </c>
      <c r="J112" s="2">
        <v>5.8363829377569468E-2</v>
      </c>
      <c r="K112" s="2">
        <v>2.9770232911199089E-2</v>
      </c>
      <c r="L112" s="2">
        <v>7.4821322401921728E-2</v>
      </c>
      <c r="M112" s="2">
        <v>3.5910755767906491E-2</v>
      </c>
      <c r="N112" s="2">
        <v>9.4181931868085308E-2</v>
      </c>
      <c r="O112" s="2">
        <v>3.7003208647025013E-2</v>
      </c>
      <c r="P112" s="2">
        <v>7.4841538754133533E-2</v>
      </c>
      <c r="Q112" s="2">
        <v>3.9447336555690028E-2</v>
      </c>
      <c r="R112" s="2">
        <v>8.7728566131814109E-2</v>
      </c>
      <c r="S112" s="2">
        <v>5.4583194382623677E-2</v>
      </c>
      <c r="T112" s="2">
        <v>0.10835885927126419</v>
      </c>
      <c r="U112" s="2">
        <v>5.4034277370463443E-2</v>
      </c>
      <c r="V112" s="2">
        <v>5.4082336930663208E-2</v>
      </c>
      <c r="X112" s="1" t="s">
        <v>71</v>
      </c>
      <c r="Y112" s="2">
        <v>1219.44</v>
      </c>
      <c r="Z112" s="2">
        <v>1278.24</v>
      </c>
      <c r="AA112" s="2">
        <v>1060.19</v>
      </c>
      <c r="AB112" s="2">
        <v>1094.18</v>
      </c>
      <c r="AC112" s="2">
        <v>1096.1500000000001</v>
      </c>
      <c r="AD112" s="2">
        <v>1265.8699999999999</v>
      </c>
      <c r="AE112" s="2">
        <v>727.37</v>
      </c>
      <c r="AF112" s="2">
        <v>1035.81</v>
      </c>
      <c r="AG112" s="2">
        <v>681.69</v>
      </c>
      <c r="AH112" s="2">
        <v>1373.92</v>
      </c>
      <c r="AI112" s="2">
        <v>714.75</v>
      </c>
      <c r="AJ112" s="2">
        <v>926.73</v>
      </c>
      <c r="AK112" s="2">
        <v>710.83</v>
      </c>
      <c r="AL112" s="2">
        <v>1211.56</v>
      </c>
      <c r="AM112" s="2">
        <v>696.62</v>
      </c>
      <c r="AN112" s="2">
        <v>1155.68</v>
      </c>
      <c r="AO112" s="2">
        <v>652.82000000000005</v>
      </c>
      <c r="AP112" s="2">
        <v>1019.19</v>
      </c>
      <c r="AQ112" s="2">
        <v>611.6</v>
      </c>
      <c r="AR112" s="2">
        <v>607.05999999999995</v>
      </c>
      <c r="AU112" s="1" t="s">
        <v>71</v>
      </c>
      <c r="AV112" s="2">
        <v>3864.61</v>
      </c>
      <c r="AW112" s="2">
        <v>4129.1899999999996</v>
      </c>
      <c r="AX112" s="2">
        <v>6602.3</v>
      </c>
      <c r="AY112" s="2">
        <v>6860.08</v>
      </c>
      <c r="AZ112" s="2">
        <v>3295.92</v>
      </c>
      <c r="BA112" s="2">
        <v>4005.19</v>
      </c>
      <c r="BB112" s="2">
        <v>4453.93</v>
      </c>
      <c r="BC112" s="2">
        <v>3329.34</v>
      </c>
      <c r="BD112" s="2">
        <v>4481.3100000000004</v>
      </c>
      <c r="BE112" s="2">
        <v>5434.15</v>
      </c>
      <c r="BF112" s="2">
        <v>4718.45</v>
      </c>
      <c r="BG112" s="2">
        <v>6286.05</v>
      </c>
      <c r="BH112" s="2">
        <v>4683.9399999999996</v>
      </c>
      <c r="BI112" s="2">
        <v>5692.94</v>
      </c>
      <c r="BJ112" s="2">
        <v>4593.41</v>
      </c>
      <c r="BK112" s="2">
        <v>5477.19</v>
      </c>
      <c r="BL112" s="2">
        <v>4251.2700000000004</v>
      </c>
      <c r="BM112" s="2">
        <v>5550.62</v>
      </c>
      <c r="BN112" s="2">
        <v>3864.35</v>
      </c>
      <c r="BO112" s="2">
        <v>3995.44</v>
      </c>
      <c r="BR112" s="1" t="s">
        <v>71</v>
      </c>
      <c r="BS112" s="2">
        <v>7.02</v>
      </c>
      <c r="BT112" s="2">
        <v>7.02</v>
      </c>
      <c r="BU112" s="2">
        <v>14.04</v>
      </c>
      <c r="BV112" s="2">
        <v>13.98</v>
      </c>
      <c r="BW112" s="2">
        <v>2.7</v>
      </c>
      <c r="BX112" s="2">
        <v>2.7</v>
      </c>
      <c r="BY112" s="2">
        <v>6.86</v>
      </c>
      <c r="BZ112" s="2">
        <v>8.64</v>
      </c>
      <c r="CA112" s="2">
        <v>8.3800000000000008</v>
      </c>
      <c r="CB112" s="2">
        <v>10.8</v>
      </c>
      <c r="CC112" s="2">
        <v>17.68</v>
      </c>
      <c r="CD112" s="2">
        <v>35.619999999999997</v>
      </c>
      <c r="CE112" s="2">
        <v>14</v>
      </c>
      <c r="CF112" s="2">
        <v>15.66</v>
      </c>
      <c r="CG112" s="2">
        <v>18.059999999999999</v>
      </c>
      <c r="CH112" s="2">
        <v>20.52</v>
      </c>
      <c r="CI112" s="2">
        <v>14.79</v>
      </c>
      <c r="CJ112" s="2">
        <v>18.36</v>
      </c>
      <c r="CK112" s="2">
        <v>16.649999999999999</v>
      </c>
      <c r="CL112" s="2">
        <v>15.05</v>
      </c>
    </row>
    <row r="113" spans="2:90" x14ac:dyDescent="0.3">
      <c r="B113" s="1" t="s">
        <v>72</v>
      </c>
      <c r="C113" s="2">
        <v>0.31569779744274612</v>
      </c>
      <c r="D113" s="2">
        <v>0.5021738560404051</v>
      </c>
      <c r="E113" s="2">
        <v>0.2259291543649751</v>
      </c>
      <c r="F113" s="2">
        <v>0.59616543360738161</v>
      </c>
      <c r="G113" s="2">
        <v>0.2266699222918013</v>
      </c>
      <c r="H113" s="2">
        <v>0.40045787437703417</v>
      </c>
      <c r="I113" s="2">
        <v>0.23967549154946149</v>
      </c>
      <c r="J113" s="2">
        <v>0.29456081576931048</v>
      </c>
      <c r="K113" s="2">
        <v>0.15779852890572729</v>
      </c>
      <c r="L113" s="2">
        <v>0.34956229902382618</v>
      </c>
      <c r="M113" s="2">
        <v>0.16681076913013501</v>
      </c>
      <c r="N113" s="2">
        <v>0.36828168320296489</v>
      </c>
      <c r="O113" s="2">
        <v>0.17752547808456831</v>
      </c>
      <c r="P113" s="2">
        <v>0.36288844575083329</v>
      </c>
      <c r="Q113" s="2">
        <v>0.2176700271994467</v>
      </c>
      <c r="R113" s="2">
        <v>0.37302097355007657</v>
      </c>
      <c r="S113" s="2">
        <v>0.25210987387459483</v>
      </c>
      <c r="T113" s="2">
        <v>0.30088424879811793</v>
      </c>
      <c r="U113" s="2">
        <v>0.26442374271465091</v>
      </c>
      <c r="V113" s="2">
        <v>0.30577987115650729</v>
      </c>
      <c r="X113" s="1" t="s">
        <v>72</v>
      </c>
      <c r="Y113" s="2">
        <v>4717.58</v>
      </c>
      <c r="Z113" s="2">
        <v>4870.5200000000004</v>
      </c>
      <c r="AA113" s="2">
        <v>3579.37</v>
      </c>
      <c r="AB113" s="2">
        <v>5347.75</v>
      </c>
      <c r="AC113" s="2">
        <v>3976.59</v>
      </c>
      <c r="AD113" s="2">
        <v>4804.66</v>
      </c>
      <c r="AE113" s="2">
        <v>3714.68</v>
      </c>
      <c r="AF113" s="2">
        <v>5135.04</v>
      </c>
      <c r="AG113" s="2">
        <v>2801.22</v>
      </c>
      <c r="AH113" s="2">
        <v>6395.57</v>
      </c>
      <c r="AI113" s="2">
        <v>3070.31</v>
      </c>
      <c r="AJ113" s="2">
        <v>6451.95</v>
      </c>
      <c r="AK113" s="2">
        <v>3100.72</v>
      </c>
      <c r="AL113" s="2">
        <v>5675.43</v>
      </c>
      <c r="AM113" s="2">
        <v>3387.18</v>
      </c>
      <c r="AN113" s="2">
        <v>2547.0500000000002</v>
      </c>
      <c r="AO113" s="2">
        <v>2453.09</v>
      </c>
      <c r="AP113" s="2">
        <v>2698.85</v>
      </c>
      <c r="AQ113" s="2">
        <v>2102.4299999999998</v>
      </c>
      <c r="AR113" s="2">
        <v>2057.84</v>
      </c>
      <c r="AU113" s="1" t="s">
        <v>72</v>
      </c>
      <c r="AV113" s="2">
        <v>15788.18</v>
      </c>
      <c r="AW113" s="2">
        <v>16433.14</v>
      </c>
      <c r="AX113" s="2">
        <v>18829.27</v>
      </c>
      <c r="AY113" s="2">
        <v>20934.11</v>
      </c>
      <c r="AZ113" s="2">
        <v>10513.24</v>
      </c>
      <c r="BA113" s="2">
        <v>15798.57</v>
      </c>
      <c r="BB113" s="2">
        <v>14584.48</v>
      </c>
      <c r="BC113" s="2">
        <v>11374.33</v>
      </c>
      <c r="BD113" s="2">
        <v>14052.52</v>
      </c>
      <c r="BE113" s="2">
        <v>17722.38</v>
      </c>
      <c r="BF113" s="2">
        <v>14417.28</v>
      </c>
      <c r="BG113" s="2">
        <v>18017.689999999999</v>
      </c>
      <c r="BH113" s="2">
        <v>14422.22</v>
      </c>
      <c r="BI113" s="2">
        <v>17327.669999999998</v>
      </c>
      <c r="BJ113" s="2">
        <v>14554.8</v>
      </c>
      <c r="BK113" s="2">
        <v>17021.099999999999</v>
      </c>
      <c r="BL113" s="2">
        <v>12875.93</v>
      </c>
      <c r="BM113" s="2">
        <v>13756.96</v>
      </c>
      <c r="BN113" s="2">
        <v>12246.08</v>
      </c>
      <c r="BO113" s="2">
        <v>12407.37</v>
      </c>
      <c r="BR113" s="1" t="s">
        <v>72</v>
      </c>
      <c r="BS113" s="2">
        <v>14.04</v>
      </c>
      <c r="BT113" s="2">
        <v>14.04</v>
      </c>
      <c r="BU113" s="2">
        <v>14.04</v>
      </c>
      <c r="BV113" s="2">
        <v>14.04</v>
      </c>
      <c r="BW113" s="2">
        <v>2.7</v>
      </c>
      <c r="BX113" s="2">
        <v>5.4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39.56</v>
      </c>
      <c r="CI113" s="2">
        <v>18.36</v>
      </c>
      <c r="CJ113" s="2">
        <v>18.36</v>
      </c>
      <c r="CK113" s="2">
        <v>24.3</v>
      </c>
      <c r="CL113" s="2">
        <v>24.3</v>
      </c>
    </row>
    <row r="114" spans="2:90" x14ac:dyDescent="0.3">
      <c r="B114" s="1" t="s">
        <v>73</v>
      </c>
      <c r="C114" s="2">
        <v>3.3754946310700203E-2</v>
      </c>
      <c r="D114" s="2">
        <v>8.4877707360955915E-2</v>
      </c>
      <c r="E114" s="2">
        <v>1.447131206554814E-2</v>
      </c>
      <c r="F114" s="2">
        <v>2.8900123780790869E-2</v>
      </c>
      <c r="G114" s="2">
        <v>2.917159228853574E-3</v>
      </c>
      <c r="H114" s="2">
        <v>2.3610738175820219E-2</v>
      </c>
      <c r="I114" s="2">
        <v>2.0286005496618669E-2</v>
      </c>
      <c r="J114" s="2">
        <v>0.11876049104098289</v>
      </c>
      <c r="K114" s="2">
        <v>4.9559787128761038E-2</v>
      </c>
      <c r="L114" s="2">
        <v>0.1086268510543924</v>
      </c>
      <c r="M114" s="2">
        <v>6.8468631336117608E-2</v>
      </c>
      <c r="N114" s="2">
        <v>0.1181453865530083</v>
      </c>
      <c r="O114" s="2">
        <v>8.0142896935179841E-2</v>
      </c>
      <c r="P114" s="2">
        <v>0.110022178012879</v>
      </c>
      <c r="Q114" s="2">
        <v>7.43249353955657E-2</v>
      </c>
      <c r="R114" s="2">
        <v>8.7236034844681939E-2</v>
      </c>
      <c r="S114" s="2">
        <v>0.10049165932569409</v>
      </c>
      <c r="T114" s="2">
        <v>9.3458412244781158E-2</v>
      </c>
      <c r="U114" s="2">
        <v>0.1075925359018202</v>
      </c>
      <c r="V114" s="2">
        <v>0.1073070930417864</v>
      </c>
      <c r="X114" s="1" t="s">
        <v>73</v>
      </c>
      <c r="Y114" s="2">
        <v>1692.79</v>
      </c>
      <c r="Z114" s="2">
        <v>2017.38</v>
      </c>
      <c r="AA114" s="2">
        <v>1494.71</v>
      </c>
      <c r="AB114" s="2">
        <v>1585.42</v>
      </c>
      <c r="AC114" s="2">
        <v>335.3</v>
      </c>
      <c r="AD114" s="2">
        <v>1621.82</v>
      </c>
      <c r="AE114" s="2">
        <v>1051.8699999999999</v>
      </c>
      <c r="AF114" s="2">
        <v>2221.33</v>
      </c>
      <c r="AG114" s="2">
        <v>1483.1</v>
      </c>
      <c r="AH114" s="2">
        <v>2090.6</v>
      </c>
      <c r="AI114" s="2">
        <v>1502.46</v>
      </c>
      <c r="AJ114" s="2">
        <v>2139.7600000000002</v>
      </c>
      <c r="AK114" s="2">
        <v>1480.23</v>
      </c>
      <c r="AL114" s="2">
        <v>1798.69</v>
      </c>
      <c r="AM114" s="2">
        <v>1461.05</v>
      </c>
      <c r="AN114" s="2">
        <v>1552.13</v>
      </c>
      <c r="AO114" s="2">
        <v>1385.81</v>
      </c>
      <c r="AP114" s="2">
        <v>1409.58</v>
      </c>
      <c r="AQ114" s="2">
        <v>1408</v>
      </c>
      <c r="AR114" s="2">
        <v>1382.6</v>
      </c>
      <c r="AU114" s="1" t="s">
        <v>73</v>
      </c>
      <c r="AV114" s="2">
        <v>8409.41</v>
      </c>
      <c r="AW114" s="2">
        <v>11170.62</v>
      </c>
      <c r="AX114" s="2">
        <v>9130.09</v>
      </c>
      <c r="AY114" s="2">
        <v>9687.3799999999992</v>
      </c>
      <c r="AZ114" s="2">
        <v>6370.6</v>
      </c>
      <c r="BA114" s="2">
        <v>9895.48</v>
      </c>
      <c r="BB114" s="2">
        <v>6401.33</v>
      </c>
      <c r="BC114" s="2">
        <v>9449</v>
      </c>
      <c r="BD114" s="2">
        <v>6835.9</v>
      </c>
      <c r="BE114" s="2">
        <v>9859.82</v>
      </c>
      <c r="BF114" s="2">
        <v>6721.44</v>
      </c>
      <c r="BG114" s="2">
        <v>10196.48</v>
      </c>
      <c r="BH114" s="2">
        <v>6614.07</v>
      </c>
      <c r="BI114" s="2">
        <v>9553.61</v>
      </c>
      <c r="BJ114" s="2">
        <v>6328.15</v>
      </c>
      <c r="BK114" s="2">
        <v>7145.47</v>
      </c>
      <c r="BL114" s="2">
        <v>5806.09</v>
      </c>
      <c r="BM114" s="2">
        <v>6040.62</v>
      </c>
      <c r="BN114" s="2">
        <v>6040.7</v>
      </c>
      <c r="BO114" s="2">
        <v>6282.4</v>
      </c>
      <c r="BR114" s="1" t="s">
        <v>73</v>
      </c>
      <c r="BS114" s="2">
        <v>4.07</v>
      </c>
      <c r="BT114" s="2">
        <v>6.02</v>
      </c>
      <c r="BU114" s="2">
        <v>2.17</v>
      </c>
      <c r="BV114" s="2">
        <v>2.29</v>
      </c>
      <c r="BW114" s="2">
        <v>0.3</v>
      </c>
      <c r="BX114" s="2">
        <v>0.99</v>
      </c>
      <c r="BY114" s="2">
        <v>2.4300000000000002</v>
      </c>
      <c r="BZ114" s="2">
        <v>8.64</v>
      </c>
      <c r="CA114" s="2">
        <v>6.01</v>
      </c>
      <c r="CB114" s="2">
        <v>10.8</v>
      </c>
      <c r="CC114" s="2">
        <v>15.38</v>
      </c>
      <c r="CD114" s="2">
        <v>19.440000000000001</v>
      </c>
      <c r="CE114" s="2">
        <v>13.82</v>
      </c>
      <c r="CF114" s="2">
        <v>15.05</v>
      </c>
      <c r="CG114" s="2">
        <v>15.52</v>
      </c>
      <c r="CH114" s="2">
        <v>14.51</v>
      </c>
      <c r="CI114" s="2">
        <v>12.33</v>
      </c>
      <c r="CJ114" s="2">
        <v>10.16</v>
      </c>
      <c r="CK114" s="2">
        <v>13.98</v>
      </c>
      <c r="CL114" s="2">
        <v>11.48</v>
      </c>
    </row>
    <row r="116" spans="2:90" x14ac:dyDescent="0.3">
      <c r="W116" s="6">
        <f>SUM(W101,W87,W73)</f>
        <v>0.26515074976412811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63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64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63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64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63</v>
      </c>
      <c r="BT118" s="1" t="s">
        <v>64</v>
      </c>
      <c r="BU118" s="1" t="s">
        <v>63</v>
      </c>
      <c r="BV118" s="1" t="s">
        <v>64</v>
      </c>
      <c r="BW118" s="1" t="s">
        <v>63</v>
      </c>
      <c r="BX118" s="1" t="s">
        <v>64</v>
      </c>
      <c r="BY118" s="1" t="s">
        <v>63</v>
      </c>
      <c r="BZ118" s="1" t="s">
        <v>64</v>
      </c>
      <c r="CA118" s="1" t="s">
        <v>63</v>
      </c>
      <c r="CB118" s="1" t="s">
        <v>64</v>
      </c>
      <c r="CC118" s="1" t="s">
        <v>63</v>
      </c>
      <c r="CD118" s="1" t="s">
        <v>64</v>
      </c>
      <c r="CE118" s="1" t="s">
        <v>63</v>
      </c>
      <c r="CF118" s="1" t="s">
        <v>64</v>
      </c>
      <c r="CG118" s="1" t="s">
        <v>63</v>
      </c>
      <c r="CH118" s="1" t="s">
        <v>64</v>
      </c>
      <c r="CI118" s="1" t="s">
        <v>63</v>
      </c>
      <c r="CJ118" s="1" t="s">
        <v>64</v>
      </c>
      <c r="CK118" s="1" t="s">
        <v>63</v>
      </c>
      <c r="CL118" s="1" t="s">
        <v>64</v>
      </c>
    </row>
    <row r="119" spans="2:90" x14ac:dyDescent="0.3">
      <c r="X119" s="1" t="s">
        <v>65</v>
      </c>
      <c r="Y119" s="1" t="s">
        <v>53</v>
      </c>
      <c r="Z119" s="1" t="s">
        <v>62</v>
      </c>
      <c r="AA119" s="1" t="s">
        <v>54</v>
      </c>
      <c r="AB119" s="1" t="s">
        <v>55</v>
      </c>
      <c r="AC119" s="1" t="s">
        <v>56</v>
      </c>
      <c r="AD119" s="1" t="s">
        <v>57</v>
      </c>
      <c r="AE119" s="1" t="s">
        <v>58</v>
      </c>
      <c r="AF119" s="1" t="s">
        <v>59</v>
      </c>
      <c r="AG119" s="1" t="s">
        <v>60</v>
      </c>
      <c r="AH119" s="1" t="s">
        <v>61</v>
      </c>
      <c r="AI119" s="1" t="s">
        <v>53</v>
      </c>
      <c r="AJ119" s="1" t="s">
        <v>62</v>
      </c>
      <c r="AK119" s="1" t="s">
        <v>54</v>
      </c>
      <c r="AL119" s="1" t="s">
        <v>55</v>
      </c>
      <c r="AM119" s="1" t="s">
        <v>56</v>
      </c>
      <c r="AN119" s="1" t="s">
        <v>57</v>
      </c>
      <c r="AO119" s="1" t="s">
        <v>58</v>
      </c>
      <c r="AP119" s="1" t="s">
        <v>59</v>
      </c>
      <c r="AQ119" s="1" t="s">
        <v>60</v>
      </c>
      <c r="AR119" s="1" t="s">
        <v>61</v>
      </c>
      <c r="AU119" s="1" t="s">
        <v>65</v>
      </c>
      <c r="AV119" s="1" t="s">
        <v>53</v>
      </c>
      <c r="AW119" s="1" t="s">
        <v>62</v>
      </c>
      <c r="AX119" s="1" t="s">
        <v>54</v>
      </c>
      <c r="AY119" s="1" t="s">
        <v>55</v>
      </c>
      <c r="AZ119" s="1" t="s">
        <v>56</v>
      </c>
      <c r="BA119" s="1" t="s">
        <v>57</v>
      </c>
      <c r="BB119" s="1" t="s">
        <v>58</v>
      </c>
      <c r="BC119" s="1" t="s">
        <v>59</v>
      </c>
      <c r="BD119" s="1" t="s">
        <v>60</v>
      </c>
      <c r="BE119" s="1" t="s">
        <v>61</v>
      </c>
      <c r="BF119" s="1" t="s">
        <v>53</v>
      </c>
      <c r="BG119" s="1" t="s">
        <v>62</v>
      </c>
      <c r="BH119" s="1" t="s">
        <v>54</v>
      </c>
      <c r="BI119" s="1" t="s">
        <v>55</v>
      </c>
      <c r="BJ119" s="1" t="s">
        <v>56</v>
      </c>
      <c r="BK119" s="1" t="s">
        <v>57</v>
      </c>
      <c r="BL119" s="1" t="s">
        <v>58</v>
      </c>
      <c r="BM119" s="1" t="s">
        <v>59</v>
      </c>
      <c r="BN119" s="1" t="s">
        <v>60</v>
      </c>
      <c r="BO119" s="1" t="s">
        <v>61</v>
      </c>
      <c r="BR119" s="1" t="s">
        <v>65</v>
      </c>
      <c r="BS119" s="1" t="s">
        <v>53</v>
      </c>
      <c r="BT119" s="1" t="s">
        <v>53</v>
      </c>
      <c r="BU119" s="1" t="s">
        <v>54</v>
      </c>
      <c r="BV119" s="1" t="s">
        <v>54</v>
      </c>
      <c r="BW119" s="1" t="s">
        <v>55</v>
      </c>
      <c r="BX119" s="1" t="s">
        <v>55</v>
      </c>
      <c r="BY119" s="1" t="s">
        <v>56</v>
      </c>
      <c r="BZ119" s="1" t="s">
        <v>56</v>
      </c>
      <c r="CA119" s="1" t="s">
        <v>57</v>
      </c>
      <c r="CB119" s="1" t="s">
        <v>57</v>
      </c>
      <c r="CC119" s="1" t="s">
        <v>58</v>
      </c>
      <c r="CD119" s="1" t="s">
        <v>58</v>
      </c>
      <c r="CE119" s="1" t="s">
        <v>59</v>
      </c>
      <c r="CF119" s="1" t="s">
        <v>59</v>
      </c>
      <c r="CG119" s="1" t="s">
        <v>60</v>
      </c>
      <c r="CH119" s="1" t="s">
        <v>60</v>
      </c>
      <c r="CI119" s="1" t="s">
        <v>61</v>
      </c>
      <c r="CJ119" s="1" t="s">
        <v>61</v>
      </c>
      <c r="CK119" s="1" t="s">
        <v>62</v>
      </c>
      <c r="CL119" s="1" t="s">
        <v>62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66</v>
      </c>
      <c r="Y121" s="2">
        <v>56.93</v>
      </c>
      <c r="Z121" s="2">
        <v>14.82</v>
      </c>
      <c r="AA121" s="2">
        <v>17.14</v>
      </c>
      <c r="AB121" s="2">
        <v>7.01</v>
      </c>
      <c r="AC121" s="2">
        <v>38.770000000000003</v>
      </c>
      <c r="AD121" s="2">
        <v>38.85</v>
      </c>
      <c r="AE121" s="2">
        <v>85.5</v>
      </c>
      <c r="AF121" s="2">
        <v>102.99</v>
      </c>
      <c r="AG121" s="2">
        <v>83.2</v>
      </c>
      <c r="AH121" s="2">
        <v>10.83</v>
      </c>
      <c r="AI121" s="2">
        <v>52.46</v>
      </c>
      <c r="AJ121" s="2">
        <v>12.87</v>
      </c>
      <c r="AK121" s="2">
        <v>17.059999999999999</v>
      </c>
      <c r="AL121" s="2">
        <v>11.75</v>
      </c>
      <c r="AM121" s="2">
        <v>39.08</v>
      </c>
      <c r="AN121" s="2">
        <v>21.68</v>
      </c>
      <c r="AO121" s="2">
        <v>38.19</v>
      </c>
      <c r="AP121" s="2">
        <v>8.3000000000000007</v>
      </c>
      <c r="AQ121" s="2">
        <v>26.63</v>
      </c>
      <c r="AR121" s="2">
        <v>8.7200000000000006</v>
      </c>
      <c r="AU121" s="1" t="s">
        <v>66</v>
      </c>
      <c r="AV121" s="2">
        <v>358.94</v>
      </c>
      <c r="AW121" s="2">
        <v>1396.38</v>
      </c>
      <c r="AX121" s="2">
        <v>262.23</v>
      </c>
      <c r="AY121" s="2">
        <v>107.79</v>
      </c>
      <c r="AZ121" s="2">
        <v>398.03</v>
      </c>
      <c r="BA121" s="2">
        <v>599.54999999999995</v>
      </c>
      <c r="BB121" s="2">
        <v>1003.14</v>
      </c>
      <c r="BC121" s="2">
        <v>932.31</v>
      </c>
      <c r="BD121" s="2">
        <v>972.82</v>
      </c>
      <c r="BE121" s="2">
        <v>1043.51</v>
      </c>
      <c r="BF121" s="2">
        <v>386.16</v>
      </c>
      <c r="BG121" s="2">
        <v>1240.83</v>
      </c>
      <c r="BH121" s="2">
        <v>262.31</v>
      </c>
      <c r="BI121" s="2">
        <v>169.55</v>
      </c>
      <c r="BJ121" s="2">
        <v>594.84</v>
      </c>
      <c r="BK121" s="2">
        <v>564.91999999999996</v>
      </c>
      <c r="BL121" s="2">
        <v>1050.45</v>
      </c>
      <c r="BM121" s="2">
        <v>799.64</v>
      </c>
      <c r="BN121" s="2">
        <v>997.47</v>
      </c>
      <c r="BO121" s="2">
        <v>840.94</v>
      </c>
      <c r="BR121" s="1" t="s">
        <v>66</v>
      </c>
      <c r="BS121" s="2">
        <v>130.86000000000001</v>
      </c>
      <c r="BT121" s="2">
        <v>130.86000000000001</v>
      </c>
      <c r="BU121" s="2">
        <v>131.56</v>
      </c>
      <c r="BV121" s="2">
        <v>131.69999999999999</v>
      </c>
      <c r="BW121" s="2">
        <v>131.68</v>
      </c>
      <c r="BX121" s="2">
        <v>130.86000000000001</v>
      </c>
      <c r="BY121" s="2">
        <v>180.16</v>
      </c>
      <c r="BZ121" s="2">
        <v>180.16</v>
      </c>
      <c r="CA121" s="2">
        <v>19774.259999999998</v>
      </c>
      <c r="CB121" s="2">
        <v>19204.43</v>
      </c>
      <c r="CC121" s="2">
        <v>19353.740000000002</v>
      </c>
      <c r="CD121" s="2">
        <v>19204.39</v>
      </c>
      <c r="CE121" s="2">
        <v>19993.87</v>
      </c>
      <c r="CF121" s="2">
        <v>19211.28</v>
      </c>
      <c r="CG121" s="2">
        <v>19217.89</v>
      </c>
      <c r="CH121" s="2">
        <v>19204.400000000001</v>
      </c>
      <c r="CI121" s="2">
        <v>21430.31</v>
      </c>
      <c r="CJ121" s="2">
        <v>102897.06</v>
      </c>
      <c r="CK121" s="2">
        <v>19214.86</v>
      </c>
      <c r="CL121" s="2">
        <v>75263.350000000006</v>
      </c>
    </row>
    <row r="122" spans="2:90" x14ac:dyDescent="0.3">
      <c r="X122" s="1" t="s">
        <v>67</v>
      </c>
      <c r="Y122" s="2">
        <v>27.37</v>
      </c>
      <c r="Z122" s="2">
        <v>93.4</v>
      </c>
      <c r="AA122" s="2">
        <v>15.14</v>
      </c>
      <c r="AB122" s="2">
        <v>6.72</v>
      </c>
      <c r="AC122" s="2">
        <v>29.12</v>
      </c>
      <c r="AD122" s="2">
        <v>36.89</v>
      </c>
      <c r="AE122" s="2">
        <v>74.48</v>
      </c>
      <c r="AF122" s="2">
        <v>55.65</v>
      </c>
      <c r="AG122" s="2">
        <v>70.28</v>
      </c>
      <c r="AH122" s="2">
        <v>53.81</v>
      </c>
      <c r="AI122" s="2">
        <v>22.95</v>
      </c>
      <c r="AJ122" s="2">
        <v>74.52</v>
      </c>
      <c r="AK122" s="2">
        <v>16.77</v>
      </c>
      <c r="AL122" s="2">
        <v>10.92</v>
      </c>
      <c r="AM122" s="2">
        <v>42.96</v>
      </c>
      <c r="AN122" s="2">
        <v>49.07</v>
      </c>
      <c r="AO122" s="2">
        <v>98.09</v>
      </c>
      <c r="AP122" s="2">
        <v>64.34</v>
      </c>
      <c r="AQ122" s="2">
        <v>69.98</v>
      </c>
      <c r="AR122" s="2">
        <v>62.77</v>
      </c>
      <c r="AU122" s="1" t="s">
        <v>67</v>
      </c>
      <c r="AV122" s="2">
        <v>215.08</v>
      </c>
      <c r="AW122" s="2">
        <v>735.05</v>
      </c>
      <c r="AX122" s="2">
        <v>111.22</v>
      </c>
      <c r="AY122" s="2">
        <v>43.18</v>
      </c>
      <c r="AZ122" s="2">
        <v>214.24</v>
      </c>
      <c r="BA122" s="2">
        <v>290.70999999999998</v>
      </c>
      <c r="BB122" s="2">
        <v>520.24</v>
      </c>
      <c r="BC122" s="2">
        <v>420.53</v>
      </c>
      <c r="BD122" s="2">
        <v>524.04</v>
      </c>
      <c r="BE122" s="2">
        <v>398.05</v>
      </c>
      <c r="BF122" s="2">
        <v>168.02</v>
      </c>
      <c r="BG122" s="2">
        <v>580.23</v>
      </c>
      <c r="BH122" s="2">
        <v>122.85</v>
      </c>
      <c r="BI122" s="2">
        <v>80.03</v>
      </c>
      <c r="BJ122" s="2">
        <v>278.95999999999998</v>
      </c>
      <c r="BK122" s="2">
        <v>347.33</v>
      </c>
      <c r="BL122" s="2">
        <v>692.11</v>
      </c>
      <c r="BM122" s="2">
        <v>462.3</v>
      </c>
      <c r="BN122" s="2">
        <v>524.34</v>
      </c>
      <c r="BO122" s="2">
        <v>430.91</v>
      </c>
      <c r="BR122" s="1" t="s">
        <v>67</v>
      </c>
      <c r="BS122" s="2">
        <v>404.38</v>
      </c>
      <c r="BT122" s="2">
        <v>488.06</v>
      </c>
      <c r="BU122" s="2">
        <v>434.21</v>
      </c>
      <c r="BV122" s="2">
        <v>477.12</v>
      </c>
      <c r="BW122" s="2">
        <v>503.96</v>
      </c>
      <c r="BX122" s="2">
        <v>500.01</v>
      </c>
      <c r="BY122" s="2">
        <v>431.79</v>
      </c>
      <c r="BZ122" s="2">
        <v>493.15</v>
      </c>
      <c r="CA122" s="2">
        <v>539.70000000000005</v>
      </c>
      <c r="CB122" s="2">
        <v>1196.6400000000001</v>
      </c>
      <c r="CC122" s="2">
        <v>416.39</v>
      </c>
      <c r="CD122" s="2">
        <v>1106.08</v>
      </c>
      <c r="CE122" s="2">
        <v>545.83000000000004</v>
      </c>
      <c r="CF122" s="2">
        <v>832.7</v>
      </c>
      <c r="CG122" s="2">
        <v>604.16</v>
      </c>
      <c r="CH122" s="2">
        <v>1063.56</v>
      </c>
      <c r="CI122" s="2">
        <v>664.67</v>
      </c>
      <c r="CJ122" s="2">
        <v>2197.3200000000002</v>
      </c>
      <c r="CK122" s="2">
        <v>776.99</v>
      </c>
      <c r="CL122" s="2">
        <v>5278.57</v>
      </c>
    </row>
    <row r="123" spans="2:90" x14ac:dyDescent="0.3">
      <c r="X123" s="1" t="s">
        <v>68</v>
      </c>
      <c r="Y123" s="2">
        <v>232.35</v>
      </c>
      <c r="Z123" s="2">
        <v>339.77</v>
      </c>
      <c r="AA123" s="2">
        <v>176.11</v>
      </c>
      <c r="AB123" s="2">
        <v>109.56</v>
      </c>
      <c r="AC123" s="2">
        <v>323.5</v>
      </c>
      <c r="AD123" s="2">
        <v>499.57</v>
      </c>
      <c r="AE123" s="2">
        <v>907.46</v>
      </c>
      <c r="AF123" s="2">
        <v>774.46</v>
      </c>
      <c r="AG123" s="2">
        <v>951.04</v>
      </c>
      <c r="AH123" s="2">
        <v>373.14</v>
      </c>
      <c r="AI123" s="2">
        <v>64.790000000000006</v>
      </c>
      <c r="AJ123" s="2">
        <v>321.32</v>
      </c>
      <c r="AK123" s="2">
        <v>47.92</v>
      </c>
      <c r="AL123" s="2">
        <v>126</v>
      </c>
      <c r="AM123" s="2">
        <v>210.94</v>
      </c>
      <c r="AN123" s="2">
        <v>244.13</v>
      </c>
      <c r="AO123" s="2">
        <v>462.84</v>
      </c>
      <c r="AP123" s="2">
        <v>338.24</v>
      </c>
      <c r="AQ123" s="2">
        <v>364.83</v>
      </c>
      <c r="AR123" s="2">
        <v>331.54</v>
      </c>
      <c r="AU123" s="1" t="s">
        <v>68</v>
      </c>
      <c r="AV123" s="2">
        <v>844.91</v>
      </c>
      <c r="AW123" s="2">
        <v>2260.96</v>
      </c>
      <c r="AX123" s="2">
        <v>700.98</v>
      </c>
      <c r="AY123" s="2">
        <v>248.84</v>
      </c>
      <c r="AZ123" s="2">
        <v>1004.93</v>
      </c>
      <c r="BA123" s="2">
        <v>1517.63</v>
      </c>
      <c r="BB123" s="2">
        <v>2621.2600000000002</v>
      </c>
      <c r="BC123" s="2">
        <v>2129.36</v>
      </c>
      <c r="BD123" s="2">
        <v>2558.44</v>
      </c>
      <c r="BE123" s="2">
        <v>1966.19</v>
      </c>
      <c r="BF123" s="2">
        <v>474.58</v>
      </c>
      <c r="BG123" s="2">
        <v>2091.84</v>
      </c>
      <c r="BH123" s="2">
        <v>351.05</v>
      </c>
      <c r="BI123" s="2">
        <v>402.92</v>
      </c>
      <c r="BJ123" s="2">
        <v>1075.56</v>
      </c>
      <c r="BK123" s="2">
        <v>1444.67</v>
      </c>
      <c r="BL123" s="2">
        <v>2715.19</v>
      </c>
      <c r="BM123" s="2">
        <v>1924.96</v>
      </c>
      <c r="BN123" s="2">
        <v>2234.42</v>
      </c>
      <c r="BO123" s="2">
        <v>2169.4499999999998</v>
      </c>
      <c r="BR123" s="1" t="s">
        <v>68</v>
      </c>
      <c r="BS123" s="2">
        <v>164.83</v>
      </c>
      <c r="BT123" s="2">
        <v>657.02</v>
      </c>
      <c r="BU123" s="2">
        <v>178.84</v>
      </c>
      <c r="BV123" s="2">
        <v>574.08000000000004</v>
      </c>
      <c r="BW123" s="2">
        <v>154.57</v>
      </c>
      <c r="BX123" s="2">
        <v>203.34</v>
      </c>
      <c r="BY123" s="2">
        <v>190.84</v>
      </c>
      <c r="BZ123" s="2">
        <v>516.94000000000005</v>
      </c>
      <c r="CA123" s="2">
        <v>187.95</v>
      </c>
      <c r="CB123" s="2">
        <v>945.71</v>
      </c>
      <c r="CC123" s="2">
        <v>174.54</v>
      </c>
      <c r="CD123" s="2">
        <v>934.63</v>
      </c>
      <c r="CE123" s="2">
        <v>175.25</v>
      </c>
      <c r="CF123" s="2">
        <v>865.99</v>
      </c>
      <c r="CG123" s="2">
        <v>177.2</v>
      </c>
      <c r="CH123" s="2">
        <v>1042.82</v>
      </c>
      <c r="CI123" s="2">
        <v>674.13</v>
      </c>
      <c r="CJ123" s="2">
        <v>1831.25</v>
      </c>
      <c r="CK123" s="2">
        <v>1975.79</v>
      </c>
      <c r="CL123" s="2">
        <v>3188.78</v>
      </c>
    </row>
    <row r="124" spans="2:90" x14ac:dyDescent="0.3">
      <c r="X124" s="1" t="s">
        <v>69</v>
      </c>
      <c r="Y124" s="2">
        <v>46.42</v>
      </c>
      <c r="Z124" s="2">
        <v>115.07</v>
      </c>
      <c r="AA124" s="2">
        <v>32.17</v>
      </c>
      <c r="AB124" s="2">
        <v>23.39</v>
      </c>
      <c r="AC124" s="2">
        <v>95.43</v>
      </c>
      <c r="AD124" s="2">
        <v>111.06</v>
      </c>
      <c r="AE124" s="2">
        <v>211.72</v>
      </c>
      <c r="AF124" s="2">
        <v>178.23</v>
      </c>
      <c r="AG124" s="2">
        <v>166.7</v>
      </c>
      <c r="AH124" s="2">
        <v>91.6</v>
      </c>
      <c r="AI124" s="2">
        <v>23.47</v>
      </c>
      <c r="AJ124" s="2">
        <v>83.71</v>
      </c>
      <c r="AK124" s="2">
        <v>20.78</v>
      </c>
      <c r="AL124" s="2">
        <v>27.46</v>
      </c>
      <c r="AM124" s="2">
        <v>44.94</v>
      </c>
      <c r="AN124" s="2">
        <v>62.89</v>
      </c>
      <c r="AO124" s="2">
        <v>117.71</v>
      </c>
      <c r="AP124" s="2">
        <v>80.44</v>
      </c>
      <c r="AQ124" s="2">
        <v>108.03</v>
      </c>
      <c r="AR124" s="2">
        <v>83.49</v>
      </c>
      <c r="AU124" s="1" t="s">
        <v>69</v>
      </c>
      <c r="AV124" s="2">
        <v>281.61</v>
      </c>
      <c r="AW124" s="2">
        <v>747.13</v>
      </c>
      <c r="AX124" s="2">
        <v>199.1</v>
      </c>
      <c r="AY124" s="2">
        <v>76.31</v>
      </c>
      <c r="AZ124" s="2">
        <v>371.29</v>
      </c>
      <c r="BA124" s="2">
        <v>452.32</v>
      </c>
      <c r="BB124" s="2">
        <v>860.9</v>
      </c>
      <c r="BC124" s="2">
        <v>719.08</v>
      </c>
      <c r="BD124" s="2">
        <v>894.64</v>
      </c>
      <c r="BE124" s="2">
        <v>619.67999999999995</v>
      </c>
      <c r="BF124" s="2">
        <v>137.08000000000001</v>
      </c>
      <c r="BG124" s="2">
        <v>649.98</v>
      </c>
      <c r="BH124" s="2">
        <v>152.12</v>
      </c>
      <c r="BI124" s="2">
        <v>97.99</v>
      </c>
      <c r="BJ124" s="2">
        <v>281.13</v>
      </c>
      <c r="BK124" s="2">
        <v>429.87</v>
      </c>
      <c r="BL124" s="2">
        <v>788.23</v>
      </c>
      <c r="BM124" s="2">
        <v>536.39</v>
      </c>
      <c r="BN124" s="2">
        <v>721.89</v>
      </c>
      <c r="BO124" s="2">
        <v>531.57000000000005</v>
      </c>
      <c r="BR124" s="1" t="s">
        <v>69</v>
      </c>
      <c r="BS124" s="2">
        <v>210</v>
      </c>
      <c r="BT124" s="2">
        <v>475.8</v>
      </c>
      <c r="BU124" s="2">
        <v>220.25</v>
      </c>
      <c r="BV124" s="2">
        <v>467.2</v>
      </c>
      <c r="BW124" s="2">
        <v>180.05</v>
      </c>
      <c r="BX124" s="2">
        <v>171.87</v>
      </c>
      <c r="BY124" s="2">
        <v>197.8</v>
      </c>
      <c r="BZ124" s="2">
        <v>370.81</v>
      </c>
      <c r="CA124" s="2">
        <v>215.27</v>
      </c>
      <c r="CB124" s="2">
        <v>593.66999999999996</v>
      </c>
      <c r="CC124" s="2">
        <v>215.06</v>
      </c>
      <c r="CD124" s="2">
        <v>653.55999999999995</v>
      </c>
      <c r="CE124" s="2">
        <v>214.35</v>
      </c>
      <c r="CF124" s="2">
        <v>629.87</v>
      </c>
      <c r="CG124" s="2">
        <v>320.76</v>
      </c>
      <c r="CH124" s="2">
        <v>781.15</v>
      </c>
      <c r="CI124" s="2">
        <v>794.11</v>
      </c>
      <c r="CJ124" s="2">
        <v>1014.9</v>
      </c>
      <c r="CK124" s="2">
        <v>1086.98</v>
      </c>
      <c r="CL124" s="2">
        <v>1419.3</v>
      </c>
    </row>
    <row r="125" spans="2:90" x14ac:dyDescent="0.3">
      <c r="X125" s="1" t="s">
        <v>70</v>
      </c>
      <c r="Y125" s="2">
        <v>205.52</v>
      </c>
      <c r="Z125" s="2">
        <v>522.97</v>
      </c>
      <c r="AA125" s="2">
        <v>136.19</v>
      </c>
      <c r="AB125" s="2">
        <v>77.040000000000006</v>
      </c>
      <c r="AC125" s="2">
        <v>218.14</v>
      </c>
      <c r="AD125" s="2">
        <v>392.94</v>
      </c>
      <c r="AE125" s="2">
        <v>617.65</v>
      </c>
      <c r="AF125" s="2">
        <v>411.95</v>
      </c>
      <c r="AG125" s="2">
        <v>492.89</v>
      </c>
      <c r="AH125" s="2">
        <v>438.93</v>
      </c>
      <c r="AI125" s="2">
        <v>198.64</v>
      </c>
      <c r="AJ125" s="2">
        <v>450.38</v>
      </c>
      <c r="AK125" s="2">
        <v>153.59</v>
      </c>
      <c r="AL125" s="2">
        <v>77.569999999999993</v>
      </c>
      <c r="AM125" s="2">
        <v>313.19</v>
      </c>
      <c r="AN125" s="2">
        <v>370.39</v>
      </c>
      <c r="AO125" s="2">
        <v>503.13</v>
      </c>
      <c r="AP125" s="2">
        <v>348.33</v>
      </c>
      <c r="AQ125" s="2">
        <v>456.89</v>
      </c>
      <c r="AR125" s="2">
        <v>313.45999999999998</v>
      </c>
      <c r="AU125" s="1" t="s">
        <v>70</v>
      </c>
      <c r="AV125" s="2">
        <v>732.34</v>
      </c>
      <c r="AW125" s="2">
        <v>3536.03</v>
      </c>
      <c r="AX125" s="2">
        <v>985.71</v>
      </c>
      <c r="AY125" s="2">
        <v>270.20999999999998</v>
      </c>
      <c r="AZ125" s="2">
        <v>1582.66</v>
      </c>
      <c r="BA125" s="2">
        <v>2168.06</v>
      </c>
      <c r="BB125" s="2">
        <v>3777.95</v>
      </c>
      <c r="BC125" s="2">
        <v>2924.5</v>
      </c>
      <c r="BD125" s="2">
        <v>3421.11</v>
      </c>
      <c r="BE125" s="2">
        <v>2950.87</v>
      </c>
      <c r="BF125" s="2">
        <v>908.96</v>
      </c>
      <c r="BG125" s="2">
        <v>3496.12</v>
      </c>
      <c r="BH125" s="2">
        <v>1117.81</v>
      </c>
      <c r="BI125" s="2">
        <v>280.43</v>
      </c>
      <c r="BJ125" s="2">
        <v>1386.81</v>
      </c>
      <c r="BK125" s="2">
        <v>1882.61</v>
      </c>
      <c r="BL125" s="2">
        <v>3402.87</v>
      </c>
      <c r="BM125" s="2">
        <v>2592.27</v>
      </c>
      <c r="BN125" s="2">
        <v>3198.71</v>
      </c>
      <c r="BO125" s="2">
        <v>2197.44</v>
      </c>
      <c r="BR125" s="1" t="s">
        <v>70</v>
      </c>
      <c r="BS125" s="2">
        <v>200.04</v>
      </c>
      <c r="BT125" s="2">
        <v>230.65</v>
      </c>
      <c r="BU125" s="2">
        <v>249.79</v>
      </c>
      <c r="BV125" s="2">
        <v>401.51</v>
      </c>
      <c r="BW125" s="2">
        <v>209.49</v>
      </c>
      <c r="BX125" s="2">
        <v>204.16</v>
      </c>
      <c r="BY125" s="2">
        <v>517.78</v>
      </c>
      <c r="BZ125" s="2">
        <v>250.08</v>
      </c>
      <c r="CA125" s="2">
        <v>323.82</v>
      </c>
      <c r="CB125" s="2">
        <v>293.33999999999997</v>
      </c>
      <c r="CC125" s="2">
        <v>379.42</v>
      </c>
      <c r="CD125" s="2">
        <v>427.19</v>
      </c>
      <c r="CE125" s="2">
        <v>480.55</v>
      </c>
      <c r="CF125" s="2">
        <v>497.1</v>
      </c>
      <c r="CG125" s="2">
        <v>660.38</v>
      </c>
      <c r="CH125" s="2">
        <v>630.4</v>
      </c>
      <c r="CI125" s="2">
        <v>815.36</v>
      </c>
      <c r="CJ125" s="2">
        <v>960.18</v>
      </c>
      <c r="CK125" s="2">
        <v>873.79</v>
      </c>
      <c r="CL125" s="2">
        <v>1462.01</v>
      </c>
    </row>
    <row r="126" spans="2:90" x14ac:dyDescent="0.3">
      <c r="X126" s="1" t="s">
        <v>71</v>
      </c>
      <c r="Y126" s="2">
        <v>39.01</v>
      </c>
      <c r="Z126" s="2">
        <v>92.3</v>
      </c>
      <c r="AA126" s="2">
        <v>24.86</v>
      </c>
      <c r="AB126" s="2">
        <v>14.46</v>
      </c>
      <c r="AC126" s="2">
        <v>36.25</v>
      </c>
      <c r="AD126" s="2">
        <v>41.75</v>
      </c>
      <c r="AE126" s="2">
        <v>88.82</v>
      </c>
      <c r="AF126" s="2">
        <v>66</v>
      </c>
      <c r="AG126" s="2">
        <v>87.62</v>
      </c>
      <c r="AH126" s="2">
        <v>80.099999999999994</v>
      </c>
      <c r="AI126" s="2">
        <v>37.25</v>
      </c>
      <c r="AJ126" s="2">
        <v>74.209999999999994</v>
      </c>
      <c r="AK126" s="2">
        <v>28.94</v>
      </c>
      <c r="AL126" s="2">
        <v>11.81</v>
      </c>
      <c r="AM126" s="2">
        <v>38.49</v>
      </c>
      <c r="AN126" s="2">
        <v>73.930000000000007</v>
      </c>
      <c r="AO126" s="2">
        <v>89.71</v>
      </c>
      <c r="AP126" s="2">
        <v>80.31</v>
      </c>
      <c r="AQ126" s="2">
        <v>125.16</v>
      </c>
      <c r="AR126" s="2">
        <v>73.3</v>
      </c>
      <c r="AU126" s="1" t="s">
        <v>71</v>
      </c>
      <c r="AV126" s="2">
        <v>123.34</v>
      </c>
      <c r="AW126" s="2">
        <v>579.58000000000004</v>
      </c>
      <c r="AX126" s="2">
        <v>152.97999999999999</v>
      </c>
      <c r="AY126" s="2">
        <v>43.46</v>
      </c>
      <c r="AZ126" s="2">
        <v>221.19</v>
      </c>
      <c r="BA126" s="2">
        <v>273.45</v>
      </c>
      <c r="BB126" s="2">
        <v>581.5</v>
      </c>
      <c r="BC126" s="2">
        <v>432.02</v>
      </c>
      <c r="BD126" s="2">
        <v>573.02</v>
      </c>
      <c r="BE126" s="2">
        <v>518.44000000000005</v>
      </c>
      <c r="BF126" s="2">
        <v>120.04</v>
      </c>
      <c r="BG126" s="2">
        <v>485.59</v>
      </c>
      <c r="BH126" s="2">
        <v>179.15</v>
      </c>
      <c r="BI126" s="2">
        <v>37.32</v>
      </c>
      <c r="BJ126" s="2">
        <v>123.36</v>
      </c>
      <c r="BK126" s="2">
        <v>290.83</v>
      </c>
      <c r="BL126" s="2">
        <v>593.70000000000005</v>
      </c>
      <c r="BM126" s="2">
        <v>374.24</v>
      </c>
      <c r="BN126" s="2">
        <v>587</v>
      </c>
      <c r="BO126" s="2">
        <v>395.27</v>
      </c>
      <c r="BR126" s="1" t="s">
        <v>71</v>
      </c>
      <c r="BS126" s="2">
        <v>187.69</v>
      </c>
      <c r="BT126" s="2">
        <v>187.71</v>
      </c>
      <c r="BU126" s="2">
        <v>224.76</v>
      </c>
      <c r="BV126" s="2">
        <v>224.66</v>
      </c>
      <c r="BW126" s="2">
        <v>202.02</v>
      </c>
      <c r="BX126" s="2">
        <v>196.72</v>
      </c>
      <c r="BY126" s="2">
        <v>463.38</v>
      </c>
      <c r="BZ126" s="2">
        <v>230.35</v>
      </c>
      <c r="CA126" s="2">
        <v>693.57</v>
      </c>
      <c r="CB126" s="2">
        <v>230.93</v>
      </c>
      <c r="CC126" s="2">
        <v>528.24</v>
      </c>
      <c r="CD126" s="2">
        <v>262.91000000000003</v>
      </c>
      <c r="CE126" s="2">
        <v>542.76</v>
      </c>
      <c r="CF126" s="2">
        <v>279.19</v>
      </c>
      <c r="CG126" s="2">
        <v>559.84</v>
      </c>
      <c r="CH126" s="2">
        <v>284.39999999999998</v>
      </c>
      <c r="CI126" s="2">
        <v>651.47</v>
      </c>
      <c r="CJ126" s="2">
        <v>342</v>
      </c>
      <c r="CK126" s="2">
        <v>876.44</v>
      </c>
      <c r="CL126" s="2">
        <v>1174.3900000000001</v>
      </c>
    </row>
    <row r="127" spans="2:90" x14ac:dyDescent="0.3">
      <c r="X127" s="1" t="s">
        <v>72</v>
      </c>
      <c r="Y127" s="2">
        <v>114.77</v>
      </c>
      <c r="Z127" s="2">
        <v>217.06</v>
      </c>
      <c r="AA127" s="2">
        <v>69.45</v>
      </c>
      <c r="AB127" s="2">
        <v>41.64</v>
      </c>
      <c r="AC127" s="2">
        <v>134.62</v>
      </c>
      <c r="AD127" s="2">
        <v>135.19</v>
      </c>
      <c r="AE127" s="2">
        <v>267.57</v>
      </c>
      <c r="AF127" s="2">
        <v>195.3</v>
      </c>
      <c r="AG127" s="2">
        <v>293.33999999999997</v>
      </c>
      <c r="AH127" s="2">
        <v>212.03</v>
      </c>
      <c r="AI127" s="2">
        <v>136.27000000000001</v>
      </c>
      <c r="AJ127" s="2">
        <v>204.1</v>
      </c>
      <c r="AK127" s="2">
        <v>99.3</v>
      </c>
      <c r="AL127" s="2">
        <v>40.32</v>
      </c>
      <c r="AM127" s="2">
        <v>184.6</v>
      </c>
      <c r="AN127" s="2">
        <v>281.19</v>
      </c>
      <c r="AO127" s="2">
        <v>476.51</v>
      </c>
      <c r="AP127" s="2">
        <v>298.36</v>
      </c>
      <c r="AQ127" s="2">
        <v>224.05</v>
      </c>
      <c r="AR127" s="2">
        <v>168.04</v>
      </c>
      <c r="AU127" s="1" t="s">
        <v>72</v>
      </c>
      <c r="AV127" s="2">
        <v>381.5</v>
      </c>
      <c r="AW127" s="2">
        <v>1252.03</v>
      </c>
      <c r="AX127" s="2">
        <v>361.88</v>
      </c>
      <c r="AY127" s="2">
        <v>109.97</v>
      </c>
      <c r="AZ127" s="2">
        <v>526.26</v>
      </c>
      <c r="BA127" s="2">
        <v>674.96</v>
      </c>
      <c r="BB127" s="2">
        <v>1245.4000000000001</v>
      </c>
      <c r="BC127" s="2">
        <v>901.9</v>
      </c>
      <c r="BD127" s="2">
        <v>1248.6400000000001</v>
      </c>
      <c r="BE127" s="2">
        <v>1104.49</v>
      </c>
      <c r="BF127" s="2">
        <v>456.52</v>
      </c>
      <c r="BG127" s="2">
        <v>1218.46</v>
      </c>
      <c r="BH127" s="2">
        <v>384.79</v>
      </c>
      <c r="BI127" s="2">
        <v>132.19999999999999</v>
      </c>
      <c r="BJ127" s="2">
        <v>407.52</v>
      </c>
      <c r="BK127" s="2">
        <v>774.43</v>
      </c>
      <c r="BL127" s="2">
        <v>1315.92</v>
      </c>
      <c r="BM127" s="2">
        <v>903.11</v>
      </c>
      <c r="BN127" s="2">
        <v>1462.58</v>
      </c>
      <c r="BO127" s="2">
        <v>849.63</v>
      </c>
      <c r="BR127" s="1" t="s">
        <v>72</v>
      </c>
      <c r="BS127" s="2">
        <v>177.89</v>
      </c>
      <c r="BT127" s="2">
        <v>175.06</v>
      </c>
      <c r="BU127" s="2">
        <v>268.66000000000003</v>
      </c>
      <c r="BV127" s="2">
        <v>192.24</v>
      </c>
      <c r="BW127" s="2">
        <v>241.07</v>
      </c>
      <c r="BX127" s="2">
        <v>183</v>
      </c>
      <c r="BY127" s="2">
        <v>349.78</v>
      </c>
      <c r="BZ127" s="2">
        <v>190.24</v>
      </c>
      <c r="CA127" s="2">
        <v>671.15</v>
      </c>
      <c r="CB127" s="2">
        <v>191</v>
      </c>
      <c r="CC127" s="2">
        <v>566.16</v>
      </c>
      <c r="CD127" s="2">
        <v>191.2</v>
      </c>
      <c r="CE127" s="2">
        <v>558.33000000000004</v>
      </c>
      <c r="CF127" s="2">
        <v>220.48</v>
      </c>
      <c r="CG127" s="2">
        <v>464.49</v>
      </c>
      <c r="CH127" s="2">
        <v>399.48</v>
      </c>
      <c r="CI127" s="2">
        <v>794.6</v>
      </c>
      <c r="CJ127" s="2">
        <v>717.34</v>
      </c>
      <c r="CK127" s="2">
        <v>1059.8399999999999</v>
      </c>
      <c r="CL127" s="2">
        <v>1146.1300000000001</v>
      </c>
    </row>
    <row r="128" spans="2:90" x14ac:dyDescent="0.3">
      <c r="X128" s="1" t="s">
        <v>73</v>
      </c>
      <c r="Y128" s="2">
        <v>41.21</v>
      </c>
      <c r="Z128" s="2">
        <v>104.83</v>
      </c>
      <c r="AA128" s="2">
        <v>15.43</v>
      </c>
      <c r="AB128" s="2">
        <v>2.46</v>
      </c>
      <c r="AC128" s="2">
        <v>24.74</v>
      </c>
      <c r="AD128" s="2">
        <v>51.39</v>
      </c>
      <c r="AE128" s="2">
        <v>68.23</v>
      </c>
      <c r="AF128" s="2">
        <v>59.47</v>
      </c>
      <c r="AG128" s="2">
        <v>63.87</v>
      </c>
      <c r="AH128" s="2">
        <v>82.28</v>
      </c>
      <c r="AI128" s="2">
        <v>28.81</v>
      </c>
      <c r="AJ128" s="2">
        <v>78.790000000000006</v>
      </c>
      <c r="AK128" s="2">
        <v>18.23</v>
      </c>
      <c r="AL128" s="2">
        <v>7.48</v>
      </c>
      <c r="AM128" s="2">
        <v>33.72</v>
      </c>
      <c r="AN128" s="2">
        <v>29.89</v>
      </c>
      <c r="AO128" s="2">
        <v>61.56</v>
      </c>
      <c r="AP128" s="2">
        <v>58.52</v>
      </c>
      <c r="AQ128" s="2">
        <v>70.97</v>
      </c>
      <c r="AR128" s="2">
        <v>57.01</v>
      </c>
      <c r="AU128" s="1" t="s">
        <v>73</v>
      </c>
      <c r="AV128" s="2">
        <v>204.49</v>
      </c>
      <c r="AW128" s="2">
        <v>448.67</v>
      </c>
      <c r="AX128" s="2">
        <v>94.16</v>
      </c>
      <c r="AY128" s="2">
        <v>46.74</v>
      </c>
      <c r="AZ128" s="2">
        <v>150.46</v>
      </c>
      <c r="BA128" s="2">
        <v>236.61</v>
      </c>
      <c r="BB128" s="2">
        <v>304.37</v>
      </c>
      <c r="BC128" s="2">
        <v>265.04000000000002</v>
      </c>
      <c r="BD128" s="2">
        <v>275.85000000000002</v>
      </c>
      <c r="BE128" s="2">
        <v>344.08</v>
      </c>
      <c r="BF128" s="2">
        <v>159.16999999999999</v>
      </c>
      <c r="BG128" s="2">
        <v>357.26</v>
      </c>
      <c r="BH128" s="2">
        <v>111.25</v>
      </c>
      <c r="BI128" s="2">
        <v>45.62</v>
      </c>
      <c r="BJ128" s="2">
        <v>143.07</v>
      </c>
      <c r="BK128" s="2">
        <v>140.53</v>
      </c>
      <c r="BL128" s="2">
        <v>291.62</v>
      </c>
      <c r="BM128" s="2">
        <v>309.49</v>
      </c>
      <c r="BN128" s="2">
        <v>325.75</v>
      </c>
      <c r="BO128" s="2">
        <v>243.89</v>
      </c>
      <c r="BR128" s="1" t="s">
        <v>73</v>
      </c>
      <c r="BS128" s="2">
        <v>453.59</v>
      </c>
      <c r="BT128" s="2">
        <v>373.77</v>
      </c>
      <c r="BU128" s="2">
        <v>361.32</v>
      </c>
      <c r="BV128" s="2">
        <v>377.83</v>
      </c>
      <c r="BW128" s="2">
        <v>130.87</v>
      </c>
      <c r="BX128" s="2">
        <v>415.35</v>
      </c>
      <c r="BY128" s="2">
        <v>455.27</v>
      </c>
      <c r="BZ128" s="2">
        <v>320.73</v>
      </c>
      <c r="CA128" s="2">
        <v>1250.7</v>
      </c>
      <c r="CB128" s="2">
        <v>390.85</v>
      </c>
      <c r="CC128" s="2">
        <v>598.76</v>
      </c>
      <c r="CD128" s="2">
        <v>388.13</v>
      </c>
      <c r="CE128" s="2">
        <v>506.32</v>
      </c>
      <c r="CF128" s="2">
        <v>478.84</v>
      </c>
      <c r="CG128" s="2">
        <v>636.9</v>
      </c>
      <c r="CH128" s="2">
        <v>738.74</v>
      </c>
      <c r="CI128" s="2">
        <v>787.68</v>
      </c>
      <c r="CJ128" s="2">
        <v>1231.92</v>
      </c>
      <c r="CK128" s="2">
        <v>1105.93</v>
      </c>
      <c r="CL128" s="2">
        <v>1936.95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63</v>
      </c>
      <c r="Z132" s="1" t="s">
        <v>64</v>
      </c>
      <c r="AA132" s="1" t="s">
        <v>63</v>
      </c>
      <c r="AB132" s="1" t="s">
        <v>64</v>
      </c>
      <c r="AC132" s="1" t="s">
        <v>63</v>
      </c>
      <c r="AD132" s="1" t="s">
        <v>64</v>
      </c>
      <c r="AE132" s="1" t="s">
        <v>63</v>
      </c>
      <c r="AF132" s="1" t="s">
        <v>64</v>
      </c>
      <c r="AG132" s="1" t="s">
        <v>63</v>
      </c>
      <c r="AH132" s="1" t="s">
        <v>64</v>
      </c>
      <c r="AI132" s="1" t="s">
        <v>63</v>
      </c>
      <c r="AJ132" s="1" t="s">
        <v>64</v>
      </c>
      <c r="AK132" s="1" t="s">
        <v>63</v>
      </c>
      <c r="AL132" s="1" t="s">
        <v>64</v>
      </c>
      <c r="AM132" s="1" t="s">
        <v>63</v>
      </c>
      <c r="AN132" s="1" t="s">
        <v>64</v>
      </c>
      <c r="AO132" s="1" t="s">
        <v>63</v>
      </c>
      <c r="AP132" s="1" t="s">
        <v>64</v>
      </c>
      <c r="AQ132" s="1" t="s">
        <v>63</v>
      </c>
      <c r="AR132" s="1" t="s">
        <v>64</v>
      </c>
      <c r="AU132" s="1" t="s">
        <v>6</v>
      </c>
      <c r="AV132" s="1" t="s">
        <v>63</v>
      </c>
      <c r="AW132" s="1" t="s">
        <v>64</v>
      </c>
      <c r="AX132" s="1" t="s">
        <v>63</v>
      </c>
      <c r="AY132" s="1" t="s">
        <v>64</v>
      </c>
      <c r="AZ132" s="1" t="s">
        <v>63</v>
      </c>
      <c r="BA132" s="1" t="s">
        <v>64</v>
      </c>
      <c r="BB132" s="1" t="s">
        <v>63</v>
      </c>
      <c r="BC132" s="1" t="s">
        <v>64</v>
      </c>
      <c r="BD132" s="1" t="s">
        <v>63</v>
      </c>
      <c r="BE132" s="1" t="s">
        <v>64</v>
      </c>
      <c r="BF132" s="1" t="s">
        <v>63</v>
      </c>
      <c r="BG132" s="1" t="s">
        <v>64</v>
      </c>
      <c r="BH132" s="1" t="s">
        <v>63</v>
      </c>
      <c r="BI132" s="1" t="s">
        <v>64</v>
      </c>
      <c r="BJ132" s="1" t="s">
        <v>63</v>
      </c>
      <c r="BK132" s="1" t="s">
        <v>64</v>
      </c>
      <c r="BL132" s="1" t="s">
        <v>63</v>
      </c>
      <c r="BM132" s="1" t="s">
        <v>64</v>
      </c>
      <c r="BN132" s="1" t="s">
        <v>63</v>
      </c>
      <c r="BO132" s="1" t="s">
        <v>64</v>
      </c>
    </row>
    <row r="133" spans="24:67" x14ac:dyDescent="0.3">
      <c r="X133" s="1" t="s">
        <v>65</v>
      </c>
      <c r="Y133" s="1" t="s">
        <v>53</v>
      </c>
      <c r="Z133" s="1" t="s">
        <v>53</v>
      </c>
      <c r="AA133" s="1" t="s">
        <v>54</v>
      </c>
      <c r="AB133" s="1" t="s">
        <v>54</v>
      </c>
      <c r="AC133" s="1" t="s">
        <v>55</v>
      </c>
      <c r="AD133" s="1" t="s">
        <v>55</v>
      </c>
      <c r="AE133" s="1" t="s">
        <v>56</v>
      </c>
      <c r="AF133" s="1" t="s">
        <v>56</v>
      </c>
      <c r="AG133" s="1" t="s">
        <v>57</v>
      </c>
      <c r="AH133" s="1" t="s">
        <v>57</v>
      </c>
      <c r="AI133" s="1" t="s">
        <v>58</v>
      </c>
      <c r="AJ133" s="1" t="s">
        <v>58</v>
      </c>
      <c r="AK133" s="1" t="s">
        <v>59</v>
      </c>
      <c r="AL133" s="1" t="s">
        <v>59</v>
      </c>
      <c r="AM133" s="1" t="s">
        <v>60</v>
      </c>
      <c r="AN133" s="1" t="s">
        <v>60</v>
      </c>
      <c r="AO133" s="1" t="s">
        <v>61</v>
      </c>
      <c r="AP133" s="1" t="s">
        <v>61</v>
      </c>
      <c r="AQ133" s="1" t="s">
        <v>62</v>
      </c>
      <c r="AR133" s="1" t="s">
        <v>62</v>
      </c>
      <c r="AU133" s="1" t="s">
        <v>65</v>
      </c>
      <c r="AV133" s="1" t="s">
        <v>53</v>
      </c>
      <c r="AW133" s="1" t="s">
        <v>53</v>
      </c>
      <c r="AX133" s="1" t="s">
        <v>54</v>
      </c>
      <c r="AY133" s="1" t="s">
        <v>54</v>
      </c>
      <c r="AZ133" s="1" t="s">
        <v>55</v>
      </c>
      <c r="BA133" s="1" t="s">
        <v>55</v>
      </c>
      <c r="BB133" s="1" t="s">
        <v>56</v>
      </c>
      <c r="BC133" s="1" t="s">
        <v>56</v>
      </c>
      <c r="BD133" s="1" t="s">
        <v>57</v>
      </c>
      <c r="BE133" s="1" t="s">
        <v>57</v>
      </c>
      <c r="BF133" s="1" t="s">
        <v>58</v>
      </c>
      <c r="BG133" s="1" t="s">
        <v>58</v>
      </c>
      <c r="BH133" s="1" t="s">
        <v>59</v>
      </c>
      <c r="BI133" s="1" t="s">
        <v>59</v>
      </c>
      <c r="BJ133" s="1" t="s">
        <v>60</v>
      </c>
      <c r="BK133" s="1" t="s">
        <v>60</v>
      </c>
      <c r="BL133" s="1" t="s">
        <v>61</v>
      </c>
      <c r="BM133" s="1" t="s">
        <v>61</v>
      </c>
      <c r="BN133" s="1" t="s">
        <v>62</v>
      </c>
      <c r="BO133" s="1" t="s">
        <v>62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66</v>
      </c>
      <c r="Y135" s="2">
        <v>43.79</v>
      </c>
      <c r="Z135" s="2">
        <v>40.35</v>
      </c>
      <c r="AA135" s="2">
        <v>13.19</v>
      </c>
      <c r="AB135" s="2">
        <v>13.12</v>
      </c>
      <c r="AC135" s="2">
        <v>14.03</v>
      </c>
      <c r="AD135" s="2">
        <v>23.5</v>
      </c>
      <c r="AE135" s="2">
        <v>24.23</v>
      </c>
      <c r="AF135" s="2">
        <v>24.43</v>
      </c>
      <c r="AG135" s="2">
        <v>19.43</v>
      </c>
      <c r="AH135" s="2">
        <v>10.84</v>
      </c>
      <c r="AI135" s="2">
        <v>23.75</v>
      </c>
      <c r="AJ135" s="2">
        <v>10.61</v>
      </c>
      <c r="AK135" s="2">
        <v>35.51</v>
      </c>
      <c r="AL135" s="2">
        <v>2.86</v>
      </c>
      <c r="AM135" s="2">
        <v>21.9</v>
      </c>
      <c r="AN135" s="2">
        <v>7.01</v>
      </c>
      <c r="AO135" s="2">
        <v>3.18</v>
      </c>
      <c r="AP135" s="2">
        <v>2.57</v>
      </c>
      <c r="AQ135" s="2">
        <v>3.29</v>
      </c>
      <c r="AR135" s="2">
        <v>2.86</v>
      </c>
      <c r="AU135" s="1" t="s">
        <v>66</v>
      </c>
      <c r="AV135" s="2">
        <v>276.11</v>
      </c>
      <c r="AW135" s="2">
        <v>297.05</v>
      </c>
      <c r="AX135" s="2">
        <v>201.71</v>
      </c>
      <c r="AY135" s="2">
        <v>201.78</v>
      </c>
      <c r="AZ135" s="2">
        <v>215.57</v>
      </c>
      <c r="BA135" s="2">
        <v>339.1</v>
      </c>
      <c r="BB135" s="2">
        <v>248.77</v>
      </c>
      <c r="BC135" s="2">
        <v>371.77</v>
      </c>
      <c r="BD135" s="2">
        <v>299.77</v>
      </c>
      <c r="BE135" s="2">
        <v>282.45999999999998</v>
      </c>
      <c r="BF135" s="2">
        <v>278.64999999999998</v>
      </c>
      <c r="BG135" s="2">
        <v>291.79000000000002</v>
      </c>
      <c r="BH135" s="2">
        <v>321.49</v>
      </c>
      <c r="BI135" s="2">
        <v>275.74</v>
      </c>
      <c r="BJ135" s="2">
        <v>256</v>
      </c>
      <c r="BK135" s="2">
        <v>262.49</v>
      </c>
      <c r="BL135" s="2">
        <v>306.92</v>
      </c>
      <c r="BM135" s="2">
        <v>247.33</v>
      </c>
      <c r="BN135" s="2">
        <v>310.31</v>
      </c>
      <c r="BO135" s="2">
        <v>275.74</v>
      </c>
    </row>
    <row r="136" spans="24:67" x14ac:dyDescent="0.3">
      <c r="X136" s="1" t="s">
        <v>67</v>
      </c>
      <c r="Y136" s="2">
        <v>21.06</v>
      </c>
      <c r="Z136" s="2">
        <v>17.649999999999999</v>
      </c>
      <c r="AA136" s="2">
        <v>11.65</v>
      </c>
      <c r="AB136" s="2">
        <v>12.9</v>
      </c>
      <c r="AC136" s="2">
        <v>13.43</v>
      </c>
      <c r="AD136" s="2">
        <v>21.85</v>
      </c>
      <c r="AE136" s="2">
        <v>18.2</v>
      </c>
      <c r="AF136" s="2">
        <v>26.85</v>
      </c>
      <c r="AG136" s="2">
        <v>18.440000000000001</v>
      </c>
      <c r="AH136" s="2">
        <v>24.54</v>
      </c>
      <c r="AI136" s="2">
        <v>20.69</v>
      </c>
      <c r="AJ136" s="2">
        <v>27.25</v>
      </c>
      <c r="AK136" s="2">
        <v>19.190000000000001</v>
      </c>
      <c r="AL136" s="2">
        <v>22.18</v>
      </c>
      <c r="AM136" s="2">
        <v>18.489999999999998</v>
      </c>
      <c r="AN136" s="2">
        <v>18.420000000000002</v>
      </c>
      <c r="AO136" s="2">
        <v>15.83</v>
      </c>
      <c r="AP136" s="2">
        <v>18.46</v>
      </c>
      <c r="AQ136" s="2">
        <v>20.76</v>
      </c>
      <c r="AR136" s="2">
        <v>16.559999999999999</v>
      </c>
      <c r="AU136" s="1" t="s">
        <v>67</v>
      </c>
      <c r="AV136" s="2">
        <v>165.44</v>
      </c>
      <c r="AW136" s="2">
        <v>129.25</v>
      </c>
      <c r="AX136" s="2">
        <v>85.55</v>
      </c>
      <c r="AY136" s="2">
        <v>94.5</v>
      </c>
      <c r="AZ136" s="2">
        <v>86.37</v>
      </c>
      <c r="BA136" s="2">
        <v>160.05000000000001</v>
      </c>
      <c r="BB136" s="2">
        <v>133.9</v>
      </c>
      <c r="BC136" s="2">
        <v>174.35</v>
      </c>
      <c r="BD136" s="2">
        <v>145.36000000000001</v>
      </c>
      <c r="BE136" s="2">
        <v>173.66</v>
      </c>
      <c r="BF136" s="2">
        <v>144.51</v>
      </c>
      <c r="BG136" s="2">
        <v>192.25</v>
      </c>
      <c r="BH136" s="2">
        <v>145.01</v>
      </c>
      <c r="BI136" s="2">
        <v>159.41999999999999</v>
      </c>
      <c r="BJ136" s="2">
        <v>137.91</v>
      </c>
      <c r="BK136" s="2">
        <v>137.97999999999999</v>
      </c>
      <c r="BL136" s="2">
        <v>117.07</v>
      </c>
      <c r="BM136" s="2">
        <v>126.74</v>
      </c>
      <c r="BN136" s="2">
        <v>163.34</v>
      </c>
      <c r="BO136" s="2">
        <v>128.94</v>
      </c>
    </row>
    <row r="137" spans="24:67" x14ac:dyDescent="0.3">
      <c r="X137" s="1" t="s">
        <v>68</v>
      </c>
      <c r="Y137" s="2">
        <v>178.73</v>
      </c>
      <c r="Z137" s="2">
        <v>49.84</v>
      </c>
      <c r="AA137" s="2">
        <v>135.47</v>
      </c>
      <c r="AB137" s="2">
        <v>36.869999999999997</v>
      </c>
      <c r="AC137" s="2">
        <v>219.13</v>
      </c>
      <c r="AD137" s="2">
        <v>252.01</v>
      </c>
      <c r="AE137" s="2">
        <v>202.19</v>
      </c>
      <c r="AF137" s="2">
        <v>131.84</v>
      </c>
      <c r="AG137" s="2">
        <v>249.78</v>
      </c>
      <c r="AH137" s="2">
        <v>122.06</v>
      </c>
      <c r="AI137" s="2">
        <v>252.07</v>
      </c>
      <c r="AJ137" s="2">
        <v>128.57</v>
      </c>
      <c r="AK137" s="2">
        <v>267.06</v>
      </c>
      <c r="AL137" s="2">
        <v>116.63</v>
      </c>
      <c r="AM137" s="2">
        <v>250.27</v>
      </c>
      <c r="AN137" s="2">
        <v>96.01</v>
      </c>
      <c r="AO137" s="2">
        <v>109.75</v>
      </c>
      <c r="AP137" s="2">
        <v>97.51</v>
      </c>
      <c r="AQ137" s="2">
        <v>75.510000000000005</v>
      </c>
      <c r="AR137" s="2">
        <v>71.400000000000006</v>
      </c>
      <c r="AU137" s="1" t="s">
        <v>68</v>
      </c>
      <c r="AV137" s="2">
        <v>649.92999999999995</v>
      </c>
      <c r="AW137" s="2">
        <v>365.06</v>
      </c>
      <c r="AX137" s="2">
        <v>539.21</v>
      </c>
      <c r="AY137" s="2">
        <v>270.02999999999997</v>
      </c>
      <c r="AZ137" s="2">
        <v>497.67</v>
      </c>
      <c r="BA137" s="2">
        <v>805.85</v>
      </c>
      <c r="BB137" s="2">
        <v>628.08000000000004</v>
      </c>
      <c r="BC137" s="2">
        <v>672.23</v>
      </c>
      <c r="BD137" s="2">
        <v>758.82</v>
      </c>
      <c r="BE137" s="2">
        <v>722.33</v>
      </c>
      <c r="BF137" s="2">
        <v>728.13</v>
      </c>
      <c r="BG137" s="2">
        <v>754.22</v>
      </c>
      <c r="BH137" s="2">
        <v>734.26</v>
      </c>
      <c r="BI137" s="2">
        <v>663.78</v>
      </c>
      <c r="BJ137" s="2">
        <v>673.27</v>
      </c>
      <c r="BK137" s="2">
        <v>588</v>
      </c>
      <c r="BL137" s="2">
        <v>578.29</v>
      </c>
      <c r="BM137" s="2">
        <v>638.07000000000005</v>
      </c>
      <c r="BN137" s="2">
        <v>502.44</v>
      </c>
      <c r="BO137" s="2">
        <v>464.85</v>
      </c>
    </row>
    <row r="138" spans="24:67" x14ac:dyDescent="0.3">
      <c r="X138" s="1" t="s">
        <v>69</v>
      </c>
      <c r="Y138" s="2">
        <v>35.71</v>
      </c>
      <c r="Z138" s="2">
        <v>18.05</v>
      </c>
      <c r="AA138" s="2">
        <v>24.74</v>
      </c>
      <c r="AB138" s="2">
        <v>15.99</v>
      </c>
      <c r="AC138" s="2">
        <v>46.77</v>
      </c>
      <c r="AD138" s="2">
        <v>54.92</v>
      </c>
      <c r="AE138" s="2">
        <v>59.64</v>
      </c>
      <c r="AF138" s="2">
        <v>28.09</v>
      </c>
      <c r="AG138" s="2">
        <v>55.53</v>
      </c>
      <c r="AH138" s="2">
        <v>31.45</v>
      </c>
      <c r="AI138" s="2">
        <v>58.81</v>
      </c>
      <c r="AJ138" s="2">
        <v>32.700000000000003</v>
      </c>
      <c r="AK138" s="2">
        <v>61.46</v>
      </c>
      <c r="AL138" s="2">
        <v>27.74</v>
      </c>
      <c r="AM138" s="2">
        <v>43.87</v>
      </c>
      <c r="AN138" s="2">
        <v>28.43</v>
      </c>
      <c r="AO138" s="2">
        <v>26.94</v>
      </c>
      <c r="AP138" s="2">
        <v>24.56</v>
      </c>
      <c r="AQ138" s="2">
        <v>25.57</v>
      </c>
      <c r="AR138" s="2">
        <v>18.600000000000001</v>
      </c>
      <c r="AU138" s="1" t="s">
        <v>69</v>
      </c>
      <c r="AV138" s="2">
        <v>216.63</v>
      </c>
      <c r="AW138" s="2">
        <v>105.45</v>
      </c>
      <c r="AX138" s="2">
        <v>153.15</v>
      </c>
      <c r="AY138" s="2">
        <v>117.01</v>
      </c>
      <c r="AZ138" s="2">
        <v>152.61000000000001</v>
      </c>
      <c r="BA138" s="2">
        <v>195.98</v>
      </c>
      <c r="BB138" s="2">
        <v>232.06</v>
      </c>
      <c r="BC138" s="2">
        <v>175.71</v>
      </c>
      <c r="BD138" s="2">
        <v>226.16</v>
      </c>
      <c r="BE138" s="2">
        <v>214.93</v>
      </c>
      <c r="BF138" s="2">
        <v>239.14</v>
      </c>
      <c r="BG138" s="2">
        <v>218.95</v>
      </c>
      <c r="BH138" s="2">
        <v>247.96</v>
      </c>
      <c r="BI138" s="2">
        <v>184.96</v>
      </c>
      <c r="BJ138" s="2">
        <v>235.43</v>
      </c>
      <c r="BK138" s="2">
        <v>189.97</v>
      </c>
      <c r="BL138" s="2">
        <v>182.26</v>
      </c>
      <c r="BM138" s="2">
        <v>156.34</v>
      </c>
      <c r="BN138" s="2">
        <v>166.03</v>
      </c>
      <c r="BO138" s="2">
        <v>144.44</v>
      </c>
    </row>
    <row r="139" spans="24:67" x14ac:dyDescent="0.3">
      <c r="X139" s="1" t="s">
        <v>70</v>
      </c>
      <c r="Y139" s="2">
        <v>158.09</v>
      </c>
      <c r="Z139" s="2">
        <v>152.80000000000001</v>
      </c>
      <c r="AA139" s="2">
        <v>104.76</v>
      </c>
      <c r="AB139" s="2">
        <v>118.14</v>
      </c>
      <c r="AC139" s="2">
        <v>154.08000000000001</v>
      </c>
      <c r="AD139" s="2">
        <v>155.13999999999999</v>
      </c>
      <c r="AE139" s="2">
        <v>136.34</v>
      </c>
      <c r="AF139" s="2">
        <v>195.75</v>
      </c>
      <c r="AG139" s="2">
        <v>196.47</v>
      </c>
      <c r="AH139" s="2">
        <v>185.19</v>
      </c>
      <c r="AI139" s="2">
        <v>171.57</v>
      </c>
      <c r="AJ139" s="2">
        <v>139.76</v>
      </c>
      <c r="AK139" s="2">
        <v>142.05000000000001</v>
      </c>
      <c r="AL139" s="2">
        <v>120.11</v>
      </c>
      <c r="AM139" s="2">
        <v>129.71</v>
      </c>
      <c r="AN139" s="2">
        <v>120.23</v>
      </c>
      <c r="AO139" s="2">
        <v>129.1</v>
      </c>
      <c r="AP139" s="2">
        <v>92.19</v>
      </c>
      <c r="AQ139" s="2">
        <v>116.22</v>
      </c>
      <c r="AR139" s="2">
        <v>100.09</v>
      </c>
      <c r="AU139" s="1" t="s">
        <v>70</v>
      </c>
      <c r="AV139" s="2">
        <v>563.34</v>
      </c>
      <c r="AW139" s="2">
        <v>699.2</v>
      </c>
      <c r="AX139" s="2">
        <v>758.24</v>
      </c>
      <c r="AY139" s="2">
        <v>859.86</v>
      </c>
      <c r="AZ139" s="2">
        <v>540.41999999999996</v>
      </c>
      <c r="BA139" s="2">
        <v>560.86</v>
      </c>
      <c r="BB139" s="2">
        <v>989.16</v>
      </c>
      <c r="BC139" s="2">
        <v>866.75</v>
      </c>
      <c r="BD139" s="2">
        <v>1084.03</v>
      </c>
      <c r="BE139" s="2">
        <v>941.31</v>
      </c>
      <c r="BF139" s="2">
        <v>1049.43</v>
      </c>
      <c r="BG139" s="2">
        <v>945.24</v>
      </c>
      <c r="BH139" s="2">
        <v>1008.45</v>
      </c>
      <c r="BI139" s="2">
        <v>893.89</v>
      </c>
      <c r="BJ139" s="2">
        <v>900.29</v>
      </c>
      <c r="BK139" s="2">
        <v>841.77</v>
      </c>
      <c r="BL139" s="2">
        <v>867.9</v>
      </c>
      <c r="BM139" s="2">
        <v>646.30999999999995</v>
      </c>
      <c r="BN139" s="2">
        <v>785.78</v>
      </c>
      <c r="BO139" s="2">
        <v>776.91</v>
      </c>
    </row>
    <row r="140" spans="24:67" x14ac:dyDescent="0.3">
      <c r="X140" s="1" t="s">
        <v>71</v>
      </c>
      <c r="Y140" s="2">
        <v>30.01</v>
      </c>
      <c r="Z140" s="2">
        <v>28.66</v>
      </c>
      <c r="AA140" s="2">
        <v>19.12</v>
      </c>
      <c r="AB140" s="2">
        <v>22.26</v>
      </c>
      <c r="AC140" s="2">
        <v>28.93</v>
      </c>
      <c r="AD140" s="2">
        <v>23.62</v>
      </c>
      <c r="AE140" s="2">
        <v>22.65</v>
      </c>
      <c r="AF140" s="2">
        <v>24.05</v>
      </c>
      <c r="AG140" s="2">
        <v>20.88</v>
      </c>
      <c r="AH140" s="2">
        <v>36.96</v>
      </c>
      <c r="AI140" s="2">
        <v>24.67</v>
      </c>
      <c r="AJ140" s="2">
        <v>24.92</v>
      </c>
      <c r="AK140" s="2">
        <v>22.76</v>
      </c>
      <c r="AL140" s="2">
        <v>27.69</v>
      </c>
      <c r="AM140" s="2">
        <v>23.06</v>
      </c>
      <c r="AN140" s="2">
        <v>32.94</v>
      </c>
      <c r="AO140" s="2">
        <v>23.56</v>
      </c>
      <c r="AP140" s="2">
        <v>21.56</v>
      </c>
      <c r="AQ140" s="2">
        <v>20.51</v>
      </c>
      <c r="AR140" s="2">
        <v>16.489999999999998</v>
      </c>
      <c r="AU140" s="1" t="s">
        <v>71</v>
      </c>
      <c r="AV140" s="2">
        <v>94.87</v>
      </c>
      <c r="AW140" s="2">
        <v>92.34</v>
      </c>
      <c r="AX140" s="2">
        <v>117.68</v>
      </c>
      <c r="AY140" s="2">
        <v>137.81</v>
      </c>
      <c r="AZ140" s="2">
        <v>86.91</v>
      </c>
      <c r="BA140" s="2">
        <v>74.64</v>
      </c>
      <c r="BB140" s="2">
        <v>138.25</v>
      </c>
      <c r="BC140" s="2">
        <v>77.099999999999994</v>
      </c>
      <c r="BD140" s="2">
        <v>136.72</v>
      </c>
      <c r="BE140" s="2">
        <v>145.41</v>
      </c>
      <c r="BF140" s="2">
        <v>161.53</v>
      </c>
      <c r="BG140" s="2">
        <v>164.92</v>
      </c>
      <c r="BH140" s="2">
        <v>148.97</v>
      </c>
      <c r="BI140" s="2">
        <v>129.05000000000001</v>
      </c>
      <c r="BJ140" s="2">
        <v>150.80000000000001</v>
      </c>
      <c r="BK140" s="2">
        <v>154.47</v>
      </c>
      <c r="BL140" s="2">
        <v>152.47999999999999</v>
      </c>
      <c r="BM140" s="2">
        <v>116.26</v>
      </c>
      <c r="BN140" s="2">
        <v>128.80000000000001</v>
      </c>
      <c r="BO140" s="2">
        <v>107.91</v>
      </c>
    </row>
    <row r="141" spans="24:67" x14ac:dyDescent="0.3">
      <c r="X141" s="1" t="s">
        <v>72</v>
      </c>
      <c r="Y141" s="2">
        <v>88.28</v>
      </c>
      <c r="Z141" s="2">
        <v>104.83</v>
      </c>
      <c r="AA141" s="2">
        <v>53.42</v>
      </c>
      <c r="AB141" s="2">
        <v>76.39</v>
      </c>
      <c r="AC141" s="2">
        <v>83.27</v>
      </c>
      <c r="AD141" s="2">
        <v>80.650000000000006</v>
      </c>
      <c r="AE141" s="2">
        <v>84.14</v>
      </c>
      <c r="AF141" s="2">
        <v>115.37</v>
      </c>
      <c r="AG141" s="2">
        <v>67.599999999999994</v>
      </c>
      <c r="AH141" s="2">
        <v>140.59</v>
      </c>
      <c r="AI141" s="2">
        <v>74.319999999999993</v>
      </c>
      <c r="AJ141" s="2">
        <v>132.36000000000001</v>
      </c>
      <c r="AK141" s="2">
        <v>67.34</v>
      </c>
      <c r="AL141" s="2">
        <v>102.88</v>
      </c>
      <c r="AM141" s="2">
        <v>77.19</v>
      </c>
      <c r="AN141" s="2">
        <v>58.96</v>
      </c>
      <c r="AO141" s="2">
        <v>62.36</v>
      </c>
      <c r="AP141" s="2">
        <v>49.42</v>
      </c>
      <c r="AQ141" s="2">
        <v>48.24</v>
      </c>
      <c r="AR141" s="2">
        <v>45.35</v>
      </c>
      <c r="AU141" s="1" t="s">
        <v>72</v>
      </c>
      <c r="AV141" s="2">
        <v>293.45999999999998</v>
      </c>
      <c r="AW141" s="2">
        <v>351.17</v>
      </c>
      <c r="AX141" s="2">
        <v>278.37</v>
      </c>
      <c r="AY141" s="2">
        <v>296</v>
      </c>
      <c r="AZ141" s="2">
        <v>219.95</v>
      </c>
      <c r="BA141" s="2">
        <v>264.39999999999998</v>
      </c>
      <c r="BB141" s="2">
        <v>328.91</v>
      </c>
      <c r="BC141" s="2">
        <v>254.7</v>
      </c>
      <c r="BD141" s="2">
        <v>337.48</v>
      </c>
      <c r="BE141" s="2">
        <v>387.22</v>
      </c>
      <c r="BF141" s="2">
        <v>345.94</v>
      </c>
      <c r="BG141" s="2">
        <v>365.53</v>
      </c>
      <c r="BH141" s="2">
        <v>311</v>
      </c>
      <c r="BI141" s="2">
        <v>311.42</v>
      </c>
      <c r="BJ141" s="2">
        <v>328.59</v>
      </c>
      <c r="BK141" s="2">
        <v>384.89</v>
      </c>
      <c r="BL141" s="2">
        <v>324.85000000000002</v>
      </c>
      <c r="BM141" s="2">
        <v>249.89</v>
      </c>
      <c r="BN141" s="2">
        <v>278.23</v>
      </c>
      <c r="BO141" s="2">
        <v>270.77</v>
      </c>
    </row>
    <row r="142" spans="24:67" x14ac:dyDescent="0.3">
      <c r="X142" s="1" t="s">
        <v>73</v>
      </c>
      <c r="Y142" s="2">
        <v>31.7</v>
      </c>
      <c r="Z142" s="2">
        <v>22.16</v>
      </c>
      <c r="AA142" s="2">
        <v>11.87</v>
      </c>
      <c r="AB142" s="2">
        <v>14.02</v>
      </c>
      <c r="AC142" s="2">
        <v>4.92</v>
      </c>
      <c r="AD142" s="2">
        <v>14.96</v>
      </c>
      <c r="AE142" s="2">
        <v>15.46</v>
      </c>
      <c r="AF142" s="2">
        <v>21.08</v>
      </c>
      <c r="AG142" s="2">
        <v>25.7</v>
      </c>
      <c r="AH142" s="2">
        <v>14.95</v>
      </c>
      <c r="AI142" s="2">
        <v>18.95</v>
      </c>
      <c r="AJ142" s="2">
        <v>17.100000000000001</v>
      </c>
      <c r="AK142" s="2">
        <v>20.51</v>
      </c>
      <c r="AL142" s="2">
        <v>20.18</v>
      </c>
      <c r="AM142" s="2">
        <v>16.809999999999999</v>
      </c>
      <c r="AN142" s="2">
        <v>18.68</v>
      </c>
      <c r="AO142" s="2">
        <v>24.2</v>
      </c>
      <c r="AP142" s="2">
        <v>16.77</v>
      </c>
      <c r="AQ142" s="2">
        <v>23.29</v>
      </c>
      <c r="AR142" s="2">
        <v>17.510000000000002</v>
      </c>
      <c r="AU142" s="1" t="s">
        <v>73</v>
      </c>
      <c r="AV142" s="2">
        <v>157.30000000000001</v>
      </c>
      <c r="AW142" s="2">
        <v>122.44</v>
      </c>
      <c r="AX142" s="2">
        <v>72.430000000000007</v>
      </c>
      <c r="AY142" s="2">
        <v>85.58</v>
      </c>
      <c r="AZ142" s="2">
        <v>93.48</v>
      </c>
      <c r="BA142" s="2">
        <v>91.24</v>
      </c>
      <c r="BB142" s="2">
        <v>94.04</v>
      </c>
      <c r="BC142" s="2">
        <v>89.42</v>
      </c>
      <c r="BD142" s="2">
        <v>118.3</v>
      </c>
      <c r="BE142" s="2">
        <v>70.27</v>
      </c>
      <c r="BF142" s="2">
        <v>84.55</v>
      </c>
      <c r="BG142" s="2">
        <v>81</v>
      </c>
      <c r="BH142" s="2">
        <v>91.39</v>
      </c>
      <c r="BI142" s="2">
        <v>106.72</v>
      </c>
      <c r="BJ142" s="2">
        <v>72.59</v>
      </c>
      <c r="BK142" s="2">
        <v>85.72</v>
      </c>
      <c r="BL142" s="2">
        <v>101.2</v>
      </c>
      <c r="BM142" s="2">
        <v>71.73</v>
      </c>
      <c r="BN142" s="2">
        <v>99.71</v>
      </c>
      <c r="BO142" s="2">
        <v>79.39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63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64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63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64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65</v>
      </c>
      <c r="Y147" s="1" t="s">
        <v>53</v>
      </c>
      <c r="Z147" s="1" t="s">
        <v>62</v>
      </c>
      <c r="AA147" s="1" t="s">
        <v>54</v>
      </c>
      <c r="AB147" s="1" t="s">
        <v>55</v>
      </c>
      <c r="AC147" s="1" t="s">
        <v>56</v>
      </c>
      <c r="AD147" s="1" t="s">
        <v>57</v>
      </c>
      <c r="AE147" s="1" t="s">
        <v>58</v>
      </c>
      <c r="AF147" s="1" t="s">
        <v>59</v>
      </c>
      <c r="AG147" s="1" t="s">
        <v>60</v>
      </c>
      <c r="AH147" s="1" t="s">
        <v>61</v>
      </c>
      <c r="AI147" s="1" t="s">
        <v>53</v>
      </c>
      <c r="AJ147" s="1" t="s">
        <v>62</v>
      </c>
      <c r="AK147" s="1" t="s">
        <v>54</v>
      </c>
      <c r="AL147" s="1" t="s">
        <v>55</v>
      </c>
      <c r="AM147" s="1" t="s">
        <v>56</v>
      </c>
      <c r="AN147" s="1" t="s">
        <v>57</v>
      </c>
      <c r="AO147" s="1" t="s">
        <v>58</v>
      </c>
      <c r="AP147" s="1" t="s">
        <v>59</v>
      </c>
      <c r="AQ147" s="1" t="s">
        <v>60</v>
      </c>
      <c r="AR147" s="1" t="s">
        <v>61</v>
      </c>
      <c r="AU147" s="1" t="s">
        <v>65</v>
      </c>
      <c r="AV147" s="1" t="s">
        <v>53</v>
      </c>
      <c r="AW147" s="1" t="s">
        <v>62</v>
      </c>
      <c r="AX147" s="1" t="s">
        <v>54</v>
      </c>
      <c r="AY147" s="1" t="s">
        <v>55</v>
      </c>
      <c r="AZ147" s="1" t="s">
        <v>56</v>
      </c>
      <c r="BA147" s="1" t="s">
        <v>57</v>
      </c>
      <c r="BB147" s="1" t="s">
        <v>58</v>
      </c>
      <c r="BC147" s="1" t="s">
        <v>59</v>
      </c>
      <c r="BD147" s="1" t="s">
        <v>60</v>
      </c>
      <c r="BE147" s="1" t="s">
        <v>61</v>
      </c>
      <c r="BF147" s="1" t="s">
        <v>53</v>
      </c>
      <c r="BG147" s="1" t="s">
        <v>62</v>
      </c>
      <c r="BH147" s="1" t="s">
        <v>54</v>
      </c>
      <c r="BI147" s="1" t="s">
        <v>55</v>
      </c>
      <c r="BJ147" s="1" t="s">
        <v>56</v>
      </c>
      <c r="BK147" s="1" t="s">
        <v>57</v>
      </c>
      <c r="BL147" s="1" t="s">
        <v>58</v>
      </c>
      <c r="BM147" s="1" t="s">
        <v>59</v>
      </c>
      <c r="BN147" s="1" t="s">
        <v>60</v>
      </c>
      <c r="BO147" s="1" t="s">
        <v>61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66</v>
      </c>
      <c r="Y149" s="2">
        <v>14.97</v>
      </c>
      <c r="Z149" s="2">
        <v>1.24</v>
      </c>
      <c r="AA149" s="2">
        <v>4.97</v>
      </c>
      <c r="AB149" s="2">
        <v>1.63</v>
      </c>
      <c r="AC149" s="2">
        <v>23.76</v>
      </c>
      <c r="AD149" s="2">
        <v>16.3</v>
      </c>
      <c r="AE149" s="2">
        <v>20.83</v>
      </c>
      <c r="AF149" s="2">
        <v>13.65</v>
      </c>
      <c r="AG149" s="2">
        <v>14.99</v>
      </c>
      <c r="AH149" s="2">
        <v>1.2</v>
      </c>
      <c r="AI149" s="2">
        <v>20.99</v>
      </c>
      <c r="AJ149" s="2">
        <v>1.62</v>
      </c>
      <c r="AK149" s="2">
        <v>4.9400000000000004</v>
      </c>
      <c r="AL149" s="2">
        <v>3.67</v>
      </c>
      <c r="AM149" s="2">
        <v>6.23</v>
      </c>
      <c r="AN149" s="2">
        <v>13.15</v>
      </c>
      <c r="AO149" s="2">
        <v>14.05</v>
      </c>
      <c r="AP149" s="2">
        <v>2.86</v>
      </c>
      <c r="AQ149" s="2">
        <v>5.55</v>
      </c>
      <c r="AR149" s="2">
        <v>2.1</v>
      </c>
      <c r="AU149" s="1" t="s">
        <v>66</v>
      </c>
      <c r="AV149" s="2">
        <v>96.96</v>
      </c>
      <c r="AW149" s="2">
        <v>115.31</v>
      </c>
      <c r="AX149" s="2">
        <v>76.02</v>
      </c>
      <c r="AY149" s="2">
        <v>24.97</v>
      </c>
      <c r="AZ149" s="2">
        <v>243.92</v>
      </c>
      <c r="BA149" s="2">
        <v>259.5</v>
      </c>
      <c r="BB149" s="2">
        <v>258.89</v>
      </c>
      <c r="BC149" s="2">
        <v>238.07</v>
      </c>
      <c r="BD149" s="2">
        <v>181.85</v>
      </c>
      <c r="BE149" s="2">
        <v>115.42</v>
      </c>
      <c r="BF149" s="2">
        <v>159.19</v>
      </c>
      <c r="BG149" s="2">
        <v>155.88</v>
      </c>
      <c r="BH149" s="2">
        <v>76.05</v>
      </c>
      <c r="BI149" s="2">
        <v>53.73</v>
      </c>
      <c r="BJ149" s="2">
        <v>120.33</v>
      </c>
      <c r="BK149" s="2">
        <v>349.45</v>
      </c>
      <c r="BL149" s="2">
        <v>389.15</v>
      </c>
      <c r="BM149" s="2">
        <v>275.25</v>
      </c>
      <c r="BN149" s="2">
        <v>191.29</v>
      </c>
      <c r="BO149" s="2">
        <v>202.58</v>
      </c>
    </row>
    <row r="150" spans="24:67" x14ac:dyDescent="0.3">
      <c r="X150" s="1" t="s">
        <v>67</v>
      </c>
      <c r="Y150" s="2">
        <v>14.33</v>
      </c>
      <c r="Z150" s="2">
        <v>29.04</v>
      </c>
      <c r="AA150" s="2">
        <v>10.16</v>
      </c>
      <c r="AB150" s="2">
        <v>2.63</v>
      </c>
      <c r="AC150" s="2">
        <v>13.96</v>
      </c>
      <c r="AD150" s="2">
        <v>15.81</v>
      </c>
      <c r="AE150" s="2">
        <v>25.03</v>
      </c>
      <c r="AF150" s="2">
        <v>19.39</v>
      </c>
      <c r="AG150" s="2">
        <v>26.79</v>
      </c>
      <c r="AH150" s="2">
        <v>19.440000000000001</v>
      </c>
      <c r="AI150" s="2">
        <v>10.220000000000001</v>
      </c>
      <c r="AJ150" s="2">
        <v>31.25</v>
      </c>
      <c r="AK150" s="2">
        <v>7.59</v>
      </c>
      <c r="AL150" s="2">
        <v>5.31</v>
      </c>
      <c r="AM150" s="2">
        <v>20.14</v>
      </c>
      <c r="AN150" s="2">
        <v>22.26</v>
      </c>
      <c r="AO150" s="2">
        <v>30.31</v>
      </c>
      <c r="AP150" s="2">
        <v>23.35</v>
      </c>
      <c r="AQ150" s="2">
        <v>25.02</v>
      </c>
      <c r="AR150" s="2">
        <v>26.07</v>
      </c>
      <c r="AU150" s="1" t="s">
        <v>67</v>
      </c>
      <c r="AV150" s="2">
        <v>112.55</v>
      </c>
      <c r="AW150" s="2">
        <v>228.36</v>
      </c>
      <c r="AX150" s="2">
        <v>74.599999999999994</v>
      </c>
      <c r="AY150" s="2">
        <v>16.920000000000002</v>
      </c>
      <c r="AZ150" s="2">
        <v>102.68</v>
      </c>
      <c r="BA150" s="2">
        <v>124.59</v>
      </c>
      <c r="BB150" s="2">
        <v>174.77</v>
      </c>
      <c r="BC150" s="2">
        <v>146.49</v>
      </c>
      <c r="BD150" s="2">
        <v>199.69</v>
      </c>
      <c r="BE150" s="2">
        <v>143.76</v>
      </c>
      <c r="BF150" s="2">
        <v>74.8</v>
      </c>
      <c r="BG150" s="2">
        <v>243.25</v>
      </c>
      <c r="BH150" s="2">
        <v>55.59</v>
      </c>
      <c r="BI150" s="2">
        <v>38.89</v>
      </c>
      <c r="BJ150" s="2">
        <v>130.74</v>
      </c>
      <c r="BK150" s="2">
        <v>157.54</v>
      </c>
      <c r="BL150" s="2">
        <v>213.77</v>
      </c>
      <c r="BM150" s="2">
        <v>167.76</v>
      </c>
      <c r="BN150" s="2">
        <v>187.4</v>
      </c>
      <c r="BO150" s="2">
        <v>178.95</v>
      </c>
    </row>
    <row r="151" spans="24:67" x14ac:dyDescent="0.3">
      <c r="X151" s="1" t="s">
        <v>68</v>
      </c>
      <c r="Y151" s="2">
        <v>57.52</v>
      </c>
      <c r="Z151" s="2">
        <v>101.49</v>
      </c>
      <c r="AA151" s="2">
        <v>45.16</v>
      </c>
      <c r="AB151" s="2">
        <v>20.38</v>
      </c>
      <c r="AC151" s="2">
        <v>108.8</v>
      </c>
      <c r="AD151" s="2">
        <v>131.85</v>
      </c>
      <c r="AE151" s="2">
        <v>235.41</v>
      </c>
      <c r="AF151" s="2">
        <v>210.82</v>
      </c>
      <c r="AG151" s="2">
        <v>268.8</v>
      </c>
      <c r="AH151" s="2">
        <v>94.27</v>
      </c>
      <c r="AI151" s="2">
        <v>22.58</v>
      </c>
      <c r="AJ151" s="2">
        <v>96.67</v>
      </c>
      <c r="AK151" s="2">
        <v>13.77</v>
      </c>
      <c r="AL151" s="2">
        <v>35.6</v>
      </c>
      <c r="AM151" s="2">
        <v>79.260000000000005</v>
      </c>
      <c r="AN151" s="2">
        <v>75</v>
      </c>
      <c r="AO151" s="2">
        <v>122.63</v>
      </c>
      <c r="AP151" s="2">
        <v>103.61</v>
      </c>
      <c r="AQ151" s="2">
        <v>111.72</v>
      </c>
      <c r="AR151" s="2">
        <v>94.95</v>
      </c>
      <c r="AU151" s="1" t="s">
        <v>68</v>
      </c>
      <c r="AV151" s="2">
        <v>209.04</v>
      </c>
      <c r="AW151" s="2">
        <v>674.93</v>
      </c>
      <c r="AX151" s="2">
        <v>179.67</v>
      </c>
      <c r="AY151" s="2">
        <v>46.28</v>
      </c>
      <c r="AZ151" s="2">
        <v>337.85</v>
      </c>
      <c r="BA151" s="2">
        <v>400.35</v>
      </c>
      <c r="BB151" s="2">
        <v>679.4</v>
      </c>
      <c r="BC151" s="2">
        <v>579.25</v>
      </c>
      <c r="BD151" s="2">
        <v>722.51</v>
      </c>
      <c r="BE151" s="2">
        <v>496.43</v>
      </c>
      <c r="BF151" s="2">
        <v>165.4</v>
      </c>
      <c r="BG151" s="2">
        <v>629.04</v>
      </c>
      <c r="BH151" s="2">
        <v>100.89</v>
      </c>
      <c r="BI151" s="2">
        <v>113.83</v>
      </c>
      <c r="BJ151" s="2">
        <v>404.02</v>
      </c>
      <c r="BK151" s="2">
        <v>443.61</v>
      </c>
      <c r="BL151" s="2">
        <v>718.71</v>
      </c>
      <c r="BM151" s="2">
        <v>589.28</v>
      </c>
      <c r="BN151" s="2">
        <v>683.74</v>
      </c>
      <c r="BO151" s="2">
        <v>620.92999999999995</v>
      </c>
    </row>
    <row r="152" spans="24:67" x14ac:dyDescent="0.3">
      <c r="X152" s="1" t="s">
        <v>69</v>
      </c>
      <c r="Y152" s="2">
        <v>12.89</v>
      </c>
      <c r="Z152" s="2">
        <v>45.6</v>
      </c>
      <c r="AA152" s="2">
        <v>11.22</v>
      </c>
      <c r="AB152" s="2">
        <v>5.91</v>
      </c>
      <c r="AC152" s="2">
        <v>40.31</v>
      </c>
      <c r="AD152" s="2">
        <v>51.76</v>
      </c>
      <c r="AE152" s="2">
        <v>85.54</v>
      </c>
      <c r="AF152" s="2">
        <v>74.98</v>
      </c>
      <c r="AG152" s="2">
        <v>75.599999999999994</v>
      </c>
      <c r="AH152" s="2">
        <v>41.52</v>
      </c>
      <c r="AI152" s="2">
        <v>9.16</v>
      </c>
      <c r="AJ152" s="2">
        <v>36.42</v>
      </c>
      <c r="AK152" s="2">
        <v>6.19</v>
      </c>
      <c r="AL152" s="2">
        <v>8.7899999999999991</v>
      </c>
      <c r="AM152" s="2">
        <v>19.97</v>
      </c>
      <c r="AN152" s="2">
        <v>21.07</v>
      </c>
      <c r="AO152" s="2">
        <v>32.35</v>
      </c>
      <c r="AP152" s="2">
        <v>27.28</v>
      </c>
      <c r="AQ152" s="2">
        <v>44.24</v>
      </c>
      <c r="AR152" s="2">
        <v>30.1</v>
      </c>
      <c r="AU152" s="1" t="s">
        <v>69</v>
      </c>
      <c r="AV152" s="2">
        <v>78.16</v>
      </c>
      <c r="AW152" s="2">
        <v>295.95</v>
      </c>
      <c r="AX152" s="2">
        <v>69.44</v>
      </c>
      <c r="AY152" s="2">
        <v>19.28</v>
      </c>
      <c r="AZ152" s="2">
        <v>156.81</v>
      </c>
      <c r="BA152" s="2">
        <v>210.74</v>
      </c>
      <c r="BB152" s="2">
        <v>347.6</v>
      </c>
      <c r="BC152" s="2">
        <v>302.36</v>
      </c>
      <c r="BD152" s="2">
        <v>405.48</v>
      </c>
      <c r="BE152" s="2">
        <v>280.8</v>
      </c>
      <c r="BF152" s="2">
        <v>53.5</v>
      </c>
      <c r="BG152" s="2">
        <v>282.70999999999998</v>
      </c>
      <c r="BH152" s="2">
        <v>45.29</v>
      </c>
      <c r="BI152" s="2">
        <v>31.37</v>
      </c>
      <c r="BJ152" s="2">
        <v>124.9</v>
      </c>
      <c r="BK152" s="2">
        <v>143.97999999999999</v>
      </c>
      <c r="BL152" s="2">
        <v>216.46</v>
      </c>
      <c r="BM152" s="2">
        <v>181.81</v>
      </c>
      <c r="BN152" s="2">
        <v>295.48</v>
      </c>
      <c r="BO152" s="2">
        <v>191.58</v>
      </c>
    </row>
    <row r="153" spans="24:67" x14ac:dyDescent="0.3">
      <c r="X153" s="1" t="s">
        <v>70</v>
      </c>
      <c r="Y153" s="2">
        <v>56.11</v>
      </c>
      <c r="Z153" s="2">
        <v>183.87</v>
      </c>
      <c r="AA153" s="2">
        <v>33.31</v>
      </c>
      <c r="AB153" s="2">
        <v>19.64</v>
      </c>
      <c r="AC153" s="2">
        <v>81.62</v>
      </c>
      <c r="AD153" s="2">
        <v>132.30000000000001</v>
      </c>
      <c r="AE153" s="2">
        <v>174.89</v>
      </c>
      <c r="AF153" s="2">
        <v>131.47999999999999</v>
      </c>
      <c r="AG153" s="2">
        <v>172.35</v>
      </c>
      <c r="AH153" s="2">
        <v>157.22</v>
      </c>
      <c r="AI153" s="2">
        <v>61.91</v>
      </c>
      <c r="AJ153" s="2">
        <v>156.69</v>
      </c>
      <c r="AK153" s="2">
        <v>28.12</v>
      </c>
      <c r="AL153" s="2">
        <v>28.94</v>
      </c>
      <c r="AM153" s="2">
        <v>107.47</v>
      </c>
      <c r="AN153" s="2">
        <v>133.69</v>
      </c>
      <c r="AO153" s="2">
        <v>157.29</v>
      </c>
      <c r="AP153" s="2">
        <v>126.13</v>
      </c>
      <c r="AQ153" s="2">
        <v>167.96</v>
      </c>
      <c r="AR153" s="2">
        <v>128</v>
      </c>
      <c r="AU153" s="1" t="s">
        <v>70</v>
      </c>
      <c r="AV153" s="2">
        <v>199.93</v>
      </c>
      <c r="AW153" s="2">
        <v>1242.6300000000001</v>
      </c>
      <c r="AX153" s="2">
        <v>240.99</v>
      </c>
      <c r="AY153" s="2">
        <v>68.86</v>
      </c>
      <c r="AZ153" s="2">
        <v>591.98</v>
      </c>
      <c r="BA153" s="2">
        <v>729.7</v>
      </c>
      <c r="BB153" s="2">
        <v>1068.9100000000001</v>
      </c>
      <c r="BC153" s="2">
        <v>932.82</v>
      </c>
      <c r="BD153" s="2">
        <v>1195.6500000000001</v>
      </c>
      <c r="BE153" s="2">
        <v>1056.58</v>
      </c>
      <c r="BF153" s="2">
        <v>283.24</v>
      </c>
      <c r="BG153" s="2">
        <v>1215.81</v>
      </c>
      <c r="BH153" s="2">
        <v>204.58</v>
      </c>
      <c r="BI153" s="2">
        <v>104.63</v>
      </c>
      <c r="BJ153" s="2">
        <v>475.73</v>
      </c>
      <c r="BK153" s="2">
        <v>679.31</v>
      </c>
      <c r="BL153" s="2">
        <v>1063.1099999999999</v>
      </c>
      <c r="BM153" s="2">
        <v>938.17</v>
      </c>
      <c r="BN153" s="2">
        <v>1175.3399999999999</v>
      </c>
      <c r="BO153" s="2">
        <v>897.1</v>
      </c>
    </row>
    <row r="154" spans="24:67" x14ac:dyDescent="0.3">
      <c r="X154" s="1" t="s">
        <v>71</v>
      </c>
      <c r="Y154" s="2">
        <v>13.13</v>
      </c>
      <c r="Z154" s="2">
        <v>25.36</v>
      </c>
      <c r="AA154" s="2">
        <v>7.67</v>
      </c>
      <c r="AB154" s="2">
        <v>3.61</v>
      </c>
      <c r="AC154" s="2">
        <v>8.49</v>
      </c>
      <c r="AD154" s="2">
        <v>9.4600000000000009</v>
      </c>
      <c r="AE154" s="2">
        <v>20</v>
      </c>
      <c r="AF154" s="2">
        <v>18.190000000000001</v>
      </c>
      <c r="AG154" s="2">
        <v>23.15</v>
      </c>
      <c r="AH154" s="2">
        <v>23.54</v>
      </c>
      <c r="AI154" s="2">
        <v>5.03</v>
      </c>
      <c r="AJ154" s="2">
        <v>18.559999999999999</v>
      </c>
      <c r="AK154" s="2">
        <v>2.8</v>
      </c>
      <c r="AL154" s="2">
        <v>2.75</v>
      </c>
      <c r="AM154" s="2">
        <v>8.9</v>
      </c>
      <c r="AN154" s="2">
        <v>16.829999999999998</v>
      </c>
      <c r="AO154" s="2">
        <v>17.61</v>
      </c>
      <c r="AP154" s="2">
        <v>17.84</v>
      </c>
      <c r="AQ154" s="2">
        <v>29.87</v>
      </c>
      <c r="AR154" s="2">
        <v>13.73</v>
      </c>
      <c r="AU154" s="1" t="s">
        <v>71</v>
      </c>
      <c r="AV154" s="2">
        <v>41.51</v>
      </c>
      <c r="AW154" s="2">
        <v>159.15</v>
      </c>
      <c r="AX154" s="2">
        <v>47.19</v>
      </c>
      <c r="AY154" s="2">
        <v>10.86</v>
      </c>
      <c r="AZ154" s="2">
        <v>51.83</v>
      </c>
      <c r="BA154" s="2">
        <v>61.94</v>
      </c>
      <c r="BB154" s="2">
        <v>130.84</v>
      </c>
      <c r="BC154" s="2">
        <v>119.01</v>
      </c>
      <c r="BD154" s="2">
        <v>151.32</v>
      </c>
      <c r="BE154" s="2">
        <v>152.28</v>
      </c>
      <c r="BF154" s="2">
        <v>16.2</v>
      </c>
      <c r="BG154" s="2">
        <v>121.39</v>
      </c>
      <c r="BH154" s="2">
        <v>17.29</v>
      </c>
      <c r="BI154" s="2">
        <v>8.6999999999999993</v>
      </c>
      <c r="BJ154" s="2">
        <v>28.52</v>
      </c>
      <c r="BK154" s="2">
        <v>66.2</v>
      </c>
      <c r="BL154" s="2">
        <v>116.4</v>
      </c>
      <c r="BM154" s="2">
        <v>83.1</v>
      </c>
      <c r="BN154" s="2">
        <v>140</v>
      </c>
      <c r="BO154" s="2">
        <v>74</v>
      </c>
    </row>
    <row r="155" spans="24:67" x14ac:dyDescent="0.3">
      <c r="X155" s="1" t="s">
        <v>72</v>
      </c>
      <c r="Y155" s="2">
        <v>25.14</v>
      </c>
      <c r="Z155" s="2">
        <v>52.38</v>
      </c>
      <c r="AA155" s="2">
        <v>13.92</v>
      </c>
      <c r="AB155" s="2">
        <v>8.99</v>
      </c>
      <c r="AC155" s="2">
        <v>33.29</v>
      </c>
      <c r="AD155" s="2">
        <v>33.75</v>
      </c>
      <c r="AE155" s="2">
        <v>55.05</v>
      </c>
      <c r="AF155" s="2">
        <v>43.45</v>
      </c>
      <c r="AG155" s="2">
        <v>75.44</v>
      </c>
      <c r="AH155" s="2">
        <v>53.07</v>
      </c>
      <c r="AI155" s="2">
        <v>25.93</v>
      </c>
      <c r="AJ155" s="2">
        <v>38.880000000000003</v>
      </c>
      <c r="AK155" s="2">
        <v>20.51</v>
      </c>
      <c r="AL155" s="2">
        <v>10.85</v>
      </c>
      <c r="AM155" s="2">
        <v>36.35</v>
      </c>
      <c r="AN155" s="2">
        <v>53.64</v>
      </c>
      <c r="AO155" s="2">
        <v>92.61</v>
      </c>
      <c r="AP155" s="2">
        <v>72.61</v>
      </c>
      <c r="AQ155" s="2">
        <v>51.28</v>
      </c>
      <c r="AR155" s="2">
        <v>39.450000000000003</v>
      </c>
      <c r="AU155" s="1" t="s">
        <v>72</v>
      </c>
      <c r="AV155" s="2">
        <v>83.53</v>
      </c>
      <c r="AW155" s="2">
        <v>302</v>
      </c>
      <c r="AX155" s="2">
        <v>72.510000000000005</v>
      </c>
      <c r="AY155" s="2">
        <v>23.76</v>
      </c>
      <c r="AZ155" s="2">
        <v>130.11000000000001</v>
      </c>
      <c r="BA155" s="2">
        <v>168.48</v>
      </c>
      <c r="BB155" s="2">
        <v>256.08999999999997</v>
      </c>
      <c r="BC155" s="2">
        <v>200.57</v>
      </c>
      <c r="BD155" s="2">
        <v>321</v>
      </c>
      <c r="BE155" s="2">
        <v>276.33</v>
      </c>
      <c r="BF155" s="2">
        <v>86.84</v>
      </c>
      <c r="BG155" s="2">
        <v>232.02</v>
      </c>
      <c r="BH155" s="2">
        <v>79.44</v>
      </c>
      <c r="BI155" s="2">
        <v>35.58</v>
      </c>
      <c r="BJ155" s="2">
        <v>80.22</v>
      </c>
      <c r="BK155" s="2">
        <v>147.68</v>
      </c>
      <c r="BL155" s="2">
        <v>255.63</v>
      </c>
      <c r="BM155" s="2">
        <v>219.71</v>
      </c>
      <c r="BN155" s="2">
        <v>334.4</v>
      </c>
      <c r="BO155" s="2">
        <v>199.4</v>
      </c>
    </row>
    <row r="156" spans="24:67" x14ac:dyDescent="0.3">
      <c r="X156" s="1" t="s">
        <v>73</v>
      </c>
      <c r="Y156" s="2">
        <v>4.0599999999999996</v>
      </c>
      <c r="Z156" s="2">
        <v>12.78</v>
      </c>
      <c r="AA156" s="2">
        <v>2.09</v>
      </c>
      <c r="AB156" s="2">
        <v>0.28999999999999998</v>
      </c>
      <c r="AC156" s="2">
        <v>7.66</v>
      </c>
      <c r="AD156" s="2">
        <v>7.92</v>
      </c>
      <c r="AE156" s="2">
        <v>17.010000000000002</v>
      </c>
      <c r="AF156" s="2">
        <v>13.87</v>
      </c>
      <c r="AG156" s="2">
        <v>10.72</v>
      </c>
      <c r="AH156" s="2">
        <v>4.92</v>
      </c>
      <c r="AI156" s="2">
        <v>6.63</v>
      </c>
      <c r="AJ156" s="2">
        <v>15.12</v>
      </c>
      <c r="AK156" s="2">
        <v>2.8</v>
      </c>
      <c r="AL156" s="2">
        <v>1.08</v>
      </c>
      <c r="AM156" s="2">
        <v>5.29</v>
      </c>
      <c r="AN156" s="2">
        <v>10.77</v>
      </c>
      <c r="AO156" s="2">
        <v>13.21</v>
      </c>
      <c r="AP156" s="2">
        <v>6.92</v>
      </c>
      <c r="AQ156" s="2">
        <v>5.0999999999999996</v>
      </c>
      <c r="AR156" s="2">
        <v>4.83</v>
      </c>
      <c r="AU156" s="1" t="s">
        <v>73</v>
      </c>
      <c r="AV156" s="2">
        <v>20.12</v>
      </c>
      <c r="AW156" s="2">
        <v>54.72</v>
      </c>
      <c r="AX156" s="2">
        <v>12.73</v>
      </c>
      <c r="AY156" s="2">
        <v>5.41</v>
      </c>
      <c r="AZ156" s="2">
        <v>46.58</v>
      </c>
      <c r="BA156" s="2">
        <v>36.479999999999997</v>
      </c>
      <c r="BB156" s="2">
        <v>75.87</v>
      </c>
      <c r="BC156" s="2">
        <v>61.82</v>
      </c>
      <c r="BD156" s="2">
        <v>46.28</v>
      </c>
      <c r="BE156" s="2">
        <v>20.58</v>
      </c>
      <c r="BF156" s="2">
        <v>36.659999999999997</v>
      </c>
      <c r="BG156" s="2">
        <v>68.58</v>
      </c>
      <c r="BH156" s="2">
        <v>17.09</v>
      </c>
      <c r="BI156" s="2">
        <v>6.57</v>
      </c>
      <c r="BJ156" s="2">
        <v>22.42</v>
      </c>
      <c r="BK156" s="2">
        <v>50.65</v>
      </c>
      <c r="BL156" s="2">
        <v>62.55</v>
      </c>
      <c r="BM156" s="2">
        <v>36.58</v>
      </c>
      <c r="BN156" s="2">
        <v>23.4</v>
      </c>
      <c r="BO156" s="2">
        <v>20.67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63</v>
      </c>
      <c r="Z160" s="1" t="s">
        <v>64</v>
      </c>
      <c r="AA160" s="1" t="s">
        <v>63</v>
      </c>
      <c r="AB160" s="1" t="s">
        <v>64</v>
      </c>
      <c r="AC160" s="1" t="s">
        <v>63</v>
      </c>
      <c r="AD160" s="1" t="s">
        <v>64</v>
      </c>
      <c r="AE160" s="1" t="s">
        <v>63</v>
      </c>
      <c r="AF160" s="1" t="s">
        <v>64</v>
      </c>
      <c r="AG160" s="1" t="s">
        <v>63</v>
      </c>
      <c r="AH160" s="1" t="s">
        <v>64</v>
      </c>
      <c r="AI160" s="1" t="s">
        <v>63</v>
      </c>
      <c r="AJ160" s="1" t="s">
        <v>64</v>
      </c>
      <c r="AK160" s="1" t="s">
        <v>63</v>
      </c>
      <c r="AL160" s="1" t="s">
        <v>64</v>
      </c>
      <c r="AM160" s="1" t="s">
        <v>63</v>
      </c>
      <c r="AN160" s="1" t="s">
        <v>64</v>
      </c>
      <c r="AO160" s="1" t="s">
        <v>63</v>
      </c>
      <c r="AP160" s="1" t="s">
        <v>64</v>
      </c>
      <c r="AQ160" s="1" t="s">
        <v>63</v>
      </c>
      <c r="AR160" s="1" t="s">
        <v>64</v>
      </c>
      <c r="AU160" s="1" t="s">
        <v>6</v>
      </c>
      <c r="AV160" s="1" t="s">
        <v>63</v>
      </c>
      <c r="AW160" s="1" t="s">
        <v>64</v>
      </c>
      <c r="AX160" s="1" t="s">
        <v>63</v>
      </c>
      <c r="AY160" s="1" t="s">
        <v>64</v>
      </c>
      <c r="AZ160" s="1" t="s">
        <v>63</v>
      </c>
      <c r="BA160" s="1" t="s">
        <v>64</v>
      </c>
      <c r="BB160" s="1" t="s">
        <v>63</v>
      </c>
      <c r="BC160" s="1" t="s">
        <v>64</v>
      </c>
      <c r="BD160" s="1" t="s">
        <v>63</v>
      </c>
      <c r="BE160" s="1" t="s">
        <v>64</v>
      </c>
      <c r="BF160" s="1" t="s">
        <v>63</v>
      </c>
      <c r="BG160" s="1" t="s">
        <v>64</v>
      </c>
      <c r="BH160" s="1" t="s">
        <v>63</v>
      </c>
      <c r="BI160" s="1" t="s">
        <v>64</v>
      </c>
      <c r="BJ160" s="1" t="s">
        <v>63</v>
      </c>
      <c r="BK160" s="1" t="s">
        <v>64</v>
      </c>
      <c r="BL160" s="1" t="s">
        <v>63</v>
      </c>
      <c r="BM160" s="1" t="s">
        <v>64</v>
      </c>
      <c r="BN160" s="1" t="s">
        <v>63</v>
      </c>
      <c r="BO160" s="1" t="s">
        <v>64</v>
      </c>
    </row>
    <row r="161" spans="24:67" x14ac:dyDescent="0.3">
      <c r="X161" s="1" t="s">
        <v>65</v>
      </c>
      <c r="Y161" s="1" t="s">
        <v>53</v>
      </c>
      <c r="Z161" s="1" t="s">
        <v>53</v>
      </c>
      <c r="AA161" s="1" t="s">
        <v>54</v>
      </c>
      <c r="AB161" s="1" t="s">
        <v>54</v>
      </c>
      <c r="AC161" s="1" t="s">
        <v>55</v>
      </c>
      <c r="AD161" s="1" t="s">
        <v>55</v>
      </c>
      <c r="AE161" s="1" t="s">
        <v>56</v>
      </c>
      <c r="AF161" s="1" t="s">
        <v>56</v>
      </c>
      <c r="AG161" s="1" t="s">
        <v>57</v>
      </c>
      <c r="AH161" s="1" t="s">
        <v>57</v>
      </c>
      <c r="AI161" s="1" t="s">
        <v>58</v>
      </c>
      <c r="AJ161" s="1" t="s">
        <v>58</v>
      </c>
      <c r="AK161" s="1" t="s">
        <v>59</v>
      </c>
      <c r="AL161" s="1" t="s">
        <v>59</v>
      </c>
      <c r="AM161" s="1" t="s">
        <v>60</v>
      </c>
      <c r="AN161" s="1" t="s">
        <v>60</v>
      </c>
      <c r="AO161" s="1" t="s">
        <v>61</v>
      </c>
      <c r="AP161" s="1" t="s">
        <v>61</v>
      </c>
      <c r="AQ161" s="1" t="s">
        <v>62</v>
      </c>
      <c r="AR161" s="1" t="s">
        <v>62</v>
      </c>
      <c r="AU161" s="1" t="s">
        <v>65</v>
      </c>
      <c r="AV161" s="1" t="s">
        <v>53</v>
      </c>
      <c r="AW161" s="1" t="s">
        <v>53</v>
      </c>
      <c r="AX161" s="1" t="s">
        <v>54</v>
      </c>
      <c r="AY161" s="1" t="s">
        <v>54</v>
      </c>
      <c r="AZ161" s="1" t="s">
        <v>55</v>
      </c>
      <c r="BA161" s="1" t="s">
        <v>55</v>
      </c>
      <c r="BB161" s="1" t="s">
        <v>56</v>
      </c>
      <c r="BC161" s="1" t="s">
        <v>56</v>
      </c>
      <c r="BD161" s="1" t="s">
        <v>57</v>
      </c>
      <c r="BE161" s="1" t="s">
        <v>57</v>
      </c>
      <c r="BF161" s="1" t="s">
        <v>58</v>
      </c>
      <c r="BG161" s="1" t="s">
        <v>58</v>
      </c>
      <c r="BH161" s="1" t="s">
        <v>59</v>
      </c>
      <c r="BI161" s="1" t="s">
        <v>59</v>
      </c>
      <c r="BJ161" s="1" t="s">
        <v>60</v>
      </c>
      <c r="BK161" s="1" t="s">
        <v>60</v>
      </c>
      <c r="BL161" s="1" t="s">
        <v>61</v>
      </c>
      <c r="BM161" s="1" t="s">
        <v>61</v>
      </c>
      <c r="BN161" s="1" t="s">
        <v>62</v>
      </c>
      <c r="BO161" s="1" t="s">
        <v>62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66</v>
      </c>
      <c r="Y163" s="2">
        <v>11.52</v>
      </c>
      <c r="Z163" s="2">
        <v>16.149999999999999</v>
      </c>
      <c r="AA163" s="2">
        <v>3.82</v>
      </c>
      <c r="AB163" s="2">
        <v>3.8</v>
      </c>
      <c r="AC163" s="2">
        <v>3.25</v>
      </c>
      <c r="AD163" s="2">
        <v>7.33</v>
      </c>
      <c r="AE163" s="2">
        <v>14.85</v>
      </c>
      <c r="AF163" s="2">
        <v>3.9</v>
      </c>
      <c r="AG163" s="2">
        <v>8.15</v>
      </c>
      <c r="AH163" s="2">
        <v>6.58</v>
      </c>
      <c r="AI163" s="2">
        <v>5.79</v>
      </c>
      <c r="AJ163" s="2">
        <v>3.9</v>
      </c>
      <c r="AK163" s="2">
        <v>4.71</v>
      </c>
      <c r="AL163" s="2">
        <v>0.98</v>
      </c>
      <c r="AM163" s="2">
        <v>3.94</v>
      </c>
      <c r="AN163" s="2">
        <v>1.46</v>
      </c>
      <c r="AO163" s="2">
        <v>0.35</v>
      </c>
      <c r="AP163" s="2">
        <v>0.62</v>
      </c>
      <c r="AQ163" s="2">
        <v>0.28000000000000003</v>
      </c>
      <c r="AR163" s="2">
        <v>0.36</v>
      </c>
      <c r="AU163" s="1" t="s">
        <v>66</v>
      </c>
      <c r="AV163" s="2">
        <v>74.58</v>
      </c>
      <c r="AW163" s="2">
        <v>122.45</v>
      </c>
      <c r="AX163" s="2">
        <v>58.48</v>
      </c>
      <c r="AY163" s="2">
        <v>58.5</v>
      </c>
      <c r="AZ163" s="2">
        <v>49.95</v>
      </c>
      <c r="BA163" s="2">
        <v>107.47</v>
      </c>
      <c r="BB163" s="2">
        <v>152.44999999999999</v>
      </c>
      <c r="BC163" s="2">
        <v>75.2</v>
      </c>
      <c r="BD163" s="2">
        <v>129.75</v>
      </c>
      <c r="BE163" s="2">
        <v>174.72</v>
      </c>
      <c r="BF163" s="2">
        <v>71.91</v>
      </c>
      <c r="BG163" s="2">
        <v>108.1</v>
      </c>
      <c r="BH163" s="2">
        <v>82.09</v>
      </c>
      <c r="BI163" s="2">
        <v>94.92</v>
      </c>
      <c r="BJ163" s="2">
        <v>47.86</v>
      </c>
      <c r="BK163" s="2">
        <v>50.34</v>
      </c>
      <c r="BL163" s="2">
        <v>33.950000000000003</v>
      </c>
      <c r="BM163" s="2">
        <v>59.58</v>
      </c>
      <c r="BN163" s="2">
        <v>25.62</v>
      </c>
      <c r="BO163" s="2">
        <v>34.64</v>
      </c>
    </row>
    <row r="164" spans="24:67" x14ac:dyDescent="0.3">
      <c r="X164" s="1" t="s">
        <v>67</v>
      </c>
      <c r="Y164" s="2">
        <v>11.02</v>
      </c>
      <c r="Z164" s="2">
        <v>7.86</v>
      </c>
      <c r="AA164" s="2">
        <v>7.81</v>
      </c>
      <c r="AB164" s="2">
        <v>5.84</v>
      </c>
      <c r="AC164" s="2">
        <v>5.26</v>
      </c>
      <c r="AD164" s="2">
        <v>10.62</v>
      </c>
      <c r="AE164" s="2">
        <v>8.7200000000000006</v>
      </c>
      <c r="AF164" s="2">
        <v>12.59</v>
      </c>
      <c r="AG164" s="2">
        <v>7.91</v>
      </c>
      <c r="AH164" s="2">
        <v>11.13</v>
      </c>
      <c r="AI164" s="2">
        <v>6.95</v>
      </c>
      <c r="AJ164" s="2">
        <v>8.42</v>
      </c>
      <c r="AK164" s="2">
        <v>6.69</v>
      </c>
      <c r="AL164" s="2">
        <v>8.0500000000000007</v>
      </c>
      <c r="AM164" s="2">
        <v>7.05</v>
      </c>
      <c r="AN164" s="2">
        <v>6.58</v>
      </c>
      <c r="AO164" s="2">
        <v>5.72</v>
      </c>
      <c r="AP164" s="2">
        <v>7.67</v>
      </c>
      <c r="AQ164" s="2">
        <v>6.45</v>
      </c>
      <c r="AR164" s="2">
        <v>6.94</v>
      </c>
      <c r="AU164" s="1" t="s">
        <v>67</v>
      </c>
      <c r="AV164" s="2">
        <v>86.58</v>
      </c>
      <c r="AW164" s="2">
        <v>57.54</v>
      </c>
      <c r="AX164" s="2">
        <v>57.39</v>
      </c>
      <c r="AY164" s="2">
        <v>42.76</v>
      </c>
      <c r="AZ164" s="2">
        <v>33.840000000000003</v>
      </c>
      <c r="BA164" s="2">
        <v>77.78</v>
      </c>
      <c r="BB164" s="2">
        <v>64.180000000000007</v>
      </c>
      <c r="BC164" s="2">
        <v>81.709999999999994</v>
      </c>
      <c r="BD164" s="2">
        <v>62.29</v>
      </c>
      <c r="BE164" s="2">
        <v>78.77</v>
      </c>
      <c r="BF164" s="2">
        <v>48.55</v>
      </c>
      <c r="BG164" s="2">
        <v>59.38</v>
      </c>
      <c r="BH164" s="2">
        <v>50.51</v>
      </c>
      <c r="BI164" s="2">
        <v>57.85</v>
      </c>
      <c r="BJ164" s="2">
        <v>52.55</v>
      </c>
      <c r="BK164" s="2">
        <v>49.32</v>
      </c>
      <c r="BL164" s="2">
        <v>42.28</v>
      </c>
      <c r="BM164" s="2">
        <v>52.63</v>
      </c>
      <c r="BN164" s="2">
        <v>50.75</v>
      </c>
      <c r="BO164" s="2">
        <v>54.06</v>
      </c>
    </row>
    <row r="165" spans="24:67" x14ac:dyDescent="0.3">
      <c r="X165" s="1" t="s">
        <v>68</v>
      </c>
      <c r="Y165" s="2">
        <v>44.25</v>
      </c>
      <c r="Z165" s="2">
        <v>17.37</v>
      </c>
      <c r="AA165" s="2">
        <v>34.74</v>
      </c>
      <c r="AB165" s="2">
        <v>10.6</v>
      </c>
      <c r="AC165" s="2">
        <v>40.76</v>
      </c>
      <c r="AD165" s="2">
        <v>71.209999999999994</v>
      </c>
      <c r="AE165" s="2">
        <v>68</v>
      </c>
      <c r="AF165" s="2">
        <v>49.54</v>
      </c>
      <c r="AG165" s="2">
        <v>65.930000000000007</v>
      </c>
      <c r="AH165" s="2">
        <v>37.5</v>
      </c>
      <c r="AI165" s="2">
        <v>65.39</v>
      </c>
      <c r="AJ165" s="2">
        <v>34.06</v>
      </c>
      <c r="AK165" s="2">
        <v>72.7</v>
      </c>
      <c r="AL165" s="2">
        <v>35.729999999999997</v>
      </c>
      <c r="AM165" s="2">
        <v>70.739999999999995</v>
      </c>
      <c r="AN165" s="2">
        <v>29.4</v>
      </c>
      <c r="AO165" s="2">
        <v>27.73</v>
      </c>
      <c r="AP165" s="2">
        <v>27.93</v>
      </c>
      <c r="AQ165" s="2">
        <v>22.55</v>
      </c>
      <c r="AR165" s="2">
        <v>21.48</v>
      </c>
      <c r="AU165" s="1" t="s">
        <v>68</v>
      </c>
      <c r="AV165" s="2">
        <v>160.80000000000001</v>
      </c>
      <c r="AW165" s="2">
        <v>127.23</v>
      </c>
      <c r="AX165" s="2">
        <v>138.21</v>
      </c>
      <c r="AY165" s="2">
        <v>77.599999999999994</v>
      </c>
      <c r="AZ165" s="2">
        <v>92.57</v>
      </c>
      <c r="BA165" s="2">
        <v>227.66</v>
      </c>
      <c r="BB165" s="2">
        <v>211.16</v>
      </c>
      <c r="BC165" s="2">
        <v>252.51</v>
      </c>
      <c r="BD165" s="2">
        <v>200.17</v>
      </c>
      <c r="BE165" s="2">
        <v>221.81</v>
      </c>
      <c r="BF165" s="2">
        <v>188.72</v>
      </c>
      <c r="BG165" s="2">
        <v>199.64</v>
      </c>
      <c r="BH165" s="2">
        <v>199.74</v>
      </c>
      <c r="BI165" s="2">
        <v>203.2</v>
      </c>
      <c r="BJ165" s="2">
        <v>190.13</v>
      </c>
      <c r="BK165" s="2">
        <v>179.93</v>
      </c>
      <c r="BL165" s="2">
        <v>146.01</v>
      </c>
      <c r="BM165" s="2">
        <v>182.63</v>
      </c>
      <c r="BN165" s="2">
        <v>149.97999999999999</v>
      </c>
      <c r="BO165" s="2">
        <v>139.79</v>
      </c>
    </row>
    <row r="166" spans="24:67" x14ac:dyDescent="0.3">
      <c r="X166" s="1" t="s">
        <v>69</v>
      </c>
      <c r="Y166" s="2">
        <v>9.92</v>
      </c>
      <c r="Z166" s="2">
        <v>7.05</v>
      </c>
      <c r="AA166" s="2">
        <v>8.6300000000000008</v>
      </c>
      <c r="AB166" s="2">
        <v>4.76</v>
      </c>
      <c r="AC166" s="2">
        <v>11.82</v>
      </c>
      <c r="AD166" s="2">
        <v>17.59</v>
      </c>
      <c r="AE166" s="2">
        <v>25.2</v>
      </c>
      <c r="AF166" s="2">
        <v>12.48</v>
      </c>
      <c r="AG166" s="2">
        <v>25.88</v>
      </c>
      <c r="AH166" s="2">
        <v>10.54</v>
      </c>
      <c r="AI166" s="2">
        <v>23.76</v>
      </c>
      <c r="AJ166" s="2">
        <v>8.98</v>
      </c>
      <c r="AK166" s="2">
        <v>25.86</v>
      </c>
      <c r="AL166" s="2">
        <v>9.41</v>
      </c>
      <c r="AM166" s="2">
        <v>19.899999999999999</v>
      </c>
      <c r="AN166" s="2">
        <v>11.64</v>
      </c>
      <c r="AO166" s="2">
        <v>12.21</v>
      </c>
      <c r="AP166" s="2">
        <v>8.85</v>
      </c>
      <c r="AQ166" s="2">
        <v>10.130000000000001</v>
      </c>
      <c r="AR166" s="2">
        <v>8.09</v>
      </c>
      <c r="AU166" s="1" t="s">
        <v>69</v>
      </c>
      <c r="AV166" s="2">
        <v>60.12</v>
      </c>
      <c r="AW166" s="2">
        <v>41.15</v>
      </c>
      <c r="AX166" s="2">
        <v>53.42</v>
      </c>
      <c r="AY166" s="2">
        <v>34.840000000000003</v>
      </c>
      <c r="AZ166" s="2">
        <v>38.56</v>
      </c>
      <c r="BA166" s="2">
        <v>62.75</v>
      </c>
      <c r="BB166" s="2">
        <v>98</v>
      </c>
      <c r="BC166" s="2">
        <v>78.06</v>
      </c>
      <c r="BD166" s="2">
        <v>105.37</v>
      </c>
      <c r="BE166" s="2">
        <v>71.989999999999995</v>
      </c>
      <c r="BF166" s="2">
        <v>96.55</v>
      </c>
      <c r="BG166" s="2">
        <v>60.13</v>
      </c>
      <c r="BH166" s="2">
        <v>104.26</v>
      </c>
      <c r="BI166" s="2">
        <v>62.69</v>
      </c>
      <c r="BJ166" s="2">
        <v>106.7</v>
      </c>
      <c r="BK166" s="2">
        <v>77.760000000000005</v>
      </c>
      <c r="BL166" s="2">
        <v>82.59</v>
      </c>
      <c r="BM166" s="2">
        <v>56.35</v>
      </c>
      <c r="BN166" s="2">
        <v>65.77</v>
      </c>
      <c r="BO166" s="2">
        <v>62.83</v>
      </c>
    </row>
    <row r="167" spans="24:67" x14ac:dyDescent="0.3">
      <c r="X167" s="1" t="s">
        <v>70</v>
      </c>
      <c r="Y167" s="2">
        <v>43.16</v>
      </c>
      <c r="Z167" s="2">
        <v>47.62</v>
      </c>
      <c r="AA167" s="2">
        <v>25.62</v>
      </c>
      <c r="AB167" s="2">
        <v>21.63</v>
      </c>
      <c r="AC167" s="2">
        <v>39.270000000000003</v>
      </c>
      <c r="AD167" s="2">
        <v>57.89</v>
      </c>
      <c r="AE167" s="2">
        <v>51.01</v>
      </c>
      <c r="AF167" s="2">
        <v>67.17</v>
      </c>
      <c r="AG167" s="2">
        <v>66.150000000000006</v>
      </c>
      <c r="AH167" s="2">
        <v>66.849999999999994</v>
      </c>
      <c r="AI167" s="2">
        <v>48.58</v>
      </c>
      <c r="AJ167" s="2">
        <v>43.69</v>
      </c>
      <c r="AK167" s="2">
        <v>45.34</v>
      </c>
      <c r="AL167" s="2">
        <v>43.49</v>
      </c>
      <c r="AM167" s="2">
        <v>45.36</v>
      </c>
      <c r="AN167" s="2">
        <v>44.2</v>
      </c>
      <c r="AO167" s="2">
        <v>46.24</v>
      </c>
      <c r="AP167" s="2">
        <v>37.65</v>
      </c>
      <c r="AQ167" s="2">
        <v>40.86</v>
      </c>
      <c r="AR167" s="2">
        <v>34.82</v>
      </c>
      <c r="AU167" s="1" t="s">
        <v>70</v>
      </c>
      <c r="AV167" s="2">
        <v>153.79</v>
      </c>
      <c r="AW167" s="2">
        <v>217.88</v>
      </c>
      <c r="AX167" s="2">
        <v>185.38</v>
      </c>
      <c r="AY167" s="2">
        <v>157.37</v>
      </c>
      <c r="AZ167" s="2">
        <v>137.72999999999999</v>
      </c>
      <c r="BA167" s="2">
        <v>209.26</v>
      </c>
      <c r="BB167" s="2">
        <v>369.99</v>
      </c>
      <c r="BC167" s="2">
        <v>297.33</v>
      </c>
      <c r="BD167" s="2">
        <v>364.85</v>
      </c>
      <c r="BE167" s="2">
        <v>339.65</v>
      </c>
      <c r="BF167" s="2">
        <v>296.92</v>
      </c>
      <c r="BG167" s="2">
        <v>295.31</v>
      </c>
      <c r="BH167" s="2">
        <v>321.66000000000003</v>
      </c>
      <c r="BI167" s="2">
        <v>323.51</v>
      </c>
      <c r="BJ167" s="2">
        <v>314.64</v>
      </c>
      <c r="BK167" s="2">
        <v>309.3</v>
      </c>
      <c r="BL167" s="2">
        <v>310.76</v>
      </c>
      <c r="BM167" s="2">
        <v>263.85000000000002</v>
      </c>
      <c r="BN167" s="2">
        <v>276.14</v>
      </c>
      <c r="BO167" s="2">
        <v>270.18</v>
      </c>
    </row>
    <row r="168" spans="24:67" x14ac:dyDescent="0.3">
      <c r="X168" s="1" t="s">
        <v>71</v>
      </c>
      <c r="Y168" s="2">
        <v>10.1</v>
      </c>
      <c r="Z168" s="2">
        <v>3.87</v>
      </c>
      <c r="AA168" s="2">
        <v>5.9</v>
      </c>
      <c r="AB168" s="2">
        <v>2.15</v>
      </c>
      <c r="AC168" s="2">
        <v>7.23</v>
      </c>
      <c r="AD168" s="2">
        <v>5.5</v>
      </c>
      <c r="AE168" s="2">
        <v>5.31</v>
      </c>
      <c r="AF168" s="2">
        <v>5.56</v>
      </c>
      <c r="AG168" s="2">
        <v>4.7300000000000004</v>
      </c>
      <c r="AH168" s="2">
        <v>8.42</v>
      </c>
      <c r="AI168" s="2">
        <v>5.56</v>
      </c>
      <c r="AJ168" s="2">
        <v>4.8899999999999997</v>
      </c>
      <c r="AK168" s="2">
        <v>6.27</v>
      </c>
      <c r="AL168" s="2">
        <v>6.15</v>
      </c>
      <c r="AM168" s="2">
        <v>6.09</v>
      </c>
      <c r="AN168" s="2">
        <v>7.86</v>
      </c>
      <c r="AO168" s="2">
        <v>6.92</v>
      </c>
      <c r="AP168" s="2">
        <v>4.04</v>
      </c>
      <c r="AQ168" s="2">
        <v>5.63</v>
      </c>
      <c r="AR168" s="2">
        <v>4.12</v>
      </c>
      <c r="AU168" s="1" t="s">
        <v>71</v>
      </c>
      <c r="AV168" s="2">
        <v>31.93</v>
      </c>
      <c r="AW168" s="2">
        <v>12.46</v>
      </c>
      <c r="AX168" s="2">
        <v>36.299999999999997</v>
      </c>
      <c r="AY168" s="2">
        <v>13.3</v>
      </c>
      <c r="AZ168" s="2">
        <v>21.71</v>
      </c>
      <c r="BA168" s="2">
        <v>17.399999999999999</v>
      </c>
      <c r="BB168" s="2">
        <v>32.39</v>
      </c>
      <c r="BC168" s="2">
        <v>17.829999999999998</v>
      </c>
      <c r="BD168" s="2">
        <v>30.97</v>
      </c>
      <c r="BE168" s="2">
        <v>33.1</v>
      </c>
      <c r="BF168" s="2">
        <v>36.340000000000003</v>
      </c>
      <c r="BG168" s="2">
        <v>32.33</v>
      </c>
      <c r="BH168" s="2">
        <v>41.04</v>
      </c>
      <c r="BI168" s="2">
        <v>28.66</v>
      </c>
      <c r="BJ168" s="2">
        <v>39.82</v>
      </c>
      <c r="BK168" s="2">
        <v>36.840000000000003</v>
      </c>
      <c r="BL168" s="2">
        <v>44.79</v>
      </c>
      <c r="BM168" s="2">
        <v>21.77</v>
      </c>
      <c r="BN168" s="2">
        <v>35.369999999999997</v>
      </c>
      <c r="BO168" s="2">
        <v>26.98</v>
      </c>
    </row>
    <row r="169" spans="24:67" x14ac:dyDescent="0.3">
      <c r="X169" s="1" t="s">
        <v>72</v>
      </c>
      <c r="Y169" s="2">
        <v>19.329999999999998</v>
      </c>
      <c r="Z169" s="2">
        <v>19.95</v>
      </c>
      <c r="AA169" s="2">
        <v>10.71</v>
      </c>
      <c r="AB169" s="2">
        <v>15.77</v>
      </c>
      <c r="AC169" s="2">
        <v>17.989999999999998</v>
      </c>
      <c r="AD169" s="2">
        <v>21.71</v>
      </c>
      <c r="AE169" s="2">
        <v>20.81</v>
      </c>
      <c r="AF169" s="2">
        <v>22.72</v>
      </c>
      <c r="AG169" s="2">
        <v>16.88</v>
      </c>
      <c r="AH169" s="2">
        <v>26.82</v>
      </c>
      <c r="AI169" s="2">
        <v>15.29</v>
      </c>
      <c r="AJ169" s="2">
        <v>25.73</v>
      </c>
      <c r="AK169" s="2">
        <v>14.98</v>
      </c>
      <c r="AL169" s="2">
        <v>25.04</v>
      </c>
      <c r="AM169" s="2">
        <v>19.850000000000001</v>
      </c>
      <c r="AN169" s="2">
        <v>13.49</v>
      </c>
      <c r="AO169" s="2">
        <v>15.61</v>
      </c>
      <c r="AP169" s="2">
        <v>11.6</v>
      </c>
      <c r="AQ169" s="2">
        <v>11.64</v>
      </c>
      <c r="AR169" s="2">
        <v>8.64</v>
      </c>
      <c r="AU169" s="1" t="s">
        <v>72</v>
      </c>
      <c r="AV169" s="2">
        <v>64.25</v>
      </c>
      <c r="AW169" s="2">
        <v>66.8</v>
      </c>
      <c r="AX169" s="2">
        <v>55.78</v>
      </c>
      <c r="AY169" s="2">
        <v>61.11</v>
      </c>
      <c r="AZ169" s="2">
        <v>47.51</v>
      </c>
      <c r="BA169" s="2">
        <v>71.17</v>
      </c>
      <c r="BB169" s="2">
        <v>81.319999999999993</v>
      </c>
      <c r="BC169" s="2">
        <v>50.14</v>
      </c>
      <c r="BD169" s="2">
        <v>84.24</v>
      </c>
      <c r="BE169" s="2">
        <v>73.84</v>
      </c>
      <c r="BF169" s="2">
        <v>71.14</v>
      </c>
      <c r="BG169" s="2">
        <v>71.010000000000005</v>
      </c>
      <c r="BH169" s="2">
        <v>69.16</v>
      </c>
      <c r="BI169" s="2">
        <v>75.760000000000005</v>
      </c>
      <c r="BJ169" s="2">
        <v>84.47</v>
      </c>
      <c r="BK169" s="2">
        <v>88</v>
      </c>
      <c r="BL169" s="2">
        <v>81.27</v>
      </c>
      <c r="BM169" s="2">
        <v>58.65</v>
      </c>
      <c r="BN169" s="2">
        <v>67.11</v>
      </c>
      <c r="BO169" s="2">
        <v>51.56</v>
      </c>
    </row>
    <row r="170" spans="24:67" x14ac:dyDescent="0.3">
      <c r="X170" s="1" t="s">
        <v>73</v>
      </c>
      <c r="Y170" s="2">
        <v>3.12</v>
      </c>
      <c r="Z170" s="2">
        <v>5.0999999999999996</v>
      </c>
      <c r="AA170" s="2">
        <v>1.6</v>
      </c>
      <c r="AB170" s="2">
        <v>2.15</v>
      </c>
      <c r="AC170" s="2">
        <v>0.56999999999999995</v>
      </c>
      <c r="AD170" s="2">
        <v>2.16</v>
      </c>
      <c r="AE170" s="2">
        <v>4.79</v>
      </c>
      <c r="AF170" s="2">
        <v>3.3</v>
      </c>
      <c r="AG170" s="2">
        <v>3.96</v>
      </c>
      <c r="AH170" s="2">
        <v>5.39</v>
      </c>
      <c r="AI170" s="2">
        <v>4.72</v>
      </c>
      <c r="AJ170" s="2">
        <v>3.67</v>
      </c>
      <c r="AK170" s="2">
        <v>4.78</v>
      </c>
      <c r="AL170" s="2">
        <v>2.39</v>
      </c>
      <c r="AM170" s="2">
        <v>2.82</v>
      </c>
      <c r="AN170" s="2">
        <v>1.34</v>
      </c>
      <c r="AO170" s="2">
        <v>1.45</v>
      </c>
      <c r="AP170" s="2">
        <v>1.42</v>
      </c>
      <c r="AQ170" s="2">
        <v>2.84</v>
      </c>
      <c r="AR170" s="2">
        <v>3.36</v>
      </c>
      <c r="AU170" s="1" t="s">
        <v>73</v>
      </c>
      <c r="AV170" s="2">
        <v>15.48</v>
      </c>
      <c r="AW170" s="2">
        <v>28.2</v>
      </c>
      <c r="AX170" s="2">
        <v>9.8000000000000007</v>
      </c>
      <c r="AY170" s="2">
        <v>13.15</v>
      </c>
      <c r="AZ170" s="2">
        <v>10.83</v>
      </c>
      <c r="BA170" s="2">
        <v>13.14</v>
      </c>
      <c r="BB170" s="2">
        <v>29.11</v>
      </c>
      <c r="BC170" s="2">
        <v>14.01</v>
      </c>
      <c r="BD170" s="2">
        <v>18.239999999999998</v>
      </c>
      <c r="BE170" s="2">
        <v>25.32</v>
      </c>
      <c r="BF170" s="2">
        <v>21.08</v>
      </c>
      <c r="BG170" s="2">
        <v>17.37</v>
      </c>
      <c r="BH170" s="2">
        <v>21.32</v>
      </c>
      <c r="BI170" s="2">
        <v>12.61</v>
      </c>
      <c r="BJ170" s="2">
        <v>12.18</v>
      </c>
      <c r="BK170" s="2">
        <v>6.16</v>
      </c>
      <c r="BL170" s="2">
        <v>6.05</v>
      </c>
      <c r="BM170" s="2">
        <v>6.08</v>
      </c>
      <c r="BN170" s="2">
        <v>12.16</v>
      </c>
      <c r="BO170" s="2">
        <v>15.24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63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64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63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64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65</v>
      </c>
      <c r="Y175" s="1" t="s">
        <v>53</v>
      </c>
      <c r="Z175" s="1" t="s">
        <v>62</v>
      </c>
      <c r="AA175" s="1" t="s">
        <v>54</v>
      </c>
      <c r="AB175" s="1" t="s">
        <v>55</v>
      </c>
      <c r="AC175" s="1" t="s">
        <v>56</v>
      </c>
      <c r="AD175" s="1" t="s">
        <v>57</v>
      </c>
      <c r="AE175" s="1" t="s">
        <v>58</v>
      </c>
      <c r="AF175" s="1" t="s">
        <v>59</v>
      </c>
      <c r="AG175" s="1" t="s">
        <v>60</v>
      </c>
      <c r="AH175" s="1" t="s">
        <v>61</v>
      </c>
      <c r="AI175" s="1" t="s">
        <v>53</v>
      </c>
      <c r="AJ175" s="1" t="s">
        <v>62</v>
      </c>
      <c r="AK175" s="1" t="s">
        <v>54</v>
      </c>
      <c r="AL175" s="1" t="s">
        <v>55</v>
      </c>
      <c r="AM175" s="1" t="s">
        <v>56</v>
      </c>
      <c r="AN175" s="1" t="s">
        <v>57</v>
      </c>
      <c r="AO175" s="1" t="s">
        <v>58</v>
      </c>
      <c r="AP175" s="1" t="s">
        <v>59</v>
      </c>
      <c r="AQ175" s="1" t="s">
        <v>60</v>
      </c>
      <c r="AR175" s="1" t="s">
        <v>61</v>
      </c>
      <c r="AU175" s="1" t="s">
        <v>65</v>
      </c>
      <c r="AV175" s="1" t="s">
        <v>53</v>
      </c>
      <c r="AW175" s="1" t="s">
        <v>62</v>
      </c>
      <c r="AX175" s="1" t="s">
        <v>54</v>
      </c>
      <c r="AY175" s="1" t="s">
        <v>55</v>
      </c>
      <c r="AZ175" s="1" t="s">
        <v>56</v>
      </c>
      <c r="BA175" s="1" t="s">
        <v>57</v>
      </c>
      <c r="BB175" s="1" t="s">
        <v>58</v>
      </c>
      <c r="BC175" s="1" t="s">
        <v>59</v>
      </c>
      <c r="BD175" s="1" t="s">
        <v>60</v>
      </c>
      <c r="BE175" s="1" t="s">
        <v>61</v>
      </c>
      <c r="BF175" s="1" t="s">
        <v>53</v>
      </c>
      <c r="BG175" s="1" t="s">
        <v>62</v>
      </c>
      <c r="BH175" s="1" t="s">
        <v>54</v>
      </c>
      <c r="BI175" s="1" t="s">
        <v>55</v>
      </c>
      <c r="BJ175" s="1" t="s">
        <v>56</v>
      </c>
      <c r="BK175" s="1" t="s">
        <v>57</v>
      </c>
      <c r="BL175" s="1" t="s">
        <v>58</v>
      </c>
      <c r="BM175" s="1" t="s">
        <v>59</v>
      </c>
      <c r="BN175" s="1" t="s">
        <v>60</v>
      </c>
      <c r="BO175" s="1" t="s">
        <v>61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66</v>
      </c>
      <c r="Y177" s="2">
        <v>403.89</v>
      </c>
      <c r="Z177" s="2">
        <v>141.88999999999999</v>
      </c>
      <c r="AA177" s="2">
        <v>27.84</v>
      </c>
      <c r="AB177" s="2">
        <v>16.46</v>
      </c>
      <c r="AC177" s="2">
        <v>239.72</v>
      </c>
      <c r="AD177" s="2">
        <v>452.45</v>
      </c>
      <c r="AE177" s="2">
        <v>775.47</v>
      </c>
      <c r="AF177" s="2">
        <v>840.5</v>
      </c>
      <c r="AG177" s="2">
        <v>715.75</v>
      </c>
      <c r="AH177" s="2">
        <v>55.65</v>
      </c>
      <c r="AI177" s="2">
        <v>371.08</v>
      </c>
      <c r="AJ177" s="2">
        <v>90.12</v>
      </c>
      <c r="AK177" s="2">
        <v>28.44</v>
      </c>
      <c r="AL177" s="2">
        <v>24.74</v>
      </c>
      <c r="AM177" s="2">
        <v>146.29</v>
      </c>
      <c r="AN177" s="2">
        <v>166.26</v>
      </c>
      <c r="AO177" s="2">
        <v>237.18</v>
      </c>
      <c r="AP177" s="2">
        <v>56.01</v>
      </c>
      <c r="AQ177" s="2">
        <v>213.78</v>
      </c>
      <c r="AR177" s="2">
        <v>58.34</v>
      </c>
      <c r="AU177" s="1" t="s">
        <v>66</v>
      </c>
      <c r="AV177" s="2">
        <v>2382.5300000000002</v>
      </c>
      <c r="AW177" s="2">
        <v>8479.66</v>
      </c>
      <c r="AX177" s="2">
        <v>1251.6199999999999</v>
      </c>
      <c r="AY177" s="2">
        <v>743.74</v>
      </c>
      <c r="AZ177" s="2">
        <v>2633.08</v>
      </c>
      <c r="BA177" s="2">
        <v>3236.55</v>
      </c>
      <c r="BB177" s="2">
        <v>5998.29</v>
      </c>
      <c r="BC177" s="2">
        <v>4512.6099999999997</v>
      </c>
      <c r="BD177" s="2">
        <v>6447.63</v>
      </c>
      <c r="BE177" s="2">
        <v>5363.61</v>
      </c>
      <c r="BF177" s="2">
        <v>2438.09</v>
      </c>
      <c r="BG177" s="2">
        <v>8685.7800000000007</v>
      </c>
      <c r="BH177" s="2">
        <v>1286.51</v>
      </c>
      <c r="BI177" s="2">
        <v>797.41</v>
      </c>
      <c r="BJ177" s="2">
        <v>2769.07</v>
      </c>
      <c r="BK177" s="2">
        <v>3402.34</v>
      </c>
      <c r="BL177" s="2">
        <v>6163.62</v>
      </c>
      <c r="BM177" s="2">
        <v>5398.6</v>
      </c>
      <c r="BN177" s="2">
        <v>6752.76</v>
      </c>
      <c r="BO177" s="2">
        <v>5622.72</v>
      </c>
    </row>
    <row r="178" spans="24:67" x14ac:dyDescent="0.3">
      <c r="X178" s="1" t="s">
        <v>67</v>
      </c>
      <c r="Y178" s="2">
        <v>19.39</v>
      </c>
      <c r="Z178" s="2">
        <v>85.51</v>
      </c>
      <c r="AA178" s="2">
        <v>10.56</v>
      </c>
      <c r="AB178" s="2">
        <v>5.85</v>
      </c>
      <c r="AC178" s="2">
        <v>18.41</v>
      </c>
      <c r="AD178" s="2">
        <v>23.5</v>
      </c>
      <c r="AE178" s="2">
        <v>46.89</v>
      </c>
      <c r="AF178" s="2">
        <v>38.85</v>
      </c>
      <c r="AG178" s="2">
        <v>53.86</v>
      </c>
      <c r="AH178" s="2">
        <v>47.37</v>
      </c>
      <c r="AI178" s="2">
        <v>21.82</v>
      </c>
      <c r="AJ178" s="2">
        <v>75.3</v>
      </c>
      <c r="AK178" s="2">
        <v>12.8</v>
      </c>
      <c r="AL178" s="2">
        <v>6.13</v>
      </c>
      <c r="AM178" s="2">
        <v>26.79</v>
      </c>
      <c r="AN178" s="2">
        <v>28.78</v>
      </c>
      <c r="AO178" s="2">
        <v>56.69</v>
      </c>
      <c r="AP178" s="2">
        <v>44.42</v>
      </c>
      <c r="AQ178" s="2">
        <v>54.52</v>
      </c>
      <c r="AR178" s="2">
        <v>56.21</v>
      </c>
      <c r="AU178" s="1" t="s">
        <v>67</v>
      </c>
      <c r="AV178" s="2">
        <v>393.23</v>
      </c>
      <c r="AW178" s="2">
        <v>1733.84</v>
      </c>
      <c r="AX178" s="2">
        <v>200.56</v>
      </c>
      <c r="AY178" s="2">
        <v>95.8</v>
      </c>
      <c r="AZ178" s="2">
        <v>349.75</v>
      </c>
      <c r="BA178" s="2">
        <v>476.5</v>
      </c>
      <c r="BB178" s="2">
        <v>832.23</v>
      </c>
      <c r="BC178" s="2">
        <v>754.88</v>
      </c>
      <c r="BD178" s="2">
        <v>1031.04</v>
      </c>
      <c r="BE178" s="2">
        <v>898.17</v>
      </c>
      <c r="BF178" s="2">
        <v>408.35</v>
      </c>
      <c r="BG178" s="2">
        <v>1514.55</v>
      </c>
      <c r="BH178" s="2">
        <v>243.17</v>
      </c>
      <c r="BI178" s="2">
        <v>116.37</v>
      </c>
      <c r="BJ178" s="2">
        <v>443.93</v>
      </c>
      <c r="BK178" s="2">
        <v>518.02</v>
      </c>
      <c r="BL178" s="2">
        <v>1017.55</v>
      </c>
      <c r="BM178" s="2">
        <v>814.27</v>
      </c>
      <c r="BN178" s="2">
        <v>1049</v>
      </c>
      <c r="BO178" s="2">
        <v>977.39</v>
      </c>
    </row>
    <row r="179" spans="24:67" x14ac:dyDescent="0.3">
      <c r="X179" s="1" t="s">
        <v>68</v>
      </c>
      <c r="Y179" s="2">
        <v>230.29</v>
      </c>
      <c r="Z179" s="2">
        <v>304.13</v>
      </c>
      <c r="AA179" s="2">
        <v>95.21</v>
      </c>
      <c r="AB179" s="2">
        <v>116.76</v>
      </c>
      <c r="AC179" s="2">
        <v>276.41000000000003</v>
      </c>
      <c r="AD179" s="2">
        <v>380.05</v>
      </c>
      <c r="AE179" s="2">
        <v>748.14</v>
      </c>
      <c r="AF179" s="2">
        <v>687.26</v>
      </c>
      <c r="AG179" s="2">
        <v>881.34</v>
      </c>
      <c r="AH179" s="2">
        <v>316.57</v>
      </c>
      <c r="AI179" s="2">
        <v>64.23</v>
      </c>
      <c r="AJ179" s="2">
        <v>305.55</v>
      </c>
      <c r="AK179" s="2">
        <v>29.17</v>
      </c>
      <c r="AL179" s="2">
        <v>73.31</v>
      </c>
      <c r="AM179" s="2">
        <v>149.78</v>
      </c>
      <c r="AN179" s="2">
        <v>161.66</v>
      </c>
      <c r="AO179" s="2">
        <v>308.3</v>
      </c>
      <c r="AP179" s="2">
        <v>271.99</v>
      </c>
      <c r="AQ179" s="2">
        <v>293.92</v>
      </c>
      <c r="AR179" s="2">
        <v>258</v>
      </c>
      <c r="AU179" s="1" t="s">
        <v>68</v>
      </c>
      <c r="AV179" s="2">
        <v>1944.2</v>
      </c>
      <c r="AW179" s="2">
        <v>5115.87</v>
      </c>
      <c r="AX179" s="2">
        <v>905.79</v>
      </c>
      <c r="AY179" s="2">
        <v>595.91999999999996</v>
      </c>
      <c r="AZ179" s="2">
        <v>1993.82</v>
      </c>
      <c r="BA179" s="2">
        <v>2619.35</v>
      </c>
      <c r="BB179" s="2">
        <v>4879.63</v>
      </c>
      <c r="BC179" s="2">
        <v>4241.38</v>
      </c>
      <c r="BD179" s="2">
        <v>5311.53</v>
      </c>
      <c r="BE179" s="2">
        <v>4072.87</v>
      </c>
      <c r="BF179" s="2">
        <v>1202.49</v>
      </c>
      <c r="BG179" s="2">
        <v>5009.1099999999997</v>
      </c>
      <c r="BH179" s="2">
        <v>554.27</v>
      </c>
      <c r="BI179" s="2">
        <v>545.54999999999995</v>
      </c>
      <c r="BJ179" s="2">
        <v>1885.67</v>
      </c>
      <c r="BK179" s="2">
        <v>2371.83</v>
      </c>
      <c r="BL179" s="2">
        <v>4485.2700000000004</v>
      </c>
      <c r="BM179" s="2">
        <v>3820.91</v>
      </c>
      <c r="BN179" s="2">
        <v>4493.68</v>
      </c>
      <c r="BO179" s="2">
        <v>4253.79</v>
      </c>
    </row>
    <row r="180" spans="24:67" x14ac:dyDescent="0.3">
      <c r="X180" s="1" t="s">
        <v>69</v>
      </c>
      <c r="Y180" s="2">
        <v>53.65</v>
      </c>
      <c r="Z180" s="2">
        <v>131.63</v>
      </c>
      <c r="AA180" s="2">
        <v>23.9</v>
      </c>
      <c r="AB180" s="2">
        <v>30.37</v>
      </c>
      <c r="AC180" s="2">
        <v>86.1</v>
      </c>
      <c r="AD180" s="2">
        <v>109.52</v>
      </c>
      <c r="AE180" s="2">
        <v>198.56</v>
      </c>
      <c r="AF180" s="2">
        <v>172.18</v>
      </c>
      <c r="AG180" s="2">
        <v>151.22</v>
      </c>
      <c r="AH180" s="2">
        <v>86.79</v>
      </c>
      <c r="AI180" s="2">
        <v>36.909999999999997</v>
      </c>
      <c r="AJ180" s="2">
        <v>107.89</v>
      </c>
      <c r="AK180" s="2">
        <v>15.71</v>
      </c>
      <c r="AL180" s="2">
        <v>31.14</v>
      </c>
      <c r="AM180" s="2">
        <v>52.14</v>
      </c>
      <c r="AN180" s="2">
        <v>56.75</v>
      </c>
      <c r="AO180" s="2">
        <v>109.11</v>
      </c>
      <c r="AP180" s="2">
        <v>91.33</v>
      </c>
      <c r="AQ180" s="2">
        <v>107.24</v>
      </c>
      <c r="AR180" s="2">
        <v>111.38</v>
      </c>
      <c r="AU180" s="1" t="s">
        <v>69</v>
      </c>
      <c r="AV180" s="2">
        <v>812.03</v>
      </c>
      <c r="AW180" s="2">
        <v>2152.12</v>
      </c>
      <c r="AX180" s="2">
        <v>375.42</v>
      </c>
      <c r="AY180" s="2">
        <v>231.19</v>
      </c>
      <c r="AZ180" s="2">
        <v>799.02</v>
      </c>
      <c r="BA180" s="2">
        <v>1050.58</v>
      </c>
      <c r="BB180" s="2">
        <v>1904.39</v>
      </c>
      <c r="BC180" s="2">
        <v>1636.09</v>
      </c>
      <c r="BD180" s="2">
        <v>1990.08</v>
      </c>
      <c r="BE180" s="2">
        <v>1486.39</v>
      </c>
      <c r="BF180" s="2">
        <v>533.01</v>
      </c>
      <c r="BG180" s="2">
        <v>2187.7199999999998</v>
      </c>
      <c r="BH180" s="2">
        <v>298.37</v>
      </c>
      <c r="BI180" s="2">
        <v>261.94</v>
      </c>
      <c r="BJ180" s="2">
        <v>829.39</v>
      </c>
      <c r="BK180" s="2">
        <v>982.79</v>
      </c>
      <c r="BL180" s="2">
        <v>1848.94</v>
      </c>
      <c r="BM180" s="2">
        <v>1539.34</v>
      </c>
      <c r="BN180" s="2">
        <v>1812.14</v>
      </c>
      <c r="BO180" s="2">
        <v>1779.7</v>
      </c>
    </row>
    <row r="181" spans="24:67" x14ac:dyDescent="0.3">
      <c r="X181" s="1" t="s">
        <v>70</v>
      </c>
      <c r="Y181" s="2">
        <v>289.88</v>
      </c>
      <c r="Z181" s="2">
        <v>591.76</v>
      </c>
      <c r="AA181" s="2">
        <v>79.83</v>
      </c>
      <c r="AB181" s="2">
        <v>93.78</v>
      </c>
      <c r="AC181" s="2">
        <v>159.46</v>
      </c>
      <c r="AD181" s="2">
        <v>303.73</v>
      </c>
      <c r="AE181" s="2">
        <v>482.71</v>
      </c>
      <c r="AF181" s="2">
        <v>332.88</v>
      </c>
      <c r="AG181" s="2">
        <v>437.19</v>
      </c>
      <c r="AH181" s="2">
        <v>400.81</v>
      </c>
      <c r="AI181" s="2">
        <v>281.31</v>
      </c>
      <c r="AJ181" s="2">
        <v>544.63</v>
      </c>
      <c r="AK181" s="2">
        <v>86.42</v>
      </c>
      <c r="AL181" s="2">
        <v>90.5</v>
      </c>
      <c r="AM181" s="2">
        <v>289.85000000000002</v>
      </c>
      <c r="AN181" s="2">
        <v>343.26</v>
      </c>
      <c r="AO181" s="2">
        <v>443.62</v>
      </c>
      <c r="AP181" s="2">
        <v>322.32</v>
      </c>
      <c r="AQ181" s="2">
        <v>423.17</v>
      </c>
      <c r="AR181" s="2">
        <v>376.31</v>
      </c>
      <c r="AU181" s="1" t="s">
        <v>70</v>
      </c>
      <c r="AV181" s="2">
        <v>2409.7600000000002</v>
      </c>
      <c r="AW181" s="2">
        <v>10239.74</v>
      </c>
      <c r="AX181" s="2">
        <v>1515.92</v>
      </c>
      <c r="AY181" s="2">
        <v>780.72</v>
      </c>
      <c r="AZ181" s="2">
        <v>3029.34</v>
      </c>
      <c r="BA181" s="2">
        <v>4153.2700000000004</v>
      </c>
      <c r="BB181" s="2">
        <v>7440.89</v>
      </c>
      <c r="BC181" s="2">
        <v>6087.72</v>
      </c>
      <c r="BD181" s="2">
        <v>7791.71</v>
      </c>
      <c r="BE181" s="2">
        <v>6880.29</v>
      </c>
      <c r="BF181" s="2">
        <v>3105.84</v>
      </c>
      <c r="BG181" s="2">
        <v>11042.87</v>
      </c>
      <c r="BH181" s="2">
        <v>1641.93</v>
      </c>
      <c r="BI181" s="2">
        <v>779.43</v>
      </c>
      <c r="BJ181" s="2">
        <v>3139.75</v>
      </c>
      <c r="BK181" s="2">
        <v>4273.74</v>
      </c>
      <c r="BL181" s="2">
        <v>7679.78</v>
      </c>
      <c r="BM181" s="2">
        <v>6225.88</v>
      </c>
      <c r="BN181" s="2">
        <v>7617.63</v>
      </c>
      <c r="BO181" s="2">
        <v>6778.99</v>
      </c>
    </row>
    <row r="182" spans="24:67" x14ac:dyDescent="0.3">
      <c r="X182" s="1" t="s">
        <v>71</v>
      </c>
      <c r="Y182" s="2">
        <v>61.45</v>
      </c>
      <c r="Z182" s="2">
        <v>86.63</v>
      </c>
      <c r="AA182" s="2">
        <v>16.04</v>
      </c>
      <c r="AB182" s="2">
        <v>17.72</v>
      </c>
      <c r="AC182" s="2">
        <v>21.82</v>
      </c>
      <c r="AD182" s="2">
        <v>27.43</v>
      </c>
      <c r="AE182" s="2">
        <v>56.33</v>
      </c>
      <c r="AF182" s="2">
        <v>45.96</v>
      </c>
      <c r="AG182" s="2">
        <v>61.64</v>
      </c>
      <c r="AH182" s="2">
        <v>60.45</v>
      </c>
      <c r="AI182" s="2">
        <v>55.8</v>
      </c>
      <c r="AJ182" s="2">
        <v>53.68</v>
      </c>
      <c r="AK182" s="2">
        <v>10.4</v>
      </c>
      <c r="AL182" s="2">
        <v>16.21</v>
      </c>
      <c r="AM182" s="2">
        <v>46.54</v>
      </c>
      <c r="AN182" s="2">
        <v>66.84</v>
      </c>
      <c r="AO182" s="2">
        <v>59.16</v>
      </c>
      <c r="AP182" s="2">
        <v>62.52</v>
      </c>
      <c r="AQ182" s="2">
        <v>91.32</v>
      </c>
      <c r="AR182" s="2">
        <v>59.76</v>
      </c>
      <c r="AU182" s="1" t="s">
        <v>71</v>
      </c>
      <c r="AV182" s="2">
        <v>532.16999999999996</v>
      </c>
      <c r="AW182" s="2">
        <v>1676.57</v>
      </c>
      <c r="AX182" s="2">
        <v>304.8</v>
      </c>
      <c r="AY182" s="2">
        <v>148.27000000000001</v>
      </c>
      <c r="AZ182" s="2">
        <v>414.66</v>
      </c>
      <c r="BA182" s="2">
        <v>556.16999999999996</v>
      </c>
      <c r="BB182" s="2">
        <v>1142.1099999999999</v>
      </c>
      <c r="BC182" s="2">
        <v>931.81</v>
      </c>
      <c r="BD182" s="2">
        <v>1249.77</v>
      </c>
      <c r="BE182" s="2">
        <v>1211.8</v>
      </c>
      <c r="BF182" s="2">
        <v>493.86</v>
      </c>
      <c r="BG182" s="2">
        <v>1088.42</v>
      </c>
      <c r="BH182" s="2">
        <v>197.68</v>
      </c>
      <c r="BI182" s="2">
        <v>143.66</v>
      </c>
      <c r="BJ182" s="2">
        <v>419.46</v>
      </c>
      <c r="BK182" s="2">
        <v>745.88</v>
      </c>
      <c r="BL182" s="2">
        <v>1199.6199999999999</v>
      </c>
      <c r="BM182" s="2">
        <v>850.35</v>
      </c>
      <c r="BN182" s="2">
        <v>1252.81</v>
      </c>
      <c r="BO182" s="2">
        <v>965.45</v>
      </c>
    </row>
    <row r="183" spans="24:67" x14ac:dyDescent="0.3">
      <c r="X183" s="1" t="s">
        <v>72</v>
      </c>
      <c r="Y183" s="2">
        <v>190.58</v>
      </c>
      <c r="Z183" s="2">
        <v>310.54000000000002</v>
      </c>
      <c r="AA183" s="2">
        <v>54.78</v>
      </c>
      <c r="AB183" s="2">
        <v>56.75</v>
      </c>
      <c r="AC183" s="2">
        <v>136.4</v>
      </c>
      <c r="AD183" s="2">
        <v>131.02000000000001</v>
      </c>
      <c r="AE183" s="2">
        <v>270.20999999999998</v>
      </c>
      <c r="AF183" s="2">
        <v>228.17</v>
      </c>
      <c r="AG183" s="2">
        <v>369.91</v>
      </c>
      <c r="AH183" s="2">
        <v>265.07</v>
      </c>
      <c r="AI183" s="2">
        <v>211.52</v>
      </c>
      <c r="AJ183" s="2">
        <v>266.36</v>
      </c>
      <c r="AK183" s="2">
        <v>76.430000000000007</v>
      </c>
      <c r="AL183" s="2">
        <v>65.72</v>
      </c>
      <c r="AM183" s="2">
        <v>263.86</v>
      </c>
      <c r="AN183" s="2">
        <v>357.18</v>
      </c>
      <c r="AO183" s="2">
        <v>605.77</v>
      </c>
      <c r="AP183" s="2">
        <v>430.6</v>
      </c>
      <c r="AQ183" s="2">
        <v>231</v>
      </c>
      <c r="AR183" s="2">
        <v>244.28</v>
      </c>
      <c r="AU183" s="1" t="s">
        <v>72</v>
      </c>
      <c r="AV183" s="2">
        <v>1751.25</v>
      </c>
      <c r="AW183" s="2">
        <v>5449.08</v>
      </c>
      <c r="AX183" s="2">
        <v>866.9</v>
      </c>
      <c r="AY183" s="2">
        <v>410.23</v>
      </c>
      <c r="AZ183" s="2">
        <v>1544.95</v>
      </c>
      <c r="BA183" s="2">
        <v>1931.54</v>
      </c>
      <c r="BB183" s="2">
        <v>3674.9</v>
      </c>
      <c r="BC183" s="2">
        <v>3073.22</v>
      </c>
      <c r="BD183" s="2">
        <v>4535.3</v>
      </c>
      <c r="BE183" s="2">
        <v>4117.63</v>
      </c>
      <c r="BF183" s="2">
        <v>1961.93</v>
      </c>
      <c r="BG183" s="2">
        <v>4864.3900000000003</v>
      </c>
      <c r="BH183" s="2">
        <v>857.02</v>
      </c>
      <c r="BI183" s="2">
        <v>607.9</v>
      </c>
      <c r="BJ183" s="2">
        <v>1560.72</v>
      </c>
      <c r="BK183" s="2">
        <v>2642.2</v>
      </c>
      <c r="BL183" s="2">
        <v>4500.68</v>
      </c>
      <c r="BM183" s="2">
        <v>3552.26</v>
      </c>
      <c r="BN183" s="2">
        <v>4683.82</v>
      </c>
      <c r="BO183" s="2">
        <v>3662.08</v>
      </c>
    </row>
    <row r="184" spans="24:67" x14ac:dyDescent="0.3">
      <c r="X184" s="1" t="s">
        <v>73</v>
      </c>
      <c r="Y184" s="2">
        <v>81.680000000000007</v>
      </c>
      <c r="Z184" s="2">
        <v>301.5</v>
      </c>
      <c r="AA184" s="2">
        <v>27.19</v>
      </c>
      <c r="AB184" s="2">
        <v>16.86</v>
      </c>
      <c r="AC184" s="2">
        <v>64.45</v>
      </c>
      <c r="AD184" s="2">
        <v>117.02</v>
      </c>
      <c r="AE184" s="2">
        <v>221.94</v>
      </c>
      <c r="AF184" s="2">
        <v>181.3</v>
      </c>
      <c r="AG184" s="2">
        <v>243.09</v>
      </c>
      <c r="AH184" s="2">
        <v>221.49</v>
      </c>
      <c r="AI184" s="2">
        <v>77.709999999999994</v>
      </c>
      <c r="AJ184" s="2">
        <v>328.29</v>
      </c>
      <c r="AK184" s="2">
        <v>29.17</v>
      </c>
      <c r="AL184" s="2">
        <v>18.850000000000001</v>
      </c>
      <c r="AM184" s="2">
        <v>93.33</v>
      </c>
      <c r="AN184" s="2">
        <v>108.68</v>
      </c>
      <c r="AO184" s="2">
        <v>204.55</v>
      </c>
      <c r="AP184" s="2">
        <v>154.74</v>
      </c>
      <c r="AQ184" s="2">
        <v>228.53</v>
      </c>
      <c r="AR184" s="2">
        <v>211.48</v>
      </c>
      <c r="AU184" s="1" t="s">
        <v>73</v>
      </c>
      <c r="AV184" s="2">
        <v>1194.4000000000001</v>
      </c>
      <c r="AW184" s="2">
        <v>3712.05</v>
      </c>
      <c r="AX184" s="2">
        <v>516.47</v>
      </c>
      <c r="AY184" s="2">
        <v>320.33999999999997</v>
      </c>
      <c r="AZ184" s="2">
        <v>1220.99</v>
      </c>
      <c r="BA184" s="2">
        <v>1567.18</v>
      </c>
      <c r="BB184" s="2">
        <v>2867.94</v>
      </c>
      <c r="BC184" s="2">
        <v>2339.96</v>
      </c>
      <c r="BD184" s="2">
        <v>3025.29</v>
      </c>
      <c r="BE184" s="2">
        <v>2652.87</v>
      </c>
      <c r="BF184" s="2">
        <v>1290.02</v>
      </c>
      <c r="BG184" s="2">
        <v>4323.8100000000004</v>
      </c>
      <c r="BH184" s="2">
        <v>554.27</v>
      </c>
      <c r="BI184" s="2">
        <v>358.1</v>
      </c>
      <c r="BJ184" s="2">
        <v>1161.79</v>
      </c>
      <c r="BK184" s="2">
        <v>1492.64</v>
      </c>
      <c r="BL184" s="2">
        <v>2837.91</v>
      </c>
      <c r="BM184" s="2">
        <v>2442.21</v>
      </c>
      <c r="BN184" s="2">
        <v>3053.53</v>
      </c>
      <c r="BO184" s="2">
        <v>2600.66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63</v>
      </c>
      <c r="Z188" s="1" t="s">
        <v>64</v>
      </c>
      <c r="AA188" s="1" t="s">
        <v>63</v>
      </c>
      <c r="AB188" s="1" t="s">
        <v>64</v>
      </c>
      <c r="AC188" s="1" t="s">
        <v>63</v>
      </c>
      <c r="AD188" s="1" t="s">
        <v>64</v>
      </c>
      <c r="AE188" s="1" t="s">
        <v>63</v>
      </c>
      <c r="AF188" s="1" t="s">
        <v>64</v>
      </c>
      <c r="AG188" s="1" t="s">
        <v>63</v>
      </c>
      <c r="AH188" s="1" t="s">
        <v>64</v>
      </c>
      <c r="AI188" s="1" t="s">
        <v>63</v>
      </c>
      <c r="AJ188" s="1" t="s">
        <v>64</v>
      </c>
      <c r="AK188" s="1" t="s">
        <v>63</v>
      </c>
      <c r="AL188" s="1" t="s">
        <v>64</v>
      </c>
      <c r="AM188" s="1" t="s">
        <v>63</v>
      </c>
      <c r="AN188" s="1" t="s">
        <v>64</v>
      </c>
      <c r="AO188" s="1" t="s">
        <v>63</v>
      </c>
      <c r="AP188" s="1" t="s">
        <v>64</v>
      </c>
      <c r="AQ188" s="1" t="s">
        <v>63</v>
      </c>
      <c r="AR188" s="1" t="s">
        <v>64</v>
      </c>
      <c r="AU188" s="1" t="s">
        <v>6</v>
      </c>
      <c r="AV188" s="1" t="s">
        <v>63</v>
      </c>
      <c r="AW188" s="1" t="s">
        <v>64</v>
      </c>
      <c r="AX188" s="1" t="s">
        <v>63</v>
      </c>
      <c r="AY188" s="1" t="s">
        <v>64</v>
      </c>
      <c r="AZ188" s="1" t="s">
        <v>63</v>
      </c>
      <c r="BA188" s="1" t="s">
        <v>64</v>
      </c>
      <c r="BB188" s="1" t="s">
        <v>63</v>
      </c>
      <c r="BC188" s="1" t="s">
        <v>64</v>
      </c>
      <c r="BD188" s="1" t="s">
        <v>63</v>
      </c>
      <c r="BE188" s="1" t="s">
        <v>64</v>
      </c>
      <c r="BF188" s="1" t="s">
        <v>63</v>
      </c>
      <c r="BG188" s="1" t="s">
        <v>64</v>
      </c>
      <c r="BH188" s="1" t="s">
        <v>63</v>
      </c>
      <c r="BI188" s="1" t="s">
        <v>64</v>
      </c>
      <c r="BJ188" s="1" t="s">
        <v>63</v>
      </c>
      <c r="BK188" s="1" t="s">
        <v>64</v>
      </c>
      <c r="BL188" s="1" t="s">
        <v>63</v>
      </c>
      <c r="BM188" s="1" t="s">
        <v>64</v>
      </c>
      <c r="BN188" s="1" t="s">
        <v>63</v>
      </c>
      <c r="BO188" s="1" t="s">
        <v>64</v>
      </c>
    </row>
    <row r="189" spans="24:67" x14ac:dyDescent="0.3">
      <c r="X189" s="1" t="s">
        <v>65</v>
      </c>
      <c r="Y189" s="1" t="s">
        <v>53</v>
      </c>
      <c r="Z189" s="1" t="s">
        <v>53</v>
      </c>
      <c r="AA189" s="1" t="s">
        <v>54</v>
      </c>
      <c r="AB189" s="1" t="s">
        <v>54</v>
      </c>
      <c r="AC189" s="1" t="s">
        <v>55</v>
      </c>
      <c r="AD189" s="1" t="s">
        <v>55</v>
      </c>
      <c r="AE189" s="1" t="s">
        <v>56</v>
      </c>
      <c r="AF189" s="1" t="s">
        <v>56</v>
      </c>
      <c r="AG189" s="1" t="s">
        <v>57</v>
      </c>
      <c r="AH189" s="1" t="s">
        <v>57</v>
      </c>
      <c r="AI189" s="1" t="s">
        <v>58</v>
      </c>
      <c r="AJ189" s="1" t="s">
        <v>58</v>
      </c>
      <c r="AK189" s="1" t="s">
        <v>59</v>
      </c>
      <c r="AL189" s="1" t="s">
        <v>59</v>
      </c>
      <c r="AM189" s="1" t="s">
        <v>60</v>
      </c>
      <c r="AN189" s="1" t="s">
        <v>60</v>
      </c>
      <c r="AO189" s="1" t="s">
        <v>61</v>
      </c>
      <c r="AP189" s="1" t="s">
        <v>61</v>
      </c>
      <c r="AQ189" s="1" t="s">
        <v>62</v>
      </c>
      <c r="AR189" s="1" t="s">
        <v>62</v>
      </c>
      <c r="AU189" s="1" t="s">
        <v>65</v>
      </c>
      <c r="AV189" s="1" t="s">
        <v>53</v>
      </c>
      <c r="AW189" s="1" t="s">
        <v>53</v>
      </c>
      <c r="AX189" s="1" t="s">
        <v>54</v>
      </c>
      <c r="AY189" s="1" t="s">
        <v>54</v>
      </c>
      <c r="AZ189" s="1" t="s">
        <v>55</v>
      </c>
      <c r="BA189" s="1" t="s">
        <v>55</v>
      </c>
      <c r="BB189" s="1" t="s">
        <v>56</v>
      </c>
      <c r="BC189" s="1" t="s">
        <v>56</v>
      </c>
      <c r="BD189" s="1" t="s">
        <v>57</v>
      </c>
      <c r="BE189" s="1" t="s">
        <v>57</v>
      </c>
      <c r="BF189" s="1" t="s">
        <v>58</v>
      </c>
      <c r="BG189" s="1" t="s">
        <v>58</v>
      </c>
      <c r="BH189" s="1" t="s">
        <v>59</v>
      </c>
      <c r="BI189" s="1" t="s">
        <v>59</v>
      </c>
      <c r="BJ189" s="1" t="s">
        <v>60</v>
      </c>
      <c r="BK189" s="1" t="s">
        <v>60</v>
      </c>
      <c r="BL189" s="1" t="s">
        <v>61</v>
      </c>
      <c r="BM189" s="1" t="s">
        <v>61</v>
      </c>
      <c r="BN189" s="1" t="s">
        <v>62</v>
      </c>
      <c r="BO189" s="1" t="s">
        <v>62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66</v>
      </c>
      <c r="Y191" s="2">
        <v>310.69</v>
      </c>
      <c r="Z191" s="2">
        <v>285.45</v>
      </c>
      <c r="AA191" s="2">
        <v>21.42</v>
      </c>
      <c r="AB191" s="2">
        <v>21.87</v>
      </c>
      <c r="AC191" s="2">
        <v>32.909999999999997</v>
      </c>
      <c r="AD191" s="2">
        <v>49.48</v>
      </c>
      <c r="AE191" s="2">
        <v>149.83000000000001</v>
      </c>
      <c r="AF191" s="2">
        <v>91.43</v>
      </c>
      <c r="AG191" s="2">
        <v>226.22</v>
      </c>
      <c r="AH191" s="2">
        <v>83.13</v>
      </c>
      <c r="AI191" s="2">
        <v>215.41</v>
      </c>
      <c r="AJ191" s="2">
        <v>65.88</v>
      </c>
      <c r="AK191" s="2">
        <v>289.83</v>
      </c>
      <c r="AL191" s="2">
        <v>19.309999999999999</v>
      </c>
      <c r="AM191" s="2">
        <v>188.36</v>
      </c>
      <c r="AN191" s="2">
        <v>56.26</v>
      </c>
      <c r="AO191" s="2">
        <v>16.37</v>
      </c>
      <c r="AP191" s="2">
        <v>17.16</v>
      </c>
      <c r="AQ191" s="2">
        <v>31.53</v>
      </c>
      <c r="AR191" s="2">
        <v>20.03</v>
      </c>
      <c r="AU191" s="1" t="s">
        <v>66</v>
      </c>
      <c r="AV191" s="2">
        <v>1832.71</v>
      </c>
      <c r="AW191" s="2">
        <v>1875.45</v>
      </c>
      <c r="AX191" s="2">
        <v>962.78</v>
      </c>
      <c r="AY191" s="2">
        <v>989.63</v>
      </c>
      <c r="AZ191" s="2">
        <v>1487.49</v>
      </c>
      <c r="BA191" s="2">
        <v>1594.82</v>
      </c>
      <c r="BB191" s="2">
        <v>1645.67</v>
      </c>
      <c r="BC191" s="2">
        <v>1730.67</v>
      </c>
      <c r="BD191" s="2">
        <v>1618.28</v>
      </c>
      <c r="BE191" s="2">
        <v>1701.17</v>
      </c>
      <c r="BF191" s="2">
        <v>1666.19</v>
      </c>
      <c r="BG191" s="2">
        <v>1712.12</v>
      </c>
      <c r="BH191" s="2">
        <v>1556.07</v>
      </c>
      <c r="BI191" s="2">
        <v>1861.59</v>
      </c>
      <c r="BJ191" s="2">
        <v>1696.74</v>
      </c>
      <c r="BK191" s="2">
        <v>1777.04</v>
      </c>
      <c r="BL191" s="2">
        <v>1577.53</v>
      </c>
      <c r="BM191" s="2">
        <v>1653.74</v>
      </c>
      <c r="BN191" s="2">
        <v>1884.37</v>
      </c>
      <c r="BO191" s="2">
        <v>1930.17</v>
      </c>
    </row>
    <row r="192" spans="24:67" x14ac:dyDescent="0.3">
      <c r="X192" s="1" t="s">
        <v>67</v>
      </c>
      <c r="Y192" s="2">
        <v>14.92</v>
      </c>
      <c r="Z192" s="2">
        <v>16.78</v>
      </c>
      <c r="AA192" s="2">
        <v>8.1199999999999992</v>
      </c>
      <c r="AB192" s="2">
        <v>9.85</v>
      </c>
      <c r="AC192" s="2">
        <v>11.7</v>
      </c>
      <c r="AD192" s="2">
        <v>12.25</v>
      </c>
      <c r="AE192" s="2">
        <v>11.51</v>
      </c>
      <c r="AF192" s="2">
        <v>16.739999999999998</v>
      </c>
      <c r="AG192" s="2">
        <v>11.75</v>
      </c>
      <c r="AH192" s="2">
        <v>14.39</v>
      </c>
      <c r="AI192" s="2">
        <v>13.02</v>
      </c>
      <c r="AJ192" s="2">
        <v>15.75</v>
      </c>
      <c r="AK192" s="2">
        <v>13.4</v>
      </c>
      <c r="AL192" s="2">
        <v>15.32</v>
      </c>
      <c r="AM192" s="2">
        <v>14.17</v>
      </c>
      <c r="AN192" s="2">
        <v>14.35</v>
      </c>
      <c r="AO192" s="2">
        <v>13.93</v>
      </c>
      <c r="AP192" s="2">
        <v>16.53</v>
      </c>
      <c r="AQ192" s="2">
        <v>19</v>
      </c>
      <c r="AR192" s="2">
        <v>16.73</v>
      </c>
      <c r="AU192" s="1" t="s">
        <v>67</v>
      </c>
      <c r="AV192" s="2">
        <v>302.48</v>
      </c>
      <c r="AW192" s="2">
        <v>314.12</v>
      </c>
      <c r="AX192" s="2">
        <v>154.28</v>
      </c>
      <c r="AY192" s="2">
        <v>187.05</v>
      </c>
      <c r="AZ192" s="2">
        <v>191.6</v>
      </c>
      <c r="BA192" s="2">
        <v>232.75</v>
      </c>
      <c r="BB192" s="2">
        <v>218.59</v>
      </c>
      <c r="BC192" s="2">
        <v>277.45999999999998</v>
      </c>
      <c r="BD192" s="2">
        <v>238.25</v>
      </c>
      <c r="BE192" s="2">
        <v>259.01</v>
      </c>
      <c r="BF192" s="2">
        <v>231.18</v>
      </c>
      <c r="BG192" s="2">
        <v>282.64999999999998</v>
      </c>
      <c r="BH192" s="2">
        <v>260.3</v>
      </c>
      <c r="BI192" s="2">
        <v>280.77999999999997</v>
      </c>
      <c r="BJ192" s="2">
        <v>271.33</v>
      </c>
      <c r="BK192" s="2">
        <v>276.05</v>
      </c>
      <c r="BL192" s="2">
        <v>264.17</v>
      </c>
      <c r="BM192" s="2">
        <v>287.47000000000003</v>
      </c>
      <c r="BN192" s="2">
        <v>385.3</v>
      </c>
      <c r="BO192" s="2">
        <v>336.57</v>
      </c>
    </row>
    <row r="193" spans="24:67" x14ac:dyDescent="0.3">
      <c r="X193" s="1" t="s">
        <v>68</v>
      </c>
      <c r="Y193" s="2">
        <v>177.15</v>
      </c>
      <c r="Z193" s="2">
        <v>49.41</v>
      </c>
      <c r="AA193" s="2">
        <v>73.239999999999995</v>
      </c>
      <c r="AB193" s="2">
        <v>22.44</v>
      </c>
      <c r="AC193" s="2">
        <v>233.51</v>
      </c>
      <c r="AD193" s="2">
        <v>146.61000000000001</v>
      </c>
      <c r="AE193" s="2">
        <v>172.76</v>
      </c>
      <c r="AF193" s="2">
        <v>93.61</v>
      </c>
      <c r="AG193" s="2">
        <v>190.03</v>
      </c>
      <c r="AH193" s="2">
        <v>80.83</v>
      </c>
      <c r="AI193" s="2">
        <v>207.82</v>
      </c>
      <c r="AJ193" s="2">
        <v>85.64</v>
      </c>
      <c r="AK193" s="2">
        <v>236.99</v>
      </c>
      <c r="AL193" s="2">
        <v>93.79</v>
      </c>
      <c r="AM193" s="2">
        <v>231.93</v>
      </c>
      <c r="AN193" s="2">
        <v>77.349999999999994</v>
      </c>
      <c r="AO193" s="2">
        <v>93.11</v>
      </c>
      <c r="AP193" s="2">
        <v>75.88</v>
      </c>
      <c r="AQ193" s="2">
        <v>67.59</v>
      </c>
      <c r="AR193" s="2">
        <v>67.900000000000006</v>
      </c>
      <c r="AU193" s="1" t="s">
        <v>68</v>
      </c>
      <c r="AV193" s="2">
        <v>1495.54</v>
      </c>
      <c r="AW193" s="2">
        <v>924.99</v>
      </c>
      <c r="AX193" s="2">
        <v>696.76</v>
      </c>
      <c r="AY193" s="2">
        <v>426.36</v>
      </c>
      <c r="AZ193" s="2">
        <v>1191.8399999999999</v>
      </c>
      <c r="BA193" s="2">
        <v>1091.0899999999999</v>
      </c>
      <c r="BB193" s="2">
        <v>1246.1400000000001</v>
      </c>
      <c r="BC193" s="2">
        <v>1178.54</v>
      </c>
      <c r="BD193" s="2">
        <v>1309.67</v>
      </c>
      <c r="BE193" s="2">
        <v>1185.92</v>
      </c>
      <c r="BF193" s="2">
        <v>1355.45</v>
      </c>
      <c r="BG193" s="2">
        <v>1245.9100000000001</v>
      </c>
      <c r="BH193" s="2">
        <v>1462.54</v>
      </c>
      <c r="BI193" s="2">
        <v>1317.55</v>
      </c>
      <c r="BJ193" s="2">
        <v>1397.77</v>
      </c>
      <c r="BK193" s="2">
        <v>1182.55</v>
      </c>
      <c r="BL193" s="2">
        <v>1197.9000000000001</v>
      </c>
      <c r="BM193" s="2">
        <v>1251.1099999999999</v>
      </c>
      <c r="BN193" s="2">
        <v>1136.8599999999999</v>
      </c>
      <c r="BO193" s="2">
        <v>1113.1300000000001</v>
      </c>
    </row>
    <row r="194" spans="24:67" x14ac:dyDescent="0.3">
      <c r="X194" s="1" t="s">
        <v>69</v>
      </c>
      <c r="Y194" s="2">
        <v>41.27</v>
      </c>
      <c r="Z194" s="2">
        <v>28.4</v>
      </c>
      <c r="AA194" s="2">
        <v>18.39</v>
      </c>
      <c r="AB194" s="2">
        <v>12.08</v>
      </c>
      <c r="AC194" s="2">
        <v>60.74</v>
      </c>
      <c r="AD194" s="2">
        <v>62.27</v>
      </c>
      <c r="AE194" s="2">
        <v>53.81</v>
      </c>
      <c r="AF194" s="2">
        <v>32.58</v>
      </c>
      <c r="AG194" s="2">
        <v>54.76</v>
      </c>
      <c r="AH194" s="2">
        <v>28.37</v>
      </c>
      <c r="AI194" s="2">
        <v>55.16</v>
      </c>
      <c r="AJ194" s="2">
        <v>30.31</v>
      </c>
      <c r="AK194" s="2">
        <v>59.37</v>
      </c>
      <c r="AL194" s="2">
        <v>31.49</v>
      </c>
      <c r="AM194" s="2">
        <v>39.799999999999997</v>
      </c>
      <c r="AN194" s="2">
        <v>28.22</v>
      </c>
      <c r="AO194" s="2">
        <v>25.53</v>
      </c>
      <c r="AP194" s="2">
        <v>32.76</v>
      </c>
      <c r="AQ194" s="2">
        <v>29.25</v>
      </c>
      <c r="AR194" s="2">
        <v>23.98</v>
      </c>
      <c r="AU194" s="1" t="s">
        <v>69</v>
      </c>
      <c r="AV194" s="2">
        <v>624.64</v>
      </c>
      <c r="AW194" s="2">
        <v>410</v>
      </c>
      <c r="AX194" s="2">
        <v>288.79000000000002</v>
      </c>
      <c r="AY194" s="2">
        <v>229.52</v>
      </c>
      <c r="AZ194" s="2">
        <v>462.39</v>
      </c>
      <c r="BA194" s="2">
        <v>523.87</v>
      </c>
      <c r="BB194" s="2">
        <v>499.39</v>
      </c>
      <c r="BC194" s="2">
        <v>518.37</v>
      </c>
      <c r="BD194" s="2">
        <v>525.29</v>
      </c>
      <c r="BE194" s="2">
        <v>491.4</v>
      </c>
      <c r="BF194" s="2">
        <v>529</v>
      </c>
      <c r="BG194" s="2">
        <v>513.6</v>
      </c>
      <c r="BH194" s="2">
        <v>564.16999999999996</v>
      </c>
      <c r="BI194" s="2">
        <v>530.80999999999995</v>
      </c>
      <c r="BJ194" s="2">
        <v>523.70000000000005</v>
      </c>
      <c r="BK194" s="2">
        <v>476.88</v>
      </c>
      <c r="BL194" s="2">
        <v>437.17</v>
      </c>
      <c r="BM194" s="2">
        <v>523.44000000000005</v>
      </c>
      <c r="BN194" s="2">
        <v>478.25</v>
      </c>
      <c r="BO194" s="2">
        <v>486.16</v>
      </c>
    </row>
    <row r="195" spans="24:67" x14ac:dyDescent="0.3">
      <c r="X195" s="1" t="s">
        <v>70</v>
      </c>
      <c r="Y195" s="2">
        <v>222.99</v>
      </c>
      <c r="Z195" s="2">
        <v>216.39</v>
      </c>
      <c r="AA195" s="2">
        <v>61.41</v>
      </c>
      <c r="AB195" s="2">
        <v>66.48</v>
      </c>
      <c r="AC195" s="2">
        <v>187.57</v>
      </c>
      <c r="AD195" s="2">
        <v>181.01</v>
      </c>
      <c r="AE195" s="2">
        <v>99.66</v>
      </c>
      <c r="AF195" s="2">
        <v>181.16</v>
      </c>
      <c r="AG195" s="2">
        <v>151.87</v>
      </c>
      <c r="AH195" s="2">
        <v>171.63</v>
      </c>
      <c r="AI195" s="2">
        <v>134.09</v>
      </c>
      <c r="AJ195" s="2">
        <v>123.23</v>
      </c>
      <c r="AK195" s="2">
        <v>114.79</v>
      </c>
      <c r="AL195" s="2">
        <v>111.14</v>
      </c>
      <c r="AM195" s="2">
        <v>115.05</v>
      </c>
      <c r="AN195" s="2">
        <v>111.36</v>
      </c>
      <c r="AO195" s="2">
        <v>117.89</v>
      </c>
      <c r="AP195" s="2">
        <v>110.68</v>
      </c>
      <c r="AQ195" s="2">
        <v>131.5</v>
      </c>
      <c r="AR195" s="2">
        <v>121.03</v>
      </c>
      <c r="AU195" s="1" t="s">
        <v>70</v>
      </c>
      <c r="AV195" s="2">
        <v>1853.66</v>
      </c>
      <c r="AW195" s="2">
        <v>2389.11</v>
      </c>
      <c r="AX195" s="2">
        <v>1166.0899999999999</v>
      </c>
      <c r="AY195" s="2">
        <v>1263.02</v>
      </c>
      <c r="AZ195" s="2">
        <v>1561.43</v>
      </c>
      <c r="BA195" s="2">
        <v>1558.86</v>
      </c>
      <c r="BB195" s="2">
        <v>1893.34</v>
      </c>
      <c r="BC195" s="2">
        <v>1962.34</v>
      </c>
      <c r="BD195" s="2">
        <v>2076.63</v>
      </c>
      <c r="BE195" s="2">
        <v>2136.87</v>
      </c>
      <c r="BF195" s="2">
        <v>2066.91</v>
      </c>
      <c r="BG195" s="2">
        <v>2133.27</v>
      </c>
      <c r="BH195" s="2">
        <v>2099.21</v>
      </c>
      <c r="BI195" s="2">
        <v>2146.86</v>
      </c>
      <c r="BJ195" s="2">
        <v>2050.4499999999998</v>
      </c>
      <c r="BK195" s="2">
        <v>2004.64</v>
      </c>
      <c r="BL195" s="2">
        <v>2023.61</v>
      </c>
      <c r="BM195" s="2">
        <v>1993.82</v>
      </c>
      <c r="BN195" s="2">
        <v>2275.5</v>
      </c>
      <c r="BO195" s="2">
        <v>2453.9699999999998</v>
      </c>
    </row>
    <row r="196" spans="24:67" x14ac:dyDescent="0.3">
      <c r="X196" s="1" t="s">
        <v>71</v>
      </c>
      <c r="Y196" s="2">
        <v>47.27</v>
      </c>
      <c r="Z196" s="2">
        <v>42.92</v>
      </c>
      <c r="AA196" s="2">
        <v>12.34</v>
      </c>
      <c r="AB196" s="2">
        <v>8</v>
      </c>
      <c r="AC196" s="2">
        <v>35.450000000000003</v>
      </c>
      <c r="AD196" s="2">
        <v>32.42</v>
      </c>
      <c r="AE196" s="2">
        <v>13.64</v>
      </c>
      <c r="AF196" s="2">
        <v>29.09</v>
      </c>
      <c r="AG196" s="2">
        <v>13.72</v>
      </c>
      <c r="AH196" s="2">
        <v>33.42</v>
      </c>
      <c r="AI196" s="2">
        <v>15.65</v>
      </c>
      <c r="AJ196" s="2">
        <v>16.43</v>
      </c>
      <c r="AK196" s="2">
        <v>15.85</v>
      </c>
      <c r="AL196" s="2">
        <v>21.56</v>
      </c>
      <c r="AM196" s="2">
        <v>16.22</v>
      </c>
      <c r="AN196" s="2">
        <v>24.03</v>
      </c>
      <c r="AO196" s="2">
        <v>17.78</v>
      </c>
      <c r="AP196" s="2">
        <v>17.579999999999998</v>
      </c>
      <c r="AQ196" s="2">
        <v>19.25</v>
      </c>
      <c r="AR196" s="2">
        <v>11.93</v>
      </c>
      <c r="AU196" s="1" t="s">
        <v>71</v>
      </c>
      <c r="AV196" s="2">
        <v>409.36</v>
      </c>
      <c r="AW196" s="2">
        <v>379.89</v>
      </c>
      <c r="AX196" s="2">
        <v>234.47</v>
      </c>
      <c r="AY196" s="2">
        <v>152.06</v>
      </c>
      <c r="AZ196" s="2">
        <v>296.55</v>
      </c>
      <c r="BA196" s="2">
        <v>287.33</v>
      </c>
      <c r="BB196" s="2">
        <v>259.16000000000003</v>
      </c>
      <c r="BC196" s="2">
        <v>262.16000000000003</v>
      </c>
      <c r="BD196" s="2">
        <v>278.08</v>
      </c>
      <c r="BE196" s="2">
        <v>372.94</v>
      </c>
      <c r="BF196" s="2">
        <v>317.25</v>
      </c>
      <c r="BG196" s="2">
        <v>333.23</v>
      </c>
      <c r="BH196" s="2">
        <v>321.31</v>
      </c>
      <c r="BI196" s="2">
        <v>293.22000000000003</v>
      </c>
      <c r="BJ196" s="2">
        <v>328.89</v>
      </c>
      <c r="BK196" s="2">
        <v>329.69</v>
      </c>
      <c r="BL196" s="2">
        <v>356.41</v>
      </c>
      <c r="BM196" s="2">
        <v>283.95999999999998</v>
      </c>
      <c r="BN196" s="2">
        <v>372.57</v>
      </c>
      <c r="BO196" s="2">
        <v>241.87</v>
      </c>
    </row>
    <row r="197" spans="24:67" x14ac:dyDescent="0.3">
      <c r="X197" s="1" t="s">
        <v>72</v>
      </c>
      <c r="Y197" s="2">
        <v>146.6</v>
      </c>
      <c r="Z197" s="2">
        <v>162.69999999999999</v>
      </c>
      <c r="AA197" s="2">
        <v>42.14</v>
      </c>
      <c r="AB197" s="2">
        <v>58.8</v>
      </c>
      <c r="AC197" s="2">
        <v>113.5</v>
      </c>
      <c r="AD197" s="2">
        <v>131.44999999999999</v>
      </c>
      <c r="AE197" s="2">
        <v>85.25</v>
      </c>
      <c r="AF197" s="2">
        <v>164.92</v>
      </c>
      <c r="AG197" s="2">
        <v>65.510000000000005</v>
      </c>
      <c r="AH197" s="2">
        <v>178.59</v>
      </c>
      <c r="AI197" s="2">
        <v>75.06</v>
      </c>
      <c r="AJ197" s="2">
        <v>168.27</v>
      </c>
      <c r="AK197" s="2">
        <v>78.680000000000007</v>
      </c>
      <c r="AL197" s="2">
        <v>148.47999999999999</v>
      </c>
      <c r="AM197" s="2">
        <v>97.34</v>
      </c>
      <c r="AN197" s="2">
        <v>60.79</v>
      </c>
      <c r="AO197" s="2">
        <v>77.959999999999994</v>
      </c>
      <c r="AP197" s="2">
        <v>71.849999999999994</v>
      </c>
      <c r="AQ197" s="2">
        <v>69.010000000000005</v>
      </c>
      <c r="AR197" s="2">
        <v>59.19</v>
      </c>
      <c r="AU197" s="1" t="s">
        <v>72</v>
      </c>
      <c r="AV197" s="2">
        <v>1347.11</v>
      </c>
      <c r="AW197" s="2">
        <v>1509.18</v>
      </c>
      <c r="AX197" s="2">
        <v>666.85</v>
      </c>
      <c r="AY197" s="2">
        <v>659.24</v>
      </c>
      <c r="AZ197" s="2">
        <v>820.45</v>
      </c>
      <c r="BA197" s="2">
        <v>1215.81</v>
      </c>
      <c r="BB197" s="2">
        <v>965.59</v>
      </c>
      <c r="BC197" s="2">
        <v>975.45</v>
      </c>
      <c r="BD197" s="2">
        <v>965.77</v>
      </c>
      <c r="BE197" s="2">
        <v>1321.1</v>
      </c>
      <c r="BF197" s="2">
        <v>1020.81</v>
      </c>
      <c r="BG197" s="2">
        <v>1250.19</v>
      </c>
      <c r="BH197" s="2">
        <v>1059.73</v>
      </c>
      <c r="BI197" s="2">
        <v>1224.92</v>
      </c>
      <c r="BJ197" s="2">
        <v>1193.5</v>
      </c>
      <c r="BK197" s="2">
        <v>1232.5899999999999</v>
      </c>
      <c r="BL197" s="2">
        <v>1211.07</v>
      </c>
      <c r="BM197" s="2">
        <v>1077.08</v>
      </c>
      <c r="BN197" s="2">
        <v>1210.9100000000001</v>
      </c>
      <c r="BO197" s="2">
        <v>1080.98</v>
      </c>
    </row>
    <row r="198" spans="24:67" x14ac:dyDescent="0.3">
      <c r="X198" s="1" t="s">
        <v>73</v>
      </c>
      <c r="Y198" s="2">
        <v>62.83</v>
      </c>
      <c r="Z198" s="2">
        <v>59.78</v>
      </c>
      <c r="AA198" s="2">
        <v>20.91</v>
      </c>
      <c r="AB198" s="2">
        <v>22.44</v>
      </c>
      <c r="AC198" s="2">
        <v>33.72</v>
      </c>
      <c r="AD198" s="2">
        <v>37.71</v>
      </c>
      <c r="AE198" s="2">
        <v>40.28</v>
      </c>
      <c r="AF198" s="2">
        <v>58.33</v>
      </c>
      <c r="AG198" s="2">
        <v>58.51</v>
      </c>
      <c r="AH198" s="2">
        <v>54.34</v>
      </c>
      <c r="AI198" s="2">
        <v>61.65</v>
      </c>
      <c r="AJ198" s="2">
        <v>56.82</v>
      </c>
      <c r="AK198" s="2">
        <v>62.52</v>
      </c>
      <c r="AL198" s="2">
        <v>53.36</v>
      </c>
      <c r="AM198" s="2">
        <v>63.97</v>
      </c>
      <c r="AN198" s="2">
        <v>60.14</v>
      </c>
      <c r="AO198" s="2">
        <v>65.150000000000006</v>
      </c>
      <c r="AP198" s="2">
        <v>62.2</v>
      </c>
      <c r="AQ198" s="2">
        <v>67</v>
      </c>
      <c r="AR198" s="2">
        <v>72.95</v>
      </c>
      <c r="AU198" s="1" t="s">
        <v>73</v>
      </c>
      <c r="AV198" s="2">
        <v>918.77</v>
      </c>
      <c r="AW198" s="2">
        <v>992.32</v>
      </c>
      <c r="AX198" s="2">
        <v>397.29</v>
      </c>
      <c r="AY198" s="2">
        <v>426.36</v>
      </c>
      <c r="AZ198" s="2">
        <v>640.67999999999995</v>
      </c>
      <c r="BA198" s="2">
        <v>716.19</v>
      </c>
      <c r="BB198" s="2">
        <v>763.12</v>
      </c>
      <c r="BC198" s="2">
        <v>726.12</v>
      </c>
      <c r="BD198" s="2">
        <v>783.59</v>
      </c>
      <c r="BE198" s="2">
        <v>746.32</v>
      </c>
      <c r="BF198" s="2">
        <v>796.65</v>
      </c>
      <c r="BG198" s="2">
        <v>788.31</v>
      </c>
      <c r="BH198" s="2">
        <v>806.88</v>
      </c>
      <c r="BI198" s="2">
        <v>842.14</v>
      </c>
      <c r="BJ198" s="2">
        <v>796.13</v>
      </c>
      <c r="BK198" s="2">
        <v>803.56</v>
      </c>
      <c r="BL198" s="2">
        <v>780.25</v>
      </c>
      <c r="BM198" s="2">
        <v>764.9</v>
      </c>
      <c r="BN198" s="2">
        <v>824.9</v>
      </c>
      <c r="BO198" s="2">
        <v>960.85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63</v>
      </c>
      <c r="Z202" s="1" t="s">
        <v>64</v>
      </c>
      <c r="AA202" s="1" t="s">
        <v>63</v>
      </c>
      <c r="AB202" s="1" t="s">
        <v>64</v>
      </c>
      <c r="AC202" s="1" t="s">
        <v>63</v>
      </c>
      <c r="AD202" s="1" t="s">
        <v>64</v>
      </c>
      <c r="AE202" s="1" t="s">
        <v>63</v>
      </c>
      <c r="AF202" s="1" t="s">
        <v>64</v>
      </c>
      <c r="AG202" s="1" t="s">
        <v>63</v>
      </c>
      <c r="AH202" s="1" t="s">
        <v>64</v>
      </c>
      <c r="AI202" s="1" t="s">
        <v>63</v>
      </c>
      <c r="AJ202" s="1" t="s">
        <v>64</v>
      </c>
      <c r="AK202" s="1" t="s">
        <v>63</v>
      </c>
      <c r="AL202" s="1" t="s">
        <v>64</v>
      </c>
      <c r="AM202" s="1" t="s">
        <v>63</v>
      </c>
      <c r="AN202" s="1" t="s">
        <v>64</v>
      </c>
      <c r="AO202" s="1" t="s">
        <v>63</v>
      </c>
      <c r="AP202" s="1" t="s">
        <v>64</v>
      </c>
      <c r="AQ202" s="1" t="s">
        <v>63</v>
      </c>
      <c r="AR202" s="1" t="s">
        <v>64</v>
      </c>
      <c r="AU202" s="1" t="s">
        <v>6</v>
      </c>
      <c r="AV202" s="3" t="s">
        <v>63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64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65</v>
      </c>
      <c r="Y203" s="1" t="s">
        <v>53</v>
      </c>
      <c r="Z203" s="1" t="s">
        <v>53</v>
      </c>
      <c r="AA203" s="1" t="s">
        <v>54</v>
      </c>
      <c r="AB203" s="1" t="s">
        <v>54</v>
      </c>
      <c r="AC203" s="1" t="s">
        <v>55</v>
      </c>
      <c r="AD203" s="1" t="s">
        <v>55</v>
      </c>
      <c r="AE203" s="1" t="s">
        <v>56</v>
      </c>
      <c r="AF203" s="1" t="s">
        <v>56</v>
      </c>
      <c r="AG203" s="1" t="s">
        <v>57</v>
      </c>
      <c r="AH203" s="1" t="s">
        <v>57</v>
      </c>
      <c r="AI203" s="1" t="s">
        <v>58</v>
      </c>
      <c r="AJ203" s="1" t="s">
        <v>58</v>
      </c>
      <c r="AK203" s="1" t="s">
        <v>59</v>
      </c>
      <c r="AL203" s="1" t="s">
        <v>59</v>
      </c>
      <c r="AM203" s="1" t="s">
        <v>60</v>
      </c>
      <c r="AN203" s="1" t="s">
        <v>60</v>
      </c>
      <c r="AO203" s="1" t="s">
        <v>61</v>
      </c>
      <c r="AP203" s="1" t="s">
        <v>61</v>
      </c>
      <c r="AQ203" s="1" t="s">
        <v>62</v>
      </c>
      <c r="AR203" s="1" t="s">
        <v>62</v>
      </c>
      <c r="AU203" s="1" t="s">
        <v>65</v>
      </c>
      <c r="AV203" s="1" t="s">
        <v>53</v>
      </c>
      <c r="AW203" s="1" t="s">
        <v>62</v>
      </c>
      <c r="AX203" s="1" t="s">
        <v>54</v>
      </c>
      <c r="AY203" s="1" t="s">
        <v>55</v>
      </c>
      <c r="AZ203" s="1" t="s">
        <v>56</v>
      </c>
      <c r="BA203" s="1" t="s">
        <v>57</v>
      </c>
      <c r="BB203" s="1" t="s">
        <v>58</v>
      </c>
      <c r="BC203" s="1" t="s">
        <v>59</v>
      </c>
      <c r="BD203" s="1" t="s">
        <v>60</v>
      </c>
      <c r="BE203" s="1" t="s">
        <v>61</v>
      </c>
      <c r="BF203" s="1" t="s">
        <v>53</v>
      </c>
      <c r="BG203" s="1" t="s">
        <v>62</v>
      </c>
      <c r="BH203" s="1" t="s">
        <v>54</v>
      </c>
      <c r="BI203" s="1" t="s">
        <v>55</v>
      </c>
      <c r="BJ203" s="1" t="s">
        <v>56</v>
      </c>
      <c r="BK203" s="1" t="s">
        <v>57</v>
      </c>
      <c r="BL203" s="1" t="s">
        <v>58</v>
      </c>
      <c r="BM203" s="1" t="s">
        <v>59</v>
      </c>
      <c r="BN203" s="1" t="s">
        <v>60</v>
      </c>
      <c r="BO203" s="1" t="s">
        <v>61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66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66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67</v>
      </c>
      <c r="Y206" s="2">
        <v>0.21</v>
      </c>
      <c r="Z206" s="2">
        <v>0.17</v>
      </c>
      <c r="AA206" s="2">
        <v>0.2</v>
      </c>
      <c r="AB206" s="2">
        <v>0.18</v>
      </c>
      <c r="AC206" s="2">
        <v>0.16</v>
      </c>
      <c r="AD206" s="2">
        <v>0.17</v>
      </c>
      <c r="AE206" s="2">
        <v>0.2</v>
      </c>
      <c r="AF206" s="2">
        <v>0.17</v>
      </c>
      <c r="AG206" s="2">
        <v>0.16</v>
      </c>
      <c r="AH206" s="2">
        <v>7.0000000000000007E-2</v>
      </c>
      <c r="AI206" s="2">
        <v>0.2</v>
      </c>
      <c r="AJ206" s="2">
        <v>7.0000000000000007E-2</v>
      </c>
      <c r="AK206" s="2">
        <v>0.15</v>
      </c>
      <c r="AL206" s="2">
        <v>0.1</v>
      </c>
      <c r="AM206" s="2">
        <v>0.14000000000000001</v>
      </c>
      <c r="AN206" s="2">
        <v>0.08</v>
      </c>
      <c r="AO206" s="2">
        <v>0.13</v>
      </c>
      <c r="AP206" s="2">
        <v>0.04</v>
      </c>
      <c r="AQ206" s="2">
        <v>0.11</v>
      </c>
      <c r="AR206" s="2">
        <v>0.02</v>
      </c>
      <c r="AU206" s="1" t="s">
        <v>67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68</v>
      </c>
      <c r="Y207" s="2">
        <v>0.38</v>
      </c>
      <c r="Z207" s="2">
        <v>0.13</v>
      </c>
      <c r="AA207" s="2">
        <v>0.38</v>
      </c>
      <c r="AB207" s="2">
        <v>0.15</v>
      </c>
      <c r="AC207" s="2">
        <v>0.34</v>
      </c>
      <c r="AD207" s="2">
        <v>0.3</v>
      </c>
      <c r="AE207" s="2">
        <v>0.32</v>
      </c>
      <c r="AF207" s="2">
        <v>0.14000000000000001</v>
      </c>
      <c r="AG207" s="2">
        <v>0.31</v>
      </c>
      <c r="AH207" s="2">
        <v>0.08</v>
      </c>
      <c r="AI207" s="2">
        <v>0.33</v>
      </c>
      <c r="AJ207" s="2">
        <v>0.08</v>
      </c>
      <c r="AK207" s="2">
        <v>0.32</v>
      </c>
      <c r="AL207" s="2">
        <v>0.09</v>
      </c>
      <c r="AM207" s="2">
        <v>0.31</v>
      </c>
      <c r="AN207" s="2">
        <v>7.0000000000000007E-2</v>
      </c>
      <c r="AO207" s="2">
        <v>0.11</v>
      </c>
      <c r="AP207" s="2">
        <v>0.04</v>
      </c>
      <c r="AQ207" s="2">
        <v>0.04</v>
      </c>
      <c r="AR207" s="2">
        <v>0.03</v>
      </c>
      <c r="AU207" s="1" t="s">
        <v>68</v>
      </c>
      <c r="AV207" s="2">
        <v>50.13</v>
      </c>
      <c r="AW207" s="2">
        <v>236.18</v>
      </c>
      <c r="AX207" s="2">
        <v>18.32</v>
      </c>
      <c r="AY207" s="2">
        <v>16.670000000000002</v>
      </c>
      <c r="AZ207" s="2">
        <v>54.27</v>
      </c>
      <c r="BA207" s="2">
        <v>140.4</v>
      </c>
      <c r="BB207" s="2">
        <v>257.94</v>
      </c>
      <c r="BC207" s="2">
        <v>246.95</v>
      </c>
      <c r="BD207" s="2">
        <v>261.69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21.36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69</v>
      </c>
      <c r="Y208" s="2">
        <v>0.37</v>
      </c>
      <c r="Z208" s="2">
        <v>0.16</v>
      </c>
      <c r="AA208" s="2">
        <v>0.37</v>
      </c>
      <c r="AB208" s="2">
        <v>0.18</v>
      </c>
      <c r="AC208" s="2">
        <v>0.35</v>
      </c>
      <c r="AD208" s="2">
        <v>0.38</v>
      </c>
      <c r="AE208" s="2">
        <v>0.34</v>
      </c>
      <c r="AF208" s="2">
        <v>0.22</v>
      </c>
      <c r="AG208" s="2">
        <v>0.31</v>
      </c>
      <c r="AH208" s="2">
        <v>0.14000000000000001</v>
      </c>
      <c r="AI208" s="2">
        <v>0.31</v>
      </c>
      <c r="AJ208" s="2">
        <v>0.12</v>
      </c>
      <c r="AK208" s="2">
        <v>0.31</v>
      </c>
      <c r="AL208" s="2">
        <v>0.13</v>
      </c>
      <c r="AM208" s="2">
        <v>0.23</v>
      </c>
      <c r="AN208" s="2">
        <v>0.1</v>
      </c>
      <c r="AO208" s="2">
        <v>0.1</v>
      </c>
      <c r="AP208" s="2">
        <v>0.08</v>
      </c>
      <c r="AQ208" s="2">
        <v>7.0000000000000007E-2</v>
      </c>
      <c r="AR208" s="2">
        <v>0.06</v>
      </c>
      <c r="AU208" s="1" t="s">
        <v>69</v>
      </c>
      <c r="AV208" s="2">
        <v>25.98</v>
      </c>
      <c r="AW208" s="2">
        <v>72.900000000000006</v>
      </c>
      <c r="AX208" s="2">
        <v>5.36</v>
      </c>
      <c r="AY208" s="2">
        <v>11.22</v>
      </c>
      <c r="AZ208" s="2">
        <v>40.159999999999997</v>
      </c>
      <c r="BA208" s="2">
        <v>69.209999999999994</v>
      </c>
      <c r="BB208" s="2">
        <v>113.57</v>
      </c>
      <c r="BC208" s="2">
        <v>108.75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6.95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70</v>
      </c>
      <c r="Y209" s="2">
        <v>0.31</v>
      </c>
      <c r="Z209" s="2">
        <v>0.3</v>
      </c>
      <c r="AA209" s="2">
        <v>0.34</v>
      </c>
      <c r="AB209" s="2">
        <v>0.21</v>
      </c>
      <c r="AC209" s="2">
        <v>0.31</v>
      </c>
      <c r="AD209" s="2">
        <v>0.32</v>
      </c>
      <c r="AE209" s="2">
        <v>0.16</v>
      </c>
      <c r="AF209" s="2">
        <v>0.28000000000000003</v>
      </c>
      <c r="AG209" s="2">
        <v>0.23</v>
      </c>
      <c r="AH209" s="2">
        <v>0.25</v>
      </c>
      <c r="AI209" s="2">
        <v>0.2</v>
      </c>
      <c r="AJ209" s="2">
        <v>0.19</v>
      </c>
      <c r="AK209" s="2">
        <v>0.17</v>
      </c>
      <c r="AL209" s="2">
        <v>0.17</v>
      </c>
      <c r="AM209" s="2">
        <v>0.12</v>
      </c>
      <c r="AN209" s="2">
        <v>0.13</v>
      </c>
      <c r="AO209" s="2">
        <v>0.1</v>
      </c>
      <c r="AP209" s="2">
        <v>0.09</v>
      </c>
      <c r="AQ209" s="2">
        <v>0.09</v>
      </c>
      <c r="AR209" s="2">
        <v>0.06</v>
      </c>
      <c r="AU209" s="1" t="s">
        <v>70</v>
      </c>
      <c r="AV209" s="2">
        <v>78.25</v>
      </c>
      <c r="AW209" s="2">
        <v>391.5</v>
      </c>
      <c r="AX209" s="2">
        <v>74.75</v>
      </c>
      <c r="AY209" s="2">
        <v>25.25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22.76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71</v>
      </c>
      <c r="Y210" s="2">
        <v>0.34</v>
      </c>
      <c r="Z210" s="2">
        <v>0.35</v>
      </c>
      <c r="AA210" s="2">
        <v>0.37</v>
      </c>
      <c r="AB210" s="2">
        <v>0.37</v>
      </c>
      <c r="AC210" s="2">
        <v>0.32</v>
      </c>
      <c r="AD210" s="2">
        <v>0.34</v>
      </c>
      <c r="AE210" s="2">
        <v>0.18</v>
      </c>
      <c r="AF210" s="2">
        <v>0.28999999999999998</v>
      </c>
      <c r="AG210" s="2">
        <v>0.12</v>
      </c>
      <c r="AH210" s="2">
        <v>0.3</v>
      </c>
      <c r="AI210" s="2">
        <v>0.16</v>
      </c>
      <c r="AJ210" s="2">
        <v>0.32</v>
      </c>
      <c r="AK210" s="2">
        <v>0.15</v>
      </c>
      <c r="AL210" s="2">
        <v>0.27</v>
      </c>
      <c r="AM210" s="2">
        <v>0.15</v>
      </c>
      <c r="AN210" s="2">
        <v>0.26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71</v>
      </c>
      <c r="AV210" s="2">
        <v>15.42</v>
      </c>
      <c r="AW210" s="2">
        <v>67.05</v>
      </c>
      <c r="AX210" s="2">
        <v>6.63</v>
      </c>
      <c r="AY210" s="2">
        <v>4.46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8.49</v>
      </c>
      <c r="BG210" s="2">
        <v>50.4</v>
      </c>
      <c r="BH210" s="2">
        <v>2.92</v>
      </c>
      <c r="BI210" s="2">
        <v>3.8</v>
      </c>
      <c r="BJ210" s="2">
        <v>10.49</v>
      </c>
      <c r="BK210" s="2">
        <v>48.08</v>
      </c>
      <c r="BL210" s="2">
        <v>60.69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72</v>
      </c>
      <c r="Y211" s="2">
        <v>0.37</v>
      </c>
      <c r="Z211" s="2">
        <v>0.38</v>
      </c>
      <c r="AA211" s="2">
        <v>0.28999999999999998</v>
      </c>
      <c r="AB211" s="2">
        <v>0.37</v>
      </c>
      <c r="AC211" s="2">
        <v>0.26</v>
      </c>
      <c r="AD211" s="2">
        <v>0.37</v>
      </c>
      <c r="AE211" s="2">
        <v>0.2</v>
      </c>
      <c r="AF211" s="2">
        <v>0.31</v>
      </c>
      <c r="AG211" s="2">
        <v>0.11</v>
      </c>
      <c r="AH211" s="2">
        <v>0.32</v>
      </c>
      <c r="AI211" s="2">
        <v>0.13</v>
      </c>
      <c r="AJ211" s="2">
        <v>0.32</v>
      </c>
      <c r="AK211" s="2">
        <v>0.13</v>
      </c>
      <c r="AL211" s="2">
        <v>0.28999999999999998</v>
      </c>
      <c r="AM211" s="2">
        <v>0.15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72</v>
      </c>
      <c r="AV211" s="2">
        <v>66.19</v>
      </c>
      <c r="AW211" s="2">
        <v>135.78</v>
      </c>
      <c r="AX211" s="2">
        <v>26.98</v>
      </c>
      <c r="AY211" s="2">
        <v>15.56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94.1</v>
      </c>
      <c r="BG211" s="2">
        <v>236.87</v>
      </c>
      <c r="BH211" s="2">
        <v>39.82</v>
      </c>
      <c r="BI211" s="2">
        <v>35.270000000000003</v>
      </c>
      <c r="BJ211" s="2">
        <v>116.57</v>
      </c>
      <c r="BK211" s="2">
        <v>194.55</v>
      </c>
      <c r="BL211" s="2">
        <v>322.08999999999997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73</v>
      </c>
      <c r="Y212" s="2">
        <v>0.17</v>
      </c>
      <c r="Z212" s="2">
        <v>0.21</v>
      </c>
      <c r="AA212" s="2">
        <v>0.23</v>
      </c>
      <c r="AB212" s="2">
        <v>0.22</v>
      </c>
      <c r="AC212" s="2">
        <v>0.99</v>
      </c>
      <c r="AD212" s="2">
        <v>0.2</v>
      </c>
      <c r="AE212" s="2">
        <v>0.18</v>
      </c>
      <c r="AF212" s="2">
        <v>0.23</v>
      </c>
      <c r="AG212" s="2">
        <v>0.06</v>
      </c>
      <c r="AH212" s="2">
        <v>0.19</v>
      </c>
      <c r="AI212" s="2">
        <v>0.12</v>
      </c>
      <c r="AJ212" s="2">
        <v>0.19</v>
      </c>
      <c r="AK212" s="2">
        <v>0.14000000000000001</v>
      </c>
      <c r="AL212" s="2">
        <v>0.16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73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143.81</v>
      </c>
      <c r="BK212" s="2">
        <v>149.94999999999999</v>
      </c>
      <c r="BL212" s="2">
        <v>201.67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63</v>
      </c>
      <c r="Z216" s="1" t="s">
        <v>64</v>
      </c>
      <c r="AA216" s="1" t="s">
        <v>63</v>
      </c>
      <c r="AB216" s="1" t="s">
        <v>64</v>
      </c>
      <c r="AC216" s="1" t="s">
        <v>63</v>
      </c>
      <c r="AD216" s="1" t="s">
        <v>64</v>
      </c>
      <c r="AE216" s="1" t="s">
        <v>63</v>
      </c>
      <c r="AF216" s="1" t="s">
        <v>64</v>
      </c>
      <c r="AG216" s="1" t="s">
        <v>63</v>
      </c>
      <c r="AH216" s="1" t="s">
        <v>64</v>
      </c>
      <c r="AI216" s="1" t="s">
        <v>63</v>
      </c>
      <c r="AJ216" s="1" t="s">
        <v>64</v>
      </c>
      <c r="AK216" s="1" t="s">
        <v>63</v>
      </c>
      <c r="AL216" s="1" t="s">
        <v>64</v>
      </c>
      <c r="AM216" s="1" t="s">
        <v>63</v>
      </c>
      <c r="AN216" s="1" t="s">
        <v>64</v>
      </c>
      <c r="AO216" s="1" t="s">
        <v>63</v>
      </c>
      <c r="AP216" s="1" t="s">
        <v>64</v>
      </c>
      <c r="AQ216" s="1" t="s">
        <v>63</v>
      </c>
      <c r="AR216" s="1" t="s">
        <v>64</v>
      </c>
      <c r="AU216" s="1" t="s">
        <v>6</v>
      </c>
      <c r="AV216" s="1" t="s">
        <v>63</v>
      </c>
      <c r="AW216" s="1" t="s">
        <v>64</v>
      </c>
      <c r="AX216" s="1" t="s">
        <v>63</v>
      </c>
      <c r="AY216" s="1" t="s">
        <v>64</v>
      </c>
      <c r="AZ216" s="1" t="s">
        <v>63</v>
      </c>
      <c r="BA216" s="1" t="s">
        <v>64</v>
      </c>
      <c r="BB216" s="1" t="s">
        <v>63</v>
      </c>
      <c r="BC216" s="1" t="s">
        <v>64</v>
      </c>
      <c r="BD216" s="1" t="s">
        <v>63</v>
      </c>
      <c r="BE216" s="1" t="s">
        <v>64</v>
      </c>
      <c r="BF216" s="1" t="s">
        <v>63</v>
      </c>
      <c r="BG216" s="1" t="s">
        <v>64</v>
      </c>
      <c r="BH216" s="1" t="s">
        <v>63</v>
      </c>
      <c r="BI216" s="1" t="s">
        <v>64</v>
      </c>
      <c r="BJ216" s="1" t="s">
        <v>63</v>
      </c>
      <c r="BK216" s="1" t="s">
        <v>64</v>
      </c>
      <c r="BL216" s="1" t="s">
        <v>63</v>
      </c>
      <c r="BM216" s="1" t="s">
        <v>64</v>
      </c>
      <c r="BN216" s="1" t="s">
        <v>63</v>
      </c>
      <c r="BO216" s="1" t="s">
        <v>64</v>
      </c>
    </row>
    <row r="217" spans="24:67" x14ac:dyDescent="0.3">
      <c r="X217" s="1" t="s">
        <v>65</v>
      </c>
      <c r="Y217" s="1" t="s">
        <v>53</v>
      </c>
      <c r="Z217" s="1" t="s">
        <v>53</v>
      </c>
      <c r="AA217" s="1" t="s">
        <v>54</v>
      </c>
      <c r="AB217" s="1" t="s">
        <v>54</v>
      </c>
      <c r="AC217" s="1" t="s">
        <v>55</v>
      </c>
      <c r="AD217" s="1" t="s">
        <v>55</v>
      </c>
      <c r="AE217" s="1" t="s">
        <v>56</v>
      </c>
      <c r="AF217" s="1" t="s">
        <v>56</v>
      </c>
      <c r="AG217" s="1" t="s">
        <v>57</v>
      </c>
      <c r="AH217" s="1" t="s">
        <v>57</v>
      </c>
      <c r="AI217" s="1" t="s">
        <v>58</v>
      </c>
      <c r="AJ217" s="1" t="s">
        <v>58</v>
      </c>
      <c r="AK217" s="1" t="s">
        <v>59</v>
      </c>
      <c r="AL217" s="1" t="s">
        <v>59</v>
      </c>
      <c r="AM217" s="1" t="s">
        <v>60</v>
      </c>
      <c r="AN217" s="1" t="s">
        <v>60</v>
      </c>
      <c r="AO217" s="1" t="s">
        <v>61</v>
      </c>
      <c r="AP217" s="1" t="s">
        <v>61</v>
      </c>
      <c r="AQ217" s="1" t="s">
        <v>62</v>
      </c>
      <c r="AR217" s="1" t="s">
        <v>62</v>
      </c>
      <c r="AU217" s="1" t="s">
        <v>65</v>
      </c>
      <c r="AV217" s="1" t="s">
        <v>53</v>
      </c>
      <c r="AW217" s="1" t="s">
        <v>53</v>
      </c>
      <c r="AX217" s="1" t="s">
        <v>54</v>
      </c>
      <c r="AY217" s="1" t="s">
        <v>54</v>
      </c>
      <c r="AZ217" s="1" t="s">
        <v>55</v>
      </c>
      <c r="BA217" s="1" t="s">
        <v>55</v>
      </c>
      <c r="BB217" s="1" t="s">
        <v>56</v>
      </c>
      <c r="BC217" s="1" t="s">
        <v>56</v>
      </c>
      <c r="BD217" s="1" t="s">
        <v>57</v>
      </c>
      <c r="BE217" s="1" t="s">
        <v>57</v>
      </c>
      <c r="BF217" s="1" t="s">
        <v>58</v>
      </c>
      <c r="BG217" s="1" t="s">
        <v>58</v>
      </c>
      <c r="BH217" s="1" t="s">
        <v>59</v>
      </c>
      <c r="BI217" s="1" t="s">
        <v>59</v>
      </c>
      <c r="BJ217" s="1" t="s">
        <v>60</v>
      </c>
      <c r="BK217" s="1" t="s">
        <v>60</v>
      </c>
      <c r="BL217" s="1" t="s">
        <v>61</v>
      </c>
      <c r="BM217" s="1" t="s">
        <v>61</v>
      </c>
      <c r="BN217" s="1" t="s">
        <v>62</v>
      </c>
      <c r="BO217" s="1" t="s">
        <v>62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66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66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67</v>
      </c>
      <c r="Y220" s="2">
        <v>0.13</v>
      </c>
      <c r="Z220" s="2">
        <v>0.01</v>
      </c>
      <c r="AA220" s="2">
        <v>0.08</v>
      </c>
      <c r="AB220" s="2">
        <v>0.01</v>
      </c>
      <c r="AC220" s="2">
        <v>0.01</v>
      </c>
      <c r="AD220" s="2">
        <v>0.01</v>
      </c>
      <c r="AE220" s="2">
        <v>0.16</v>
      </c>
      <c r="AF220" s="2">
        <v>0.13</v>
      </c>
      <c r="AG220" s="2">
        <v>0.25</v>
      </c>
      <c r="AH220" s="2">
        <v>0.08</v>
      </c>
      <c r="AI220" s="2">
        <v>0.65</v>
      </c>
      <c r="AJ220" s="2">
        <v>0.16</v>
      </c>
      <c r="AK220" s="2">
        <v>0.39</v>
      </c>
      <c r="AL220" s="2">
        <v>0.2</v>
      </c>
      <c r="AM220" s="2">
        <v>0.43</v>
      </c>
      <c r="AN220" s="2">
        <v>0.18</v>
      </c>
      <c r="AO220" s="2">
        <v>0.33</v>
      </c>
      <c r="AP220" s="2">
        <v>0.06</v>
      </c>
      <c r="AQ220" s="2">
        <v>0.33</v>
      </c>
      <c r="AR220" s="2">
        <v>0.03</v>
      </c>
      <c r="AU220" s="1" t="s">
        <v>67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68</v>
      </c>
      <c r="Y221" s="2">
        <v>1.1299999999999999</v>
      </c>
      <c r="Z221" s="2">
        <v>0</v>
      </c>
      <c r="AA221" s="2">
        <v>1.17</v>
      </c>
      <c r="AB221" s="2">
        <v>0</v>
      </c>
      <c r="AC221" s="2">
        <v>0.23</v>
      </c>
      <c r="AD221" s="2">
        <v>0.16</v>
      </c>
      <c r="AE221" s="2">
        <v>0.61</v>
      </c>
      <c r="AF221" s="2">
        <v>0.16</v>
      </c>
      <c r="AG221" s="2">
        <v>0.9</v>
      </c>
      <c r="AH221" s="2">
        <v>0.16</v>
      </c>
      <c r="AI221" s="2">
        <v>1.82</v>
      </c>
      <c r="AJ221" s="2">
        <v>0.28999999999999998</v>
      </c>
      <c r="AK221" s="2">
        <v>1.4</v>
      </c>
      <c r="AL221" s="2">
        <v>0.25</v>
      </c>
      <c r="AM221" s="2">
        <v>1.78</v>
      </c>
      <c r="AN221" s="2">
        <v>0.28000000000000003</v>
      </c>
      <c r="AO221" s="2">
        <v>0.38</v>
      </c>
      <c r="AP221" s="2">
        <v>0.13</v>
      </c>
      <c r="AQ221" s="2">
        <v>0.15</v>
      </c>
      <c r="AR221" s="2">
        <v>0.08</v>
      </c>
      <c r="AU221" s="1" t="s">
        <v>68</v>
      </c>
      <c r="AV221" s="2">
        <v>38.56</v>
      </c>
      <c r="AW221" s="2">
        <v>36.9</v>
      </c>
      <c r="AX221" s="2">
        <v>14.09</v>
      </c>
      <c r="AY221" s="2">
        <v>19.2</v>
      </c>
      <c r="AZ221" s="2">
        <v>33.33</v>
      </c>
      <c r="BA221" s="2">
        <v>42.73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71.650000000000006</v>
      </c>
      <c r="BG221" s="2">
        <v>96.55</v>
      </c>
      <c r="BH221" s="2">
        <v>85.15</v>
      </c>
      <c r="BI221" s="2">
        <v>100.85</v>
      </c>
      <c r="BJ221" s="2">
        <v>68.86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69</v>
      </c>
      <c r="Y222" s="2">
        <v>0.85</v>
      </c>
      <c r="Z222" s="2">
        <v>0.02</v>
      </c>
      <c r="AA222" s="2">
        <v>0.81</v>
      </c>
      <c r="AB222" s="2">
        <v>0</v>
      </c>
      <c r="AC222" s="2">
        <v>0.18</v>
      </c>
      <c r="AD222" s="2">
        <v>0.19</v>
      </c>
      <c r="AE222" s="2">
        <v>0.55000000000000004</v>
      </c>
      <c r="AF222" s="2">
        <v>0.25</v>
      </c>
      <c r="AG222" s="2">
        <v>0.71</v>
      </c>
      <c r="AH222" s="2">
        <v>0.22</v>
      </c>
      <c r="AI222" s="2">
        <v>1.28</v>
      </c>
      <c r="AJ222" s="2">
        <v>0.33</v>
      </c>
      <c r="AK222" s="2">
        <v>1.04</v>
      </c>
      <c r="AL222" s="2">
        <v>0.28000000000000003</v>
      </c>
      <c r="AM222" s="2">
        <v>0.9</v>
      </c>
      <c r="AN222" s="2">
        <v>0.27</v>
      </c>
      <c r="AO222" s="2">
        <v>0.24</v>
      </c>
      <c r="AP222" s="2">
        <v>0.16</v>
      </c>
      <c r="AQ222" s="2">
        <v>0.2</v>
      </c>
      <c r="AR222" s="2">
        <v>0.16</v>
      </c>
      <c r="AU222" s="1" t="s">
        <v>69</v>
      </c>
      <c r="AV222" s="2">
        <v>19.989999999999998</v>
      </c>
      <c r="AW222" s="2">
        <v>13.6</v>
      </c>
      <c r="AX222" s="2">
        <v>4.13</v>
      </c>
      <c r="AY222" s="2">
        <v>8.9</v>
      </c>
      <c r="AZ222" s="2">
        <v>22.44</v>
      </c>
      <c r="BA222" s="2">
        <v>13.9</v>
      </c>
      <c r="BB222" s="2">
        <v>25.1</v>
      </c>
      <c r="BC222" s="2">
        <v>18.91</v>
      </c>
      <c r="BD222" s="2">
        <v>34.61</v>
      </c>
      <c r="BE222" s="2">
        <v>16.010000000000002</v>
      </c>
      <c r="BF222" s="2">
        <v>31.55</v>
      </c>
      <c r="BG222" s="2">
        <v>17.3</v>
      </c>
      <c r="BH222" s="2">
        <v>37.5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70</v>
      </c>
      <c r="Y223" s="2">
        <v>0.41</v>
      </c>
      <c r="Z223" s="2">
        <v>0.34</v>
      </c>
      <c r="AA223" s="2">
        <v>0.7</v>
      </c>
      <c r="AB223" s="2">
        <v>0.11</v>
      </c>
      <c r="AC223" s="2">
        <v>0.15</v>
      </c>
      <c r="AD223" s="2">
        <v>0.15</v>
      </c>
      <c r="AE223" s="2">
        <v>0.1</v>
      </c>
      <c r="AF223" s="2">
        <v>0.41</v>
      </c>
      <c r="AG223" s="2">
        <v>0.47</v>
      </c>
      <c r="AH223" s="2">
        <v>0.52</v>
      </c>
      <c r="AI223" s="2">
        <v>0.72</v>
      </c>
      <c r="AJ223" s="2">
        <v>0.64</v>
      </c>
      <c r="AK223" s="2">
        <v>0.46</v>
      </c>
      <c r="AL223" s="2">
        <v>0.44</v>
      </c>
      <c r="AM223" s="2">
        <v>0.35</v>
      </c>
      <c r="AN223" s="2">
        <v>0.38</v>
      </c>
      <c r="AO223" s="2">
        <v>0.23</v>
      </c>
      <c r="AP223" s="2">
        <v>0.18</v>
      </c>
      <c r="AQ223" s="2">
        <v>0.27</v>
      </c>
      <c r="AR223" s="2">
        <v>0.14000000000000001</v>
      </c>
      <c r="AU223" s="1" t="s">
        <v>70</v>
      </c>
      <c r="AV223" s="2">
        <v>60.19</v>
      </c>
      <c r="AW223" s="2">
        <v>61.5</v>
      </c>
      <c r="AX223" s="2">
        <v>57.5</v>
      </c>
      <c r="AY223" s="2">
        <v>57.5</v>
      </c>
      <c r="AZ223" s="2">
        <v>50.5</v>
      </c>
      <c r="BA223" s="2">
        <v>45.52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71</v>
      </c>
      <c r="Y224" s="2">
        <v>0.45</v>
      </c>
      <c r="Z224" s="2">
        <v>0.45</v>
      </c>
      <c r="AA224" s="2">
        <v>0.79</v>
      </c>
      <c r="AB224" s="2">
        <v>0.79</v>
      </c>
      <c r="AC224" s="2">
        <v>0.16</v>
      </c>
      <c r="AD224" s="2">
        <v>0.16</v>
      </c>
      <c r="AE224" s="2">
        <v>0.13</v>
      </c>
      <c r="AF224" s="2">
        <v>0.45</v>
      </c>
      <c r="AG224" s="2">
        <v>0.17</v>
      </c>
      <c r="AH224" s="2">
        <v>0.67</v>
      </c>
      <c r="AI224" s="2">
        <v>0.47</v>
      </c>
      <c r="AJ224" s="2">
        <v>1.9</v>
      </c>
      <c r="AK224" s="2">
        <v>0.36</v>
      </c>
      <c r="AL224" s="2">
        <v>0.79</v>
      </c>
      <c r="AM224" s="2">
        <v>0.45</v>
      </c>
      <c r="AN224" s="2">
        <v>1.02</v>
      </c>
      <c r="AO224" s="2">
        <v>0.32</v>
      </c>
      <c r="AP224" s="2">
        <v>0.75</v>
      </c>
      <c r="AQ224" s="2">
        <v>0.27</v>
      </c>
      <c r="AR224" s="2">
        <v>0.18</v>
      </c>
      <c r="AU224" s="1" t="s">
        <v>71</v>
      </c>
      <c r="AV224" s="2">
        <v>11.86</v>
      </c>
      <c r="AW224" s="2">
        <v>6.53</v>
      </c>
      <c r="AX224" s="2">
        <v>5.0999999999999996</v>
      </c>
      <c r="AY224" s="2">
        <v>2.2400000000000002</v>
      </c>
      <c r="AZ224" s="2">
        <v>8.91</v>
      </c>
      <c r="BA224" s="2">
        <v>7.6</v>
      </c>
      <c r="BB224" s="2">
        <v>10.1</v>
      </c>
      <c r="BC224" s="2">
        <v>6.55</v>
      </c>
      <c r="BD224" s="2">
        <v>12.3</v>
      </c>
      <c r="BE224" s="2">
        <v>24.04</v>
      </c>
      <c r="BF224" s="2">
        <v>12.3</v>
      </c>
      <c r="BG224" s="2">
        <v>16.86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72</v>
      </c>
      <c r="Y225" s="2">
        <v>1.04</v>
      </c>
      <c r="Z225" s="2">
        <v>1.07</v>
      </c>
      <c r="AA225" s="2">
        <v>0.65</v>
      </c>
      <c r="AB225" s="2">
        <v>0.97</v>
      </c>
      <c r="AC225" s="2">
        <v>0.13</v>
      </c>
      <c r="AD225" s="2">
        <v>0.39</v>
      </c>
      <c r="AE225" s="2">
        <v>0.28000000000000003</v>
      </c>
      <c r="AF225" s="2">
        <v>0.6</v>
      </c>
      <c r="AG225" s="2">
        <v>0.23</v>
      </c>
      <c r="AH225" s="2">
        <v>0.96</v>
      </c>
      <c r="AI225" s="2">
        <v>0.48</v>
      </c>
      <c r="AJ225" s="2">
        <v>1.73</v>
      </c>
      <c r="AK225" s="2">
        <v>0.4</v>
      </c>
      <c r="AL225" s="2">
        <v>1.1000000000000001</v>
      </c>
      <c r="AM225" s="2">
        <v>0.62</v>
      </c>
      <c r="AN225" s="2">
        <v>1.39</v>
      </c>
      <c r="AO225" s="2">
        <v>0.32</v>
      </c>
      <c r="AP225" s="2">
        <v>0.36</v>
      </c>
      <c r="AQ225" s="2">
        <v>0.32</v>
      </c>
      <c r="AR225" s="2">
        <v>0.3</v>
      </c>
      <c r="AU225" s="1" t="s">
        <v>72</v>
      </c>
      <c r="AV225" s="2">
        <v>50.92</v>
      </c>
      <c r="AW225" s="2">
        <v>72.38</v>
      </c>
      <c r="AX225" s="2">
        <v>20.76</v>
      </c>
      <c r="AY225" s="2">
        <v>30.63</v>
      </c>
      <c r="AZ225" s="2">
        <v>31.11</v>
      </c>
      <c r="BA225" s="2">
        <v>70.540000000000006</v>
      </c>
      <c r="BB225" s="2">
        <v>49.11</v>
      </c>
      <c r="BC225" s="2">
        <v>72.86</v>
      </c>
      <c r="BD225" s="2">
        <v>56.35</v>
      </c>
      <c r="BE225" s="2">
        <v>97.27</v>
      </c>
      <c r="BF225" s="2">
        <v>59.95</v>
      </c>
      <c r="BG225" s="2">
        <v>89.47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73</v>
      </c>
      <c r="Y226" s="2">
        <v>0.04</v>
      </c>
      <c r="Z226" s="2">
        <v>0.14000000000000001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</v>
      </c>
      <c r="AG226" s="2">
        <v>7.0000000000000007E-2</v>
      </c>
      <c r="AH226" s="2">
        <v>0.39</v>
      </c>
      <c r="AI226" s="2">
        <v>0.36</v>
      </c>
      <c r="AJ226" s="2">
        <v>0.7</v>
      </c>
      <c r="AK226" s="2">
        <v>0.38</v>
      </c>
      <c r="AL226" s="2">
        <v>0.44</v>
      </c>
      <c r="AM226" s="2">
        <v>0.34</v>
      </c>
      <c r="AN226" s="2">
        <v>0.28000000000000003</v>
      </c>
      <c r="AO226" s="2">
        <v>0.22</v>
      </c>
      <c r="AP226" s="2">
        <v>0.12</v>
      </c>
      <c r="AQ226" s="2">
        <v>0.18</v>
      </c>
      <c r="AR226" s="2">
        <v>0.08</v>
      </c>
      <c r="AU226" s="1" t="s">
        <v>73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89.88</v>
      </c>
      <c r="BD226" s="2">
        <v>140.4</v>
      </c>
      <c r="BE226" s="2">
        <v>74.98</v>
      </c>
      <c r="BF226" s="2">
        <v>99.9</v>
      </c>
      <c r="BG226" s="2">
        <v>56.02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  <row r="229" spans="24:67" x14ac:dyDescent="0.3">
      <c r="X229" t="s">
        <v>74</v>
      </c>
    </row>
    <row r="230" spans="24:67" x14ac:dyDescent="0.3">
      <c r="X230" s="1" t="s">
        <v>6</v>
      </c>
      <c r="Y230" s="1" t="s">
        <v>63</v>
      </c>
      <c r="Z230" s="1" t="s">
        <v>64</v>
      </c>
      <c r="AA230" s="1" t="s">
        <v>63</v>
      </c>
      <c r="AB230" s="1" t="s">
        <v>64</v>
      </c>
      <c r="AC230" s="1" t="s">
        <v>63</v>
      </c>
      <c r="AD230" s="1" t="s">
        <v>64</v>
      </c>
      <c r="AE230" s="1" t="s">
        <v>63</v>
      </c>
      <c r="AF230" s="1" t="s">
        <v>64</v>
      </c>
      <c r="AG230" s="1" t="s">
        <v>63</v>
      </c>
      <c r="AH230" s="1" t="s">
        <v>64</v>
      </c>
      <c r="AI230" s="1" t="s">
        <v>63</v>
      </c>
      <c r="AJ230" s="1" t="s">
        <v>64</v>
      </c>
      <c r="AK230" s="1" t="s">
        <v>63</v>
      </c>
      <c r="AL230" s="1" t="s">
        <v>64</v>
      </c>
      <c r="AM230" s="1" t="s">
        <v>63</v>
      </c>
      <c r="AN230" s="1" t="s">
        <v>64</v>
      </c>
      <c r="AO230" s="1" t="s">
        <v>63</v>
      </c>
      <c r="AP230" s="1" t="s">
        <v>64</v>
      </c>
      <c r="AQ230" s="1" t="s">
        <v>63</v>
      </c>
      <c r="AR230" s="1" t="s">
        <v>64</v>
      </c>
    </row>
    <row r="231" spans="24:67" x14ac:dyDescent="0.3">
      <c r="X231" s="1" t="s">
        <v>65</v>
      </c>
      <c r="Y231" s="1" t="s">
        <v>53</v>
      </c>
      <c r="Z231" s="1" t="s">
        <v>53</v>
      </c>
      <c r="AA231" s="1" t="s">
        <v>54</v>
      </c>
      <c r="AB231" s="1" t="s">
        <v>54</v>
      </c>
      <c r="AC231" s="1" t="s">
        <v>55</v>
      </c>
      <c r="AD231" s="1" t="s">
        <v>55</v>
      </c>
      <c r="AE231" s="1" t="s">
        <v>56</v>
      </c>
      <c r="AF231" s="1" t="s">
        <v>56</v>
      </c>
      <c r="AG231" s="1" t="s">
        <v>57</v>
      </c>
      <c r="AH231" s="1" t="s">
        <v>57</v>
      </c>
      <c r="AI231" s="1" t="s">
        <v>58</v>
      </c>
      <c r="AJ231" s="1" t="s">
        <v>58</v>
      </c>
      <c r="AK231" s="1" t="s">
        <v>59</v>
      </c>
      <c r="AL231" s="1" t="s">
        <v>59</v>
      </c>
      <c r="AM231" s="1" t="s">
        <v>60</v>
      </c>
      <c r="AN231" s="1" t="s">
        <v>60</v>
      </c>
      <c r="AO231" s="1" t="s">
        <v>61</v>
      </c>
      <c r="AP231" s="1" t="s">
        <v>61</v>
      </c>
      <c r="AQ231" s="1" t="s">
        <v>62</v>
      </c>
      <c r="AR231" s="1" t="s">
        <v>62</v>
      </c>
    </row>
    <row r="232" spans="24:67" x14ac:dyDescent="0.3">
      <c r="X232" s="1" t="s">
        <v>7</v>
      </c>
      <c r="Y232">
        <v>1.3</v>
      </c>
      <c r="Z232">
        <v>1.3</v>
      </c>
      <c r="AA232">
        <v>1.3</v>
      </c>
      <c r="AB232">
        <v>1.3</v>
      </c>
      <c r="AC232">
        <v>0.5</v>
      </c>
      <c r="AD232">
        <v>0.5</v>
      </c>
      <c r="AE232">
        <v>1.6</v>
      </c>
      <c r="AF232">
        <v>1.6</v>
      </c>
      <c r="AG232">
        <v>2</v>
      </c>
      <c r="AH232">
        <v>2</v>
      </c>
      <c r="AI232">
        <v>3.6</v>
      </c>
      <c r="AJ232">
        <v>3.6</v>
      </c>
      <c r="AK232">
        <v>2.9</v>
      </c>
      <c r="AL232">
        <v>2.9</v>
      </c>
      <c r="AM232">
        <v>3.8</v>
      </c>
      <c r="AN232">
        <v>3.8</v>
      </c>
      <c r="AO232">
        <v>3.4</v>
      </c>
      <c r="AP232">
        <v>3.4</v>
      </c>
      <c r="AQ232">
        <v>4.5</v>
      </c>
      <c r="AR232">
        <v>4.5</v>
      </c>
    </row>
    <row r="233" spans="24:67" x14ac:dyDescent="0.3">
      <c r="X233" s="1" t="s">
        <v>66</v>
      </c>
      <c r="Y233" s="7">
        <f>Y191/(AV191+AV219)</f>
        <v>0.14853397459494863</v>
      </c>
      <c r="Z233" s="7">
        <f t="shared" ref="Z233:AR240" si="0">Z191/(AW191+AW219)</f>
        <v>0.13479564611715816</v>
      </c>
      <c r="AA233" s="7">
        <f t="shared" si="0"/>
        <v>2.0020936927505891E-2</v>
      </c>
      <c r="AB233" s="7">
        <f t="shared" si="0"/>
        <v>2.0095007947956964E-2</v>
      </c>
      <c r="AC233" s="7">
        <f t="shared" si="0"/>
        <v>1.9166147377248716E-2</v>
      </c>
      <c r="AD233" s="7">
        <f t="shared" si="0"/>
        <v>2.7522221356976781E-2</v>
      </c>
      <c r="AE233" s="7">
        <f t="shared" si="0"/>
        <v>7.5661399708120622E-2</v>
      </c>
      <c r="AF233" s="7">
        <f t="shared" si="0"/>
        <v>4.5236175086707207E-2</v>
      </c>
      <c r="AG233" s="7">
        <f t="shared" si="0"/>
        <v>0.11625588422718769</v>
      </c>
      <c r="AH233" s="7">
        <f t="shared" si="0"/>
        <v>4.1505439694039047E-2</v>
      </c>
      <c r="AI233" s="7">
        <f t="shared" si="0"/>
        <v>0.11140417565254267</v>
      </c>
      <c r="AJ233" s="7">
        <f t="shared" si="0"/>
        <v>3.3128501171666783E-2</v>
      </c>
      <c r="AK233" s="7">
        <f t="shared" si="0"/>
        <v>0.15289860042098155</v>
      </c>
      <c r="AL233" s="7">
        <f t="shared" si="0"/>
        <v>9.2494575344040531E-3</v>
      </c>
      <c r="AM233" s="7">
        <f t="shared" si="0"/>
        <v>9.6657327298664789E-2</v>
      </c>
      <c r="AN233" s="7">
        <f t="shared" si="0"/>
        <v>2.8085905128947552E-2</v>
      </c>
      <c r="AO233" s="7">
        <f t="shared" si="0"/>
        <v>9.2192630221386226E-3</v>
      </c>
      <c r="AP233" s="7">
        <f t="shared" si="0"/>
        <v>9.2664593053395552E-3</v>
      </c>
      <c r="AQ233" s="7">
        <f t="shared" si="0"/>
        <v>1.4875658742103354E-2</v>
      </c>
      <c r="AR233" s="7">
        <f t="shared" si="0"/>
        <v>9.4799964029968729E-3</v>
      </c>
    </row>
    <row r="234" spans="24:67" x14ac:dyDescent="0.3">
      <c r="X234" s="1" t="s">
        <v>67</v>
      </c>
      <c r="Y234" s="7">
        <f t="shared" ref="Y234:Y240" si="1">Y192/(AV192+AV220)</f>
        <v>4.7024710035300045E-2</v>
      </c>
      <c r="Z234" s="7">
        <f t="shared" si="0"/>
        <v>5.063061975740752E-2</v>
      </c>
      <c r="AA234" s="7">
        <f t="shared" si="0"/>
        <v>5.0947421257372318E-2</v>
      </c>
      <c r="AB234" s="7">
        <f t="shared" si="0"/>
        <v>5.1262034868592245E-2</v>
      </c>
      <c r="AC234" s="7">
        <f t="shared" si="0"/>
        <v>5.7635467980295563E-2</v>
      </c>
      <c r="AD234" s="7">
        <f t="shared" si="0"/>
        <v>4.9665517940401374E-2</v>
      </c>
      <c r="AE234" s="7">
        <f t="shared" si="0"/>
        <v>4.8731953088615096E-2</v>
      </c>
      <c r="AF234" s="7">
        <f t="shared" si="0"/>
        <v>5.6257561500201635E-2</v>
      </c>
      <c r="AG234" s="7">
        <f t="shared" si="0"/>
        <v>4.5997259737717754E-2</v>
      </c>
      <c r="AH234" s="7">
        <f t="shared" si="0"/>
        <v>4.9448472561080377E-2</v>
      </c>
      <c r="AI234" s="7">
        <f t="shared" si="0"/>
        <v>5.3474618038442577E-2</v>
      </c>
      <c r="AJ234" s="7">
        <f t="shared" si="0"/>
        <v>5.1045211473018964E-2</v>
      </c>
      <c r="AK234" s="7">
        <f t="shared" si="0"/>
        <v>4.9355432780847149E-2</v>
      </c>
      <c r="AL234" s="7">
        <f t="shared" si="0"/>
        <v>4.9518391621953588E-2</v>
      </c>
      <c r="AM234" s="7">
        <f t="shared" si="0"/>
        <v>5.0153965950518534E-2</v>
      </c>
      <c r="AN234" s="7">
        <f t="shared" si="0"/>
        <v>4.9118603457128179E-2</v>
      </c>
      <c r="AO234" s="7">
        <f t="shared" si="0"/>
        <v>4.9507765575576644E-2</v>
      </c>
      <c r="AP234" s="7">
        <f t="shared" si="0"/>
        <v>5.5831391225048127E-2</v>
      </c>
      <c r="AQ234" s="7">
        <f t="shared" si="0"/>
        <v>4.7322540473225407E-2</v>
      </c>
      <c r="AR234" s="7">
        <f t="shared" si="0"/>
        <v>4.8623826546923592E-2</v>
      </c>
    </row>
    <row r="235" spans="24:67" x14ac:dyDescent="0.3">
      <c r="X235" s="1" t="s">
        <v>68</v>
      </c>
      <c r="Y235" s="7">
        <f t="shared" si="1"/>
        <v>0.11547487126002218</v>
      </c>
      <c r="Z235" s="7">
        <f t="shared" si="0"/>
        <v>5.136761999812868E-2</v>
      </c>
      <c r="AA235" s="7">
        <f t="shared" si="0"/>
        <v>0.10303158190898219</v>
      </c>
      <c r="AB235" s="7">
        <f t="shared" si="0"/>
        <v>5.0363587395636955E-2</v>
      </c>
      <c r="AC235" s="7">
        <f t="shared" si="0"/>
        <v>0.19059395838944801</v>
      </c>
      <c r="AD235" s="7">
        <f t="shared" si="0"/>
        <v>0.12930623908556915</v>
      </c>
      <c r="AE235" s="7">
        <f t="shared" si="0"/>
        <v>0.13496242363639202</v>
      </c>
      <c r="AF235" s="7">
        <f t="shared" si="0"/>
        <v>7.5779776408778504E-2</v>
      </c>
      <c r="AG235" s="7">
        <f t="shared" si="0"/>
        <v>0.1377158717850232</v>
      </c>
      <c r="AH235" s="7">
        <f t="shared" si="0"/>
        <v>6.3219065049234677E-2</v>
      </c>
      <c r="AI235" s="7">
        <f t="shared" si="0"/>
        <v>0.14562399271249385</v>
      </c>
      <c r="AJ235" s="7">
        <f t="shared" si="0"/>
        <v>6.3793334624495324E-2</v>
      </c>
      <c r="AK235" s="7">
        <f t="shared" si="0"/>
        <v>0.153124979808618</v>
      </c>
      <c r="AL235" s="7">
        <f t="shared" si="0"/>
        <v>6.6123801466441076E-2</v>
      </c>
      <c r="AM235" s="7">
        <f t="shared" si="0"/>
        <v>0.15813804436019993</v>
      </c>
      <c r="AN235" s="7">
        <f t="shared" si="0"/>
        <v>6.207366984993179E-2</v>
      </c>
      <c r="AO235" s="7">
        <f t="shared" si="0"/>
        <v>7.3416703463066932E-2</v>
      </c>
      <c r="AP235" s="7">
        <f t="shared" si="0"/>
        <v>5.7424378873761721E-2</v>
      </c>
      <c r="AQ235" s="7">
        <f t="shared" si="0"/>
        <v>5.6829360575104057E-2</v>
      </c>
      <c r="AR235" s="7">
        <f t="shared" si="0"/>
        <v>5.8254259681875115E-2</v>
      </c>
    </row>
    <row r="236" spans="24:67" x14ac:dyDescent="0.3">
      <c r="X236" s="1" t="s">
        <v>69</v>
      </c>
      <c r="Y236" s="7">
        <f t="shared" si="1"/>
        <v>6.4021221475885404E-2</v>
      </c>
      <c r="Z236" s="7">
        <f t="shared" si="0"/>
        <v>6.7044381491973559E-2</v>
      </c>
      <c r="AA236" s="7">
        <f t="shared" si="0"/>
        <v>6.2781646866038501E-2</v>
      </c>
      <c r="AB236" s="7">
        <f t="shared" si="0"/>
        <v>5.0666890361546847E-2</v>
      </c>
      <c r="AC236" s="7">
        <f t="shared" si="0"/>
        <v>0.12528102633912919</v>
      </c>
      <c r="AD236" s="7">
        <f t="shared" si="0"/>
        <v>0.11579299700615506</v>
      </c>
      <c r="AE236" s="7">
        <f t="shared" si="0"/>
        <v>0.10259490171404603</v>
      </c>
      <c r="AF236" s="7">
        <f t="shared" si="0"/>
        <v>6.0638773079213816E-2</v>
      </c>
      <c r="AG236" s="7">
        <f t="shared" si="0"/>
        <v>9.7803179139131988E-2</v>
      </c>
      <c r="AH236" s="7">
        <f t="shared" si="0"/>
        <v>5.5911393153465647E-2</v>
      </c>
      <c r="AI236" s="7">
        <f t="shared" si="0"/>
        <v>9.8403353848898409E-2</v>
      </c>
      <c r="AJ236" s="7">
        <f t="shared" si="0"/>
        <v>5.7091731022791484E-2</v>
      </c>
      <c r="AK236" s="7">
        <f t="shared" si="0"/>
        <v>9.8675353599149043E-2</v>
      </c>
      <c r="AL236" s="7">
        <f t="shared" si="0"/>
        <v>5.7305599534130405E-2</v>
      </c>
      <c r="AM236" s="7">
        <f t="shared" si="0"/>
        <v>7.238995998544924E-2</v>
      </c>
      <c r="AN236" s="7">
        <f t="shared" si="0"/>
        <v>5.7093145585498099E-2</v>
      </c>
      <c r="AO236" s="7">
        <f t="shared" si="0"/>
        <v>5.543131337256009E-2</v>
      </c>
      <c r="AP236" s="7">
        <f t="shared" si="0"/>
        <v>6.0039586540576187E-2</v>
      </c>
      <c r="AQ236" s="7">
        <f t="shared" si="0"/>
        <v>5.915663868945293E-2</v>
      </c>
      <c r="AR236" s="7">
        <f t="shared" si="0"/>
        <v>4.7497375562025872E-2</v>
      </c>
    </row>
    <row r="237" spans="24:67" x14ac:dyDescent="0.3">
      <c r="X237" s="1" t="s">
        <v>70</v>
      </c>
      <c r="Y237" s="7">
        <f t="shared" si="1"/>
        <v>0.11651383337252136</v>
      </c>
      <c r="Z237" s="7">
        <f t="shared" si="0"/>
        <v>8.8300463966114545E-2</v>
      </c>
      <c r="AA237" s="7">
        <f t="shared" si="0"/>
        <v>5.0188380094639544E-2</v>
      </c>
      <c r="AB237" s="7">
        <f t="shared" si="0"/>
        <v>5.0343803956017327E-2</v>
      </c>
      <c r="AC237" s="7">
        <f t="shared" si="0"/>
        <v>0.11636361380456967</v>
      </c>
      <c r="AD237" s="7">
        <f t="shared" si="0"/>
        <v>0.11282239868360364</v>
      </c>
      <c r="AE237" s="7">
        <f t="shared" si="0"/>
        <v>5.0942065285175378E-2</v>
      </c>
      <c r="AF237" s="7">
        <f t="shared" si="0"/>
        <v>8.9182510067246257E-2</v>
      </c>
      <c r="AG237" s="7">
        <f t="shared" si="0"/>
        <v>7.0014245342602796E-2</v>
      </c>
      <c r="AH237" s="7">
        <f t="shared" si="0"/>
        <v>7.6779235652263383E-2</v>
      </c>
      <c r="AI237" s="7">
        <f t="shared" si="0"/>
        <v>6.2268680836440812E-2</v>
      </c>
      <c r="AJ237" s="7">
        <f t="shared" si="0"/>
        <v>5.5365109602519579E-2</v>
      </c>
      <c r="AK237" s="7">
        <f t="shared" si="0"/>
        <v>5.2506392341083431E-2</v>
      </c>
      <c r="AL237" s="7">
        <f t="shared" si="0"/>
        <v>4.9608098698423468E-2</v>
      </c>
      <c r="AM237" s="7">
        <f t="shared" si="0"/>
        <v>5.3990004458105541E-2</v>
      </c>
      <c r="AN237" s="7">
        <f t="shared" si="0"/>
        <v>5.3560606789345586E-2</v>
      </c>
      <c r="AO237" s="7">
        <f t="shared" si="0"/>
        <v>5.5882366882978381E-2</v>
      </c>
      <c r="AP237" s="7">
        <f t="shared" si="0"/>
        <v>5.3370109266956643E-2</v>
      </c>
      <c r="AQ237" s="7">
        <f t="shared" si="0"/>
        <v>5.5661375661375662E-2</v>
      </c>
      <c r="AR237" s="7">
        <f t="shared" si="0"/>
        <v>4.7744154763172744E-2</v>
      </c>
    </row>
    <row r="238" spans="24:67" x14ac:dyDescent="0.3">
      <c r="X238" s="1" t="s">
        <v>71</v>
      </c>
      <c r="Y238" s="7">
        <f t="shared" si="1"/>
        <v>0.11222164189734581</v>
      </c>
      <c r="Z238" s="7">
        <f t="shared" si="0"/>
        <v>0.11107085554577922</v>
      </c>
      <c r="AA238" s="7">
        <f t="shared" si="0"/>
        <v>5.1508953541762326E-2</v>
      </c>
      <c r="AB238" s="7">
        <f t="shared" si="0"/>
        <v>5.1847051198963053E-2</v>
      </c>
      <c r="AC238" s="7">
        <f t="shared" si="0"/>
        <v>0.11605447521770444</v>
      </c>
      <c r="AD238" s="7">
        <f t="shared" si="0"/>
        <v>0.10992438883802937</v>
      </c>
      <c r="AE238" s="7">
        <f t="shared" si="0"/>
        <v>5.0657357201218146E-2</v>
      </c>
      <c r="AF238" s="7">
        <f t="shared" si="0"/>
        <v>0.10825797327974394</v>
      </c>
      <c r="AG238" s="7">
        <f t="shared" si="0"/>
        <v>4.7248433087678218E-2</v>
      </c>
      <c r="AH238" s="7">
        <f t="shared" si="0"/>
        <v>8.4185601289737524E-2</v>
      </c>
      <c r="AI238" s="7">
        <f t="shared" si="0"/>
        <v>4.7489000151722048E-2</v>
      </c>
      <c r="AJ238" s="7">
        <f t="shared" si="0"/>
        <v>4.6930789225627691E-2</v>
      </c>
      <c r="AK238" s="7">
        <f t="shared" si="0"/>
        <v>4.7667739316110791E-2</v>
      </c>
      <c r="AL238" s="7">
        <f t="shared" si="0"/>
        <v>6.967875379742744E-2</v>
      </c>
      <c r="AM238" s="7">
        <f t="shared" si="0"/>
        <v>4.6838001732601789E-2</v>
      </c>
      <c r="AN238" s="7">
        <f t="shared" si="0"/>
        <v>6.9493044911651577E-2</v>
      </c>
      <c r="AO238" s="7">
        <f t="shared" si="0"/>
        <v>4.7424715264996933E-2</v>
      </c>
      <c r="AP238" s="7">
        <f t="shared" si="0"/>
        <v>5.9844771241830061E-2</v>
      </c>
      <c r="AQ238" s="7">
        <f t="shared" si="0"/>
        <v>4.9681265646372624E-2</v>
      </c>
      <c r="AR238" s="7">
        <f t="shared" si="0"/>
        <v>4.7141107203540519E-2</v>
      </c>
    </row>
    <row r="239" spans="24:67" x14ac:dyDescent="0.3">
      <c r="X239" s="1" t="s">
        <v>72</v>
      </c>
      <c r="Y239" s="7">
        <f t="shared" si="1"/>
        <v>0.10486184130526527</v>
      </c>
      <c r="Z239" s="7">
        <f t="shared" si="0"/>
        <v>0.10287311262297984</v>
      </c>
      <c r="AA239" s="7">
        <f t="shared" si="0"/>
        <v>6.1284739896162066E-2</v>
      </c>
      <c r="AB239" s="7">
        <f t="shared" si="0"/>
        <v>8.5233449780393405E-2</v>
      </c>
      <c r="AC239" s="7">
        <f t="shared" si="0"/>
        <v>0.13328479496453566</v>
      </c>
      <c r="AD239" s="7">
        <f t="shared" si="0"/>
        <v>0.10218836242080305</v>
      </c>
      <c r="AE239" s="7">
        <f t="shared" si="0"/>
        <v>8.4014979796984329E-2</v>
      </c>
      <c r="AF239" s="7">
        <f t="shared" si="0"/>
        <v>0.1573198767540136</v>
      </c>
      <c r="AG239" s="7">
        <f t="shared" si="0"/>
        <v>6.4092278793096702E-2</v>
      </c>
      <c r="AH239" s="7">
        <f t="shared" si="0"/>
        <v>0.12591213858161129</v>
      </c>
      <c r="AI239" s="7">
        <f t="shared" si="0"/>
        <v>6.9451126984714465E-2</v>
      </c>
      <c r="AJ239" s="7">
        <f t="shared" si="0"/>
        <v>0.12560649717092395</v>
      </c>
      <c r="AK239" s="7">
        <f t="shared" si="0"/>
        <v>6.9967008439081227E-2</v>
      </c>
      <c r="AL239" s="7">
        <f t="shared" si="0"/>
        <v>0.11294518568103329</v>
      </c>
      <c r="AM239" s="7">
        <f t="shared" si="0"/>
        <v>7.7783637787473422E-2</v>
      </c>
      <c r="AN239" s="7">
        <f t="shared" si="0"/>
        <v>4.6887051491685434E-2</v>
      </c>
      <c r="AO239" s="7">
        <f t="shared" si="0"/>
        <v>6.1990108299804392E-2</v>
      </c>
      <c r="AP239" s="7">
        <f t="shared" si="0"/>
        <v>6.2623656663732319E-2</v>
      </c>
      <c r="AQ239" s="7">
        <f t="shared" si="0"/>
        <v>5.5604795822992874E-2</v>
      </c>
      <c r="AR239" s="7">
        <f t="shared" si="0"/>
        <v>5.2213263703886653E-2</v>
      </c>
    </row>
    <row r="240" spans="24:67" x14ac:dyDescent="0.3">
      <c r="X240" s="1" t="s">
        <v>73</v>
      </c>
      <c r="Y240" s="7">
        <f t="shared" si="1"/>
        <v>6.1227671828254573E-2</v>
      </c>
      <c r="Z240" s="7">
        <f t="shared" si="0"/>
        <v>5.5479248645036755E-2</v>
      </c>
      <c r="AA240" s="7">
        <f t="shared" si="0"/>
        <v>4.8426318349197528E-2</v>
      </c>
      <c r="AB240" s="7">
        <f t="shared" si="0"/>
        <v>4.8282984766331014E-2</v>
      </c>
      <c r="AC240" s="7">
        <f t="shared" si="0"/>
        <v>4.6339050131926122E-2</v>
      </c>
      <c r="AD240" s="7">
        <f t="shared" si="0"/>
        <v>4.7608226337916143E-2</v>
      </c>
      <c r="AE240" s="7">
        <f t="shared" si="0"/>
        <v>4.5580047978997874E-2</v>
      </c>
      <c r="AF240" s="7">
        <f t="shared" si="0"/>
        <v>7.1482843137254906E-2</v>
      </c>
      <c r="AG240" s="7">
        <f t="shared" si="0"/>
        <v>6.3323196138486346E-2</v>
      </c>
      <c r="AH240" s="7">
        <f t="shared" si="0"/>
        <v>6.6163399488615604E-2</v>
      </c>
      <c r="AI240" s="7">
        <f t="shared" si="0"/>
        <v>6.8763593776141885E-2</v>
      </c>
      <c r="AJ240" s="7">
        <f t="shared" si="0"/>
        <v>6.7295962479125462E-2</v>
      </c>
      <c r="AK240" s="7">
        <f t="shared" si="0"/>
        <v>6.749578961005312E-2</v>
      </c>
      <c r="AL240" s="7">
        <f t="shared" si="0"/>
        <v>5.797227412976403E-2</v>
      </c>
      <c r="AM240" s="7">
        <f t="shared" si="0"/>
        <v>7.2239223967567448E-2</v>
      </c>
      <c r="AN240" s="7">
        <f t="shared" si="0"/>
        <v>6.9089906486225677E-2</v>
      </c>
      <c r="AO240" s="7">
        <f t="shared" si="0"/>
        <v>7.8319408547214045E-2</v>
      </c>
      <c r="AP240" s="7">
        <f t="shared" si="0"/>
        <v>7.3193692633560847E-2</v>
      </c>
      <c r="AQ240" s="7">
        <f t="shared" si="0"/>
        <v>7.4477545575811474E-2</v>
      </c>
      <c r="AR240" s="7">
        <f t="shared" si="0"/>
        <v>7.0445656897300951E-2</v>
      </c>
    </row>
    <row r="241" spans="24:45" x14ac:dyDescent="0.3">
      <c r="AS241" s="8">
        <f>AVERAGE(Y233:AR240)</f>
        <v>7.057978905792861E-2</v>
      </c>
    </row>
    <row r="242" spans="24:45" x14ac:dyDescent="0.3">
      <c r="AS242" s="8"/>
    </row>
    <row r="243" spans="24:45" x14ac:dyDescent="0.3">
      <c r="AS243" s="8"/>
    </row>
    <row r="244" spans="24:45" x14ac:dyDescent="0.3">
      <c r="X244" t="s">
        <v>75</v>
      </c>
      <c r="AS244" s="8"/>
    </row>
    <row r="245" spans="24:45" x14ac:dyDescent="0.3">
      <c r="X245" s="1" t="s">
        <v>6</v>
      </c>
      <c r="Y245" s="1" t="s">
        <v>63</v>
      </c>
      <c r="Z245" s="1" t="s">
        <v>64</v>
      </c>
      <c r="AA245" s="1" t="s">
        <v>63</v>
      </c>
      <c r="AB245" s="1" t="s">
        <v>64</v>
      </c>
      <c r="AC245" s="1" t="s">
        <v>63</v>
      </c>
      <c r="AD245" s="1" t="s">
        <v>64</v>
      </c>
      <c r="AE245" s="1" t="s">
        <v>63</v>
      </c>
      <c r="AF245" s="1" t="s">
        <v>64</v>
      </c>
      <c r="AG245" s="1" t="s">
        <v>63</v>
      </c>
      <c r="AH245" s="1" t="s">
        <v>64</v>
      </c>
      <c r="AI245" s="1" t="s">
        <v>63</v>
      </c>
      <c r="AJ245" s="1" t="s">
        <v>64</v>
      </c>
      <c r="AK245" s="1" t="s">
        <v>63</v>
      </c>
      <c r="AL245" s="1" t="s">
        <v>64</v>
      </c>
      <c r="AM245" s="1" t="s">
        <v>63</v>
      </c>
      <c r="AN245" s="1" t="s">
        <v>64</v>
      </c>
      <c r="AO245" s="1" t="s">
        <v>63</v>
      </c>
      <c r="AP245" s="1" t="s">
        <v>64</v>
      </c>
      <c r="AQ245" s="1" t="s">
        <v>63</v>
      </c>
      <c r="AR245" s="1" t="s">
        <v>64</v>
      </c>
      <c r="AS245" s="8"/>
    </row>
    <row r="246" spans="24:45" x14ac:dyDescent="0.3">
      <c r="X246" s="1" t="s">
        <v>65</v>
      </c>
      <c r="Y246" s="1" t="s">
        <v>53</v>
      </c>
      <c r="Z246" s="1" t="s">
        <v>53</v>
      </c>
      <c r="AA246" s="1" t="s">
        <v>54</v>
      </c>
      <c r="AB246" s="1" t="s">
        <v>54</v>
      </c>
      <c r="AC246" s="1" t="s">
        <v>55</v>
      </c>
      <c r="AD246" s="1" t="s">
        <v>55</v>
      </c>
      <c r="AE246" s="1" t="s">
        <v>56</v>
      </c>
      <c r="AF246" s="1" t="s">
        <v>56</v>
      </c>
      <c r="AG246" s="1" t="s">
        <v>57</v>
      </c>
      <c r="AH246" s="1" t="s">
        <v>57</v>
      </c>
      <c r="AI246" s="1" t="s">
        <v>58</v>
      </c>
      <c r="AJ246" s="1" t="s">
        <v>58</v>
      </c>
      <c r="AK246" s="1" t="s">
        <v>59</v>
      </c>
      <c r="AL246" s="1" t="s">
        <v>59</v>
      </c>
      <c r="AM246" s="1" t="s">
        <v>60</v>
      </c>
      <c r="AN246" s="1" t="s">
        <v>60</v>
      </c>
      <c r="AO246" s="1" t="s">
        <v>61</v>
      </c>
      <c r="AP246" s="1" t="s">
        <v>61</v>
      </c>
      <c r="AQ246" s="1" t="s">
        <v>62</v>
      </c>
      <c r="AR246" s="1" t="s">
        <v>62</v>
      </c>
      <c r="AS246" s="8"/>
    </row>
    <row r="247" spans="24:45" x14ac:dyDescent="0.3">
      <c r="X247" s="1" t="s">
        <v>7</v>
      </c>
      <c r="Y247">
        <v>1.3</v>
      </c>
      <c r="Z247">
        <v>1.3</v>
      </c>
      <c r="AA247">
        <v>1.3</v>
      </c>
      <c r="AB247">
        <v>1.3</v>
      </c>
      <c r="AC247">
        <v>0.5</v>
      </c>
      <c r="AD247">
        <v>0.5</v>
      </c>
      <c r="AE247">
        <v>1.6</v>
      </c>
      <c r="AF247">
        <v>1.6</v>
      </c>
      <c r="AG247">
        <v>2</v>
      </c>
      <c r="AH247">
        <v>2</v>
      </c>
      <c r="AI247">
        <v>3.6</v>
      </c>
      <c r="AJ247">
        <v>3.6</v>
      </c>
      <c r="AK247">
        <v>2.9</v>
      </c>
      <c r="AL247">
        <v>2.9</v>
      </c>
      <c r="AM247">
        <v>3.8</v>
      </c>
      <c r="AN247">
        <v>3.8</v>
      </c>
      <c r="AO247">
        <v>3.4</v>
      </c>
      <c r="AP247">
        <v>3.4</v>
      </c>
      <c r="AQ247">
        <v>4.5</v>
      </c>
      <c r="AR247">
        <v>4.5</v>
      </c>
      <c r="AS247" s="8"/>
    </row>
    <row r="248" spans="24:45" x14ac:dyDescent="0.3">
      <c r="X248" s="1" t="s">
        <v>66</v>
      </c>
      <c r="Y248" s="7">
        <f>(Y163+Y135)/(Y163+Y135+AV135+AV163)</f>
        <v>0.13623152709359607</v>
      </c>
      <c r="Z248" s="7">
        <f t="shared" ref="Z248:AO255" si="2">(Z163+Z135)/(Z163+Z135+AW135+AW163)</f>
        <v>0.11869747899159663</v>
      </c>
      <c r="AA248" s="7">
        <f t="shared" si="2"/>
        <v>6.1363636363636356E-2</v>
      </c>
      <c r="AB248" s="7">
        <f t="shared" si="2"/>
        <v>6.1038961038961032E-2</v>
      </c>
      <c r="AC248" s="7">
        <f t="shared" si="2"/>
        <v>6.1103253182461105E-2</v>
      </c>
      <c r="AD248" s="7">
        <f t="shared" si="2"/>
        <v>6.45789694176791E-2</v>
      </c>
      <c r="AE248" s="7">
        <f t="shared" si="2"/>
        <v>8.8757665228253457E-2</v>
      </c>
      <c r="AF248" s="7">
        <f t="shared" si="2"/>
        <v>5.960446034083737E-2</v>
      </c>
      <c r="AG248" s="7">
        <f t="shared" si="2"/>
        <v>6.0336906584992342E-2</v>
      </c>
      <c r="AH248" s="7">
        <f t="shared" si="2"/>
        <v>3.6704593341761488E-2</v>
      </c>
      <c r="AI248" s="7">
        <f t="shared" si="2"/>
        <v>7.7716390423572743E-2</v>
      </c>
      <c r="AJ248" s="7">
        <f t="shared" si="2"/>
        <v>3.5014478764478767E-2</v>
      </c>
      <c r="AK248" s="7">
        <f t="shared" si="2"/>
        <v>9.0626408292023411E-2</v>
      </c>
      <c r="AL248" s="7">
        <f t="shared" si="2"/>
        <v>1.0253671562082777E-2</v>
      </c>
      <c r="AM248" s="7">
        <f t="shared" si="2"/>
        <v>7.8374279648164999E-2</v>
      </c>
      <c r="AN248" s="7">
        <f t="shared" si="2"/>
        <v>2.6361655773420471E-2</v>
      </c>
      <c r="AO248" s="7">
        <f>(AO163+AO135)/(AO163+AO135+BL135+BL163)</f>
        <v>1.0249709639953544E-2</v>
      </c>
      <c r="AP248" s="7">
        <f t="shared" ref="AP248:AR255" si="3">(AP163+AP135)/(AP163+AP135+BM135+BM163)</f>
        <v>1.0287004192196065E-2</v>
      </c>
      <c r="AQ248" s="7">
        <f t="shared" si="3"/>
        <v>1.0515463917525773E-2</v>
      </c>
      <c r="AR248" s="7">
        <f t="shared" si="3"/>
        <v>1.0267857142857141E-2</v>
      </c>
      <c r="AS248" s="8"/>
    </row>
    <row r="249" spans="24:45" x14ac:dyDescent="0.3">
      <c r="X249" s="1" t="s">
        <v>67</v>
      </c>
      <c r="Y249" s="7">
        <f t="shared" ref="Y249:Y255" si="4">(Y164+Y136)/(Y164+Y136+AV136+AV164)</f>
        <v>0.11291798662442802</v>
      </c>
      <c r="Z249" s="7">
        <f t="shared" si="2"/>
        <v>0.12016015073009892</v>
      </c>
      <c r="AA249" s="7">
        <f t="shared" si="2"/>
        <v>0.11982758620689657</v>
      </c>
      <c r="AB249" s="7">
        <f t="shared" si="2"/>
        <v>0.12012820512820514</v>
      </c>
      <c r="AC249" s="7">
        <f t="shared" si="2"/>
        <v>0.13455723542116629</v>
      </c>
      <c r="AD249" s="7">
        <f t="shared" si="2"/>
        <v>0.120125786163522</v>
      </c>
      <c r="AE249" s="7">
        <f t="shared" si="2"/>
        <v>0.11964444444444446</v>
      </c>
      <c r="AF249" s="7">
        <f t="shared" si="2"/>
        <v>0.13346869712351944</v>
      </c>
      <c r="AG249" s="7">
        <f t="shared" si="2"/>
        <v>0.11260683760683761</v>
      </c>
      <c r="AH249" s="7">
        <f t="shared" si="2"/>
        <v>0.12381117667476572</v>
      </c>
      <c r="AI249" s="7">
        <f t="shared" si="2"/>
        <v>0.12523787947439965</v>
      </c>
      <c r="AJ249" s="7">
        <f t="shared" si="2"/>
        <v>0.12415593456317438</v>
      </c>
      <c r="AK249" s="7">
        <f t="shared" si="2"/>
        <v>0.11689250225835594</v>
      </c>
      <c r="AL249" s="7">
        <f t="shared" si="2"/>
        <v>0.12214141414141416</v>
      </c>
      <c r="AM249" s="7">
        <f t="shared" si="2"/>
        <v>0.11824074074074074</v>
      </c>
      <c r="AN249" s="7">
        <f t="shared" si="2"/>
        <v>0.11775788977861518</v>
      </c>
      <c r="AO249" s="7">
        <f t="shared" si="2"/>
        <v>0.11912658927584301</v>
      </c>
      <c r="AP249" s="7">
        <f t="shared" si="3"/>
        <v>0.12715328467153286</v>
      </c>
      <c r="AQ249" s="7">
        <f t="shared" si="3"/>
        <v>0.11276419394944052</v>
      </c>
      <c r="AR249" s="7">
        <f t="shared" si="3"/>
        <v>0.11380145278450363</v>
      </c>
      <c r="AS249" s="8"/>
    </row>
    <row r="250" spans="24:45" x14ac:dyDescent="0.3">
      <c r="X250" s="1" t="s">
        <v>68</v>
      </c>
      <c r="Y250" s="7">
        <f t="shared" si="4"/>
        <v>0.2157084675585996</v>
      </c>
      <c r="Z250" s="7">
        <f t="shared" si="2"/>
        <v>0.12012511170688116</v>
      </c>
      <c r="AA250" s="7">
        <f t="shared" si="2"/>
        <v>0.20080695586517699</v>
      </c>
      <c r="AB250" s="7">
        <f t="shared" si="2"/>
        <v>0.12014679827891672</v>
      </c>
      <c r="AC250" s="7">
        <f t="shared" si="2"/>
        <v>0.30570618611271222</v>
      </c>
      <c r="AD250" s="7">
        <f t="shared" si="2"/>
        <v>0.23823457872973985</v>
      </c>
      <c r="AE250" s="7">
        <f t="shared" si="2"/>
        <v>0.24353947522601696</v>
      </c>
      <c r="AF250" s="7">
        <f t="shared" si="2"/>
        <v>0.16397859183452068</v>
      </c>
      <c r="AG250" s="7">
        <f t="shared" si="2"/>
        <v>0.24767396250098059</v>
      </c>
      <c r="AH250" s="7">
        <f t="shared" si="2"/>
        <v>0.14456827036332337</v>
      </c>
      <c r="AI250" s="7">
        <f t="shared" si="2"/>
        <v>0.25719632831298456</v>
      </c>
      <c r="AJ250" s="7">
        <f t="shared" si="2"/>
        <v>0.14566185097940867</v>
      </c>
      <c r="AK250" s="7">
        <f t="shared" si="2"/>
        <v>0.26673784700414521</v>
      </c>
      <c r="AL250" s="7">
        <f t="shared" si="2"/>
        <v>0.14946926442600114</v>
      </c>
      <c r="AM250" s="7">
        <f t="shared" si="2"/>
        <v>0.27102945770468001</v>
      </c>
      <c r="AN250" s="7">
        <f t="shared" si="2"/>
        <v>0.14038328072178566</v>
      </c>
      <c r="AO250" s="7">
        <f t="shared" si="2"/>
        <v>0.15953027454802848</v>
      </c>
      <c r="AP250" s="7">
        <f t="shared" si="3"/>
        <v>0.13258080199547637</v>
      </c>
      <c r="AQ250" s="7">
        <f t="shared" si="3"/>
        <v>0.13066304231958215</v>
      </c>
      <c r="AR250" s="7">
        <f t="shared" si="3"/>
        <v>0.13315747218717744</v>
      </c>
      <c r="AS250" s="8"/>
    </row>
    <row r="251" spans="24:45" x14ac:dyDescent="0.3">
      <c r="X251" s="1" t="s">
        <v>69</v>
      </c>
      <c r="Y251" s="7">
        <f t="shared" si="4"/>
        <v>0.14154103852596317</v>
      </c>
      <c r="Z251" s="7">
        <f t="shared" si="2"/>
        <v>0.14618520675596972</v>
      </c>
      <c r="AA251" s="7">
        <f t="shared" si="2"/>
        <v>0.13907643577561055</v>
      </c>
      <c r="AB251" s="7">
        <f t="shared" si="2"/>
        <v>0.12022016222479723</v>
      </c>
      <c r="AC251" s="7">
        <f t="shared" si="2"/>
        <v>0.23458520179372197</v>
      </c>
      <c r="AD251" s="7">
        <f t="shared" si="2"/>
        <v>0.21890472165197442</v>
      </c>
      <c r="AE251" s="7">
        <f t="shared" si="2"/>
        <v>0.20448300795372382</v>
      </c>
      <c r="AF251" s="7">
        <f t="shared" si="2"/>
        <v>0.13783379764897735</v>
      </c>
      <c r="AG251" s="7">
        <f t="shared" si="2"/>
        <v>0.19714728531990119</v>
      </c>
      <c r="AH251" s="7">
        <f t="shared" si="2"/>
        <v>0.1276641026420601</v>
      </c>
      <c r="AI251" s="7">
        <f t="shared" si="2"/>
        <v>0.19741309233491133</v>
      </c>
      <c r="AJ251" s="7">
        <f t="shared" si="2"/>
        <v>0.12994138920064849</v>
      </c>
      <c r="AK251" s="7">
        <f t="shared" si="2"/>
        <v>0.19866223779405742</v>
      </c>
      <c r="AL251" s="7">
        <f t="shared" si="2"/>
        <v>0.13044241573033707</v>
      </c>
      <c r="AM251" s="7">
        <f t="shared" si="2"/>
        <v>0.15710766198571077</v>
      </c>
      <c r="AN251" s="7">
        <f t="shared" si="2"/>
        <v>0.1301819363222872</v>
      </c>
      <c r="AO251" s="7">
        <f t="shared" si="2"/>
        <v>0.12878289473684212</v>
      </c>
      <c r="AP251" s="7">
        <f t="shared" si="3"/>
        <v>0.13575782202356765</v>
      </c>
      <c r="AQ251" s="7">
        <f t="shared" si="3"/>
        <v>0.13345794392523366</v>
      </c>
      <c r="AR251" s="7">
        <f t="shared" si="3"/>
        <v>0.11407932979996582</v>
      </c>
      <c r="AS251" s="8"/>
    </row>
    <row r="252" spans="24:45" x14ac:dyDescent="0.3">
      <c r="X252" s="1" t="s">
        <v>70</v>
      </c>
      <c r="Y252" s="7">
        <f t="shared" si="4"/>
        <v>0.21913586968357324</v>
      </c>
      <c r="Z252" s="7">
        <f t="shared" si="2"/>
        <v>0.17934675615212528</v>
      </c>
      <c r="AA252" s="7">
        <f t="shared" si="2"/>
        <v>0.12139664804469273</v>
      </c>
      <c r="AB252" s="7">
        <f t="shared" si="2"/>
        <v>0.12080380293863441</v>
      </c>
      <c r="AC252" s="7">
        <f t="shared" si="2"/>
        <v>0.22185886402753877</v>
      </c>
      <c r="AD252" s="7">
        <f t="shared" si="2"/>
        <v>0.2166810761328383</v>
      </c>
      <c r="AE252" s="7">
        <f t="shared" si="2"/>
        <v>0.12114451988360814</v>
      </c>
      <c r="AF252" s="7">
        <f t="shared" si="2"/>
        <v>0.18424667133847233</v>
      </c>
      <c r="AG252" s="7">
        <f t="shared" si="2"/>
        <v>0.15344434706397897</v>
      </c>
      <c r="AH252" s="7">
        <f t="shared" si="2"/>
        <v>0.16440965427266796</v>
      </c>
      <c r="AI252" s="7">
        <f t="shared" si="2"/>
        <v>0.14053622725821893</v>
      </c>
      <c r="AJ252" s="7">
        <f t="shared" si="2"/>
        <v>0.12882724719101124</v>
      </c>
      <c r="AK252" s="7">
        <f t="shared" si="2"/>
        <v>0.12348599670510707</v>
      </c>
      <c r="AL252" s="7">
        <f t="shared" si="2"/>
        <v>0.11846488052136132</v>
      </c>
      <c r="AM252" s="7">
        <f t="shared" si="2"/>
        <v>0.12594964028776978</v>
      </c>
      <c r="AN252" s="7">
        <f t="shared" si="2"/>
        <v>0.12499429874572407</v>
      </c>
      <c r="AO252" s="7">
        <f t="shared" si="2"/>
        <v>0.12949778434268833</v>
      </c>
      <c r="AP252" s="7">
        <f t="shared" si="3"/>
        <v>0.12484615384615384</v>
      </c>
      <c r="AQ252" s="7">
        <f t="shared" si="3"/>
        <v>0.12885972108285479</v>
      </c>
      <c r="AR252" s="7">
        <f t="shared" si="3"/>
        <v>0.11413705583756345</v>
      </c>
      <c r="AS252" s="8"/>
    </row>
    <row r="253" spans="24:45" x14ac:dyDescent="0.3">
      <c r="X253" s="1" t="s">
        <v>71</v>
      </c>
      <c r="Y253" s="7">
        <f t="shared" si="4"/>
        <v>0.2403091486429812</v>
      </c>
      <c r="Z253" s="7">
        <f t="shared" si="2"/>
        <v>0.2368746814243064</v>
      </c>
      <c r="AA253" s="7">
        <f t="shared" si="2"/>
        <v>0.13977653631284917</v>
      </c>
      <c r="AB253" s="7">
        <f t="shared" si="2"/>
        <v>0.13907247037374657</v>
      </c>
      <c r="AC253" s="7">
        <f t="shared" si="2"/>
        <v>0.24975825390247269</v>
      </c>
      <c r="AD253" s="7">
        <f t="shared" si="2"/>
        <v>0.24034334763948501</v>
      </c>
      <c r="AE253" s="7">
        <f t="shared" si="2"/>
        <v>0.14078549848942595</v>
      </c>
      <c r="AF253" s="7">
        <f t="shared" si="2"/>
        <v>0.23775493817247473</v>
      </c>
      <c r="AG253" s="7">
        <f t="shared" si="2"/>
        <v>0.13248836006207967</v>
      </c>
      <c r="AH253" s="7">
        <f t="shared" si="2"/>
        <v>0.20268882040287645</v>
      </c>
      <c r="AI253" s="7">
        <f t="shared" si="2"/>
        <v>0.13252959228408592</v>
      </c>
      <c r="AJ253" s="7">
        <f t="shared" si="2"/>
        <v>0.1312868845239144</v>
      </c>
      <c r="AK253" s="7">
        <f t="shared" si="2"/>
        <v>0.13253287070854639</v>
      </c>
      <c r="AL253" s="7">
        <f t="shared" si="2"/>
        <v>0.17666405638214566</v>
      </c>
      <c r="AM253" s="7">
        <f t="shared" si="2"/>
        <v>0.13263866769804794</v>
      </c>
      <c r="AN253" s="7">
        <f t="shared" si="2"/>
        <v>0.17577872560423938</v>
      </c>
      <c r="AO253" s="7">
        <f t="shared" si="2"/>
        <v>0.13383095499451153</v>
      </c>
      <c r="AP253" s="7">
        <f t="shared" si="3"/>
        <v>0.15645052863166897</v>
      </c>
      <c r="AQ253" s="7">
        <f t="shared" si="3"/>
        <v>0.13735484209973201</v>
      </c>
      <c r="AR253" s="7">
        <f t="shared" si="3"/>
        <v>0.13254019292604505</v>
      </c>
      <c r="AS253" s="8"/>
    </row>
    <row r="254" spans="24:45" x14ac:dyDescent="0.3">
      <c r="X254" s="1" t="s">
        <v>72</v>
      </c>
      <c r="Y254" s="7">
        <f t="shared" si="4"/>
        <v>0.23126020802888336</v>
      </c>
      <c r="Z254" s="7">
        <f t="shared" si="2"/>
        <v>0.22990327038231231</v>
      </c>
      <c r="AA254" s="7">
        <f t="shared" si="2"/>
        <v>0.1610173747112584</v>
      </c>
      <c r="AB254" s="7">
        <f t="shared" si="2"/>
        <v>0.20513277093952412</v>
      </c>
      <c r="AC254" s="7">
        <f t="shared" si="2"/>
        <v>0.27462573226296377</v>
      </c>
      <c r="AD254" s="7">
        <f t="shared" si="2"/>
        <v>0.23373598520311467</v>
      </c>
      <c r="AE254" s="7">
        <f t="shared" si="2"/>
        <v>0.20371520633564966</v>
      </c>
      <c r="AF254" s="7">
        <f t="shared" si="2"/>
        <v>0.31176483868782884</v>
      </c>
      <c r="AG254" s="7">
        <f t="shared" si="2"/>
        <v>0.16689055709205844</v>
      </c>
      <c r="AH254" s="7">
        <f t="shared" si="2"/>
        <v>0.26637707448247328</v>
      </c>
      <c r="AI254" s="7">
        <f t="shared" si="2"/>
        <v>0.17685369752708757</v>
      </c>
      <c r="AJ254" s="7">
        <f t="shared" si="2"/>
        <v>0.26586280544203961</v>
      </c>
      <c r="AK254" s="7">
        <f t="shared" si="2"/>
        <v>0.17799688635184224</v>
      </c>
      <c r="AL254" s="7">
        <f t="shared" si="2"/>
        <v>0.24834012813046008</v>
      </c>
      <c r="AM254" s="7">
        <f t="shared" si="2"/>
        <v>0.19023720839051164</v>
      </c>
      <c r="AN254" s="7">
        <f t="shared" si="2"/>
        <v>0.13285289910881287</v>
      </c>
      <c r="AO254" s="7">
        <f t="shared" si="2"/>
        <v>0.1610650912020492</v>
      </c>
      <c r="AP254" s="7">
        <f t="shared" si="3"/>
        <v>0.16511527221560779</v>
      </c>
      <c r="AQ254" s="7">
        <f t="shared" si="3"/>
        <v>0.14777158086965106</v>
      </c>
      <c r="AR254" s="7">
        <f t="shared" si="3"/>
        <v>0.14346832482993199</v>
      </c>
      <c r="AS254" s="8"/>
    </row>
    <row r="255" spans="24:45" x14ac:dyDescent="0.3">
      <c r="X255" s="1" t="s">
        <v>73</v>
      </c>
      <c r="Y255" s="7">
        <f t="shared" si="4"/>
        <v>0.16772639691714836</v>
      </c>
      <c r="Z255" s="7">
        <f t="shared" si="2"/>
        <v>0.15323215289488479</v>
      </c>
      <c r="AA255" s="7">
        <f t="shared" si="2"/>
        <v>0.14075235109717868</v>
      </c>
      <c r="AB255" s="7">
        <f t="shared" si="2"/>
        <v>0.14073107049608352</v>
      </c>
      <c r="AC255" s="7">
        <f t="shared" si="2"/>
        <v>0.05</v>
      </c>
      <c r="AD255" s="7">
        <f t="shared" si="2"/>
        <v>0.14090534979423869</v>
      </c>
      <c r="AE255" s="7">
        <f t="shared" si="2"/>
        <v>0.14121338912133891</v>
      </c>
      <c r="AF255" s="7">
        <f t="shared" si="2"/>
        <v>0.19075189734762538</v>
      </c>
      <c r="AG255" s="7">
        <f t="shared" si="2"/>
        <v>0.17845968712394703</v>
      </c>
      <c r="AH255" s="7">
        <f t="shared" si="2"/>
        <v>0.17545070301043733</v>
      </c>
      <c r="AI255" s="7">
        <f t="shared" si="2"/>
        <v>0.18306264501160091</v>
      </c>
      <c r="AJ255" s="7">
        <f t="shared" si="2"/>
        <v>0.1743327178109787</v>
      </c>
      <c r="AK255" s="7">
        <f t="shared" si="2"/>
        <v>0.18326086956521742</v>
      </c>
      <c r="AL255" s="7">
        <f t="shared" si="2"/>
        <v>0.1590556730091614</v>
      </c>
      <c r="AM255" s="7">
        <f t="shared" si="2"/>
        <v>0.18802681992337164</v>
      </c>
      <c r="AN255" s="7">
        <f t="shared" si="2"/>
        <v>0.17890974084003575</v>
      </c>
      <c r="AO255" s="7">
        <f t="shared" si="2"/>
        <v>0.1930022573363431</v>
      </c>
      <c r="AP255" s="7">
        <f t="shared" si="3"/>
        <v>0.18947916666666664</v>
      </c>
      <c r="AQ255" s="7">
        <f t="shared" si="3"/>
        <v>0.18934782608695652</v>
      </c>
      <c r="AR255" s="7">
        <f t="shared" si="3"/>
        <v>0.18069264069264071</v>
      </c>
      <c r="AS255" s="8"/>
    </row>
    <row r="256" spans="24:45" x14ac:dyDescent="0.3">
      <c r="AS256" s="8">
        <f>AVERAGE(Y248:AR255)</f>
        <v>0.15118048071747797</v>
      </c>
    </row>
    <row r="258" spans="24:45" x14ac:dyDescent="0.3">
      <c r="X258" s="9" t="s">
        <v>76</v>
      </c>
    </row>
    <row r="259" spans="24:45" x14ac:dyDescent="0.3">
      <c r="X259" s="1" t="s">
        <v>6</v>
      </c>
      <c r="Y259" s="1" t="s">
        <v>63</v>
      </c>
      <c r="Z259" s="1" t="s">
        <v>64</v>
      </c>
      <c r="AA259" s="1" t="s">
        <v>63</v>
      </c>
      <c r="AB259" s="1" t="s">
        <v>64</v>
      </c>
      <c r="AC259" s="1" t="s">
        <v>63</v>
      </c>
      <c r="AD259" s="1" t="s">
        <v>64</v>
      </c>
      <c r="AE259" s="1" t="s">
        <v>63</v>
      </c>
      <c r="AF259" s="1" t="s">
        <v>64</v>
      </c>
      <c r="AG259" s="1" t="s">
        <v>63</v>
      </c>
      <c r="AH259" s="1" t="s">
        <v>64</v>
      </c>
      <c r="AI259" s="1" t="s">
        <v>63</v>
      </c>
      <c r="AJ259" s="1" t="s">
        <v>64</v>
      </c>
      <c r="AK259" s="1" t="s">
        <v>63</v>
      </c>
      <c r="AL259" s="1" t="s">
        <v>64</v>
      </c>
      <c r="AM259" s="1" t="s">
        <v>63</v>
      </c>
      <c r="AN259" s="1" t="s">
        <v>64</v>
      </c>
      <c r="AO259" s="1" t="s">
        <v>63</v>
      </c>
      <c r="AP259" s="1" t="s">
        <v>64</v>
      </c>
      <c r="AQ259" s="1" t="s">
        <v>63</v>
      </c>
      <c r="AR259" s="1" t="s">
        <v>64</v>
      </c>
    </row>
    <row r="260" spans="24:45" x14ac:dyDescent="0.3">
      <c r="X260" s="1" t="s">
        <v>65</v>
      </c>
      <c r="Y260" s="1" t="s">
        <v>53</v>
      </c>
      <c r="Z260" s="1" t="s">
        <v>53</v>
      </c>
      <c r="AA260" s="1" t="s">
        <v>54</v>
      </c>
      <c r="AB260" s="1" t="s">
        <v>54</v>
      </c>
      <c r="AC260" s="1" t="s">
        <v>55</v>
      </c>
      <c r="AD260" s="1" t="s">
        <v>55</v>
      </c>
      <c r="AE260" s="1" t="s">
        <v>56</v>
      </c>
      <c r="AF260" s="1" t="s">
        <v>56</v>
      </c>
      <c r="AG260" s="1" t="s">
        <v>57</v>
      </c>
      <c r="AH260" s="1" t="s">
        <v>57</v>
      </c>
      <c r="AI260" s="1" t="s">
        <v>58</v>
      </c>
      <c r="AJ260" s="1" t="s">
        <v>58</v>
      </c>
      <c r="AK260" s="1" t="s">
        <v>59</v>
      </c>
      <c r="AL260" s="1" t="s">
        <v>59</v>
      </c>
      <c r="AM260" s="1" t="s">
        <v>60</v>
      </c>
      <c r="AN260" s="1" t="s">
        <v>60</v>
      </c>
      <c r="AO260" s="1" t="s">
        <v>61</v>
      </c>
      <c r="AP260" s="1" t="s">
        <v>61</v>
      </c>
      <c r="AQ260" s="1" t="s">
        <v>62</v>
      </c>
      <c r="AR260" s="1" t="s">
        <v>62</v>
      </c>
    </row>
    <row r="261" spans="24:45" x14ac:dyDescent="0.3">
      <c r="X261" s="1" t="s">
        <v>7</v>
      </c>
      <c r="Y261">
        <v>1.3</v>
      </c>
      <c r="Z261">
        <v>1.3</v>
      </c>
      <c r="AA261">
        <v>1.3</v>
      </c>
      <c r="AB261">
        <v>1.3</v>
      </c>
      <c r="AC261">
        <v>0.5</v>
      </c>
      <c r="AD261">
        <v>0.5</v>
      </c>
      <c r="AE261">
        <v>1.6</v>
      </c>
      <c r="AF261">
        <v>1.6</v>
      </c>
      <c r="AG261">
        <v>2</v>
      </c>
      <c r="AH261">
        <v>2</v>
      </c>
      <c r="AI261">
        <v>3.6</v>
      </c>
      <c r="AJ261">
        <v>3.6</v>
      </c>
      <c r="AK261">
        <v>2.9</v>
      </c>
      <c r="AL261">
        <v>2.9</v>
      </c>
      <c r="AM261">
        <v>3.8</v>
      </c>
      <c r="AN261">
        <v>3.8</v>
      </c>
      <c r="AO261">
        <v>3.4</v>
      </c>
      <c r="AP261">
        <v>3.4</v>
      </c>
      <c r="AQ261">
        <v>4.5</v>
      </c>
      <c r="AR261">
        <v>4.5</v>
      </c>
    </row>
    <row r="262" spans="24:45" x14ac:dyDescent="0.3">
      <c r="X262" s="1" t="s">
        <v>66</v>
      </c>
      <c r="Y262" s="10">
        <f>Y135/(Y135+Y163+Y191+Y107)</f>
        <v>1.5675282881760615E-2</v>
      </c>
      <c r="Z262" s="10">
        <f t="shared" ref="Z262:AP269" si="5">Z135/(Z135+Z163+Z191+Z107)</f>
        <v>1.5092236568470505E-2</v>
      </c>
      <c r="AA262" s="10">
        <f t="shared" si="5"/>
        <v>1.8263133117332669E-2</v>
      </c>
      <c r="AB262" s="10">
        <f t="shared" si="5"/>
        <v>2.0010066039318559E-2</v>
      </c>
      <c r="AC262" s="10">
        <f t="shared" si="5"/>
        <v>2.5294775177586264E-2</v>
      </c>
      <c r="AD262" s="10">
        <f t="shared" si="5"/>
        <v>2.7963540303196168E-2</v>
      </c>
      <c r="AE262" s="10">
        <f t="shared" si="5"/>
        <v>1.3009535672866286E-2</v>
      </c>
      <c r="AF262" s="10">
        <f t="shared" si="5"/>
        <v>2.6528108067020665E-2</v>
      </c>
      <c r="AG262" s="10">
        <f t="shared" si="5"/>
        <v>6.6836136231515145E-3</v>
      </c>
      <c r="AH262" s="10">
        <f t="shared" si="5"/>
        <v>1.4579298472132558E-2</v>
      </c>
      <c r="AI262" s="10">
        <f t="shared" si="5"/>
        <v>8.0289651255561114E-3</v>
      </c>
      <c r="AJ262" s="10">
        <f t="shared" si="5"/>
        <v>2.1570740236241281E-2</v>
      </c>
      <c r="AK262" s="10">
        <f t="shared" si="5"/>
        <v>1.3565706383255081E-2</v>
      </c>
      <c r="AL262" s="10">
        <f t="shared" si="5"/>
        <v>2.328042328042328E-2</v>
      </c>
      <c r="AM262" s="10">
        <f t="shared" si="5"/>
        <v>1.1339629675655523E-2</v>
      </c>
      <c r="AN262" s="10">
        <f t="shared" si="5"/>
        <v>1.4052602036725202E-2</v>
      </c>
      <c r="AO262" s="10">
        <f t="shared" si="5"/>
        <v>2.5051205293839609E-2</v>
      </c>
      <c r="AP262" s="10">
        <f t="shared" si="5"/>
        <v>2.9704114655570962E-2</v>
      </c>
      <c r="AQ262" s="10">
        <f>AQ135/(AQ135+AQ163+AQ191+AQ107)</f>
        <v>1.5412723695305912E-2</v>
      </c>
      <c r="AR262" s="10">
        <f t="shared" ref="AR262" si="6">AR135/(AR135+AR163+AR191+AR107)</f>
        <v>3.2407932011331443E-2</v>
      </c>
    </row>
    <row r="263" spans="24:45" x14ac:dyDescent="0.3">
      <c r="X263" s="1" t="s">
        <v>67</v>
      </c>
      <c r="Y263" s="10">
        <f t="shared" ref="Y263:AN269" si="7">Y136/(Y136+Y164+Y192+Y108)</f>
        <v>2.6984432058427828E-2</v>
      </c>
      <c r="Z263" s="10">
        <f t="shared" si="7"/>
        <v>3.580702750953501E-2</v>
      </c>
      <c r="AA263" s="10">
        <f t="shared" si="7"/>
        <v>1.3920420599832714E-2</v>
      </c>
      <c r="AB263" s="10">
        <f t="shared" si="7"/>
        <v>2.4856928146135614E-2</v>
      </c>
      <c r="AC263" s="10">
        <f t="shared" si="7"/>
        <v>2.3730850105136678E-2</v>
      </c>
      <c r="AD263" s="10">
        <f t="shared" si="7"/>
        <v>3.4286341953301533E-2</v>
      </c>
      <c r="AE263" s="10">
        <f t="shared" si="7"/>
        <v>2.0074562661313449E-2</v>
      </c>
      <c r="AF263" s="10">
        <f t="shared" si="7"/>
        <v>4.4048888524321227E-2</v>
      </c>
      <c r="AG263" s="10">
        <f t="shared" si="7"/>
        <v>2.1837991473235435E-2</v>
      </c>
      <c r="AH263" s="10">
        <f t="shared" si="7"/>
        <v>4.4083568361866089E-2</v>
      </c>
      <c r="AI263" s="10">
        <f t="shared" si="7"/>
        <v>2.2683916237254687E-2</v>
      </c>
      <c r="AJ263" s="10">
        <f t="shared" si="7"/>
        <v>4.8311319918446949E-2</v>
      </c>
      <c r="AK263" s="10">
        <f t="shared" si="7"/>
        <v>2.7933042212518196E-2</v>
      </c>
      <c r="AL263" s="10">
        <f t="shared" si="7"/>
        <v>3.6231765686002254E-2</v>
      </c>
      <c r="AM263" s="10">
        <f t="shared" si="7"/>
        <v>2.7635787522793168E-2</v>
      </c>
      <c r="AN263" s="10">
        <f t="shared" si="7"/>
        <v>3.0358967597323403E-2</v>
      </c>
      <c r="AO263" s="10">
        <f t="shared" si="5"/>
        <v>2.3950736829364237E-2</v>
      </c>
      <c r="AP263" s="10">
        <f t="shared" si="5"/>
        <v>3.7349519473950432E-2</v>
      </c>
      <c r="AQ263" s="10">
        <f t="shared" ref="AQ263:AR269" si="8">AQ136/(AQ136+AQ164+AQ192+AQ108)</f>
        <v>2.7834761272676079E-2</v>
      </c>
      <c r="AR263" s="10">
        <f t="shared" si="8"/>
        <v>3.741780961203877E-2</v>
      </c>
    </row>
    <row r="264" spans="24:45" x14ac:dyDescent="0.3">
      <c r="X264" s="1" t="s">
        <v>68</v>
      </c>
      <c r="Y264" s="10">
        <f t="shared" si="7"/>
        <v>3.6105611894468911E-2</v>
      </c>
      <c r="Z264" s="10">
        <f t="shared" si="5"/>
        <v>4.1013487380781921E-2</v>
      </c>
      <c r="AA264" s="10">
        <f t="shared" si="5"/>
        <v>2.7672973961216575E-2</v>
      </c>
      <c r="AB264" s="10">
        <f t="shared" si="5"/>
        <v>3.161116636372989E-2</v>
      </c>
      <c r="AC264" s="10">
        <f t="shared" si="5"/>
        <v>4.1327660280710492E-2</v>
      </c>
      <c r="AD264" s="10">
        <f t="shared" si="5"/>
        <v>5.351598832888093E-2</v>
      </c>
      <c r="AE264" s="10">
        <f t="shared" si="5"/>
        <v>3.6171240473719987E-2</v>
      </c>
      <c r="AF264" s="10">
        <f t="shared" si="5"/>
        <v>5.1932091227793756E-2</v>
      </c>
      <c r="AG264" s="10">
        <f t="shared" si="5"/>
        <v>4.264859050318439E-2</v>
      </c>
      <c r="AH264" s="10">
        <f t="shared" si="5"/>
        <v>5.8510255832570357E-2</v>
      </c>
      <c r="AI264" s="10">
        <f t="shared" si="5"/>
        <v>4.0221732532738898E-2</v>
      </c>
      <c r="AJ264" s="10">
        <f t="shared" si="5"/>
        <v>6.1974288647767974E-2</v>
      </c>
      <c r="AK264" s="10">
        <f t="shared" si="5"/>
        <v>4.5916972567763899E-2</v>
      </c>
      <c r="AL264" s="10">
        <f t="shared" si="5"/>
        <v>5.3818467075815606E-2</v>
      </c>
      <c r="AM264" s="10">
        <f t="shared" si="5"/>
        <v>4.4486591986120941E-2</v>
      </c>
      <c r="AN264" s="10">
        <f t="shared" si="5"/>
        <v>4.7477524700576597E-2</v>
      </c>
      <c r="AO264" s="10">
        <f t="shared" si="5"/>
        <v>4.2304445532303635E-2</v>
      </c>
      <c r="AP264" s="10">
        <f t="shared" si="5"/>
        <v>6.1564396067859115E-2</v>
      </c>
      <c r="AQ264" s="10">
        <f t="shared" si="8"/>
        <v>4.6864817561738548E-2</v>
      </c>
      <c r="AR264" s="10">
        <f t="shared" si="8"/>
        <v>4.9386473363122005E-2</v>
      </c>
    </row>
    <row r="265" spans="24:45" x14ac:dyDescent="0.3">
      <c r="X265" s="1" t="s">
        <v>69</v>
      </c>
      <c r="Y265" s="10">
        <f t="shared" si="7"/>
        <v>4.0190429028046641E-2</v>
      </c>
      <c r="Z265" s="10">
        <f t="shared" si="5"/>
        <v>3.6076910777102657E-2</v>
      </c>
      <c r="AA265" s="10">
        <f t="shared" si="5"/>
        <v>2.5740534579089196E-2</v>
      </c>
      <c r="AB265" s="10">
        <f t="shared" si="5"/>
        <v>3.4522215985146161E-2</v>
      </c>
      <c r="AC265" s="10">
        <f t="shared" si="5"/>
        <v>3.8466599773000189E-2</v>
      </c>
      <c r="AD265" s="10">
        <f t="shared" si="5"/>
        <v>3.6566528177266432E-2</v>
      </c>
      <c r="AE265" s="10">
        <f t="shared" si="5"/>
        <v>4.3652013525976023E-2</v>
      </c>
      <c r="AF265" s="10">
        <f t="shared" si="5"/>
        <v>3.8868133388681336E-2</v>
      </c>
      <c r="AG265" s="10">
        <f t="shared" si="5"/>
        <v>4.2217542365794128E-2</v>
      </c>
      <c r="AH265" s="10">
        <f t="shared" si="5"/>
        <v>5.0534265284807582E-2</v>
      </c>
      <c r="AI265" s="10">
        <f t="shared" si="5"/>
        <v>4.4833579825270253E-2</v>
      </c>
      <c r="AJ265" s="10">
        <f t="shared" si="5"/>
        <v>5.4245048273116353E-2</v>
      </c>
      <c r="AK265" s="10">
        <f t="shared" si="5"/>
        <v>4.7554200646848545E-2</v>
      </c>
      <c r="AL265" s="10">
        <f t="shared" si="5"/>
        <v>4.5218922179115176E-2</v>
      </c>
      <c r="AM265" s="10">
        <f t="shared" si="5"/>
        <v>4.8392790169214814E-2</v>
      </c>
      <c r="AN265" s="10">
        <f t="shared" si="5"/>
        <v>4.8794301896507339E-2</v>
      </c>
      <c r="AO265" s="10">
        <f t="shared" si="5"/>
        <v>4.5921759140884678E-2</v>
      </c>
      <c r="AP265" s="10">
        <f t="shared" si="5"/>
        <v>4.4893706472663462E-2</v>
      </c>
      <c r="AQ265" s="10">
        <f t="shared" si="8"/>
        <v>4.7251224244664145E-2</v>
      </c>
      <c r="AR265" s="10">
        <f t="shared" si="8"/>
        <v>4.3004786016508291E-2</v>
      </c>
    </row>
    <row r="266" spans="24:45" x14ac:dyDescent="0.3">
      <c r="X266" s="1" t="s">
        <v>70</v>
      </c>
      <c r="Y266" s="10">
        <f t="shared" si="7"/>
        <v>3.2330764023665741E-2</v>
      </c>
      <c r="Z266" s="10">
        <f t="shared" si="5"/>
        <v>3.0473516161134698E-2</v>
      </c>
      <c r="AA266" s="10">
        <f t="shared" si="5"/>
        <v>2.6774555482573282E-2</v>
      </c>
      <c r="AB266" s="10">
        <f t="shared" si="5"/>
        <v>2.7814728574489279E-2</v>
      </c>
      <c r="AC266" s="10">
        <f t="shared" si="5"/>
        <v>3.1632627922445866E-2</v>
      </c>
      <c r="AD266" s="10">
        <f t="shared" si="5"/>
        <v>2.8526143141884189E-2</v>
      </c>
      <c r="AE266" s="10">
        <f t="shared" si="5"/>
        <v>3.9088751017786902E-2</v>
      </c>
      <c r="AF266" s="10">
        <f t="shared" si="5"/>
        <v>3.809403339430973E-2</v>
      </c>
      <c r="AG266" s="10">
        <f t="shared" si="5"/>
        <v>4.1320871383082991E-2</v>
      </c>
      <c r="AH266" s="10">
        <f t="shared" si="5"/>
        <v>3.6227943190265656E-2</v>
      </c>
      <c r="AI266" s="10">
        <f t="shared" si="5"/>
        <v>4.1254887250587916E-2</v>
      </c>
      <c r="AJ266" s="10">
        <f t="shared" si="5"/>
        <v>3.5541992497933751E-2</v>
      </c>
      <c r="AK266" s="10">
        <f t="shared" si="5"/>
        <v>4.180633996603695E-2</v>
      </c>
      <c r="AL266" s="10">
        <f t="shared" si="5"/>
        <v>3.3981022005194338E-2</v>
      </c>
      <c r="AM266" s="10">
        <f t="shared" si="5"/>
        <v>4.1354222460274953E-2</v>
      </c>
      <c r="AN266" s="10">
        <f t="shared" si="5"/>
        <v>3.7628199711443065E-2</v>
      </c>
      <c r="AO266" s="10">
        <f t="shared" si="5"/>
        <v>4.3821536706901469E-2</v>
      </c>
      <c r="AP266" s="10">
        <f t="shared" si="5"/>
        <v>3.0622006390795129E-2</v>
      </c>
      <c r="AQ266" s="10">
        <f t="shared" si="8"/>
        <v>3.9247469784311144E-2</v>
      </c>
      <c r="AR266" s="10">
        <f t="shared" si="8"/>
        <v>3.3477155662586126E-2</v>
      </c>
    </row>
    <row r="267" spans="24:45" x14ac:dyDescent="0.3">
      <c r="X267" s="1" t="s">
        <v>71</v>
      </c>
      <c r="Y267" s="10">
        <f t="shared" si="7"/>
        <v>2.2964141962932918E-2</v>
      </c>
      <c r="Z267" s="10">
        <f t="shared" si="5"/>
        <v>2.1171760151881155E-2</v>
      </c>
      <c r="AA267" s="10">
        <f t="shared" si="5"/>
        <v>1.7420618650630951E-2</v>
      </c>
      <c r="AB267" s="10">
        <f t="shared" si="5"/>
        <v>1.9758740979415757E-2</v>
      </c>
      <c r="AC267" s="10">
        <f t="shared" si="5"/>
        <v>2.4773926149208741E-2</v>
      </c>
      <c r="AD267" s="10">
        <f t="shared" si="5"/>
        <v>1.7794050067424537E-2</v>
      </c>
      <c r="AE267" s="10">
        <f t="shared" si="5"/>
        <v>2.9454985239996356E-2</v>
      </c>
      <c r="AF267" s="10">
        <f t="shared" si="5"/>
        <v>2.1973303121944981E-2</v>
      </c>
      <c r="AG267" s="10">
        <f t="shared" si="5"/>
        <v>2.8958974785720223E-2</v>
      </c>
      <c r="AH267" s="10">
        <f t="shared" si="5"/>
        <v>2.5441929621675203E-2</v>
      </c>
      <c r="AI267" s="10">
        <f t="shared" si="5"/>
        <v>3.243364053481982E-2</v>
      </c>
      <c r="AJ267" s="10">
        <f t="shared" si="5"/>
        <v>2.5612300482029251E-2</v>
      </c>
      <c r="AK267" s="10">
        <f t="shared" si="5"/>
        <v>3.0117373066387901E-2</v>
      </c>
      <c r="AL267" s="10">
        <f t="shared" si="5"/>
        <v>2.1855465050198902E-2</v>
      </c>
      <c r="AM267" s="10">
        <f t="shared" si="5"/>
        <v>3.1078585964770412E-2</v>
      </c>
      <c r="AN267" s="10">
        <f t="shared" si="5"/>
        <v>2.6988717831070617E-2</v>
      </c>
      <c r="AO267" s="10">
        <f t="shared" si="5"/>
        <v>3.3605294688195349E-2</v>
      </c>
      <c r="AP267" s="10">
        <f t="shared" si="5"/>
        <v>2.0294247766785581E-2</v>
      </c>
      <c r="AQ267" s="10">
        <f t="shared" si="8"/>
        <v>3.1218131173990474E-2</v>
      </c>
      <c r="AR267" s="10">
        <f t="shared" si="8"/>
        <v>2.5781738586616636E-2</v>
      </c>
    </row>
    <row r="268" spans="24:45" x14ac:dyDescent="0.3">
      <c r="X268" s="1" t="s">
        <v>72</v>
      </c>
      <c r="Y268" s="10">
        <f t="shared" si="7"/>
        <v>1.775618036964554E-2</v>
      </c>
      <c r="Z268" s="10">
        <f t="shared" si="5"/>
        <v>2.0323768902675454E-2</v>
      </c>
      <c r="AA268" s="10">
        <f t="shared" si="5"/>
        <v>1.4494090578569801E-2</v>
      </c>
      <c r="AB268" s="10">
        <f t="shared" si="5"/>
        <v>1.3892349296471354E-2</v>
      </c>
      <c r="AC268" s="10">
        <f t="shared" si="5"/>
        <v>1.9867107256611827E-2</v>
      </c>
      <c r="AD268" s="10">
        <f t="shared" si="5"/>
        <v>1.6006843347285981E-2</v>
      </c>
      <c r="AE268" s="10">
        <f t="shared" si="5"/>
        <v>2.1547397103112004E-2</v>
      </c>
      <c r="AF268" s="10">
        <f t="shared" si="5"/>
        <v>2.1215325346401744E-2</v>
      </c>
      <c r="AG268" s="10">
        <f t="shared" si="5"/>
        <v>2.2905858952768525E-2</v>
      </c>
      <c r="AH268" s="10">
        <f t="shared" si="5"/>
        <v>2.0854192717720058E-2</v>
      </c>
      <c r="AI268" s="10">
        <f t="shared" si="5"/>
        <v>2.2973866917260694E-2</v>
      </c>
      <c r="AJ268" s="10">
        <f t="shared" si="5"/>
        <v>1.9526991241179591E-2</v>
      </c>
      <c r="AK268" s="10">
        <f t="shared" si="5"/>
        <v>2.0645548974160873E-2</v>
      </c>
      <c r="AL268" s="10">
        <f t="shared" si="5"/>
        <v>1.7285439940320876E-2</v>
      </c>
      <c r="AM268" s="10">
        <f t="shared" si="5"/>
        <v>2.1552061113034544E-2</v>
      </c>
      <c r="AN268" s="10">
        <f t="shared" si="5"/>
        <v>2.1997619660559121E-2</v>
      </c>
      <c r="AO268" s="10">
        <f t="shared" si="5"/>
        <v>2.3901694889268767E-2</v>
      </c>
      <c r="AP268" s="10">
        <f t="shared" si="5"/>
        <v>1.7452290480697245E-2</v>
      </c>
      <c r="AQ268" s="10">
        <f t="shared" si="8"/>
        <v>2.1619489808723091E-2</v>
      </c>
      <c r="AR268" s="10">
        <f t="shared" si="8"/>
        <v>2.0888798813460955E-2</v>
      </c>
    </row>
    <row r="269" spans="24:45" x14ac:dyDescent="0.3">
      <c r="X269" s="1" t="s">
        <v>73</v>
      </c>
      <c r="Y269" s="10">
        <f t="shared" si="7"/>
        <v>1.7705145103996782E-2</v>
      </c>
      <c r="Z269" s="10">
        <f t="shared" si="5"/>
        <v>1.0530217352049495E-2</v>
      </c>
      <c r="AA269" s="10">
        <f t="shared" si="5"/>
        <v>7.7627870171147534E-3</v>
      </c>
      <c r="AB269" s="10">
        <f t="shared" si="5"/>
        <v>8.6328454523623335E-3</v>
      </c>
      <c r="AC269" s="10">
        <f t="shared" si="5"/>
        <v>1.3137165896771781E-2</v>
      </c>
      <c r="AD269" s="10">
        <f t="shared" si="5"/>
        <v>8.922553902126264E-3</v>
      </c>
      <c r="AE269" s="10">
        <f t="shared" si="5"/>
        <v>1.3897878460985259E-2</v>
      </c>
      <c r="AF269" s="10">
        <f t="shared" si="5"/>
        <v>9.1491467162028439E-3</v>
      </c>
      <c r="AG269" s="10">
        <f t="shared" si="5"/>
        <v>1.6356195943408834E-2</v>
      </c>
      <c r="AH269" s="10">
        <f t="shared" si="5"/>
        <v>6.9044188280499522E-3</v>
      </c>
      <c r="AI269" s="10">
        <f t="shared" si="5"/>
        <v>1.1934902820289965E-2</v>
      </c>
      <c r="AJ269" s="10">
        <f t="shared" si="5"/>
        <v>7.7119083590772766E-3</v>
      </c>
      <c r="AK269" s="10">
        <f t="shared" si="5"/>
        <v>1.3080023468789063E-2</v>
      </c>
      <c r="AL269" s="10">
        <f t="shared" si="5"/>
        <v>1.0764848342597432E-2</v>
      </c>
      <c r="AM269" s="10">
        <f t="shared" si="5"/>
        <v>1.0882724241737611E-2</v>
      </c>
      <c r="AN269" s="10">
        <f t="shared" si="5"/>
        <v>1.1444044869477848E-2</v>
      </c>
      <c r="AO269" s="10">
        <f t="shared" si="5"/>
        <v>1.6388890770074698E-2</v>
      </c>
      <c r="AP269" s="10">
        <f t="shared" si="5"/>
        <v>1.1255260173023618E-2</v>
      </c>
      <c r="AQ269" s="10">
        <f t="shared" si="8"/>
        <v>1.551497871603392E-2</v>
      </c>
      <c r="AR269" s="10">
        <f t="shared" si="8"/>
        <v>1.1859768900448384E-2</v>
      </c>
    </row>
    <row r="270" spans="24:45" x14ac:dyDescent="0.3">
      <c r="AS270" s="6">
        <f>AVERAGE(Y262:AR269)</f>
        <v>2.8803636573454538E-2</v>
      </c>
    </row>
    <row r="272" spans="24:45" x14ac:dyDescent="0.3">
      <c r="X272" s="9" t="s">
        <v>77</v>
      </c>
    </row>
    <row r="273" spans="24:45" x14ac:dyDescent="0.3">
      <c r="X273" s="1" t="s">
        <v>6</v>
      </c>
      <c r="Y273" s="1" t="s">
        <v>63</v>
      </c>
      <c r="Z273" s="1" t="s">
        <v>64</v>
      </c>
      <c r="AA273" s="1" t="s">
        <v>63</v>
      </c>
      <c r="AB273" s="1" t="s">
        <v>64</v>
      </c>
      <c r="AC273" s="1" t="s">
        <v>63</v>
      </c>
      <c r="AD273" s="1" t="s">
        <v>64</v>
      </c>
      <c r="AE273" s="1" t="s">
        <v>63</v>
      </c>
      <c r="AF273" s="1" t="s">
        <v>64</v>
      </c>
      <c r="AG273" s="1" t="s">
        <v>63</v>
      </c>
      <c r="AH273" s="1" t="s">
        <v>64</v>
      </c>
      <c r="AI273" s="1" t="s">
        <v>63</v>
      </c>
      <c r="AJ273" s="1" t="s">
        <v>64</v>
      </c>
      <c r="AK273" s="1" t="s">
        <v>63</v>
      </c>
      <c r="AL273" s="1" t="s">
        <v>64</v>
      </c>
      <c r="AM273" s="1" t="s">
        <v>63</v>
      </c>
      <c r="AN273" s="1" t="s">
        <v>64</v>
      </c>
      <c r="AO273" s="1" t="s">
        <v>63</v>
      </c>
      <c r="AP273" s="1" t="s">
        <v>64</v>
      </c>
      <c r="AQ273" s="1" t="s">
        <v>63</v>
      </c>
      <c r="AR273" s="1" t="s">
        <v>64</v>
      </c>
    </row>
    <row r="274" spans="24:45" x14ac:dyDescent="0.3">
      <c r="X274" s="1" t="s">
        <v>65</v>
      </c>
      <c r="Y274" s="1" t="s">
        <v>53</v>
      </c>
      <c r="Z274" s="1" t="s">
        <v>53</v>
      </c>
      <c r="AA274" s="1" t="s">
        <v>54</v>
      </c>
      <c r="AB274" s="1" t="s">
        <v>54</v>
      </c>
      <c r="AC274" s="1" t="s">
        <v>55</v>
      </c>
      <c r="AD274" s="1" t="s">
        <v>55</v>
      </c>
      <c r="AE274" s="1" t="s">
        <v>56</v>
      </c>
      <c r="AF274" s="1" t="s">
        <v>56</v>
      </c>
      <c r="AG274" s="1" t="s">
        <v>57</v>
      </c>
      <c r="AH274" s="1" t="s">
        <v>57</v>
      </c>
      <c r="AI274" s="1" t="s">
        <v>58</v>
      </c>
      <c r="AJ274" s="1" t="s">
        <v>58</v>
      </c>
      <c r="AK274" s="1" t="s">
        <v>59</v>
      </c>
      <c r="AL274" s="1" t="s">
        <v>59</v>
      </c>
      <c r="AM274" s="1" t="s">
        <v>60</v>
      </c>
      <c r="AN274" s="1" t="s">
        <v>60</v>
      </c>
      <c r="AO274" s="1" t="s">
        <v>61</v>
      </c>
      <c r="AP274" s="1" t="s">
        <v>61</v>
      </c>
      <c r="AQ274" s="1" t="s">
        <v>62</v>
      </c>
      <c r="AR274" s="1" t="s">
        <v>62</v>
      </c>
    </row>
    <row r="275" spans="24:45" x14ac:dyDescent="0.3">
      <c r="X275" s="1" t="s">
        <v>7</v>
      </c>
      <c r="Y275">
        <v>1.3</v>
      </c>
      <c r="Z275">
        <v>1.3</v>
      </c>
      <c r="AA275">
        <v>1.3</v>
      </c>
      <c r="AB275">
        <v>1.3</v>
      </c>
      <c r="AC275">
        <v>0.5</v>
      </c>
      <c r="AD275">
        <v>0.5</v>
      </c>
      <c r="AE275">
        <v>1.6</v>
      </c>
      <c r="AF275">
        <v>1.6</v>
      </c>
      <c r="AG275">
        <v>2</v>
      </c>
      <c r="AH275">
        <v>2</v>
      </c>
      <c r="AI275">
        <v>3.6</v>
      </c>
      <c r="AJ275">
        <v>3.6</v>
      </c>
      <c r="AK275">
        <v>2.9</v>
      </c>
      <c r="AL275">
        <v>2.9</v>
      </c>
      <c r="AM275">
        <v>3.8</v>
      </c>
      <c r="AN275">
        <v>3.8</v>
      </c>
      <c r="AO275">
        <v>3.4</v>
      </c>
      <c r="AP275">
        <v>3.4</v>
      </c>
      <c r="AQ275">
        <v>4.5</v>
      </c>
      <c r="AR275">
        <v>4.5</v>
      </c>
    </row>
    <row r="276" spans="24:45" x14ac:dyDescent="0.3">
      <c r="X276" s="1" t="s">
        <v>66</v>
      </c>
      <c r="Y276" s="10">
        <f>Y163/(Y135+Y163+Y191+Y107)</f>
        <v>4.1237556245234588E-3</v>
      </c>
      <c r="Z276" s="10">
        <f t="shared" ref="Z276:AR283" si="9">Z163/(Z135+Z163+Z191+Z107)</f>
        <v>6.0406349586319364E-3</v>
      </c>
      <c r="AA276" s="10">
        <f t="shared" si="9"/>
        <v>5.2892470438370585E-3</v>
      </c>
      <c r="AB276" s="10">
        <f t="shared" si="9"/>
        <v>5.7955983955343387E-3</v>
      </c>
      <c r="AC276" s="10">
        <f t="shared" si="9"/>
        <v>5.8594454260267543E-3</v>
      </c>
      <c r="AD276" s="10">
        <f t="shared" si="9"/>
        <v>8.722244698826721E-3</v>
      </c>
      <c r="AE276" s="10">
        <f t="shared" si="9"/>
        <v>7.9732399811004682E-3</v>
      </c>
      <c r="AF276" s="10">
        <f t="shared" si="9"/>
        <v>4.2349415252304788E-3</v>
      </c>
      <c r="AG276" s="10">
        <f t="shared" si="9"/>
        <v>2.8034714888669505E-3</v>
      </c>
      <c r="AH276" s="10">
        <f t="shared" si="9"/>
        <v>8.8497955670324945E-3</v>
      </c>
      <c r="AI276" s="10">
        <f t="shared" si="9"/>
        <v>1.9573771821882057E-3</v>
      </c>
      <c r="AJ276" s="10">
        <f t="shared" si="9"/>
        <v>7.9289243092687083E-3</v>
      </c>
      <c r="AK276" s="10">
        <f t="shared" si="9"/>
        <v>1.79933756871674E-3</v>
      </c>
      <c r="AL276" s="10">
        <f t="shared" si="9"/>
        <v>7.9772079772079778E-3</v>
      </c>
      <c r="AM276" s="10">
        <f t="shared" si="9"/>
        <v>2.0400977589992131E-3</v>
      </c>
      <c r="AN276" s="10">
        <f t="shared" si="9"/>
        <v>2.9267901531553199E-3</v>
      </c>
      <c r="AO276" s="10">
        <f t="shared" si="9"/>
        <v>2.7572081298251139E-3</v>
      </c>
      <c r="AP276" s="10">
        <f t="shared" si="9"/>
        <v>7.1659731853906602E-3</v>
      </c>
      <c r="AQ276" s="10">
        <f t="shared" si="9"/>
        <v>1.31172116555795E-3</v>
      </c>
      <c r="AR276" s="10">
        <f t="shared" si="9"/>
        <v>4.0793201133144472E-3</v>
      </c>
    </row>
    <row r="277" spans="24:45" x14ac:dyDescent="0.3">
      <c r="X277" s="1" t="s">
        <v>67</v>
      </c>
      <c r="Y277" s="10">
        <f t="shared" ref="Y277:AN283" si="10">Y164/(Y136+Y164+Y192+Y108)</f>
        <v>1.4120058940354922E-2</v>
      </c>
      <c r="Z277" s="10">
        <f t="shared" si="10"/>
        <v>1.5945792420676782E-2</v>
      </c>
      <c r="AA277" s="10">
        <f t="shared" si="10"/>
        <v>9.3320587883857081E-3</v>
      </c>
      <c r="AB277" s="10">
        <f t="shared" si="10"/>
        <v>1.1253058943676897E-2</v>
      </c>
      <c r="AC277" s="10">
        <f t="shared" si="10"/>
        <v>9.2944357075963463E-3</v>
      </c>
      <c r="AD277" s="10">
        <f t="shared" si="10"/>
        <v>1.6664574441375847E-2</v>
      </c>
      <c r="AE277" s="10">
        <f t="shared" si="10"/>
        <v>9.6181421102556758E-3</v>
      </c>
      <c r="AF277" s="10">
        <f t="shared" si="10"/>
        <v>2.0654581248461982E-2</v>
      </c>
      <c r="AG277" s="10">
        <f t="shared" si="10"/>
        <v>9.3675982946470875E-3</v>
      </c>
      <c r="AH277" s="10">
        <f t="shared" si="10"/>
        <v>1.9993892252142202E-2</v>
      </c>
      <c r="AI277" s="10">
        <f t="shared" si="10"/>
        <v>7.6197785330555864E-3</v>
      </c>
      <c r="AJ277" s="10">
        <f t="shared" si="10"/>
        <v>1.492775463168159E-2</v>
      </c>
      <c r="AK277" s="10">
        <f t="shared" si="10"/>
        <v>9.7379912663755463E-3</v>
      </c>
      <c r="AL277" s="10">
        <f t="shared" si="10"/>
        <v>1.3149942009572507E-2</v>
      </c>
      <c r="AM277" s="10">
        <f t="shared" si="10"/>
        <v>1.0537171554120706E-2</v>
      </c>
      <c r="AN277" s="10">
        <f t="shared" si="10"/>
        <v>1.0844842931074265E-2</v>
      </c>
      <c r="AO277" s="10">
        <f t="shared" si="9"/>
        <v>8.6543407873634504E-3</v>
      </c>
      <c r="AP277" s="10">
        <f t="shared" si="9"/>
        <v>1.5518462316641377E-2</v>
      </c>
      <c r="AQ277" s="10">
        <f t="shared" si="9"/>
        <v>8.6480833433892432E-3</v>
      </c>
      <c r="AR277" s="10">
        <f t="shared" si="9"/>
        <v>1.5681135187653933E-2</v>
      </c>
    </row>
    <row r="278" spans="24:45" x14ac:dyDescent="0.3">
      <c r="X278" s="1" t="s">
        <v>68</v>
      </c>
      <c r="Y278" s="10">
        <f t="shared" si="10"/>
        <v>8.9390327663528748E-3</v>
      </c>
      <c r="Z278" s="10">
        <f t="shared" si="9"/>
        <v>1.4293825758510875E-2</v>
      </c>
      <c r="AA278" s="10">
        <f t="shared" si="9"/>
        <v>7.0964723954577685E-3</v>
      </c>
      <c r="AB278" s="10">
        <f t="shared" si="9"/>
        <v>9.0881031585445301E-3</v>
      </c>
      <c r="AC278" s="10">
        <f t="shared" si="9"/>
        <v>7.6872880620716452E-3</v>
      </c>
      <c r="AD278" s="10">
        <f t="shared" si="9"/>
        <v>1.5121913927620375E-2</v>
      </c>
      <c r="AE278" s="10">
        <f t="shared" si="9"/>
        <v>1.2165014848474006E-2</v>
      </c>
      <c r="AF278" s="10">
        <f t="shared" si="9"/>
        <v>1.9513924449521408E-2</v>
      </c>
      <c r="AG278" s="10">
        <f t="shared" si="9"/>
        <v>1.125719261700275E-2</v>
      </c>
      <c r="AH278" s="10">
        <f t="shared" si="9"/>
        <v>1.7975869193195056E-2</v>
      </c>
      <c r="AI278" s="10">
        <f t="shared" si="9"/>
        <v>1.0434002817930721E-2</v>
      </c>
      <c r="AJ278" s="10">
        <f t="shared" si="9"/>
        <v>1.6417860086668568E-2</v>
      </c>
      <c r="AK278" s="10">
        <f t="shared" si="9"/>
        <v>1.2499677621794488E-2</v>
      </c>
      <c r="AL278" s="10">
        <f t="shared" si="9"/>
        <v>1.6487471736421944E-2</v>
      </c>
      <c r="AM278" s="10">
        <f t="shared" si="9"/>
        <v>1.2574345774955828E-2</v>
      </c>
      <c r="AN278" s="10">
        <f t="shared" si="9"/>
        <v>1.4538477514810456E-2</v>
      </c>
      <c r="AO278" s="10">
        <f t="shared" si="9"/>
        <v>1.0688858994175671E-2</v>
      </c>
      <c r="AP278" s="10">
        <f t="shared" si="9"/>
        <v>1.7634022994311403E-2</v>
      </c>
      <c r="AQ278" s="10">
        <f t="shared" si="9"/>
        <v>1.3995518951360142E-2</v>
      </c>
      <c r="AR278" s="10">
        <f t="shared" si="9"/>
        <v>1.4857443247056871E-2</v>
      </c>
    </row>
    <row r="279" spans="24:45" x14ac:dyDescent="0.3">
      <c r="X279" s="1" t="s">
        <v>69</v>
      </c>
      <c r="Y279" s="10">
        <f t="shared" si="10"/>
        <v>1.1164633322828974E-2</v>
      </c>
      <c r="Z279" s="10">
        <f t="shared" si="9"/>
        <v>1.4090981771666133E-2</v>
      </c>
      <c r="AA279" s="10">
        <f t="shared" si="9"/>
        <v>8.9790142852683823E-3</v>
      </c>
      <c r="AB279" s="10">
        <f t="shared" si="9"/>
        <v>1.0276782244483786E-2</v>
      </c>
      <c r="AC279" s="10">
        <f t="shared" si="9"/>
        <v>9.721513990097545E-3</v>
      </c>
      <c r="AD279" s="10">
        <f t="shared" si="9"/>
        <v>1.1711675721742835E-2</v>
      </c>
      <c r="AE279" s="10">
        <f t="shared" si="9"/>
        <v>1.8444512757454658E-2</v>
      </c>
      <c r="AF279" s="10">
        <f t="shared" si="9"/>
        <v>1.7268576172685762E-2</v>
      </c>
      <c r="AG279" s="10">
        <f t="shared" si="9"/>
        <v>1.967567074422388E-2</v>
      </c>
      <c r="AH279" s="10">
        <f t="shared" si="9"/>
        <v>1.6935807825178756E-2</v>
      </c>
      <c r="AI279" s="10">
        <f t="shared" si="9"/>
        <v>1.8113345632518641E-2</v>
      </c>
      <c r="AJ279" s="10">
        <f t="shared" si="9"/>
        <v>1.4896652400384857E-2</v>
      </c>
      <c r="AK279" s="10">
        <f t="shared" si="9"/>
        <v>2.0008975410470278E-2</v>
      </c>
      <c r="AL279" s="10">
        <f t="shared" si="9"/>
        <v>1.5339223421249959E-2</v>
      </c>
      <c r="AM279" s="10">
        <f t="shared" si="9"/>
        <v>2.195159617887793E-2</v>
      </c>
      <c r="AN279" s="10">
        <f t="shared" si="9"/>
        <v>1.9977688148974514E-2</v>
      </c>
      <c r="AO279" s="10">
        <f t="shared" si="9"/>
        <v>2.08130912810023E-2</v>
      </c>
      <c r="AP279" s="10">
        <f t="shared" si="9"/>
        <v>1.6177088855173927E-2</v>
      </c>
      <c r="AQ279" s="10">
        <f t="shared" si="9"/>
        <v>1.8719393883396471E-2</v>
      </c>
      <c r="AR279" s="10">
        <f t="shared" si="9"/>
        <v>1.87047698319114E-2</v>
      </c>
    </row>
    <row r="280" spans="24:45" x14ac:dyDescent="0.3">
      <c r="X280" s="1" t="s">
        <v>70</v>
      </c>
      <c r="Y280" s="10">
        <f t="shared" si="10"/>
        <v>8.8265910257537671E-3</v>
      </c>
      <c r="Z280" s="10">
        <f t="shared" si="9"/>
        <v>9.4970473795368722E-3</v>
      </c>
      <c r="AA280" s="10">
        <f t="shared" si="9"/>
        <v>6.547958299575482E-3</v>
      </c>
      <c r="AB280" s="10">
        <f t="shared" si="9"/>
        <v>5.0925391828864318E-3</v>
      </c>
      <c r="AC280" s="10">
        <f t="shared" si="9"/>
        <v>8.0621319997043681E-3</v>
      </c>
      <c r="AD280" s="10">
        <f t="shared" si="9"/>
        <v>1.0644440031479154E-2</v>
      </c>
      <c r="AE280" s="10">
        <f t="shared" si="9"/>
        <v>1.4624594318742187E-2</v>
      </c>
      <c r="AF280" s="10">
        <f t="shared" si="9"/>
        <v>1.3071653757832872E-2</v>
      </c>
      <c r="AG280" s="10">
        <f t="shared" si="9"/>
        <v>1.3912432646159413E-2</v>
      </c>
      <c r="AH280" s="10">
        <f t="shared" si="9"/>
        <v>1.3077585195038929E-2</v>
      </c>
      <c r="AI280" s="10">
        <f t="shared" si="9"/>
        <v>1.1681310384295394E-2</v>
      </c>
      <c r="AJ280" s="10">
        <f t="shared" si="9"/>
        <v>1.1110687265560429E-2</v>
      </c>
      <c r="AK280" s="10">
        <f t="shared" si="9"/>
        <v>1.3343889152130344E-2</v>
      </c>
      <c r="AL280" s="10">
        <f t="shared" si="9"/>
        <v>1.2304010049170774E-2</v>
      </c>
      <c r="AM280" s="10">
        <f t="shared" si="9"/>
        <v>1.4461703267273701E-2</v>
      </c>
      <c r="AN280" s="10">
        <f t="shared" si="9"/>
        <v>1.3833206581101086E-2</v>
      </c>
      <c r="AO280" s="10">
        <f t="shared" si="9"/>
        <v>1.5695645680303051E-2</v>
      </c>
      <c r="AP280" s="10">
        <f t="shared" si="9"/>
        <v>1.2505895873884766E-2</v>
      </c>
      <c r="AQ280" s="10">
        <f t="shared" si="9"/>
        <v>1.3798413486378879E-2</v>
      </c>
      <c r="AR280" s="10">
        <f t="shared" si="9"/>
        <v>1.1646263964144758E-2</v>
      </c>
    </row>
    <row r="281" spans="24:45" x14ac:dyDescent="0.3">
      <c r="X281" s="1" t="s">
        <v>71</v>
      </c>
      <c r="Y281" s="10">
        <f t="shared" si="10"/>
        <v>7.7286848992210088E-3</v>
      </c>
      <c r="Z281" s="10">
        <f t="shared" si="9"/>
        <v>2.8588524699155642E-3</v>
      </c>
      <c r="AA281" s="10">
        <f t="shared" si="9"/>
        <v>5.375609311648673E-3</v>
      </c>
      <c r="AB281" s="10">
        <f t="shared" si="9"/>
        <v>1.908413886152016E-3</v>
      </c>
      <c r="AC281" s="10">
        <f t="shared" si="9"/>
        <v>6.1913406864424203E-3</v>
      </c>
      <c r="AD281" s="10">
        <f t="shared" si="9"/>
        <v>4.143407085979464E-3</v>
      </c>
      <c r="AE281" s="10">
        <f t="shared" si="9"/>
        <v>6.9053409105686823E-3</v>
      </c>
      <c r="AF281" s="10">
        <f t="shared" si="9"/>
        <v>5.0798987674849933E-3</v>
      </c>
      <c r="AG281" s="10">
        <f t="shared" si="9"/>
        <v>6.5601508973398793E-3</v>
      </c>
      <c r="AH281" s="10">
        <f t="shared" si="9"/>
        <v>5.7960240101327162E-3</v>
      </c>
      <c r="AI281" s="10">
        <f t="shared" si="9"/>
        <v>7.3097300921604455E-3</v>
      </c>
      <c r="AJ281" s="10">
        <f t="shared" si="9"/>
        <v>5.025848690093219E-3</v>
      </c>
      <c r="AK281" s="10">
        <f t="shared" si="9"/>
        <v>8.2968334413994777E-3</v>
      </c>
      <c r="AL281" s="10">
        <f t="shared" si="9"/>
        <v>4.8541390414851299E-3</v>
      </c>
      <c r="AM281" s="10">
        <f t="shared" si="9"/>
        <v>8.2076577851453517E-3</v>
      </c>
      <c r="AN281" s="10">
        <f t="shared" si="9"/>
        <v>6.4399308485796926E-3</v>
      </c>
      <c r="AO281" s="10">
        <f t="shared" si="9"/>
        <v>9.8704855366006719E-3</v>
      </c>
      <c r="AP281" s="10">
        <f t="shared" si="9"/>
        <v>3.8028182271713242E-3</v>
      </c>
      <c r="AQ281" s="10">
        <f t="shared" si="9"/>
        <v>8.5693846177262965E-3</v>
      </c>
      <c r="AR281" s="10">
        <f t="shared" si="9"/>
        <v>6.441525953721077E-3</v>
      </c>
    </row>
    <row r="282" spans="24:45" x14ac:dyDescent="0.3">
      <c r="X282" s="1" t="s">
        <v>72</v>
      </c>
      <c r="Y282" s="10">
        <f t="shared" si="10"/>
        <v>3.8879357334078869E-3</v>
      </c>
      <c r="Z282" s="10">
        <f t="shared" si="9"/>
        <v>3.8677782086079873E-3</v>
      </c>
      <c r="AA282" s="10">
        <f t="shared" si="9"/>
        <v>2.9058725214616732E-3</v>
      </c>
      <c r="AB282" s="10">
        <f t="shared" si="9"/>
        <v>2.8679453908280303E-3</v>
      </c>
      <c r="AC282" s="10">
        <f t="shared" si="9"/>
        <v>4.292173166163646E-3</v>
      </c>
      <c r="AD282" s="10">
        <f t="shared" si="9"/>
        <v>4.3088477255992397E-3</v>
      </c>
      <c r="AE282" s="10">
        <f t="shared" si="9"/>
        <v>5.3292290672184552E-3</v>
      </c>
      <c r="AF282" s="10">
        <f t="shared" si="9"/>
        <v>4.1779682055148445E-3</v>
      </c>
      <c r="AG282" s="10">
        <f t="shared" si="9"/>
        <v>5.7196878568451584E-3</v>
      </c>
      <c r="AH282" s="10">
        <f t="shared" si="9"/>
        <v>3.9783017902358057E-3</v>
      </c>
      <c r="AI282" s="10">
        <f t="shared" si="9"/>
        <v>4.7264588961910114E-3</v>
      </c>
      <c r="AJ282" s="10">
        <f t="shared" si="9"/>
        <v>3.795931434236558E-3</v>
      </c>
      <c r="AK282" s="10">
        <f t="shared" si="9"/>
        <v>4.5926688986179078E-3</v>
      </c>
      <c r="AL282" s="10">
        <f t="shared" si="9"/>
        <v>4.2071094100469934E-3</v>
      </c>
      <c r="AM282" s="10">
        <f t="shared" si="9"/>
        <v>5.5422776667150633E-3</v>
      </c>
      <c r="AN282" s="10">
        <f t="shared" si="9"/>
        <v>5.0330374698260268E-3</v>
      </c>
      <c r="AO282" s="10">
        <f t="shared" si="9"/>
        <v>5.9830894358801389E-3</v>
      </c>
      <c r="AP282" s="10">
        <f t="shared" si="9"/>
        <v>4.0964502140042099E-3</v>
      </c>
      <c r="AQ282" s="10">
        <f t="shared" si="9"/>
        <v>5.2166430632988557E-3</v>
      </c>
      <c r="AR282" s="10">
        <f t="shared" si="9"/>
        <v>3.9796961796759126E-3</v>
      </c>
    </row>
    <row r="283" spans="24:45" x14ac:dyDescent="0.3">
      <c r="X283" s="1" t="s">
        <v>73</v>
      </c>
      <c r="Y283" s="10">
        <f t="shared" si="10"/>
        <v>1.7425884140211344E-3</v>
      </c>
      <c r="Z283" s="10">
        <f t="shared" si="9"/>
        <v>2.42347059997529E-3</v>
      </c>
      <c r="AA283" s="10">
        <f t="shared" si="9"/>
        <v>1.0463739871426796E-3</v>
      </c>
      <c r="AB283" s="10">
        <f t="shared" si="9"/>
        <v>1.3238671699414418E-3</v>
      </c>
      <c r="AC283" s="10">
        <f t="shared" si="9"/>
        <v>1.5219887319430723E-3</v>
      </c>
      <c r="AD283" s="10">
        <f t="shared" si="9"/>
        <v>1.2882831837294608E-3</v>
      </c>
      <c r="AE283" s="10">
        <f t="shared" si="9"/>
        <v>4.306005034160375E-3</v>
      </c>
      <c r="AF283" s="10">
        <f t="shared" si="9"/>
        <v>1.432266800923595E-3</v>
      </c>
      <c r="AG283" s="10">
        <f t="shared" si="9"/>
        <v>2.5202543165719449E-3</v>
      </c>
      <c r="AH283" s="10">
        <f t="shared" si="9"/>
        <v>2.4892854503805514E-3</v>
      </c>
      <c r="AI283" s="10">
        <f t="shared" si="9"/>
        <v>2.9727040270062601E-3</v>
      </c>
      <c r="AJ283" s="10">
        <f t="shared" si="9"/>
        <v>1.655128870047579E-3</v>
      </c>
      <c r="AK283" s="10">
        <f t="shared" si="9"/>
        <v>3.0483916226626876E-3</v>
      </c>
      <c r="AL283" s="10">
        <f t="shared" si="9"/>
        <v>1.2749250514770994E-3</v>
      </c>
      <c r="AM283" s="10">
        <f t="shared" si="9"/>
        <v>1.8256562975431329E-3</v>
      </c>
      <c r="AN283" s="10">
        <f t="shared" si="9"/>
        <v>8.2093255487689066E-4</v>
      </c>
      <c r="AO283" s="10">
        <f t="shared" si="9"/>
        <v>9.8197899242183102E-4</v>
      </c>
      <c r="AP283" s="10">
        <f t="shared" si="9"/>
        <v>9.5303932293938794E-4</v>
      </c>
      <c r="AQ283" s="10">
        <f t="shared" si="9"/>
        <v>1.8919080959010877E-3</v>
      </c>
      <c r="AR283" s="10">
        <f t="shared" si="9"/>
        <v>2.275775185922705E-3</v>
      </c>
    </row>
    <row r="284" spans="24:45" x14ac:dyDescent="0.3">
      <c r="AS284" s="6">
        <f>AVERAGE(Y276:AR283)</f>
        <v>8.8677833843840599E-3</v>
      </c>
    </row>
    <row r="286" spans="24:45" x14ac:dyDescent="0.3">
      <c r="X286" s="9" t="s">
        <v>78</v>
      </c>
    </row>
    <row r="287" spans="24:45" x14ac:dyDescent="0.3">
      <c r="X287" s="1" t="s">
        <v>6</v>
      </c>
      <c r="Y287" s="1" t="s">
        <v>63</v>
      </c>
      <c r="Z287" s="1" t="s">
        <v>64</v>
      </c>
      <c r="AA287" s="1" t="s">
        <v>63</v>
      </c>
      <c r="AB287" s="1" t="s">
        <v>64</v>
      </c>
      <c r="AC287" s="1" t="s">
        <v>63</v>
      </c>
      <c r="AD287" s="1" t="s">
        <v>64</v>
      </c>
      <c r="AE287" s="1" t="s">
        <v>63</v>
      </c>
      <c r="AF287" s="1" t="s">
        <v>64</v>
      </c>
      <c r="AG287" s="1" t="s">
        <v>63</v>
      </c>
      <c r="AH287" s="1" t="s">
        <v>64</v>
      </c>
      <c r="AI287" s="1" t="s">
        <v>63</v>
      </c>
      <c r="AJ287" s="1" t="s">
        <v>64</v>
      </c>
      <c r="AK287" s="1" t="s">
        <v>63</v>
      </c>
      <c r="AL287" s="1" t="s">
        <v>64</v>
      </c>
      <c r="AM287" s="1" t="s">
        <v>63</v>
      </c>
      <c r="AN287" s="1" t="s">
        <v>64</v>
      </c>
      <c r="AO287" s="1" t="s">
        <v>63</v>
      </c>
      <c r="AP287" s="1" t="s">
        <v>64</v>
      </c>
      <c r="AQ287" s="1" t="s">
        <v>63</v>
      </c>
      <c r="AR287" s="1" t="s">
        <v>64</v>
      </c>
    </row>
    <row r="288" spans="24:45" x14ac:dyDescent="0.3">
      <c r="X288" s="1" t="s">
        <v>65</v>
      </c>
      <c r="Y288" s="1" t="s">
        <v>53</v>
      </c>
      <c r="Z288" s="1" t="s">
        <v>53</v>
      </c>
      <c r="AA288" s="1" t="s">
        <v>54</v>
      </c>
      <c r="AB288" s="1" t="s">
        <v>54</v>
      </c>
      <c r="AC288" s="1" t="s">
        <v>55</v>
      </c>
      <c r="AD288" s="1" t="s">
        <v>55</v>
      </c>
      <c r="AE288" s="1" t="s">
        <v>56</v>
      </c>
      <c r="AF288" s="1" t="s">
        <v>56</v>
      </c>
      <c r="AG288" s="1" t="s">
        <v>57</v>
      </c>
      <c r="AH288" s="1" t="s">
        <v>57</v>
      </c>
      <c r="AI288" s="1" t="s">
        <v>58</v>
      </c>
      <c r="AJ288" s="1" t="s">
        <v>58</v>
      </c>
      <c r="AK288" s="1" t="s">
        <v>59</v>
      </c>
      <c r="AL288" s="1" t="s">
        <v>59</v>
      </c>
      <c r="AM288" s="1" t="s">
        <v>60</v>
      </c>
      <c r="AN288" s="1" t="s">
        <v>60</v>
      </c>
      <c r="AO288" s="1" t="s">
        <v>61</v>
      </c>
      <c r="AP288" s="1" t="s">
        <v>61</v>
      </c>
      <c r="AQ288" s="1" t="s">
        <v>62</v>
      </c>
      <c r="AR288" s="1" t="s">
        <v>62</v>
      </c>
    </row>
    <row r="289" spans="24:45" x14ac:dyDescent="0.3">
      <c r="X289" s="1" t="s">
        <v>7</v>
      </c>
      <c r="Y289">
        <v>1.3</v>
      </c>
      <c r="Z289">
        <v>1.3</v>
      </c>
      <c r="AA289">
        <v>1.3</v>
      </c>
      <c r="AB289">
        <v>1.3</v>
      </c>
      <c r="AC289">
        <v>0.5</v>
      </c>
      <c r="AD289">
        <v>0.5</v>
      </c>
      <c r="AE289">
        <v>1.6</v>
      </c>
      <c r="AF289">
        <v>1.6</v>
      </c>
      <c r="AG289">
        <v>2</v>
      </c>
      <c r="AH289">
        <v>2</v>
      </c>
      <c r="AI289">
        <v>3.6</v>
      </c>
      <c r="AJ289">
        <v>3.6</v>
      </c>
      <c r="AK289">
        <v>2.9</v>
      </c>
      <c r="AL289">
        <v>2.9</v>
      </c>
      <c r="AM289">
        <v>3.8</v>
      </c>
      <c r="AN289">
        <v>3.8</v>
      </c>
      <c r="AO289">
        <v>3.4</v>
      </c>
      <c r="AP289">
        <v>3.4</v>
      </c>
      <c r="AQ289">
        <v>4.5</v>
      </c>
      <c r="AR289">
        <v>4.5</v>
      </c>
    </row>
    <row r="290" spans="24:45" x14ac:dyDescent="0.3">
      <c r="X290" s="1" t="s">
        <v>66</v>
      </c>
      <c r="Y290" s="10">
        <f>Y191/(Y135+Y163+Y191+Y107)</f>
        <v>0.11121611414784666</v>
      </c>
      <c r="Z290" s="10">
        <f t="shared" ref="Z290:AR297" si="11">Z191/(Z135+Z163+Z191+Z107)</f>
        <v>0.10676775535241401</v>
      </c>
      <c r="AA290" s="10">
        <f t="shared" si="11"/>
        <v>2.965855279554707E-2</v>
      </c>
      <c r="AB290" s="10">
        <f t="shared" si="11"/>
        <v>3.3355193923772633E-2</v>
      </c>
      <c r="AC290" s="10">
        <f t="shared" si="11"/>
        <v>5.9333645837089374E-2</v>
      </c>
      <c r="AD290" s="10">
        <f t="shared" si="11"/>
        <v>5.8878126561793462E-2</v>
      </c>
      <c r="AE290" s="10">
        <f t="shared" si="11"/>
        <v>8.0446501438941637E-2</v>
      </c>
      <c r="AF290" s="10">
        <f t="shared" si="11"/>
        <v>9.9282231705595567E-2</v>
      </c>
      <c r="AG290" s="10">
        <f t="shared" si="11"/>
        <v>7.7816112909384227E-2</v>
      </c>
      <c r="AH290" s="10">
        <f t="shared" si="11"/>
        <v>0.11180600387346674</v>
      </c>
      <c r="AI290" s="10">
        <f t="shared" si="11"/>
        <v>7.2821868534570192E-2</v>
      </c>
      <c r="AJ290" s="10">
        <f t="shared" si="11"/>
        <v>0.13393782910118526</v>
      </c>
      <c r="AK290" s="10">
        <f t="shared" si="11"/>
        <v>0.11072229459472881</v>
      </c>
      <c r="AL290" s="10">
        <f t="shared" si="11"/>
        <v>0.15718355718355717</v>
      </c>
      <c r="AM290" s="10">
        <f t="shared" si="11"/>
        <v>9.753117103682532E-2</v>
      </c>
      <c r="AN290" s="10">
        <f t="shared" si="11"/>
        <v>0.11278165343597145</v>
      </c>
      <c r="AO290" s="10">
        <f t="shared" si="11"/>
        <v>0.12895856310067749</v>
      </c>
      <c r="AP290" s="10">
        <f t="shared" si="11"/>
        <v>0.19833564493758665</v>
      </c>
      <c r="AQ290" s="10">
        <f t="shared" si="11"/>
        <v>0.14770917267872199</v>
      </c>
      <c r="AR290" s="10">
        <f t="shared" si="11"/>
        <v>0.22696883852691219</v>
      </c>
    </row>
    <row r="291" spans="24:45" x14ac:dyDescent="0.3">
      <c r="X291" s="1" t="s">
        <v>67</v>
      </c>
      <c r="Y291" s="10">
        <f t="shared" ref="Y291:AN297" si="12">Y192/(Y136+Y164+Y192+Y108)</f>
        <v>1.9117175988211929E-2</v>
      </c>
      <c r="Z291" s="10">
        <f t="shared" si="12"/>
        <v>3.4042035218696746E-2</v>
      </c>
      <c r="AA291" s="10">
        <f t="shared" si="12"/>
        <v>9.7024734137889819E-3</v>
      </c>
      <c r="AB291" s="10">
        <f t="shared" si="12"/>
        <v>1.8979902499181068E-2</v>
      </c>
      <c r="AC291" s="10">
        <f t="shared" si="12"/>
        <v>2.0673934938950048E-2</v>
      </c>
      <c r="AD291" s="10">
        <f t="shared" si="12"/>
        <v>1.9222319859402461E-2</v>
      </c>
      <c r="AE291" s="10">
        <f t="shared" si="12"/>
        <v>1.2695506386358121E-2</v>
      </c>
      <c r="AF291" s="10">
        <f t="shared" si="12"/>
        <v>2.7462882454269543E-2</v>
      </c>
      <c r="AG291" s="10">
        <f t="shared" si="12"/>
        <v>1.3915206063477025E-2</v>
      </c>
      <c r="AH291" s="10">
        <f t="shared" si="12"/>
        <v>2.5850144609912515E-2</v>
      </c>
      <c r="AI291" s="10">
        <f t="shared" si="12"/>
        <v>1.4274750575594781E-2</v>
      </c>
      <c r="AJ291" s="10">
        <f t="shared" si="12"/>
        <v>2.7923056466625303E-2</v>
      </c>
      <c r="AK291" s="10">
        <f t="shared" si="12"/>
        <v>1.9505094614264921E-2</v>
      </c>
      <c r="AL291" s="10">
        <f t="shared" si="12"/>
        <v>2.5025728147410036E-2</v>
      </c>
      <c r="AM291" s="10">
        <f t="shared" si="12"/>
        <v>2.117896750665112E-2</v>
      </c>
      <c r="AN291" s="10">
        <f t="shared" si="12"/>
        <v>2.365098724330026E-2</v>
      </c>
      <c r="AO291" s="10">
        <f t="shared" si="11"/>
        <v>2.1076043211184069E-2</v>
      </c>
      <c r="AP291" s="10">
        <f t="shared" si="11"/>
        <v>3.3444613050075872E-2</v>
      </c>
      <c r="AQ291" s="10">
        <f t="shared" si="11"/>
        <v>2.5474974189828779E-2</v>
      </c>
      <c r="AR291" s="10">
        <f t="shared" si="11"/>
        <v>3.7801929638249319E-2</v>
      </c>
    </row>
    <row r="292" spans="24:45" x14ac:dyDescent="0.3">
      <c r="X292" s="1" t="s">
        <v>68</v>
      </c>
      <c r="Y292" s="10">
        <f t="shared" si="12"/>
        <v>3.578643287139914E-2</v>
      </c>
      <c r="Z292" s="10">
        <f t="shared" si="11"/>
        <v>4.0659639074727819E-2</v>
      </c>
      <c r="AA292" s="10">
        <f t="shared" si="11"/>
        <v>1.4961014342064679E-2</v>
      </c>
      <c r="AB292" s="10">
        <f t="shared" si="11"/>
        <v>1.9239342912994273E-2</v>
      </c>
      <c r="AC292" s="10">
        <f t="shared" si="11"/>
        <v>4.4039711368359914E-2</v>
      </c>
      <c r="AD292" s="10">
        <f t="shared" si="11"/>
        <v>3.1133602035225721E-2</v>
      </c>
      <c r="AE292" s="10">
        <f t="shared" si="11"/>
        <v>3.0906293606211312E-2</v>
      </c>
      <c r="AF292" s="10">
        <f t="shared" si="11"/>
        <v>3.6873202820341122E-2</v>
      </c>
      <c r="AG292" s="10">
        <f t="shared" si="11"/>
        <v>3.2446599620946953E-2</v>
      </c>
      <c r="AH292" s="10">
        <f t="shared" si="11"/>
        <v>3.8746386850292164E-2</v>
      </c>
      <c r="AI292" s="10">
        <f t="shared" si="11"/>
        <v>3.3160949160764064E-2</v>
      </c>
      <c r="AJ292" s="10">
        <f t="shared" si="11"/>
        <v>4.128084374111262E-2</v>
      </c>
      <c r="AK292" s="10">
        <f t="shared" si="11"/>
        <v>4.074688582653474E-2</v>
      </c>
      <c r="AL292" s="10">
        <f t="shared" si="11"/>
        <v>4.3279036500392234E-2</v>
      </c>
      <c r="AM292" s="10">
        <f t="shared" si="11"/>
        <v>4.1226576414836097E-2</v>
      </c>
      <c r="AN292" s="10">
        <f t="shared" si="11"/>
        <v>3.8250042033013222E-2</v>
      </c>
      <c r="AO292" s="10">
        <f t="shared" si="11"/>
        <v>3.5890359211961653E-2</v>
      </c>
      <c r="AP292" s="10">
        <f t="shared" si="11"/>
        <v>4.7907972245196891E-2</v>
      </c>
      <c r="AQ292" s="10">
        <f t="shared" si="11"/>
        <v>4.1949318222724255E-2</v>
      </c>
      <c r="AR292" s="10">
        <f t="shared" si="11"/>
        <v>4.6965567806106216E-2</v>
      </c>
    </row>
    <row r="293" spans="24:45" x14ac:dyDescent="0.3">
      <c r="X293" s="1" t="s">
        <v>69</v>
      </c>
      <c r="Y293" s="10">
        <f t="shared" si="12"/>
        <v>4.6448025930761271E-2</v>
      </c>
      <c r="Z293" s="10">
        <f t="shared" si="11"/>
        <v>5.6763671250399744E-2</v>
      </c>
      <c r="AA293" s="10">
        <f t="shared" si="11"/>
        <v>1.9133728007657655E-2</v>
      </c>
      <c r="AB293" s="10">
        <f t="shared" si="11"/>
        <v>2.6080573427177338E-2</v>
      </c>
      <c r="AC293" s="10">
        <f t="shared" si="11"/>
        <v>4.9956409455035947E-2</v>
      </c>
      <c r="AD293" s="10">
        <f t="shared" si="11"/>
        <v>4.1460264195163521E-2</v>
      </c>
      <c r="AE293" s="10">
        <f t="shared" si="11"/>
        <v>3.9384890138041077E-2</v>
      </c>
      <c r="AF293" s="10">
        <f t="shared" si="11"/>
        <v>4.508094645080947E-2</v>
      </c>
      <c r="AG293" s="10">
        <f t="shared" si="11"/>
        <v>4.1632137942569536E-2</v>
      </c>
      <c r="AH293" s="10">
        <f t="shared" si="11"/>
        <v>4.5585281593958381E-2</v>
      </c>
      <c r="AI293" s="10">
        <f t="shared" si="11"/>
        <v>4.2051016207480141E-2</v>
      </c>
      <c r="AJ293" s="10">
        <f t="shared" si="11"/>
        <v>5.0280349026243315E-2</v>
      </c>
      <c r="AK293" s="10">
        <f t="shared" si="11"/>
        <v>4.5937079277634199E-2</v>
      </c>
      <c r="AL293" s="10">
        <f t="shared" si="11"/>
        <v>5.1331790173768453E-2</v>
      </c>
      <c r="AM293" s="10">
        <f t="shared" si="11"/>
        <v>4.390319235775586E-2</v>
      </c>
      <c r="AN293" s="10">
        <f t="shared" si="11"/>
        <v>4.8433879687634088E-2</v>
      </c>
      <c r="AO293" s="10">
        <f t="shared" si="11"/>
        <v>4.3518281769368443E-2</v>
      </c>
      <c r="AP293" s="10">
        <f t="shared" si="11"/>
        <v>5.9882647558813319E-2</v>
      </c>
      <c r="AQ293" s="10">
        <f t="shared" si="11"/>
        <v>5.4051556869629494E-2</v>
      </c>
      <c r="AR293" s="10">
        <f t="shared" si="11"/>
        <v>5.5443804767519832E-2</v>
      </c>
    </row>
    <row r="294" spans="24:45" x14ac:dyDescent="0.3">
      <c r="X294" s="1" t="s">
        <v>70</v>
      </c>
      <c r="Y294" s="10">
        <f t="shared" si="12"/>
        <v>4.5603371937739411E-2</v>
      </c>
      <c r="Z294" s="10">
        <f t="shared" si="11"/>
        <v>4.3155524621125242E-2</v>
      </c>
      <c r="AA294" s="10">
        <f t="shared" si="11"/>
        <v>1.5695164682940292E-2</v>
      </c>
      <c r="AB294" s="10">
        <f t="shared" si="11"/>
        <v>1.5651965089148869E-2</v>
      </c>
      <c r="AC294" s="10">
        <f t="shared" si="11"/>
        <v>3.8508125775007597E-2</v>
      </c>
      <c r="AD294" s="10">
        <f t="shared" si="11"/>
        <v>3.3282951979582684E-2</v>
      </c>
      <c r="AE294" s="10">
        <f t="shared" si="11"/>
        <v>2.8572575373570795E-2</v>
      </c>
      <c r="AF294" s="10">
        <f t="shared" si="11"/>
        <v>3.5254738644767053E-2</v>
      </c>
      <c r="AG294" s="10">
        <f t="shared" si="11"/>
        <v>3.1940758064583977E-2</v>
      </c>
      <c r="AH294" s="10">
        <f t="shared" si="11"/>
        <v>3.3575257247936148E-2</v>
      </c>
      <c r="AI294" s="10">
        <f t="shared" si="11"/>
        <v>3.2242628847883273E-2</v>
      </c>
      <c r="AJ294" s="10">
        <f t="shared" si="11"/>
        <v>3.1338292326276308E-2</v>
      </c>
      <c r="AK294" s="10">
        <f t="shared" si="11"/>
        <v>3.3783525270689063E-2</v>
      </c>
      <c r="AL294" s="10">
        <f t="shared" si="11"/>
        <v>3.1443266885832141E-2</v>
      </c>
      <c r="AM294" s="10">
        <f t="shared" si="11"/>
        <v>3.6680312189149897E-2</v>
      </c>
      <c r="AN294" s="10">
        <f t="shared" si="11"/>
        <v>3.4852169340982279E-2</v>
      </c>
      <c r="AO294" s="10">
        <f t="shared" si="11"/>
        <v>4.0016428833281284E-2</v>
      </c>
      <c r="AP294" s="10">
        <f t="shared" si="11"/>
        <v>3.6763680088222207E-2</v>
      </c>
      <c r="AQ294" s="10">
        <f t="shared" si="11"/>
        <v>4.4407522600558552E-2</v>
      </c>
      <c r="AR294" s="10">
        <f t="shared" si="11"/>
        <v>4.0480968626663991E-2</v>
      </c>
    </row>
    <row r="295" spans="24:45" x14ac:dyDescent="0.3">
      <c r="X295" s="1" t="s">
        <v>71</v>
      </c>
      <c r="Y295" s="10">
        <f t="shared" si="12"/>
        <v>3.6171775761007635E-2</v>
      </c>
      <c r="Z295" s="10">
        <f t="shared" si="11"/>
        <v>3.1705929718029977E-2</v>
      </c>
      <c r="AA295" s="10">
        <f t="shared" si="11"/>
        <v>1.1243223543346545E-2</v>
      </c>
      <c r="AB295" s="10">
        <f t="shared" si="11"/>
        <v>7.101074925216804E-3</v>
      </c>
      <c r="AC295" s="10">
        <f t="shared" si="11"/>
        <v>3.0357265191477703E-2</v>
      </c>
      <c r="AD295" s="10">
        <f t="shared" si="11"/>
        <v>2.4423501404991679E-2</v>
      </c>
      <c r="AE295" s="10">
        <f t="shared" si="11"/>
        <v>1.7738013186470215E-2</v>
      </c>
      <c r="AF295" s="10">
        <f t="shared" si="11"/>
        <v>2.6578103443550081E-2</v>
      </c>
      <c r="AG295" s="10">
        <f t="shared" si="11"/>
        <v>1.9028598374524978E-2</v>
      </c>
      <c r="AH295" s="10">
        <f t="shared" si="11"/>
        <v>2.3005121427391376E-2</v>
      </c>
      <c r="AI295" s="10">
        <f t="shared" si="11"/>
        <v>2.0575049629912048E-2</v>
      </c>
      <c r="AJ295" s="10">
        <f t="shared" si="11"/>
        <v>1.6886440486345931E-2</v>
      </c>
      <c r="AK295" s="10">
        <f t="shared" si="11"/>
        <v>2.0973653914861518E-2</v>
      </c>
      <c r="AL295" s="10">
        <f t="shared" si="11"/>
        <v>1.7017111826734859E-2</v>
      </c>
      <c r="AM295" s="10">
        <f t="shared" si="11"/>
        <v>2.1860132885887947E-2</v>
      </c>
      <c r="AN295" s="10">
        <f t="shared" si="11"/>
        <v>1.9688490876764633E-2</v>
      </c>
      <c r="AO295" s="10">
        <f t="shared" si="11"/>
        <v>2.5360871797797682E-2</v>
      </c>
      <c r="AP295" s="10">
        <f t="shared" si="11"/>
        <v>1.6547907038037591E-2</v>
      </c>
      <c r="AQ295" s="10">
        <f t="shared" si="11"/>
        <v>2.9300293763984232E-2</v>
      </c>
      <c r="AR295" s="10">
        <f t="shared" si="11"/>
        <v>1.8652282676672922E-2</v>
      </c>
    </row>
    <row r="296" spans="24:45" x14ac:dyDescent="0.3">
      <c r="X296" s="1" t="s">
        <v>72</v>
      </c>
      <c r="Y296" s="10">
        <f t="shared" si="12"/>
        <v>2.9486362054712688E-2</v>
      </c>
      <c r="Z296" s="10">
        <f t="shared" si="11"/>
        <v>3.1543233811554862E-2</v>
      </c>
      <c r="AA296" s="10">
        <f t="shared" si="11"/>
        <v>1.1433563777254427E-2</v>
      </c>
      <c r="AB296" s="10">
        <f t="shared" si="11"/>
        <v>1.0693417183302993E-2</v>
      </c>
      <c r="AC296" s="10">
        <f t="shared" si="11"/>
        <v>2.7079580564734512E-2</v>
      </c>
      <c r="AD296" s="10">
        <f t="shared" si="11"/>
        <v>2.6089269163059418E-2</v>
      </c>
      <c r="AE296" s="10">
        <f t="shared" si="11"/>
        <v>2.1831656798672432E-2</v>
      </c>
      <c r="AF296" s="10">
        <f t="shared" si="11"/>
        <v>3.0327047379115672E-2</v>
      </c>
      <c r="AG296" s="10">
        <f t="shared" si="11"/>
        <v>2.2197674852009856E-2</v>
      </c>
      <c r="AH296" s="10">
        <f t="shared" si="11"/>
        <v>2.6490861920887867E-2</v>
      </c>
      <c r="AI296" s="10">
        <f t="shared" si="11"/>
        <v>2.320261639948315E-2</v>
      </c>
      <c r="AJ296" s="10">
        <f t="shared" si="11"/>
        <v>2.482477195643162E-2</v>
      </c>
      <c r="AK296" s="10">
        <f t="shared" si="11"/>
        <v>2.4122242252553872E-2</v>
      </c>
      <c r="AL296" s="10">
        <f t="shared" si="11"/>
        <v>2.4946949089607734E-2</v>
      </c>
      <c r="AM296" s="10">
        <f t="shared" si="11"/>
        <v>2.7178101162621874E-2</v>
      </c>
      <c r="AN296" s="10">
        <f t="shared" si="11"/>
        <v>2.2680381600498453E-2</v>
      </c>
      <c r="AO296" s="10">
        <f t="shared" si="11"/>
        <v>2.9880951468367431E-2</v>
      </c>
      <c r="AP296" s="10">
        <f t="shared" si="11"/>
        <v>2.5373271368638144E-2</v>
      </c>
      <c r="AQ296" s="10">
        <f t="shared" si="11"/>
        <v>3.0927881254145535E-2</v>
      </c>
      <c r="AR296" s="10">
        <f t="shared" si="11"/>
        <v>2.7263682508682555E-2</v>
      </c>
    </row>
    <row r="297" spans="24:45" x14ac:dyDescent="0.3">
      <c r="X297" s="1" t="s">
        <v>73</v>
      </c>
      <c r="Y297" s="10">
        <f t="shared" si="12"/>
        <v>3.5091932709278163E-2</v>
      </c>
      <c r="Z297" s="10">
        <f t="shared" si="11"/>
        <v>2.8406876954220166E-2</v>
      </c>
      <c r="AA297" s="10">
        <f t="shared" si="11"/>
        <v>1.3674800044470893E-2</v>
      </c>
      <c r="AB297" s="10">
        <f t="shared" si="11"/>
        <v>1.3817478741156261E-2</v>
      </c>
      <c r="AC297" s="10">
        <f t="shared" si="11"/>
        <v>9.0037649194948069E-2</v>
      </c>
      <c r="AD297" s="10">
        <f t="shared" si="11"/>
        <v>2.2491277249276836E-2</v>
      </c>
      <c r="AE297" s="10">
        <f t="shared" si="11"/>
        <v>3.620999640417117E-2</v>
      </c>
      <c r="AF297" s="10">
        <f t="shared" si="11"/>
        <v>2.5316400756931302E-2</v>
      </c>
      <c r="AG297" s="10">
        <f t="shared" si="11"/>
        <v>3.7237393955208205E-2</v>
      </c>
      <c r="AH297" s="10">
        <f t="shared" si="11"/>
        <v>2.5096061479346787E-2</v>
      </c>
      <c r="AI297" s="10">
        <f t="shared" si="11"/>
        <v>3.8827797301893209E-2</v>
      </c>
      <c r="AJ297" s="10">
        <f t="shared" si="11"/>
        <v>2.5625183214197125E-2</v>
      </c>
      <c r="AK297" s="10">
        <f t="shared" si="11"/>
        <v>3.9871431851228288E-2</v>
      </c>
      <c r="AL297" s="10">
        <f t="shared" si="11"/>
        <v>2.8464435458919673E-2</v>
      </c>
      <c r="AM297" s="10">
        <f t="shared" si="11"/>
        <v>4.1413912536820641E-2</v>
      </c>
      <c r="AN297" s="10">
        <f t="shared" si="11"/>
        <v>3.684394317186284E-2</v>
      </c>
      <c r="AO297" s="10">
        <f t="shared" si="11"/>
        <v>4.4121331969849867E-2</v>
      </c>
      <c r="AP297" s="10">
        <f t="shared" si="11"/>
        <v>4.1745806962556295E-2</v>
      </c>
      <c r="AQ297" s="10">
        <f t="shared" si="11"/>
        <v>4.4633043107525659E-2</v>
      </c>
      <c r="AR297" s="10">
        <f t="shared" si="11"/>
        <v>4.941005946817302E-2</v>
      </c>
    </row>
    <row r="298" spans="24:45" x14ac:dyDescent="0.3">
      <c r="AS298" s="6">
        <f>AVERAGE(Y290:AR297)</f>
        <v>4.1135701624387254E-2</v>
      </c>
    </row>
    <row r="300" spans="24:45" x14ac:dyDescent="0.3">
      <c r="X300" s="9" t="s">
        <v>79</v>
      </c>
    </row>
    <row r="301" spans="24:45" x14ac:dyDescent="0.3">
      <c r="X301" s="1" t="s">
        <v>6</v>
      </c>
      <c r="Y301" s="1" t="s">
        <v>63</v>
      </c>
      <c r="Z301" s="1" t="s">
        <v>64</v>
      </c>
      <c r="AA301" s="1" t="s">
        <v>63</v>
      </c>
      <c r="AB301" s="1" t="s">
        <v>64</v>
      </c>
      <c r="AC301" s="1" t="s">
        <v>63</v>
      </c>
      <c r="AD301" s="1" t="s">
        <v>64</v>
      </c>
      <c r="AE301" s="1" t="s">
        <v>63</v>
      </c>
      <c r="AF301" s="1" t="s">
        <v>64</v>
      </c>
      <c r="AG301" s="1" t="s">
        <v>63</v>
      </c>
      <c r="AH301" s="1" t="s">
        <v>64</v>
      </c>
      <c r="AI301" s="1" t="s">
        <v>63</v>
      </c>
      <c r="AJ301" s="1" t="s">
        <v>64</v>
      </c>
      <c r="AK301" s="1" t="s">
        <v>63</v>
      </c>
      <c r="AL301" s="1" t="s">
        <v>64</v>
      </c>
      <c r="AM301" s="1" t="s">
        <v>63</v>
      </c>
      <c r="AN301" s="1" t="s">
        <v>64</v>
      </c>
      <c r="AO301" s="1" t="s">
        <v>63</v>
      </c>
      <c r="AP301" s="1" t="s">
        <v>64</v>
      </c>
      <c r="AQ301" s="1" t="s">
        <v>63</v>
      </c>
      <c r="AR301" s="1" t="s">
        <v>64</v>
      </c>
    </row>
    <row r="302" spans="24:45" x14ac:dyDescent="0.3">
      <c r="X302" s="1" t="s">
        <v>65</v>
      </c>
      <c r="Y302" s="1" t="s">
        <v>53</v>
      </c>
      <c r="Z302" s="1" t="s">
        <v>53</v>
      </c>
      <c r="AA302" s="1" t="s">
        <v>54</v>
      </c>
      <c r="AB302" s="1" t="s">
        <v>54</v>
      </c>
      <c r="AC302" s="1" t="s">
        <v>55</v>
      </c>
      <c r="AD302" s="1" t="s">
        <v>55</v>
      </c>
      <c r="AE302" s="1" t="s">
        <v>56</v>
      </c>
      <c r="AF302" s="1" t="s">
        <v>56</v>
      </c>
      <c r="AG302" s="1" t="s">
        <v>57</v>
      </c>
      <c r="AH302" s="1" t="s">
        <v>57</v>
      </c>
      <c r="AI302" s="1" t="s">
        <v>58</v>
      </c>
      <c r="AJ302" s="1" t="s">
        <v>58</v>
      </c>
      <c r="AK302" s="1" t="s">
        <v>59</v>
      </c>
      <c r="AL302" s="1" t="s">
        <v>59</v>
      </c>
      <c r="AM302" s="1" t="s">
        <v>60</v>
      </c>
      <c r="AN302" s="1" t="s">
        <v>60</v>
      </c>
      <c r="AO302" s="1" t="s">
        <v>61</v>
      </c>
      <c r="AP302" s="1" t="s">
        <v>61</v>
      </c>
      <c r="AQ302" s="1" t="s">
        <v>62</v>
      </c>
      <c r="AR302" s="1" t="s">
        <v>62</v>
      </c>
    </row>
    <row r="303" spans="24:45" x14ac:dyDescent="0.3">
      <c r="X303" s="1" t="s">
        <v>7</v>
      </c>
      <c r="Y303">
        <v>1.3</v>
      </c>
      <c r="Z303">
        <v>1.3</v>
      </c>
      <c r="AA303">
        <v>1.3</v>
      </c>
      <c r="AB303">
        <v>1.3</v>
      </c>
      <c r="AC303">
        <v>0.5</v>
      </c>
      <c r="AD303">
        <v>0.5</v>
      </c>
      <c r="AE303">
        <v>1.6</v>
      </c>
      <c r="AF303">
        <v>1.6</v>
      </c>
      <c r="AG303">
        <v>2</v>
      </c>
      <c r="AH303">
        <v>2</v>
      </c>
      <c r="AI303">
        <v>3.6</v>
      </c>
      <c r="AJ303">
        <v>3.6</v>
      </c>
      <c r="AK303">
        <v>2.9</v>
      </c>
      <c r="AL303">
        <v>2.9</v>
      </c>
      <c r="AM303">
        <v>3.8</v>
      </c>
      <c r="AN303">
        <v>3.8</v>
      </c>
      <c r="AO303">
        <v>3.4</v>
      </c>
      <c r="AP303">
        <v>3.4</v>
      </c>
      <c r="AQ303">
        <v>4.5</v>
      </c>
      <c r="AR303">
        <v>4.5</v>
      </c>
    </row>
    <row r="304" spans="24:45" x14ac:dyDescent="0.3">
      <c r="X304" s="1" t="s">
        <v>66</v>
      </c>
      <c r="Y304" s="10">
        <f>Y107/(Y135+Y163+Y191+Y107)</f>
        <v>0.86898484734586923</v>
      </c>
      <c r="Z304" s="10">
        <f t="shared" ref="Z304:AR311" si="13">Z107/(Z135+Z163+Z191+Z107)</f>
        <v>0.87209937312048358</v>
      </c>
      <c r="AA304" s="10">
        <f t="shared" si="13"/>
        <v>0.94678906704328325</v>
      </c>
      <c r="AB304" s="10">
        <f t="shared" si="13"/>
        <v>0.9408391416413745</v>
      </c>
      <c r="AC304" s="10">
        <f t="shared" si="13"/>
        <v>0.9095121335592975</v>
      </c>
      <c r="AD304" s="10">
        <f t="shared" si="13"/>
        <v>0.90443608843618362</v>
      </c>
      <c r="AE304" s="10">
        <f t="shared" si="13"/>
        <v>0.89857072290709161</v>
      </c>
      <c r="AF304" s="10">
        <f t="shared" si="13"/>
        <v>0.86995471870215335</v>
      </c>
      <c r="AG304" s="10">
        <f t="shared" si="13"/>
        <v>0.91269680197859726</v>
      </c>
      <c r="AH304" s="10">
        <f t="shared" si="13"/>
        <v>0.86476490208736823</v>
      </c>
      <c r="AI304" s="10">
        <f t="shared" si="13"/>
        <v>0.91719178915768551</v>
      </c>
      <c r="AJ304" s="10">
        <f t="shared" si="13"/>
        <v>0.83656250635330476</v>
      </c>
      <c r="AK304" s="10">
        <f t="shared" si="13"/>
        <v>0.87391266145329927</v>
      </c>
      <c r="AL304" s="10">
        <f t="shared" si="13"/>
        <v>0.8115588115588116</v>
      </c>
      <c r="AM304" s="10">
        <f t="shared" si="13"/>
        <v>0.88908910152851994</v>
      </c>
      <c r="AN304" s="10">
        <f t="shared" si="13"/>
        <v>0.870238954374148</v>
      </c>
      <c r="AO304" s="10">
        <f t="shared" si="13"/>
        <v>0.84323302347565776</v>
      </c>
      <c r="AP304" s="10">
        <f t="shared" si="13"/>
        <v>0.76479426722145161</v>
      </c>
      <c r="AQ304" s="10">
        <f t="shared" si="13"/>
        <v>0.83556638246041415</v>
      </c>
      <c r="AR304" s="10">
        <f t="shared" si="13"/>
        <v>0.73654390934844194</v>
      </c>
    </row>
    <row r="305" spans="24:45" x14ac:dyDescent="0.3">
      <c r="X305" s="1" t="s">
        <v>67</v>
      </c>
      <c r="Y305" s="10">
        <f t="shared" ref="Y305:AN311" si="14">Y108/(Y136+Y164+Y192+Y108)</f>
        <v>0.93977833301300528</v>
      </c>
      <c r="Z305" s="10">
        <f t="shared" si="14"/>
        <v>0.91420514485109139</v>
      </c>
      <c r="AA305" s="10">
        <f t="shared" si="14"/>
        <v>0.96704504719799256</v>
      </c>
      <c r="AB305" s="10">
        <f t="shared" si="14"/>
        <v>0.94491011041100637</v>
      </c>
      <c r="AC305" s="10">
        <f t="shared" si="14"/>
        <v>0.9463007792483169</v>
      </c>
      <c r="AD305" s="10">
        <f t="shared" si="14"/>
        <v>0.9298267637459201</v>
      </c>
      <c r="AE305" s="10">
        <f t="shared" si="14"/>
        <v>0.95761178884207276</v>
      </c>
      <c r="AF305" s="10">
        <f t="shared" si="14"/>
        <v>0.90783364777294728</v>
      </c>
      <c r="AG305" s="10">
        <f t="shared" si="14"/>
        <v>0.95487920416864047</v>
      </c>
      <c r="AH305" s="10">
        <f t="shared" si="14"/>
        <v>0.91007239477607904</v>
      </c>
      <c r="AI305" s="10">
        <f t="shared" si="14"/>
        <v>0.95542155465409495</v>
      </c>
      <c r="AJ305" s="10">
        <f t="shared" si="14"/>
        <v>0.90883786898324626</v>
      </c>
      <c r="AK305" s="10">
        <f t="shared" si="14"/>
        <v>0.94282387190684136</v>
      </c>
      <c r="AL305" s="10">
        <f t="shared" si="14"/>
        <v>0.9255925641570153</v>
      </c>
      <c r="AM305" s="10">
        <f t="shared" si="14"/>
        <v>0.94064807341643497</v>
      </c>
      <c r="AN305" s="10">
        <f t="shared" si="14"/>
        <v>0.935145202228302</v>
      </c>
      <c r="AO305" s="10">
        <f t="shared" si="13"/>
        <v>0.94631887917208823</v>
      </c>
      <c r="AP305" s="10">
        <f t="shared" si="13"/>
        <v>0.91368740515933222</v>
      </c>
      <c r="AQ305" s="10">
        <f t="shared" si="13"/>
        <v>0.93804218119410587</v>
      </c>
      <c r="AR305" s="10">
        <f t="shared" si="13"/>
        <v>0.90909912556205796</v>
      </c>
    </row>
    <row r="306" spans="24:45" x14ac:dyDescent="0.3">
      <c r="X306" s="1" t="s">
        <v>68</v>
      </c>
      <c r="Y306" s="10">
        <f t="shared" si="14"/>
        <v>0.91916892246777904</v>
      </c>
      <c r="Z306" s="10">
        <f t="shared" si="13"/>
        <v>0.90403304778597926</v>
      </c>
      <c r="AA306" s="10">
        <f t="shared" si="13"/>
        <v>0.95026953930126101</v>
      </c>
      <c r="AB306" s="10">
        <f t="shared" si="13"/>
        <v>0.94006138756473123</v>
      </c>
      <c r="AC306" s="10">
        <f t="shared" si="13"/>
        <v>0.90694534028885798</v>
      </c>
      <c r="AD306" s="10">
        <f t="shared" si="13"/>
        <v>0.90022849570827301</v>
      </c>
      <c r="AE306" s="10">
        <f t="shared" si="13"/>
        <v>0.92075745107159468</v>
      </c>
      <c r="AF306" s="10">
        <f t="shared" si="13"/>
        <v>0.89168078150234376</v>
      </c>
      <c r="AG306" s="10">
        <f t="shared" si="13"/>
        <v>0.9136476172588659</v>
      </c>
      <c r="AH306" s="10">
        <f t="shared" si="13"/>
        <v>0.88476748812394235</v>
      </c>
      <c r="AI306" s="10">
        <f t="shared" si="13"/>
        <v>0.91618331548856635</v>
      </c>
      <c r="AJ306" s="10">
        <f t="shared" si="13"/>
        <v>0.88032700752445092</v>
      </c>
      <c r="AK306" s="10">
        <f t="shared" si="13"/>
        <v>0.90083646398390682</v>
      </c>
      <c r="AL306" s="10">
        <f t="shared" si="13"/>
        <v>0.88641502468737032</v>
      </c>
      <c r="AM306" s="10">
        <f t="shared" si="13"/>
        <v>0.90171248582408725</v>
      </c>
      <c r="AN306" s="10">
        <f t="shared" si="13"/>
        <v>0.89973395575159976</v>
      </c>
      <c r="AO306" s="10">
        <f t="shared" si="13"/>
        <v>0.91111633626155897</v>
      </c>
      <c r="AP306" s="10">
        <f t="shared" si="13"/>
        <v>0.87289360869263266</v>
      </c>
      <c r="AQ306" s="10">
        <f t="shared" si="13"/>
        <v>0.89719034526417696</v>
      </c>
      <c r="AR306" s="10">
        <f t="shared" si="13"/>
        <v>0.88879051558371491</v>
      </c>
    </row>
    <row r="307" spans="24:45" x14ac:dyDescent="0.3">
      <c r="X307" s="1" t="s">
        <v>69</v>
      </c>
      <c r="Y307" s="10">
        <f t="shared" si="14"/>
        <v>0.90219691171836314</v>
      </c>
      <c r="Z307" s="10">
        <f t="shared" si="13"/>
        <v>0.89306843620083143</v>
      </c>
      <c r="AA307" s="10">
        <f t="shared" si="13"/>
        <v>0.94614672312798476</v>
      </c>
      <c r="AB307" s="10">
        <f t="shared" si="13"/>
        <v>0.92912042834319275</v>
      </c>
      <c r="AC307" s="10">
        <f t="shared" si="13"/>
        <v>0.90185547678186639</v>
      </c>
      <c r="AD307" s="10">
        <f t="shared" si="13"/>
        <v>0.91026153190582726</v>
      </c>
      <c r="AE307" s="10">
        <f t="shared" si="13"/>
        <v>0.89851858357852821</v>
      </c>
      <c r="AF307" s="10">
        <f t="shared" si="13"/>
        <v>0.89878234398782342</v>
      </c>
      <c r="AG307" s="10">
        <f t="shared" si="13"/>
        <v>0.89647464894741236</v>
      </c>
      <c r="AH307" s="10">
        <f t="shared" si="13"/>
        <v>0.88694464529605521</v>
      </c>
      <c r="AI307" s="10">
        <f t="shared" si="13"/>
        <v>0.89500205833473101</v>
      </c>
      <c r="AJ307" s="10">
        <f t="shared" si="13"/>
        <v>0.88057795030025543</v>
      </c>
      <c r="AK307" s="10">
        <f t="shared" si="13"/>
        <v>0.88649974466504688</v>
      </c>
      <c r="AL307" s="10">
        <f t="shared" si="13"/>
        <v>0.88811006422586647</v>
      </c>
      <c r="AM307" s="10">
        <f t="shared" si="13"/>
        <v>0.88575242129415144</v>
      </c>
      <c r="AN307" s="10">
        <f t="shared" si="13"/>
        <v>0.88279413026688414</v>
      </c>
      <c r="AO307" s="10">
        <f t="shared" si="13"/>
        <v>0.88974686780874446</v>
      </c>
      <c r="AP307" s="10">
        <f t="shared" si="13"/>
        <v>0.87904655711334934</v>
      </c>
      <c r="AQ307" s="10">
        <f t="shared" si="13"/>
        <v>0.87997782500230992</v>
      </c>
      <c r="AR307" s="10">
        <f t="shared" si="13"/>
        <v>0.88284663938406049</v>
      </c>
    </row>
    <row r="308" spans="24:45" x14ac:dyDescent="0.3">
      <c r="X308" s="1" t="s">
        <v>70</v>
      </c>
      <c r="Y308" s="10">
        <f t="shared" si="14"/>
        <v>0.91323927301284114</v>
      </c>
      <c r="Z308" s="10">
        <f t="shared" si="13"/>
        <v>0.9168739118382031</v>
      </c>
      <c r="AA308" s="10">
        <f t="shared" si="13"/>
        <v>0.95098232153491091</v>
      </c>
      <c r="AB308" s="10">
        <f t="shared" si="13"/>
        <v>0.95144076715347548</v>
      </c>
      <c r="AC308" s="10">
        <f t="shared" si="13"/>
        <v>0.92179711430284217</v>
      </c>
      <c r="AD308" s="10">
        <f t="shared" si="13"/>
        <v>0.92754646484705394</v>
      </c>
      <c r="AE308" s="10">
        <f t="shared" si="13"/>
        <v>0.91771407928990001</v>
      </c>
      <c r="AF308" s="10">
        <f t="shared" si="13"/>
        <v>0.91357957420309033</v>
      </c>
      <c r="AG308" s="10">
        <f t="shared" si="13"/>
        <v>0.91282593790617372</v>
      </c>
      <c r="AH308" s="10">
        <f t="shared" si="13"/>
        <v>0.91711921436675925</v>
      </c>
      <c r="AI308" s="10">
        <f t="shared" si="13"/>
        <v>0.91482117351723347</v>
      </c>
      <c r="AJ308" s="10">
        <f t="shared" si="13"/>
        <v>0.92200902791022954</v>
      </c>
      <c r="AK308" s="10">
        <f t="shared" si="13"/>
        <v>0.91106624561114369</v>
      </c>
      <c r="AL308" s="10">
        <f t="shared" si="13"/>
        <v>0.92227170105980283</v>
      </c>
      <c r="AM308" s="10">
        <f t="shared" si="13"/>
        <v>0.90750376208330152</v>
      </c>
      <c r="AN308" s="10">
        <f t="shared" si="13"/>
        <v>0.91368642436647363</v>
      </c>
      <c r="AO308" s="10">
        <f t="shared" si="13"/>
        <v>0.90046638877951424</v>
      </c>
      <c r="AP308" s="10">
        <f t="shared" si="13"/>
        <v>0.92010841764709794</v>
      </c>
      <c r="AQ308" s="10">
        <f t="shared" si="13"/>
        <v>0.90254659412875149</v>
      </c>
      <c r="AR308" s="10">
        <f t="shared" si="13"/>
        <v>0.91439561174660511</v>
      </c>
    </row>
    <row r="309" spans="24:45" x14ac:dyDescent="0.3">
      <c r="X309" s="1" t="s">
        <v>71</v>
      </c>
      <c r="Y309" s="10">
        <f t="shared" si="14"/>
        <v>0.93313539737683837</v>
      </c>
      <c r="Z309" s="10">
        <f t="shared" si="13"/>
        <v>0.94426345766017328</v>
      </c>
      <c r="AA309" s="10">
        <f t="shared" si="13"/>
        <v>0.96596054849437396</v>
      </c>
      <c r="AB309" s="10">
        <f t="shared" si="13"/>
        <v>0.97123177020921536</v>
      </c>
      <c r="AC309" s="10">
        <f t="shared" si="13"/>
        <v>0.93867746797287122</v>
      </c>
      <c r="AD309" s="10">
        <f t="shared" si="13"/>
        <v>0.95363904144160438</v>
      </c>
      <c r="AE309" s="10">
        <f t="shared" si="13"/>
        <v>0.94590166066296477</v>
      </c>
      <c r="AF309" s="10">
        <f t="shared" si="13"/>
        <v>0.94636869466701989</v>
      </c>
      <c r="AG309" s="10">
        <f t="shared" si="13"/>
        <v>0.94545227594241488</v>
      </c>
      <c r="AH309" s="10">
        <f t="shared" si="13"/>
        <v>0.94575692494080077</v>
      </c>
      <c r="AI309" s="10">
        <f t="shared" si="13"/>
        <v>0.93968157974310773</v>
      </c>
      <c r="AJ309" s="10">
        <f t="shared" si="13"/>
        <v>0.9524754103415316</v>
      </c>
      <c r="AK309" s="10">
        <f t="shared" si="13"/>
        <v>0.94061213957735113</v>
      </c>
      <c r="AL309" s="10">
        <f t="shared" si="13"/>
        <v>0.95627328408158108</v>
      </c>
      <c r="AM309" s="10">
        <f t="shared" si="13"/>
        <v>0.93885362336419631</v>
      </c>
      <c r="AN309" s="10">
        <f t="shared" si="13"/>
        <v>0.94688286044358516</v>
      </c>
      <c r="AO309" s="10">
        <f t="shared" si="13"/>
        <v>0.9311633479774063</v>
      </c>
      <c r="AP309" s="10">
        <f t="shared" si="13"/>
        <v>0.95935502696800545</v>
      </c>
      <c r="AQ309" s="10">
        <f t="shared" si="13"/>
        <v>0.93091219044429907</v>
      </c>
      <c r="AR309" s="10">
        <f t="shared" si="13"/>
        <v>0.9491244527829894</v>
      </c>
    </row>
    <row r="310" spans="24:45" x14ac:dyDescent="0.3">
      <c r="X310" s="1" t="s">
        <v>72</v>
      </c>
      <c r="Y310" s="10">
        <f t="shared" si="14"/>
        <v>0.94886952184223383</v>
      </c>
      <c r="Z310" s="10">
        <f t="shared" si="13"/>
        <v>0.94426521907716177</v>
      </c>
      <c r="AA310" s="10">
        <f t="shared" si="13"/>
        <v>0.97116647312271409</v>
      </c>
      <c r="AB310" s="10">
        <f t="shared" si="13"/>
        <v>0.97254628812939758</v>
      </c>
      <c r="AC310" s="10">
        <f t="shared" si="13"/>
        <v>0.94876113901248993</v>
      </c>
      <c r="AD310" s="10">
        <f t="shared" si="13"/>
        <v>0.95359503976405524</v>
      </c>
      <c r="AE310" s="10">
        <f t="shared" si="13"/>
        <v>0.95129171703099713</v>
      </c>
      <c r="AF310" s="10">
        <f t="shared" si="13"/>
        <v>0.94427965906896771</v>
      </c>
      <c r="AG310" s="10">
        <f t="shared" si="13"/>
        <v>0.94917677833837644</v>
      </c>
      <c r="AH310" s="10">
        <f t="shared" si="13"/>
        <v>0.94867664357115622</v>
      </c>
      <c r="AI310" s="10">
        <f t="shared" si="13"/>
        <v>0.9490970577870651</v>
      </c>
      <c r="AJ310" s="10">
        <f t="shared" si="13"/>
        <v>0.95185230536815224</v>
      </c>
      <c r="AK310" s="10">
        <f t="shared" si="13"/>
        <v>0.95063953987466732</v>
      </c>
      <c r="AL310" s="10">
        <f t="shared" si="13"/>
        <v>0.95356050156002448</v>
      </c>
      <c r="AM310" s="10">
        <f t="shared" si="13"/>
        <v>0.94572756005762848</v>
      </c>
      <c r="AN310" s="10">
        <f t="shared" si="13"/>
        <v>0.95028896126911644</v>
      </c>
      <c r="AO310" s="10">
        <f t="shared" si="13"/>
        <v>0.94023426420648371</v>
      </c>
      <c r="AP310" s="10">
        <f t="shared" si="13"/>
        <v>0.95307798793666043</v>
      </c>
      <c r="AQ310" s="10">
        <f t="shared" si="13"/>
        <v>0.94223598587383262</v>
      </c>
      <c r="AR310" s="10">
        <f t="shared" si="13"/>
        <v>0.94786782249818069</v>
      </c>
    </row>
    <row r="311" spans="24:45" x14ac:dyDescent="0.3">
      <c r="X311" s="1" t="s">
        <v>73</v>
      </c>
      <c r="Y311" s="10">
        <f t="shared" si="14"/>
        <v>0.94546033377270389</v>
      </c>
      <c r="Z311" s="10">
        <f t="shared" si="13"/>
        <v>0.95863943509375504</v>
      </c>
      <c r="AA311" s="10">
        <f t="shared" si="13"/>
        <v>0.97751603895127159</v>
      </c>
      <c r="AB311" s="10">
        <f t="shared" si="13"/>
        <v>0.97622580863654007</v>
      </c>
      <c r="AC311" s="10">
        <f t="shared" si="13"/>
        <v>0.89530319617633713</v>
      </c>
      <c r="AD311" s="10">
        <f t="shared" si="13"/>
        <v>0.96729788566486752</v>
      </c>
      <c r="AE311" s="10">
        <f t="shared" si="13"/>
        <v>0.94558612010068321</v>
      </c>
      <c r="AF311" s="10">
        <f t="shared" si="13"/>
        <v>0.9641021857259422</v>
      </c>
      <c r="AG311" s="10">
        <f t="shared" si="13"/>
        <v>0.94388615578481094</v>
      </c>
      <c r="AH311" s="10">
        <f t="shared" si="13"/>
        <v>0.96551023424222282</v>
      </c>
      <c r="AI311" s="10">
        <f t="shared" si="13"/>
        <v>0.94626459585081057</v>
      </c>
      <c r="AJ311" s="10">
        <f t="shared" si="13"/>
        <v>0.96500777955667794</v>
      </c>
      <c r="AK311" s="10">
        <f t="shared" si="13"/>
        <v>0.94400015305731999</v>
      </c>
      <c r="AL311" s="10">
        <f t="shared" si="13"/>
        <v>0.95949579114700578</v>
      </c>
      <c r="AM311" s="10">
        <f t="shared" si="13"/>
        <v>0.94587770692389872</v>
      </c>
      <c r="AN311" s="10">
        <f t="shared" si="13"/>
        <v>0.95089107940378237</v>
      </c>
      <c r="AO311" s="10">
        <f t="shared" si="13"/>
        <v>0.93850779826765363</v>
      </c>
      <c r="AP311" s="10">
        <f t="shared" si="13"/>
        <v>0.94604589354148061</v>
      </c>
      <c r="AQ311" s="10">
        <f t="shared" si="13"/>
        <v>0.93796007008053928</v>
      </c>
      <c r="AR311" s="10">
        <f t="shared" si="13"/>
        <v>0.93645439644545592</v>
      </c>
    </row>
    <row r="312" spans="24:45" x14ac:dyDescent="0.3">
      <c r="AS312" s="6">
        <f>AVERAGE(Y304:AR311)</f>
        <v>0.92119287841777453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262:AR26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2026-01-26T16:29:40Z</dcterms:created>
  <dcterms:modified xsi:type="dcterms:W3CDTF">2026-01-26T16:37:12Z</dcterms:modified>
</cp:coreProperties>
</file>