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6\vot4.5_toll7_2.5medium\"/>
    </mc:Choice>
  </mc:AlternateContent>
  <xr:revisionPtr revIDLastSave="0" documentId="13_ncr:1_{45D13C3A-B107-4632-AC9E-E3521C18E1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AS312" i="2"/>
  <c r="AS284" i="2"/>
  <c r="AS270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Y305" i="2"/>
  <c r="Y306" i="2"/>
  <c r="Y307" i="2"/>
  <c r="Y308" i="2"/>
  <c r="Y309" i="2"/>
  <c r="Y310" i="2"/>
  <c r="Y311" i="2"/>
  <c r="Y304" i="2"/>
  <c r="AS298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Y291" i="2"/>
  <c r="Y292" i="2"/>
  <c r="Y293" i="2"/>
  <c r="Y294" i="2"/>
  <c r="Y295" i="2"/>
  <c r="Y296" i="2"/>
  <c r="Y297" i="2"/>
  <c r="Y290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Y277" i="2"/>
  <c r="Y278" i="2"/>
  <c r="Y279" i="2"/>
  <c r="Y280" i="2"/>
  <c r="Y281" i="2"/>
  <c r="Y282" i="2"/>
  <c r="Y283" i="2"/>
  <c r="Y276" i="2"/>
  <c r="AQ262" i="2"/>
  <c r="AR262" i="2"/>
  <c r="AQ263" i="2"/>
  <c r="AR263" i="2"/>
  <c r="AQ264" i="2"/>
  <c r="AR264" i="2"/>
  <c r="AQ265" i="2"/>
  <c r="AR265" i="2"/>
  <c r="AQ266" i="2"/>
  <c r="AR266" i="2"/>
  <c r="AQ267" i="2"/>
  <c r="AR267" i="2"/>
  <c r="AQ268" i="2"/>
  <c r="AR268" i="2"/>
  <c r="AQ269" i="2"/>
  <c r="AR269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Y263" i="2"/>
  <c r="Y264" i="2"/>
  <c r="Y265" i="2"/>
  <c r="Y266" i="2"/>
  <c r="Y267" i="2"/>
  <c r="Y268" i="2"/>
  <c r="Y269" i="2"/>
  <c r="Y262" i="2"/>
  <c r="AO248" i="2" l="1"/>
  <c r="AP248" i="2"/>
  <c r="AQ248" i="2"/>
  <c r="AR248" i="2"/>
  <c r="AO249" i="2"/>
  <c r="AP249" i="2"/>
  <c r="AQ249" i="2"/>
  <c r="AR249" i="2"/>
  <c r="AO250" i="2"/>
  <c r="AP250" i="2"/>
  <c r="AQ250" i="2"/>
  <c r="AR250" i="2"/>
  <c r="AO251" i="2"/>
  <c r="AP251" i="2"/>
  <c r="AQ251" i="2"/>
  <c r="AR251" i="2"/>
  <c r="AO252" i="2"/>
  <c r="AP252" i="2"/>
  <c r="AQ252" i="2"/>
  <c r="AR252" i="2"/>
  <c r="AO253" i="2"/>
  <c r="AP253" i="2"/>
  <c r="AQ253" i="2"/>
  <c r="AR253" i="2"/>
  <c r="AO254" i="2"/>
  <c r="AP254" i="2"/>
  <c r="AQ254" i="2"/>
  <c r="AR254" i="2"/>
  <c r="AO255" i="2"/>
  <c r="AP255" i="2"/>
  <c r="AQ255" i="2"/>
  <c r="AR255" i="2"/>
  <c r="AF248" i="2"/>
  <c r="AG248" i="2"/>
  <c r="AH248" i="2"/>
  <c r="AI248" i="2"/>
  <c r="AJ248" i="2"/>
  <c r="AK248" i="2"/>
  <c r="AL248" i="2"/>
  <c r="AM248" i="2"/>
  <c r="AN248" i="2"/>
  <c r="AF249" i="2"/>
  <c r="AG249" i="2"/>
  <c r="AH249" i="2"/>
  <c r="AI249" i="2"/>
  <c r="AJ249" i="2"/>
  <c r="AK249" i="2"/>
  <c r="AL249" i="2"/>
  <c r="AM249" i="2"/>
  <c r="AN249" i="2"/>
  <c r="AF250" i="2"/>
  <c r="AG250" i="2"/>
  <c r="AH250" i="2"/>
  <c r="AI250" i="2"/>
  <c r="AJ250" i="2"/>
  <c r="AK250" i="2"/>
  <c r="AL250" i="2"/>
  <c r="AM250" i="2"/>
  <c r="AN250" i="2"/>
  <c r="AF251" i="2"/>
  <c r="AG251" i="2"/>
  <c r="AH251" i="2"/>
  <c r="AI251" i="2"/>
  <c r="AJ251" i="2"/>
  <c r="AK251" i="2"/>
  <c r="AL251" i="2"/>
  <c r="AM251" i="2"/>
  <c r="AN251" i="2"/>
  <c r="AF252" i="2"/>
  <c r="AG252" i="2"/>
  <c r="AH252" i="2"/>
  <c r="AI252" i="2"/>
  <c r="AJ252" i="2"/>
  <c r="AK252" i="2"/>
  <c r="AL252" i="2"/>
  <c r="AM252" i="2"/>
  <c r="AN252" i="2"/>
  <c r="AF253" i="2"/>
  <c r="AG253" i="2"/>
  <c r="AH253" i="2"/>
  <c r="AI253" i="2"/>
  <c r="AJ253" i="2"/>
  <c r="AK253" i="2"/>
  <c r="AL253" i="2"/>
  <c r="AM253" i="2"/>
  <c r="AN253" i="2"/>
  <c r="AF254" i="2"/>
  <c r="AG254" i="2"/>
  <c r="AH254" i="2"/>
  <c r="AI254" i="2"/>
  <c r="AJ254" i="2"/>
  <c r="AK254" i="2"/>
  <c r="AL254" i="2"/>
  <c r="AM254" i="2"/>
  <c r="AN254" i="2"/>
  <c r="AF255" i="2"/>
  <c r="AG255" i="2"/>
  <c r="AH255" i="2"/>
  <c r="AI255" i="2"/>
  <c r="AJ255" i="2"/>
  <c r="AK255" i="2"/>
  <c r="AL255" i="2"/>
  <c r="AM255" i="2"/>
  <c r="AN255" i="2"/>
  <c r="Z248" i="2"/>
  <c r="AA248" i="2"/>
  <c r="AB248" i="2"/>
  <c r="AC248" i="2"/>
  <c r="AD248" i="2"/>
  <c r="AE248" i="2"/>
  <c r="Z249" i="2"/>
  <c r="AA249" i="2"/>
  <c r="AB249" i="2"/>
  <c r="AC249" i="2"/>
  <c r="AD249" i="2"/>
  <c r="AE249" i="2"/>
  <c r="Z250" i="2"/>
  <c r="AA250" i="2"/>
  <c r="AB250" i="2"/>
  <c r="AC250" i="2"/>
  <c r="AD250" i="2"/>
  <c r="AE250" i="2"/>
  <c r="Z251" i="2"/>
  <c r="AA251" i="2"/>
  <c r="AB251" i="2"/>
  <c r="AC251" i="2"/>
  <c r="AD251" i="2"/>
  <c r="AE251" i="2"/>
  <c r="Z252" i="2"/>
  <c r="AA252" i="2"/>
  <c r="AB252" i="2"/>
  <c r="AC252" i="2"/>
  <c r="AD252" i="2"/>
  <c r="AE252" i="2"/>
  <c r="Z253" i="2"/>
  <c r="AA253" i="2"/>
  <c r="AB253" i="2"/>
  <c r="AC253" i="2"/>
  <c r="AD253" i="2"/>
  <c r="AE253" i="2"/>
  <c r="Z254" i="2"/>
  <c r="AA254" i="2"/>
  <c r="AB254" i="2"/>
  <c r="AC254" i="2"/>
  <c r="AD254" i="2"/>
  <c r="AE254" i="2"/>
  <c r="Z255" i="2"/>
  <c r="AA255" i="2"/>
  <c r="AB255" i="2"/>
  <c r="AC255" i="2"/>
  <c r="AD255" i="2"/>
  <c r="AE255" i="2"/>
  <c r="Y249" i="2"/>
  <c r="Y250" i="2"/>
  <c r="Y251" i="2"/>
  <c r="Y252" i="2"/>
  <c r="Y253" i="2"/>
  <c r="Y254" i="2"/>
  <c r="Y255" i="2"/>
  <c r="Y248" i="2"/>
  <c r="W101" i="2"/>
  <c r="W87" i="2"/>
  <c r="W73" i="2"/>
  <c r="W59" i="2"/>
  <c r="W45" i="2"/>
  <c r="AS241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Z233" i="2"/>
  <c r="AA233" i="2"/>
  <c r="AB233" i="2"/>
  <c r="AC233" i="2"/>
  <c r="AD233" i="2"/>
  <c r="AE233" i="2"/>
  <c r="AF233" i="2"/>
  <c r="Z234" i="2"/>
  <c r="AA234" i="2"/>
  <c r="AB234" i="2"/>
  <c r="AC234" i="2"/>
  <c r="AD234" i="2"/>
  <c r="AE234" i="2"/>
  <c r="AF234" i="2"/>
  <c r="Z235" i="2"/>
  <c r="AA235" i="2"/>
  <c r="AB235" i="2"/>
  <c r="AC235" i="2"/>
  <c r="AD235" i="2"/>
  <c r="AE235" i="2"/>
  <c r="AF235" i="2"/>
  <c r="Z236" i="2"/>
  <c r="AA236" i="2"/>
  <c r="AB236" i="2"/>
  <c r="AC236" i="2"/>
  <c r="AD236" i="2"/>
  <c r="AE236" i="2"/>
  <c r="AF236" i="2"/>
  <c r="Z237" i="2"/>
  <c r="AA237" i="2"/>
  <c r="AB237" i="2"/>
  <c r="AC237" i="2"/>
  <c r="AD237" i="2"/>
  <c r="AE237" i="2"/>
  <c r="AF237" i="2"/>
  <c r="Z238" i="2"/>
  <c r="AA238" i="2"/>
  <c r="AB238" i="2"/>
  <c r="AC238" i="2"/>
  <c r="AD238" i="2"/>
  <c r="AE238" i="2"/>
  <c r="AF238" i="2"/>
  <c r="Z239" i="2"/>
  <c r="AA239" i="2"/>
  <c r="AB239" i="2"/>
  <c r="AC239" i="2"/>
  <c r="AD239" i="2"/>
  <c r="AE239" i="2"/>
  <c r="AF239" i="2"/>
  <c r="Z240" i="2"/>
  <c r="AA240" i="2"/>
  <c r="AB240" i="2"/>
  <c r="AC240" i="2"/>
  <c r="AD240" i="2"/>
  <c r="AE240" i="2"/>
  <c r="AF240" i="2"/>
  <c r="Y234" i="2"/>
  <c r="Y235" i="2"/>
  <c r="Y236" i="2"/>
  <c r="Y237" i="2"/>
  <c r="Y238" i="2"/>
  <c r="Y239" i="2"/>
  <c r="Y240" i="2"/>
  <c r="Y233" i="2"/>
  <c r="AS256" i="2" l="1"/>
</calcChain>
</file>

<file path=xl/sharedStrings.xml><?xml version="1.0" encoding="utf-8"?>
<sst xmlns="http://schemas.openxmlformats.org/spreadsheetml/2006/main" count="3304" uniqueCount="80">
  <si>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</si>
  <si>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</si>
  <si>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</si>
  <si>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</si>
  <si>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</si>
  <si>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</si>
  <si>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</si>
  <si>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</si>
  <si>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</si>
  <si>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</si>
  <si>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</si>
  <si>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</si>
  <si>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</si>
  <si>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</si>
  <si>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</si>
  <si>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</si>
  <si>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</si>
  <si>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</si>
  <si>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</si>
  <si>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</si>
  <si>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</si>
  <si>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</si>
  <si>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</si>
  <si>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</si>
  <si>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</si>
  <si>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</si>
  <si>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</si>
  <si>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</si>
  <si>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</si>
  <si>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</si>
  <si>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</si>
  <si>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</si>
  <si>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</si>
  <si>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</si>
  <si>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</si>
  <si>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</si>
  <si>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</si>
  <si>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</si>
  <si>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</si>
  <si>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</si>
  <si>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</si>
  <si>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</si>
  <si>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</si>
  <si>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</si>
  <si>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</si>
  <si>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</si>
  <si>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</si>
  <si>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</si>
  <si>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</si>
  <si>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</si>
  <si>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</si>
  <si>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</si>
  <si>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</si>
  <si>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</si>
  <si>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</si>
  <si>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</si>
  <si>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</si>
  <si>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</si>
  <si>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</si>
  <si>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</si>
  <si>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</si>
  <si>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</si>
  <si>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</si>
  <si>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</si>
  <si>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</si>
  <si>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</si>
  <si>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</si>
  <si>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</si>
  <si>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</si>
  <si>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</si>
  <si>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</si>
  <si>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</si>
  <si>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</si>
  <si>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</si>
  <si>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 Heavies</t>
  </si>
  <si>
    <t>Capture Medium</t>
  </si>
  <si>
    <t>ML Medium A</t>
  </si>
  <si>
    <t>ML Medium B</t>
  </si>
  <si>
    <t>ML Heavy A</t>
  </si>
  <si>
    <t>ML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</si>
</sst>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9" fontId="0" fillId="0" borderId="2" xfId="1" applyFont="1" applyBorder="1"/>
    <xf numFmtId="9" fontId="0" fillId="0" borderId="0" xfId="1" applyFont="1"/>
    <xf numFmtId="164" fontId="0" fillId="0" borderId="0" xfId="1" applyNumberFormat="1" applyFont="1"/>
    <xf numFmtId="10" fontId="0" fillId="0" borderId="0" xfId="0" applyNumberFormat="1"/>
    <xf numFmtId="0" fontId="1" fillId="0" borderId="0" xfId="0" applyFont="1" applyAlignment="1">
      <alignment horizontal="center" vertical="top"/>
    </xf>
    <xf numFmtId="164" fontId="0" fillId="0" borderId="2" xfId="1" applyNumberFormat="1" applyFont="1" applyBorder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312"/>
  <sheetViews>
    <sheetView tabSelected="1" zoomScale="68" zoomScaleNormal="386" workbookViewId="0">
      <selection activeCell="M3" sqref="M3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  <c r="M3">
        <f>SUM(C3:L3)</f>
        <v>24.9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63</v>
      </c>
      <c r="D6" s="1" t="s">
        <v>64</v>
      </c>
      <c r="E6" s="1" t="s">
        <v>63</v>
      </c>
      <c r="F6" s="1" t="s">
        <v>64</v>
      </c>
      <c r="G6" s="1" t="s">
        <v>63</v>
      </c>
      <c r="H6" s="1" t="s">
        <v>64</v>
      </c>
      <c r="I6" s="1" t="s">
        <v>63</v>
      </c>
      <c r="J6" s="1" t="s">
        <v>64</v>
      </c>
      <c r="K6" s="1" t="s">
        <v>63</v>
      </c>
      <c r="L6" s="1" t="s">
        <v>64</v>
      </c>
      <c r="M6" s="1" t="s">
        <v>63</v>
      </c>
      <c r="N6" s="1" t="s">
        <v>64</v>
      </c>
      <c r="O6" s="1" t="s">
        <v>63</v>
      </c>
      <c r="P6" s="1" t="s">
        <v>64</v>
      </c>
      <c r="Q6" s="1" t="s">
        <v>63</v>
      </c>
      <c r="R6" s="1" t="s">
        <v>64</v>
      </c>
      <c r="S6" s="1" t="s">
        <v>63</v>
      </c>
      <c r="T6" s="1" t="s">
        <v>64</v>
      </c>
      <c r="U6" s="1" t="s">
        <v>63</v>
      </c>
      <c r="V6" s="1" t="s">
        <v>64</v>
      </c>
      <c r="X6" s="1" t="s">
        <v>6</v>
      </c>
      <c r="Y6" s="1" t="s">
        <v>63</v>
      </c>
      <c r="Z6" s="1" t="s">
        <v>64</v>
      </c>
      <c r="AA6" s="1" t="s">
        <v>63</v>
      </c>
      <c r="AB6" s="1" t="s">
        <v>64</v>
      </c>
      <c r="AC6" s="1" t="s">
        <v>63</v>
      </c>
      <c r="AD6" s="1" t="s">
        <v>64</v>
      </c>
      <c r="AE6" s="1" t="s">
        <v>63</v>
      </c>
      <c r="AF6" s="1" t="s">
        <v>64</v>
      </c>
      <c r="AG6" s="1" t="s">
        <v>63</v>
      </c>
      <c r="AH6" s="1" t="s">
        <v>64</v>
      </c>
      <c r="AI6" s="1" t="s">
        <v>63</v>
      </c>
      <c r="AJ6" s="1" t="s">
        <v>64</v>
      </c>
      <c r="AK6" s="1" t="s">
        <v>63</v>
      </c>
      <c r="AL6" s="1" t="s">
        <v>64</v>
      </c>
      <c r="AM6" s="1" t="s">
        <v>63</v>
      </c>
      <c r="AN6" s="1" t="s">
        <v>64</v>
      </c>
      <c r="AO6" s="1" t="s">
        <v>63</v>
      </c>
      <c r="AP6" s="1" t="s">
        <v>64</v>
      </c>
      <c r="AQ6" s="1" t="s">
        <v>63</v>
      </c>
      <c r="AR6" s="1" t="s">
        <v>64</v>
      </c>
      <c r="AU6" s="1" t="s">
        <v>6</v>
      </c>
      <c r="AV6" s="1" t="s">
        <v>63</v>
      </c>
      <c r="AW6" s="1" t="s">
        <v>64</v>
      </c>
      <c r="AX6" s="1" t="s">
        <v>63</v>
      </c>
      <c r="AY6" s="1" t="s">
        <v>64</v>
      </c>
      <c r="AZ6" s="1" t="s">
        <v>63</v>
      </c>
      <c r="BA6" s="1" t="s">
        <v>64</v>
      </c>
      <c r="BB6" s="1" t="s">
        <v>63</v>
      </c>
      <c r="BC6" s="1" t="s">
        <v>64</v>
      </c>
      <c r="BD6" s="1" t="s">
        <v>63</v>
      </c>
      <c r="BE6" s="1" t="s">
        <v>64</v>
      </c>
      <c r="BF6" s="1" t="s">
        <v>63</v>
      </c>
      <c r="BG6" s="1" t="s">
        <v>64</v>
      </c>
      <c r="BH6" s="1" t="s">
        <v>63</v>
      </c>
      <c r="BI6" s="1" t="s">
        <v>64</v>
      </c>
      <c r="BJ6" s="1" t="s">
        <v>63</v>
      </c>
      <c r="BK6" s="1" t="s">
        <v>64</v>
      </c>
      <c r="BL6" s="1" t="s">
        <v>63</v>
      </c>
      <c r="BM6" s="1" t="s">
        <v>64</v>
      </c>
      <c r="BN6" s="1" t="s">
        <v>63</v>
      </c>
      <c r="BO6" s="1" t="s">
        <v>64</v>
      </c>
      <c r="BR6" s="1" t="s">
        <v>6</v>
      </c>
      <c r="BS6" s="1" t="s">
        <v>63</v>
      </c>
      <c r="BT6" s="1" t="s">
        <v>64</v>
      </c>
      <c r="BU6" s="1" t="s">
        <v>63</v>
      </c>
      <c r="BV6" s="1" t="s">
        <v>64</v>
      </c>
      <c r="BW6" s="1" t="s">
        <v>63</v>
      </c>
      <c r="BX6" s="1" t="s">
        <v>64</v>
      </c>
      <c r="BY6" s="1" t="s">
        <v>63</v>
      </c>
      <c r="BZ6" s="1" t="s">
        <v>64</v>
      </c>
      <c r="CA6" s="1" t="s">
        <v>63</v>
      </c>
      <c r="CB6" s="1" t="s">
        <v>64</v>
      </c>
      <c r="CC6" s="1" t="s">
        <v>63</v>
      </c>
      <c r="CD6" s="1" t="s">
        <v>64</v>
      </c>
      <c r="CE6" s="1" t="s">
        <v>63</v>
      </c>
      <c r="CF6" s="1" t="s">
        <v>64</v>
      </c>
      <c r="CG6" s="1" t="s">
        <v>63</v>
      </c>
      <c r="CH6" s="1" t="s">
        <v>64</v>
      </c>
      <c r="CI6" s="1" t="s">
        <v>63</v>
      </c>
      <c r="CJ6" s="1" t="s">
        <v>64</v>
      </c>
      <c r="CK6" s="1" t="s">
        <v>63</v>
      </c>
      <c r="CL6" s="1" t="s">
        <v>64</v>
      </c>
    </row>
    <row r="7" spans="2:90" x14ac:dyDescent="0.3">
      <c r="B7" s="1" t="s">
        <v>65</v>
      </c>
      <c r="C7" s="1" t="s">
        <v>53</v>
      </c>
      <c r="D7" s="1" t="s">
        <v>53</v>
      </c>
      <c r="E7" s="1" t="s">
        <v>54</v>
      </c>
      <c r="F7" s="1" t="s">
        <v>54</v>
      </c>
      <c r="G7" s="1" t="s">
        <v>55</v>
      </c>
      <c r="H7" s="1" t="s">
        <v>55</v>
      </c>
      <c r="I7" s="1" t="s">
        <v>56</v>
      </c>
      <c r="J7" s="1" t="s">
        <v>56</v>
      </c>
      <c r="K7" s="1" t="s">
        <v>57</v>
      </c>
      <c r="L7" s="1" t="s">
        <v>57</v>
      </c>
      <c r="M7" s="1" t="s">
        <v>58</v>
      </c>
      <c r="N7" s="1" t="s">
        <v>58</v>
      </c>
      <c r="O7" s="1" t="s">
        <v>59</v>
      </c>
      <c r="P7" s="1" t="s">
        <v>59</v>
      </c>
      <c r="Q7" s="1" t="s">
        <v>60</v>
      </c>
      <c r="R7" s="1" t="s">
        <v>60</v>
      </c>
      <c r="S7" s="1" t="s">
        <v>61</v>
      </c>
      <c r="T7" s="1" t="s">
        <v>61</v>
      </c>
      <c r="U7" s="1" t="s">
        <v>62</v>
      </c>
      <c r="V7" s="1" t="s">
        <v>62</v>
      </c>
      <c r="X7" s="1" t="s">
        <v>65</v>
      </c>
      <c r="Y7" s="1" t="s">
        <v>53</v>
      </c>
      <c r="Z7" s="1" t="s">
        <v>53</v>
      </c>
      <c r="AA7" s="1" t="s">
        <v>54</v>
      </c>
      <c r="AB7" s="1" t="s">
        <v>54</v>
      </c>
      <c r="AC7" s="1" t="s">
        <v>55</v>
      </c>
      <c r="AD7" s="1" t="s">
        <v>55</v>
      </c>
      <c r="AE7" s="1" t="s">
        <v>56</v>
      </c>
      <c r="AF7" s="1" t="s">
        <v>56</v>
      </c>
      <c r="AG7" s="1" t="s">
        <v>57</v>
      </c>
      <c r="AH7" s="1" t="s">
        <v>57</v>
      </c>
      <c r="AI7" s="1" t="s">
        <v>58</v>
      </c>
      <c r="AJ7" s="1" t="s">
        <v>58</v>
      </c>
      <c r="AK7" s="1" t="s">
        <v>59</v>
      </c>
      <c r="AL7" s="1" t="s">
        <v>59</v>
      </c>
      <c r="AM7" s="1" t="s">
        <v>60</v>
      </c>
      <c r="AN7" s="1" t="s">
        <v>60</v>
      </c>
      <c r="AO7" s="1" t="s">
        <v>61</v>
      </c>
      <c r="AP7" s="1" t="s">
        <v>61</v>
      </c>
      <c r="AQ7" s="1" t="s">
        <v>62</v>
      </c>
      <c r="AR7" s="1" t="s">
        <v>62</v>
      </c>
      <c r="AU7" s="1" t="s">
        <v>65</v>
      </c>
      <c r="AV7" s="1" t="s">
        <v>53</v>
      </c>
      <c r="AW7" s="1" t="s">
        <v>53</v>
      </c>
      <c r="AX7" s="1" t="s">
        <v>54</v>
      </c>
      <c r="AY7" s="1" t="s">
        <v>54</v>
      </c>
      <c r="AZ7" s="1" t="s">
        <v>55</v>
      </c>
      <c r="BA7" s="1" t="s">
        <v>55</v>
      </c>
      <c r="BB7" s="1" t="s">
        <v>56</v>
      </c>
      <c r="BC7" s="1" t="s">
        <v>56</v>
      </c>
      <c r="BD7" s="1" t="s">
        <v>57</v>
      </c>
      <c r="BE7" s="1" t="s">
        <v>57</v>
      </c>
      <c r="BF7" s="1" t="s">
        <v>58</v>
      </c>
      <c r="BG7" s="1" t="s">
        <v>58</v>
      </c>
      <c r="BH7" s="1" t="s">
        <v>59</v>
      </c>
      <c r="BI7" s="1" t="s">
        <v>59</v>
      </c>
      <c r="BJ7" s="1" t="s">
        <v>60</v>
      </c>
      <c r="BK7" s="1" t="s">
        <v>60</v>
      </c>
      <c r="BL7" s="1" t="s">
        <v>61</v>
      </c>
      <c r="BM7" s="1" t="s">
        <v>61</v>
      </c>
      <c r="BN7" s="1" t="s">
        <v>62</v>
      </c>
      <c r="BO7" s="1" t="s">
        <v>62</v>
      </c>
      <c r="BR7" s="1" t="s">
        <v>65</v>
      </c>
      <c r="BS7" s="1" t="s">
        <v>53</v>
      </c>
      <c r="BT7" s="1" t="s">
        <v>53</v>
      </c>
      <c r="BU7" s="1" t="s">
        <v>54</v>
      </c>
      <c r="BV7" s="1" t="s">
        <v>54</v>
      </c>
      <c r="BW7" s="1" t="s">
        <v>55</v>
      </c>
      <c r="BX7" s="1" t="s">
        <v>55</v>
      </c>
      <c r="BY7" s="1" t="s">
        <v>56</v>
      </c>
      <c r="BZ7" s="1" t="s">
        <v>56</v>
      </c>
      <c r="CA7" s="1" t="s">
        <v>57</v>
      </c>
      <c r="CB7" s="1" t="s">
        <v>57</v>
      </c>
      <c r="CC7" s="1" t="s">
        <v>58</v>
      </c>
      <c r="CD7" s="1" t="s">
        <v>58</v>
      </c>
      <c r="CE7" s="1" t="s">
        <v>59</v>
      </c>
      <c r="CF7" s="1" t="s">
        <v>59</v>
      </c>
      <c r="CG7" s="1" t="s">
        <v>60</v>
      </c>
      <c r="CH7" s="1" t="s">
        <v>60</v>
      </c>
      <c r="CI7" s="1" t="s">
        <v>61</v>
      </c>
      <c r="CJ7" s="1" t="s">
        <v>61</v>
      </c>
      <c r="CK7" s="1" t="s">
        <v>62</v>
      </c>
      <c r="CL7" s="1" t="s">
        <v>62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66</v>
      </c>
      <c r="Y9" s="2">
        <v>4811.17</v>
      </c>
      <c r="Z9" s="2">
        <v>4637.3599999999997</v>
      </c>
      <c r="AA9" s="2">
        <v>986.82</v>
      </c>
      <c r="AB9" s="2">
        <v>900.43</v>
      </c>
      <c r="AC9" s="2">
        <v>301.92</v>
      </c>
      <c r="AD9" s="2">
        <v>612.15</v>
      </c>
      <c r="AE9" s="2">
        <v>3905.44</v>
      </c>
      <c r="AF9" s="2">
        <v>2214.2399999999998</v>
      </c>
      <c r="AG9" s="2">
        <v>7137.2</v>
      </c>
      <c r="AH9" s="2">
        <v>2346.4</v>
      </c>
      <c r="AI9" s="2">
        <v>13043.52</v>
      </c>
      <c r="AJ9" s="2">
        <v>3069.36</v>
      </c>
      <c r="AK9" s="2">
        <v>9810.99</v>
      </c>
      <c r="AL9" s="2">
        <v>1025.1500000000001</v>
      </c>
      <c r="AM9" s="2">
        <v>9544.08</v>
      </c>
      <c r="AN9" s="2">
        <v>2981.86</v>
      </c>
      <c r="AO9" s="2">
        <v>566.94000000000005</v>
      </c>
      <c r="AP9" s="2">
        <v>432.45</v>
      </c>
      <c r="AQ9" s="2">
        <v>2025.45</v>
      </c>
      <c r="AR9" s="2">
        <v>606.33000000000004</v>
      </c>
      <c r="AU9" s="1" t="s">
        <v>66</v>
      </c>
      <c r="AV9" s="2">
        <v>21840</v>
      </c>
      <c r="AW9" s="2">
        <v>21840</v>
      </c>
      <c r="AX9" s="2">
        <v>18835.71</v>
      </c>
      <c r="AY9" s="2">
        <v>17646.28</v>
      </c>
      <c r="AZ9" s="2">
        <v>6875.53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60480</v>
      </c>
      <c r="BH9" s="2">
        <v>48720</v>
      </c>
      <c r="BI9" s="2">
        <v>48720</v>
      </c>
      <c r="BJ9" s="2">
        <v>63840</v>
      </c>
      <c r="BK9" s="2">
        <v>63840</v>
      </c>
      <c r="BL9" s="2">
        <v>56664.92</v>
      </c>
      <c r="BM9" s="2">
        <v>43702.27</v>
      </c>
      <c r="BN9" s="2">
        <v>75600</v>
      </c>
      <c r="BO9" s="2">
        <v>60906.87</v>
      </c>
      <c r="BR9" s="1" t="s">
        <v>66</v>
      </c>
      <c r="BS9" s="2">
        <v>26651.17</v>
      </c>
      <c r="BT9" s="2">
        <v>26477.360000000001</v>
      </c>
      <c r="BU9" s="2">
        <v>19822.53</v>
      </c>
      <c r="BV9" s="2">
        <v>18546.71</v>
      </c>
      <c r="BW9" s="2">
        <v>7177.45</v>
      </c>
      <c r="BX9" s="2">
        <v>9012.15</v>
      </c>
      <c r="BY9" s="2">
        <v>30785.439999999999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67</v>
      </c>
      <c r="C10" s="2">
        <v>1.26</v>
      </c>
      <c r="D10" s="2">
        <v>0.72</v>
      </c>
      <c r="E10" s="2">
        <v>0.98</v>
      </c>
      <c r="F10" s="2">
        <v>0.62</v>
      </c>
      <c r="G10" s="2">
        <v>0.99</v>
      </c>
      <c r="H10" s="2">
        <v>0.8</v>
      </c>
      <c r="I10" s="2">
        <v>1.19</v>
      </c>
      <c r="J10" s="2">
        <v>1.39</v>
      </c>
      <c r="K10" s="2">
        <v>1.31</v>
      </c>
      <c r="L10" s="2">
        <v>1.07</v>
      </c>
      <c r="M10" s="2">
        <v>1.67</v>
      </c>
      <c r="N10" s="2">
        <v>1.1000000000000001</v>
      </c>
      <c r="O10" s="2">
        <v>1.5</v>
      </c>
      <c r="P10" s="2">
        <v>1.22</v>
      </c>
      <c r="Q10" s="2">
        <v>1.42</v>
      </c>
      <c r="R10" s="2">
        <v>1.05</v>
      </c>
      <c r="S10" s="2">
        <v>1.33</v>
      </c>
      <c r="T10" s="2">
        <v>0.87</v>
      </c>
      <c r="U10" s="2">
        <v>1.0900000000000001</v>
      </c>
      <c r="V10" s="2">
        <v>0.63</v>
      </c>
      <c r="X10" s="1" t="s">
        <v>67</v>
      </c>
      <c r="Y10" s="2">
        <v>1364.43</v>
      </c>
      <c r="Z10" s="2">
        <v>835.79</v>
      </c>
      <c r="AA10" s="2">
        <v>1421.28</v>
      </c>
      <c r="AB10" s="2">
        <v>905.46</v>
      </c>
      <c r="AC10" s="2">
        <v>338.85</v>
      </c>
      <c r="AD10" s="2">
        <v>433.88</v>
      </c>
      <c r="AE10" s="2">
        <v>1909.26</v>
      </c>
      <c r="AF10" s="2">
        <v>1221.8399999999999</v>
      </c>
      <c r="AG10" s="2">
        <v>2227.1999999999998</v>
      </c>
      <c r="AH10" s="2">
        <v>1409.77</v>
      </c>
      <c r="AI10" s="2">
        <v>3854.69</v>
      </c>
      <c r="AJ10" s="2">
        <v>2567.6999999999998</v>
      </c>
      <c r="AK10" s="2">
        <v>2578.96</v>
      </c>
      <c r="AL10" s="2">
        <v>2243.8200000000002</v>
      </c>
      <c r="AM10" s="2">
        <v>3260.05</v>
      </c>
      <c r="AN10" s="2">
        <v>2990.97</v>
      </c>
      <c r="AO10" s="2">
        <v>2849.15</v>
      </c>
      <c r="AP10" s="2">
        <v>2070.79</v>
      </c>
      <c r="AQ10" s="2">
        <v>4493.75</v>
      </c>
      <c r="AR10" s="2">
        <v>2755.57</v>
      </c>
      <c r="AU10" s="1" t="s">
        <v>67</v>
      </c>
      <c r="AV10" s="2">
        <v>9511.89</v>
      </c>
      <c r="AW10" s="2">
        <v>6230.23</v>
      </c>
      <c r="AX10" s="2">
        <v>8674.52</v>
      </c>
      <c r="AY10" s="2">
        <v>5802.8</v>
      </c>
      <c r="AZ10" s="2">
        <v>2181.85</v>
      </c>
      <c r="BA10" s="2">
        <v>2828.17</v>
      </c>
      <c r="BB10" s="2">
        <v>12033.46</v>
      </c>
      <c r="BC10" s="2">
        <v>8353.84</v>
      </c>
      <c r="BD10" s="2">
        <v>15191.4</v>
      </c>
      <c r="BE10" s="2">
        <v>10351.83</v>
      </c>
      <c r="BF10" s="2">
        <v>26607.43</v>
      </c>
      <c r="BG10" s="2">
        <v>18958.14</v>
      </c>
      <c r="BH10" s="2">
        <v>18001.759999999998</v>
      </c>
      <c r="BI10" s="2">
        <v>16237.01</v>
      </c>
      <c r="BJ10" s="2">
        <v>22958.81</v>
      </c>
      <c r="BK10" s="2">
        <v>21325.99</v>
      </c>
      <c r="BL10" s="2">
        <v>19975.05</v>
      </c>
      <c r="BM10" s="2">
        <v>15318.51</v>
      </c>
      <c r="BN10" s="2">
        <v>32647.45</v>
      </c>
      <c r="BO10" s="2">
        <v>20856.38</v>
      </c>
      <c r="BR10" s="1" t="s">
        <v>67</v>
      </c>
      <c r="BS10" s="2">
        <v>10876.32</v>
      </c>
      <c r="BT10" s="2">
        <v>7066.02</v>
      </c>
      <c r="BU10" s="2">
        <v>10095.799999999999</v>
      </c>
      <c r="BV10" s="2">
        <v>6708.26</v>
      </c>
      <c r="BW10" s="2">
        <v>2520.6999999999998</v>
      </c>
      <c r="BX10" s="2">
        <v>3262.05</v>
      </c>
      <c r="BY10" s="2">
        <v>13942.72</v>
      </c>
      <c r="BZ10" s="2">
        <v>9575.68</v>
      </c>
      <c r="CA10" s="2">
        <v>17418.599999999999</v>
      </c>
      <c r="CB10" s="2">
        <v>11761.6</v>
      </c>
      <c r="CC10" s="2">
        <v>30462.12</v>
      </c>
      <c r="CD10" s="2">
        <v>21525.84</v>
      </c>
      <c r="CE10" s="2">
        <v>20580.72</v>
      </c>
      <c r="CF10" s="2">
        <v>18480.830000000002</v>
      </c>
      <c r="CG10" s="2">
        <v>26218.86</v>
      </c>
      <c r="CH10" s="2">
        <v>24316.959999999999</v>
      </c>
      <c r="CI10" s="2">
        <v>22824.2</v>
      </c>
      <c r="CJ10" s="2">
        <v>17389.3</v>
      </c>
      <c r="CK10" s="2">
        <v>37141.199999999997</v>
      </c>
      <c r="CL10" s="2">
        <v>23611.95</v>
      </c>
    </row>
    <row r="11" spans="2:90" x14ac:dyDescent="0.3">
      <c r="B11" s="1" t="s">
        <v>68</v>
      </c>
      <c r="C11" s="2">
        <v>3.6</v>
      </c>
      <c r="D11" s="2">
        <v>0.91</v>
      </c>
      <c r="E11" s="2">
        <v>3.84</v>
      </c>
      <c r="F11" s="2">
        <v>0.7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1.62</v>
      </c>
      <c r="U11" s="2">
        <v>1.57</v>
      </c>
      <c r="V11" s="2">
        <v>1.38</v>
      </c>
      <c r="X11" s="1" t="s">
        <v>68</v>
      </c>
      <c r="Y11" s="2">
        <v>7224.71</v>
      </c>
      <c r="Z11" s="2">
        <v>2084.14</v>
      </c>
      <c r="AA11" s="2">
        <v>7014.82</v>
      </c>
      <c r="AB11" s="2">
        <v>2044.67</v>
      </c>
      <c r="AC11" s="2">
        <v>3046.34</v>
      </c>
      <c r="AD11" s="2">
        <v>2701.84</v>
      </c>
      <c r="AE11" s="2">
        <v>10482.549999999999</v>
      </c>
      <c r="AF11" s="2">
        <v>4966.0200000000004</v>
      </c>
      <c r="AG11" s="2">
        <v>13928.04</v>
      </c>
      <c r="AH11" s="2">
        <v>5150.75</v>
      </c>
      <c r="AI11" s="2">
        <v>25532.49</v>
      </c>
      <c r="AJ11" s="2">
        <v>9281.17</v>
      </c>
      <c r="AK11" s="2">
        <v>19495.95</v>
      </c>
      <c r="AL11" s="2">
        <v>7723.33</v>
      </c>
      <c r="AM11" s="2">
        <v>24681.62</v>
      </c>
      <c r="AN11" s="2">
        <v>9225.36</v>
      </c>
      <c r="AO11" s="2">
        <v>10425.68</v>
      </c>
      <c r="AP11" s="2">
        <v>6706.12</v>
      </c>
      <c r="AQ11" s="2">
        <v>8863.08</v>
      </c>
      <c r="AR11" s="2">
        <v>7909.96</v>
      </c>
      <c r="AU11" s="1" t="s">
        <v>68</v>
      </c>
      <c r="AV11" s="2">
        <v>30380.11</v>
      </c>
      <c r="AW11" s="2">
        <v>15942.05</v>
      </c>
      <c r="AX11" s="2">
        <v>29133.16</v>
      </c>
      <c r="AY11" s="2">
        <v>13198.87</v>
      </c>
      <c r="AZ11" s="2">
        <v>8074.95</v>
      </c>
      <c r="BA11" s="2">
        <v>9819.92</v>
      </c>
      <c r="BB11" s="2">
        <v>35752.089999999997</v>
      </c>
      <c r="BC11" s="2">
        <v>28870.86</v>
      </c>
      <c r="BD11" s="2">
        <v>46521.96</v>
      </c>
      <c r="BE11" s="2">
        <v>35237.72</v>
      </c>
      <c r="BF11" s="2">
        <v>84195.51</v>
      </c>
      <c r="BG11" s="2">
        <v>63572.03</v>
      </c>
      <c r="BH11" s="2">
        <v>62515.39</v>
      </c>
      <c r="BI11" s="2">
        <v>51733.41</v>
      </c>
      <c r="BJ11" s="2">
        <v>77496.33</v>
      </c>
      <c r="BK11" s="2">
        <v>65593.09</v>
      </c>
      <c r="BL11" s="2">
        <v>62922.35</v>
      </c>
      <c r="BM11" s="2">
        <v>52788.6</v>
      </c>
      <c r="BN11" s="2">
        <v>68299.69</v>
      </c>
      <c r="BO11" s="2">
        <v>61759.74</v>
      </c>
      <c r="BR11" s="1" t="s">
        <v>68</v>
      </c>
      <c r="BS11" s="2">
        <v>37604.82</v>
      </c>
      <c r="BT11" s="2">
        <v>18026.189999999999</v>
      </c>
      <c r="BU11" s="2">
        <v>36147.980000000003</v>
      </c>
      <c r="BV11" s="2">
        <v>15243.54</v>
      </c>
      <c r="BW11" s="2">
        <v>11121.28</v>
      </c>
      <c r="BX11" s="2">
        <v>12521.76</v>
      </c>
      <c r="BY11" s="2">
        <v>46234.65</v>
      </c>
      <c r="BZ11" s="2">
        <v>33836.870000000003</v>
      </c>
      <c r="CA11" s="2">
        <v>60450</v>
      </c>
      <c r="CB11" s="2">
        <v>40388.47</v>
      </c>
      <c r="CC11" s="2">
        <v>109728</v>
      </c>
      <c r="CD11" s="2">
        <v>72853.2</v>
      </c>
      <c r="CE11" s="2">
        <v>82011.34</v>
      </c>
      <c r="CF11" s="2">
        <v>59456.74</v>
      </c>
      <c r="CG11" s="2">
        <v>102177.96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69</v>
      </c>
      <c r="C12" s="2">
        <v>3.6</v>
      </c>
      <c r="D12" s="2">
        <v>0.9</v>
      </c>
      <c r="E12" s="2">
        <v>3.38</v>
      </c>
      <c r="F12" s="2">
        <v>0.6</v>
      </c>
      <c r="G12" s="2">
        <v>1.8</v>
      </c>
      <c r="H12" s="2">
        <v>3.48</v>
      </c>
      <c r="I12" s="2">
        <v>1.8</v>
      </c>
      <c r="J12" s="2">
        <v>1.78</v>
      </c>
      <c r="K12" s="2">
        <v>1.8</v>
      </c>
      <c r="L12" s="2">
        <v>1.52</v>
      </c>
      <c r="M12" s="2">
        <v>1.8</v>
      </c>
      <c r="N12" s="2">
        <v>1.44</v>
      </c>
      <c r="O12" s="2">
        <v>1.8</v>
      </c>
      <c r="P12" s="2">
        <v>1.46</v>
      </c>
      <c r="Q12" s="2">
        <v>1.8</v>
      </c>
      <c r="R12" s="2">
        <v>1.31</v>
      </c>
      <c r="S12" s="2">
        <v>1.3</v>
      </c>
      <c r="T12" s="2">
        <v>1.1399999999999999</v>
      </c>
      <c r="U12" s="2">
        <v>1.1299999999999999</v>
      </c>
      <c r="V12" s="2">
        <v>1.02</v>
      </c>
      <c r="X12" s="1" t="s">
        <v>69</v>
      </c>
      <c r="Y12" s="2">
        <v>1313.52</v>
      </c>
      <c r="Z12" s="2">
        <v>784.56</v>
      </c>
      <c r="AA12" s="2">
        <v>1409.36</v>
      </c>
      <c r="AB12" s="2">
        <v>822.08</v>
      </c>
      <c r="AC12" s="2">
        <v>699.9</v>
      </c>
      <c r="AD12" s="2">
        <v>556.26</v>
      </c>
      <c r="AE12" s="2">
        <v>2583.34</v>
      </c>
      <c r="AF12" s="2">
        <v>1421.04</v>
      </c>
      <c r="AG12" s="2">
        <v>3031.94</v>
      </c>
      <c r="AH12" s="2">
        <v>1571.2</v>
      </c>
      <c r="AI12" s="2">
        <v>5452.77</v>
      </c>
      <c r="AJ12" s="2">
        <v>2713.44</v>
      </c>
      <c r="AK12" s="2">
        <v>4375.6000000000004</v>
      </c>
      <c r="AL12" s="2">
        <v>2201.5100000000002</v>
      </c>
      <c r="AM12" s="2">
        <v>4336.8100000000004</v>
      </c>
      <c r="AN12" s="2">
        <v>2755.77</v>
      </c>
      <c r="AO12" s="2">
        <v>2488.7199999999998</v>
      </c>
      <c r="AP12" s="2">
        <v>2294.65</v>
      </c>
      <c r="AQ12" s="2">
        <v>2998.5</v>
      </c>
      <c r="AR12" s="2">
        <v>2863.68</v>
      </c>
      <c r="AU12" s="1" t="s">
        <v>69</v>
      </c>
      <c r="AV12" s="2">
        <v>9814.07</v>
      </c>
      <c r="AW12" s="2">
        <v>5624.18</v>
      </c>
      <c r="AX12" s="2">
        <v>9145.84</v>
      </c>
      <c r="AY12" s="2">
        <v>5486.82</v>
      </c>
      <c r="AZ12" s="2">
        <v>2769.44</v>
      </c>
      <c r="BA12" s="2">
        <v>3883.74</v>
      </c>
      <c r="BB12" s="2">
        <v>11624.66</v>
      </c>
      <c r="BC12" s="2">
        <v>10292.52</v>
      </c>
      <c r="BD12" s="2">
        <v>14728.06</v>
      </c>
      <c r="BE12" s="2">
        <v>12290.73</v>
      </c>
      <c r="BF12" s="2">
        <v>26515.23</v>
      </c>
      <c r="BG12" s="2">
        <v>21584.36</v>
      </c>
      <c r="BH12" s="2">
        <v>21376.400000000001</v>
      </c>
      <c r="BI12" s="2">
        <v>17491.810000000001</v>
      </c>
      <c r="BJ12" s="2">
        <v>26570.11</v>
      </c>
      <c r="BK12" s="2">
        <v>21787.29</v>
      </c>
      <c r="BL12" s="2">
        <v>19403.2</v>
      </c>
      <c r="BM12" s="2">
        <v>18195.11</v>
      </c>
      <c r="BN12" s="2">
        <v>23798.55</v>
      </c>
      <c r="BO12" s="2">
        <v>22546.52</v>
      </c>
      <c r="BR12" s="1" t="s">
        <v>69</v>
      </c>
      <c r="BS12" s="2">
        <v>11127.59</v>
      </c>
      <c r="BT12" s="2">
        <v>6408.74</v>
      </c>
      <c r="BU12" s="2">
        <v>10555.19</v>
      </c>
      <c r="BV12" s="2">
        <v>6308.9</v>
      </c>
      <c r="BW12" s="2">
        <v>3469.34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19693.32</v>
      </c>
      <c r="CG12" s="2">
        <v>30906.92</v>
      </c>
      <c r="CH12" s="2">
        <v>24543.06</v>
      </c>
      <c r="CI12" s="2">
        <v>21891.919999999998</v>
      </c>
      <c r="CJ12" s="2">
        <v>20489.759999999998</v>
      </c>
      <c r="CK12" s="2">
        <v>26797.05</v>
      </c>
      <c r="CL12" s="2">
        <v>25410.19</v>
      </c>
    </row>
    <row r="13" spans="2:90" x14ac:dyDescent="0.3">
      <c r="B13" s="1" t="s">
        <v>70</v>
      </c>
      <c r="C13" s="2">
        <v>1.8</v>
      </c>
      <c r="D13" s="2">
        <v>1.8</v>
      </c>
      <c r="E13" s="2">
        <v>1.8</v>
      </c>
      <c r="F13" s="2">
        <v>1.1200000000000001</v>
      </c>
      <c r="G13" s="2">
        <v>1.8</v>
      </c>
      <c r="H13" s="2">
        <v>1.8</v>
      </c>
      <c r="I13" s="2">
        <v>1.1200000000000001</v>
      </c>
      <c r="J13" s="2">
        <v>1.8</v>
      </c>
      <c r="K13" s="2">
        <v>1.8</v>
      </c>
      <c r="L13" s="2">
        <v>1.8</v>
      </c>
      <c r="M13" s="2">
        <v>1.8</v>
      </c>
      <c r="N13" s="2">
        <v>1.74</v>
      </c>
      <c r="O13" s="2">
        <v>1.67</v>
      </c>
      <c r="P13" s="2">
        <v>1.57</v>
      </c>
      <c r="Q13" s="2">
        <v>1.38</v>
      </c>
      <c r="R13" s="2">
        <v>1.4</v>
      </c>
      <c r="S13" s="2">
        <v>1.26</v>
      </c>
      <c r="T13" s="2">
        <v>1.1100000000000001</v>
      </c>
      <c r="U13" s="2">
        <v>1.19</v>
      </c>
      <c r="V13" s="2">
        <v>0.86</v>
      </c>
      <c r="X13" s="1" t="s">
        <v>70</v>
      </c>
      <c r="Y13" s="2">
        <v>7193.2</v>
      </c>
      <c r="Z13" s="2">
        <v>7677.05</v>
      </c>
      <c r="AA13" s="2">
        <v>9230.51</v>
      </c>
      <c r="AB13" s="2">
        <v>7343.24</v>
      </c>
      <c r="AC13" s="2">
        <v>2742.44</v>
      </c>
      <c r="AD13" s="2">
        <v>3012.21</v>
      </c>
      <c r="AE13" s="2">
        <v>7693.59</v>
      </c>
      <c r="AF13" s="2">
        <v>9808.58</v>
      </c>
      <c r="AG13" s="2">
        <v>11418.25</v>
      </c>
      <c r="AH13" s="2">
        <v>12146.6</v>
      </c>
      <c r="AI13" s="2">
        <v>17870.560000000001</v>
      </c>
      <c r="AJ13" s="2">
        <v>17120.61</v>
      </c>
      <c r="AK13" s="2">
        <v>12632.05</v>
      </c>
      <c r="AL13" s="2">
        <v>13532.01</v>
      </c>
      <c r="AM13" s="2">
        <v>15059.23</v>
      </c>
      <c r="AN13" s="2">
        <v>15357.14</v>
      </c>
      <c r="AO13" s="2">
        <v>12405.76</v>
      </c>
      <c r="AP13" s="2">
        <v>12899.67</v>
      </c>
      <c r="AQ13" s="2">
        <v>16588.62</v>
      </c>
      <c r="AR13" s="2">
        <v>18616.72</v>
      </c>
      <c r="AU13" s="1" t="s">
        <v>70</v>
      </c>
      <c r="AV13" s="2">
        <v>30655.02</v>
      </c>
      <c r="AW13" s="2">
        <v>40480.800000000003</v>
      </c>
      <c r="AX13" s="2">
        <v>39638.879999999997</v>
      </c>
      <c r="AY13" s="2">
        <v>46225.21</v>
      </c>
      <c r="AZ13" s="2">
        <v>11209.12</v>
      </c>
      <c r="BA13" s="2">
        <v>12544</v>
      </c>
      <c r="BB13" s="2">
        <v>52004.01</v>
      </c>
      <c r="BC13" s="2">
        <v>48548.22</v>
      </c>
      <c r="BD13" s="2">
        <v>69577.75</v>
      </c>
      <c r="BE13" s="2">
        <v>68750.399999999994</v>
      </c>
      <c r="BF13" s="2">
        <v>121928.24</v>
      </c>
      <c r="BG13" s="2">
        <v>125775.99</v>
      </c>
      <c r="BH13" s="2">
        <v>93712.4</v>
      </c>
      <c r="BI13" s="2">
        <v>99277.99</v>
      </c>
      <c r="BJ13" s="2">
        <v>112746.17</v>
      </c>
      <c r="BK13" s="2">
        <v>113890.36</v>
      </c>
      <c r="BL13" s="2">
        <v>94043.14</v>
      </c>
      <c r="BM13" s="2">
        <v>95743.93</v>
      </c>
      <c r="BN13" s="2">
        <v>127352.88</v>
      </c>
      <c r="BO13" s="2">
        <v>141623.78</v>
      </c>
      <c r="BR13" s="1" t="s">
        <v>70</v>
      </c>
      <c r="BS13" s="2">
        <v>37848.21</v>
      </c>
      <c r="BT13" s="2">
        <v>48157.85</v>
      </c>
      <c r="BU13" s="2">
        <v>48869.39</v>
      </c>
      <c r="BV13" s="2">
        <v>53568.45</v>
      </c>
      <c r="BW13" s="2">
        <v>13951.56</v>
      </c>
      <c r="BX13" s="2">
        <v>15556.21</v>
      </c>
      <c r="BY13" s="2">
        <v>59697.599999999999</v>
      </c>
      <c r="BZ13" s="2">
        <v>58356.800000000003</v>
      </c>
      <c r="CA13" s="2">
        <v>80996</v>
      </c>
      <c r="CB13" s="2">
        <v>80897</v>
      </c>
      <c r="CC13" s="2">
        <v>139798.79999999999</v>
      </c>
      <c r="CD13" s="2">
        <v>142896.6</v>
      </c>
      <c r="CE13" s="2">
        <v>106344.45</v>
      </c>
      <c r="CF13" s="2">
        <v>112810</v>
      </c>
      <c r="CG13" s="2">
        <v>127805.4</v>
      </c>
      <c r="CH13" s="2">
        <v>129247.5</v>
      </c>
      <c r="CI13" s="2">
        <v>106448.9</v>
      </c>
      <c r="CJ13" s="2">
        <v>108643.6</v>
      </c>
      <c r="CK13" s="2">
        <v>143941.5</v>
      </c>
      <c r="CL13" s="2">
        <v>160240.5</v>
      </c>
    </row>
    <row r="14" spans="2:90" x14ac:dyDescent="0.3">
      <c r="B14" s="1" t="s">
        <v>71</v>
      </c>
      <c r="C14" s="2">
        <v>3.2</v>
      </c>
      <c r="D14" s="2">
        <v>1.8</v>
      </c>
      <c r="E14" s="2">
        <v>2.66</v>
      </c>
      <c r="F14" s="2">
        <v>2.6</v>
      </c>
      <c r="G14" s="2">
        <v>1.8</v>
      </c>
      <c r="H14" s="2">
        <v>1.8</v>
      </c>
      <c r="I14" s="2">
        <v>1.1100000000000001</v>
      </c>
      <c r="J14" s="2">
        <v>1.8</v>
      </c>
      <c r="K14" s="2">
        <v>1.0900000000000001</v>
      </c>
      <c r="L14" s="2">
        <v>1.8</v>
      </c>
      <c r="M14" s="2">
        <v>1.31</v>
      </c>
      <c r="N14" s="2">
        <v>1.8</v>
      </c>
      <c r="O14" s="2">
        <v>1.28</v>
      </c>
      <c r="P14" s="2">
        <v>1.8</v>
      </c>
      <c r="Q14" s="2">
        <v>1.27</v>
      </c>
      <c r="R14" s="2">
        <v>1.8</v>
      </c>
      <c r="S14" s="2">
        <v>1.18</v>
      </c>
      <c r="T14" s="2">
        <v>1.74</v>
      </c>
      <c r="U14" s="2">
        <v>1.02</v>
      </c>
      <c r="V14" s="2">
        <v>0.87</v>
      </c>
      <c r="X14" s="1" t="s">
        <v>71</v>
      </c>
      <c r="Y14" s="2">
        <v>1272.93</v>
      </c>
      <c r="Z14" s="2">
        <v>1913.82</v>
      </c>
      <c r="AA14" s="2">
        <v>1884.27</v>
      </c>
      <c r="AB14" s="2">
        <v>1924.07</v>
      </c>
      <c r="AC14" s="2">
        <v>638.39</v>
      </c>
      <c r="AD14" s="2">
        <v>711.3</v>
      </c>
      <c r="AE14" s="2">
        <v>1688.29</v>
      </c>
      <c r="AF14" s="2">
        <v>1892.69</v>
      </c>
      <c r="AG14" s="2">
        <v>1979.11</v>
      </c>
      <c r="AH14" s="2">
        <v>3139.47</v>
      </c>
      <c r="AI14" s="2">
        <v>3751.83</v>
      </c>
      <c r="AJ14" s="2">
        <v>5780.59</v>
      </c>
      <c r="AK14" s="2">
        <v>3009.18</v>
      </c>
      <c r="AL14" s="2">
        <v>4044.42</v>
      </c>
      <c r="AM14" s="2">
        <v>3868.36</v>
      </c>
      <c r="AN14" s="2">
        <v>5208.0200000000004</v>
      </c>
      <c r="AO14" s="2">
        <v>3278.92</v>
      </c>
      <c r="AP14" s="2">
        <v>4053.64</v>
      </c>
      <c r="AQ14" s="2">
        <v>3971.96</v>
      </c>
      <c r="AR14" s="2">
        <v>3922.38</v>
      </c>
      <c r="AU14" s="1" t="s">
        <v>71</v>
      </c>
      <c r="AV14" s="2">
        <v>7705.93</v>
      </c>
      <c r="AW14" s="2">
        <v>7236.56</v>
      </c>
      <c r="AX14" s="2">
        <v>9659.73</v>
      </c>
      <c r="AY14" s="2">
        <v>9619.93</v>
      </c>
      <c r="AZ14" s="2">
        <v>2249.98</v>
      </c>
      <c r="BA14" s="2">
        <v>2566.69</v>
      </c>
      <c r="BB14" s="2">
        <v>8912.99</v>
      </c>
      <c r="BC14" s="2">
        <v>7019.18</v>
      </c>
      <c r="BD14" s="2">
        <v>11331.29</v>
      </c>
      <c r="BE14" s="2">
        <v>14178.52</v>
      </c>
      <c r="BF14" s="2">
        <v>21999.33</v>
      </c>
      <c r="BG14" s="2">
        <v>26187.41</v>
      </c>
      <c r="BH14" s="2">
        <v>17572.080000000002</v>
      </c>
      <c r="BI14" s="2">
        <v>20524.689999999999</v>
      </c>
      <c r="BJ14" s="2">
        <v>22871.75</v>
      </c>
      <c r="BK14" s="2">
        <v>26858.9</v>
      </c>
      <c r="BL14" s="2">
        <v>19723.59</v>
      </c>
      <c r="BM14" s="2">
        <v>23128.21</v>
      </c>
      <c r="BN14" s="2">
        <v>24229.73</v>
      </c>
      <c r="BO14" s="2">
        <v>22465.62</v>
      </c>
      <c r="BR14" s="1" t="s">
        <v>71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10601.28</v>
      </c>
      <c r="BZ14" s="2">
        <v>8911.8700000000008</v>
      </c>
      <c r="CA14" s="2">
        <v>13310.4</v>
      </c>
      <c r="CB14" s="2">
        <v>17318</v>
      </c>
      <c r="CC14" s="2">
        <v>25751.16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26388</v>
      </c>
    </row>
    <row r="15" spans="2:90" x14ac:dyDescent="0.3">
      <c r="B15" s="1" t="s">
        <v>72</v>
      </c>
      <c r="C15" s="2">
        <v>3.6</v>
      </c>
      <c r="D15" s="2">
        <v>3.6</v>
      </c>
      <c r="E15" s="2">
        <v>3.27</v>
      </c>
      <c r="F15" s="2">
        <v>3.65</v>
      </c>
      <c r="G15" s="2">
        <v>1.8</v>
      </c>
      <c r="H15" s="2">
        <v>3.6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2.81</v>
      </c>
      <c r="S15" s="2">
        <v>1.78</v>
      </c>
      <c r="T15" s="2">
        <v>1.8</v>
      </c>
      <c r="U15" s="2">
        <v>1.59</v>
      </c>
      <c r="V15" s="2">
        <v>1.54</v>
      </c>
      <c r="X15" s="1" t="s">
        <v>72</v>
      </c>
      <c r="Y15" s="2">
        <v>6987.11</v>
      </c>
      <c r="Z15" s="2">
        <v>7297.05</v>
      </c>
      <c r="AA15" s="2">
        <v>5473.99</v>
      </c>
      <c r="AB15" s="2">
        <v>7551.25</v>
      </c>
      <c r="AC15" s="2">
        <v>2264.87</v>
      </c>
      <c r="AD15" s="2">
        <v>2703.9</v>
      </c>
      <c r="AE15" s="2">
        <v>6879.25</v>
      </c>
      <c r="AF15" s="2">
        <v>9491.81</v>
      </c>
      <c r="AG15" s="2">
        <v>6514.46</v>
      </c>
      <c r="AH15" s="2">
        <v>14618.47</v>
      </c>
      <c r="AI15" s="2">
        <v>12860.64</v>
      </c>
      <c r="AJ15" s="2">
        <v>26329.98</v>
      </c>
      <c r="AK15" s="2">
        <v>10407.06</v>
      </c>
      <c r="AL15" s="2">
        <v>18938.580000000002</v>
      </c>
      <c r="AM15" s="2">
        <v>15118.34</v>
      </c>
      <c r="AN15" s="2">
        <v>13590.1</v>
      </c>
      <c r="AO15" s="2">
        <v>10008.73</v>
      </c>
      <c r="AP15" s="2">
        <v>10516.3</v>
      </c>
      <c r="AQ15" s="2">
        <v>12370.07</v>
      </c>
      <c r="AR15" s="2">
        <v>12314.75</v>
      </c>
      <c r="AU15" s="1" t="s">
        <v>72</v>
      </c>
      <c r="AV15" s="2">
        <v>27206.74</v>
      </c>
      <c r="AW15" s="2">
        <v>28964.26</v>
      </c>
      <c r="AX15" s="2">
        <v>28056.52</v>
      </c>
      <c r="AY15" s="2">
        <v>31287.119999999999</v>
      </c>
      <c r="AZ15" s="2">
        <v>6888.54</v>
      </c>
      <c r="BA15" s="2">
        <v>10271.799999999999</v>
      </c>
      <c r="BB15" s="2">
        <v>30152.02</v>
      </c>
      <c r="BC15" s="2">
        <v>24518.34</v>
      </c>
      <c r="BD15" s="2">
        <v>36755.949999999997</v>
      </c>
      <c r="BE15" s="2">
        <v>46341.53</v>
      </c>
      <c r="BF15" s="2">
        <v>68049.83</v>
      </c>
      <c r="BG15" s="2">
        <v>83398.02</v>
      </c>
      <c r="BH15" s="2">
        <v>54901.01</v>
      </c>
      <c r="BI15" s="2">
        <v>64980.75</v>
      </c>
      <c r="BJ15" s="2">
        <v>74252.399999999994</v>
      </c>
      <c r="BK15" s="2">
        <v>82458.990000000005</v>
      </c>
      <c r="BL15" s="2">
        <v>60670.65</v>
      </c>
      <c r="BM15" s="2">
        <v>61638.68</v>
      </c>
      <c r="BN15" s="2">
        <v>75354.8</v>
      </c>
      <c r="BO15" s="2">
        <v>73961.91</v>
      </c>
      <c r="BR15" s="1" t="s">
        <v>72</v>
      </c>
      <c r="BS15" s="2">
        <v>34193.85</v>
      </c>
      <c r="BT15" s="2">
        <v>36261.300000000003</v>
      </c>
      <c r="BU15" s="2">
        <v>33530.51</v>
      </c>
      <c r="BV15" s="2">
        <v>38838.370000000003</v>
      </c>
      <c r="BW15" s="2">
        <v>9153.41</v>
      </c>
      <c r="BX15" s="2">
        <v>12975.7</v>
      </c>
      <c r="BY15" s="2">
        <v>37031.269999999997</v>
      </c>
      <c r="BZ15" s="2">
        <v>34010.15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83919.33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73</v>
      </c>
      <c r="C16" s="2">
        <v>1.04</v>
      </c>
      <c r="D16" s="2">
        <v>1.4</v>
      </c>
      <c r="E16" s="2">
        <v>0.39</v>
      </c>
      <c r="F16" s="2">
        <v>0.41</v>
      </c>
      <c r="G16" s="2">
        <v>0.86</v>
      </c>
      <c r="H16" s="2">
        <v>0.47</v>
      </c>
      <c r="I16" s="2">
        <v>0.47</v>
      </c>
      <c r="J16" s="2">
        <v>1.8</v>
      </c>
      <c r="K16" s="2">
        <v>1</v>
      </c>
      <c r="L16" s="2">
        <v>1.8</v>
      </c>
      <c r="M16" s="2">
        <v>1.42</v>
      </c>
      <c r="N16" s="2">
        <v>1.8</v>
      </c>
      <c r="O16" s="2">
        <v>1.59</v>
      </c>
      <c r="P16" s="2">
        <v>1.63</v>
      </c>
      <c r="Q16" s="2">
        <v>1.36</v>
      </c>
      <c r="R16" s="2">
        <v>1.27</v>
      </c>
      <c r="S16" s="2">
        <v>1.2</v>
      </c>
      <c r="T16" s="2">
        <v>0.99</v>
      </c>
      <c r="U16" s="2">
        <v>1.03</v>
      </c>
      <c r="V16" s="2">
        <v>0.84</v>
      </c>
      <c r="X16" s="1" t="s">
        <v>73</v>
      </c>
      <c r="Y16" s="2">
        <v>2566.33</v>
      </c>
      <c r="Z16" s="2">
        <v>3232.82</v>
      </c>
      <c r="AA16" s="2">
        <v>2664.21</v>
      </c>
      <c r="AB16" s="2">
        <v>2832.21</v>
      </c>
      <c r="AC16" s="2">
        <v>241.48</v>
      </c>
      <c r="AD16" s="2">
        <v>1138.1400000000001</v>
      </c>
      <c r="AE16" s="2">
        <v>2072.64</v>
      </c>
      <c r="AF16" s="2">
        <v>3889.6</v>
      </c>
      <c r="AG16" s="2">
        <v>3475.55</v>
      </c>
      <c r="AH16" s="2">
        <v>4559.6099999999997</v>
      </c>
      <c r="AI16" s="2">
        <v>6286.24</v>
      </c>
      <c r="AJ16" s="2">
        <v>8412.65</v>
      </c>
      <c r="AK16" s="2">
        <v>5016.67</v>
      </c>
      <c r="AL16" s="2">
        <v>6186.95</v>
      </c>
      <c r="AM16" s="2">
        <v>6464.17</v>
      </c>
      <c r="AN16" s="2">
        <v>6773.14</v>
      </c>
      <c r="AO16" s="2">
        <v>5600.34</v>
      </c>
      <c r="AP16" s="2">
        <v>5585.58</v>
      </c>
      <c r="AQ16" s="2">
        <v>7551.65</v>
      </c>
      <c r="AR16" s="2">
        <v>7458.8</v>
      </c>
      <c r="AU16" s="1" t="s">
        <v>73</v>
      </c>
      <c r="AV16" s="2">
        <v>15623.27</v>
      </c>
      <c r="AW16" s="2">
        <v>19040.86</v>
      </c>
      <c r="AX16" s="2">
        <v>13286.79</v>
      </c>
      <c r="AY16" s="2">
        <v>14170.62</v>
      </c>
      <c r="AZ16" s="2">
        <v>4418.2700000000004</v>
      </c>
      <c r="BA16" s="2">
        <v>6047.46</v>
      </c>
      <c r="BB16" s="2">
        <v>14976</v>
      </c>
      <c r="BC16" s="2">
        <v>19490.97</v>
      </c>
      <c r="BD16" s="2">
        <v>20054.650000000001</v>
      </c>
      <c r="BE16" s="2">
        <v>25174.639999999999</v>
      </c>
      <c r="BF16" s="2">
        <v>35064.800000000003</v>
      </c>
      <c r="BG16" s="2">
        <v>46802.54</v>
      </c>
      <c r="BH16" s="2">
        <v>28259.96</v>
      </c>
      <c r="BI16" s="2">
        <v>36441.31</v>
      </c>
      <c r="BJ16" s="2">
        <v>35149.25</v>
      </c>
      <c r="BK16" s="2">
        <v>38162.239999999998</v>
      </c>
      <c r="BL16" s="2">
        <v>29357.1</v>
      </c>
      <c r="BM16" s="2">
        <v>30026.7</v>
      </c>
      <c r="BN16" s="2">
        <v>40879.599999999999</v>
      </c>
      <c r="BO16" s="2">
        <v>43557.7</v>
      </c>
      <c r="BR16" s="1" t="s">
        <v>73</v>
      </c>
      <c r="BS16" s="2">
        <v>18189.599999999999</v>
      </c>
      <c r="BT16" s="2">
        <v>22273.68</v>
      </c>
      <c r="BU16" s="2">
        <v>15951</v>
      </c>
      <c r="BV16" s="2">
        <v>17002.830000000002</v>
      </c>
      <c r="BW16" s="2">
        <v>4659.75</v>
      </c>
      <c r="BX16" s="2">
        <v>7185.6</v>
      </c>
      <c r="BY16" s="2">
        <v>17048.64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63</v>
      </c>
      <c r="D20" s="1" t="s">
        <v>64</v>
      </c>
      <c r="E20" s="1" t="s">
        <v>63</v>
      </c>
      <c r="F20" s="1" t="s">
        <v>64</v>
      </c>
      <c r="G20" s="1" t="s">
        <v>63</v>
      </c>
      <c r="H20" s="1" t="s">
        <v>64</v>
      </c>
      <c r="I20" s="1" t="s">
        <v>63</v>
      </c>
      <c r="J20" s="1" t="s">
        <v>64</v>
      </c>
      <c r="K20" s="1" t="s">
        <v>63</v>
      </c>
      <c r="L20" s="1" t="s">
        <v>64</v>
      </c>
      <c r="M20" s="1" t="s">
        <v>63</v>
      </c>
      <c r="N20" s="1" t="s">
        <v>64</v>
      </c>
      <c r="O20" s="1" t="s">
        <v>63</v>
      </c>
      <c r="P20" s="1" t="s">
        <v>64</v>
      </c>
      <c r="Q20" s="1" t="s">
        <v>63</v>
      </c>
      <c r="R20" s="1" t="s">
        <v>64</v>
      </c>
      <c r="S20" s="1" t="s">
        <v>63</v>
      </c>
      <c r="T20" s="1" t="s">
        <v>64</v>
      </c>
      <c r="U20" s="1" t="s">
        <v>63</v>
      </c>
      <c r="V20" s="1" t="s">
        <v>64</v>
      </c>
      <c r="X20" s="1" t="s">
        <v>6</v>
      </c>
      <c r="Y20" s="1" t="s">
        <v>63</v>
      </c>
      <c r="Z20" s="1" t="s">
        <v>64</v>
      </c>
      <c r="AA20" s="1" t="s">
        <v>63</v>
      </c>
      <c r="AB20" s="1" t="s">
        <v>64</v>
      </c>
      <c r="AC20" s="1" t="s">
        <v>63</v>
      </c>
      <c r="AD20" s="1" t="s">
        <v>64</v>
      </c>
      <c r="AE20" s="1" t="s">
        <v>63</v>
      </c>
      <c r="AF20" s="1" t="s">
        <v>64</v>
      </c>
      <c r="AG20" s="1" t="s">
        <v>63</v>
      </c>
      <c r="AH20" s="1" t="s">
        <v>64</v>
      </c>
      <c r="AI20" s="1" t="s">
        <v>63</v>
      </c>
      <c r="AJ20" s="1" t="s">
        <v>64</v>
      </c>
      <c r="AK20" s="1" t="s">
        <v>63</v>
      </c>
      <c r="AL20" s="1" t="s">
        <v>64</v>
      </c>
      <c r="AM20" s="1" t="s">
        <v>63</v>
      </c>
      <c r="AN20" s="1" t="s">
        <v>64</v>
      </c>
      <c r="AO20" s="1" t="s">
        <v>63</v>
      </c>
      <c r="AP20" s="1" t="s">
        <v>64</v>
      </c>
      <c r="AQ20" s="1" t="s">
        <v>63</v>
      </c>
      <c r="AR20" s="1" t="s">
        <v>64</v>
      </c>
      <c r="AU20" s="1" t="s">
        <v>6</v>
      </c>
      <c r="AV20" s="1" t="s">
        <v>63</v>
      </c>
      <c r="AW20" s="1" t="s">
        <v>64</v>
      </c>
      <c r="AX20" s="1" t="s">
        <v>63</v>
      </c>
      <c r="AY20" s="1" t="s">
        <v>64</v>
      </c>
      <c r="AZ20" s="1" t="s">
        <v>63</v>
      </c>
      <c r="BA20" s="1" t="s">
        <v>64</v>
      </c>
      <c r="BB20" s="1" t="s">
        <v>63</v>
      </c>
      <c r="BC20" s="1" t="s">
        <v>64</v>
      </c>
      <c r="BD20" s="1" t="s">
        <v>63</v>
      </c>
      <c r="BE20" s="1" t="s">
        <v>64</v>
      </c>
      <c r="BF20" s="1" t="s">
        <v>63</v>
      </c>
      <c r="BG20" s="1" t="s">
        <v>64</v>
      </c>
      <c r="BH20" s="1" t="s">
        <v>63</v>
      </c>
      <c r="BI20" s="1" t="s">
        <v>64</v>
      </c>
      <c r="BJ20" s="1" t="s">
        <v>63</v>
      </c>
      <c r="BK20" s="1" t="s">
        <v>64</v>
      </c>
      <c r="BL20" s="1" t="s">
        <v>63</v>
      </c>
      <c r="BM20" s="1" t="s">
        <v>64</v>
      </c>
      <c r="BN20" s="1" t="s">
        <v>63</v>
      </c>
      <c r="BO20" s="1" t="s">
        <v>64</v>
      </c>
      <c r="BR20" s="1" t="s">
        <v>6</v>
      </c>
      <c r="BS20" s="1" t="s">
        <v>63</v>
      </c>
      <c r="BT20" s="1" t="s">
        <v>64</v>
      </c>
      <c r="BU20" s="1" t="s">
        <v>63</v>
      </c>
      <c r="BV20" s="1" t="s">
        <v>64</v>
      </c>
      <c r="BW20" s="1" t="s">
        <v>63</v>
      </c>
      <c r="BX20" s="1" t="s">
        <v>64</v>
      </c>
      <c r="BY20" s="1" t="s">
        <v>63</v>
      </c>
      <c r="BZ20" s="1" t="s">
        <v>64</v>
      </c>
      <c r="CA20" s="1" t="s">
        <v>63</v>
      </c>
      <c r="CB20" s="1" t="s">
        <v>64</v>
      </c>
      <c r="CC20" s="1" t="s">
        <v>63</v>
      </c>
      <c r="CD20" s="1" t="s">
        <v>64</v>
      </c>
      <c r="CE20" s="1" t="s">
        <v>63</v>
      </c>
      <c r="CF20" s="1" t="s">
        <v>64</v>
      </c>
      <c r="CG20" s="1" t="s">
        <v>63</v>
      </c>
      <c r="CH20" s="1" t="s">
        <v>64</v>
      </c>
      <c r="CI20" s="1" t="s">
        <v>63</v>
      </c>
      <c r="CJ20" s="1" t="s">
        <v>64</v>
      </c>
      <c r="CK20" s="1" t="s">
        <v>63</v>
      </c>
      <c r="CL20" s="1" t="s">
        <v>64</v>
      </c>
    </row>
    <row r="21" spans="2:90" x14ac:dyDescent="0.3">
      <c r="B21" s="1" t="s">
        <v>65</v>
      </c>
      <c r="C21" s="1" t="s">
        <v>53</v>
      </c>
      <c r="D21" s="1" t="s">
        <v>53</v>
      </c>
      <c r="E21" s="1" t="s">
        <v>54</v>
      </c>
      <c r="F21" s="1" t="s">
        <v>54</v>
      </c>
      <c r="G21" s="1" t="s">
        <v>55</v>
      </c>
      <c r="H21" s="1" t="s">
        <v>55</v>
      </c>
      <c r="I21" s="1" t="s">
        <v>56</v>
      </c>
      <c r="J21" s="1" t="s">
        <v>56</v>
      </c>
      <c r="K21" s="1" t="s">
        <v>57</v>
      </c>
      <c r="L21" s="1" t="s">
        <v>57</v>
      </c>
      <c r="M21" s="1" t="s">
        <v>58</v>
      </c>
      <c r="N21" s="1" t="s">
        <v>58</v>
      </c>
      <c r="O21" s="1" t="s">
        <v>59</v>
      </c>
      <c r="P21" s="1" t="s">
        <v>59</v>
      </c>
      <c r="Q21" s="1" t="s">
        <v>60</v>
      </c>
      <c r="R21" s="1" t="s">
        <v>60</v>
      </c>
      <c r="S21" s="1" t="s">
        <v>61</v>
      </c>
      <c r="T21" s="1" t="s">
        <v>61</v>
      </c>
      <c r="U21" s="1" t="s">
        <v>62</v>
      </c>
      <c r="V21" s="1" t="s">
        <v>62</v>
      </c>
      <c r="X21" s="1" t="s">
        <v>65</v>
      </c>
      <c r="Y21" s="1" t="s">
        <v>53</v>
      </c>
      <c r="Z21" s="1" t="s">
        <v>53</v>
      </c>
      <c r="AA21" s="1" t="s">
        <v>54</v>
      </c>
      <c r="AB21" s="1" t="s">
        <v>54</v>
      </c>
      <c r="AC21" s="1" t="s">
        <v>55</v>
      </c>
      <c r="AD21" s="1" t="s">
        <v>55</v>
      </c>
      <c r="AE21" s="1" t="s">
        <v>56</v>
      </c>
      <c r="AF21" s="1" t="s">
        <v>56</v>
      </c>
      <c r="AG21" s="1" t="s">
        <v>57</v>
      </c>
      <c r="AH21" s="1" t="s">
        <v>57</v>
      </c>
      <c r="AI21" s="1" t="s">
        <v>58</v>
      </c>
      <c r="AJ21" s="1" t="s">
        <v>58</v>
      </c>
      <c r="AK21" s="1" t="s">
        <v>59</v>
      </c>
      <c r="AL21" s="1" t="s">
        <v>59</v>
      </c>
      <c r="AM21" s="1" t="s">
        <v>60</v>
      </c>
      <c r="AN21" s="1" t="s">
        <v>60</v>
      </c>
      <c r="AO21" s="1" t="s">
        <v>61</v>
      </c>
      <c r="AP21" s="1" t="s">
        <v>61</v>
      </c>
      <c r="AQ21" s="1" t="s">
        <v>62</v>
      </c>
      <c r="AR21" s="1" t="s">
        <v>62</v>
      </c>
      <c r="AU21" s="1" t="s">
        <v>65</v>
      </c>
      <c r="AV21" s="1" t="s">
        <v>53</v>
      </c>
      <c r="AW21" s="1" t="s">
        <v>53</v>
      </c>
      <c r="AX21" s="1" t="s">
        <v>54</v>
      </c>
      <c r="AY21" s="1" t="s">
        <v>54</v>
      </c>
      <c r="AZ21" s="1" t="s">
        <v>55</v>
      </c>
      <c r="BA21" s="1" t="s">
        <v>55</v>
      </c>
      <c r="BB21" s="1" t="s">
        <v>56</v>
      </c>
      <c r="BC21" s="1" t="s">
        <v>56</v>
      </c>
      <c r="BD21" s="1" t="s">
        <v>57</v>
      </c>
      <c r="BE21" s="1" t="s">
        <v>57</v>
      </c>
      <c r="BF21" s="1" t="s">
        <v>58</v>
      </c>
      <c r="BG21" s="1" t="s">
        <v>58</v>
      </c>
      <c r="BH21" s="1" t="s">
        <v>59</v>
      </c>
      <c r="BI21" s="1" t="s">
        <v>59</v>
      </c>
      <c r="BJ21" s="1" t="s">
        <v>60</v>
      </c>
      <c r="BK21" s="1" t="s">
        <v>60</v>
      </c>
      <c r="BL21" s="1" t="s">
        <v>61</v>
      </c>
      <c r="BM21" s="1" t="s">
        <v>61</v>
      </c>
      <c r="BN21" s="1" t="s">
        <v>62</v>
      </c>
      <c r="BO21" s="1" t="s">
        <v>62</v>
      </c>
      <c r="BR21" s="1" t="s">
        <v>65</v>
      </c>
      <c r="BS21" s="1" t="s">
        <v>53</v>
      </c>
      <c r="BT21" s="1" t="s">
        <v>53</v>
      </c>
      <c r="BU21" s="1" t="s">
        <v>54</v>
      </c>
      <c r="BV21" s="1" t="s">
        <v>54</v>
      </c>
      <c r="BW21" s="1" t="s">
        <v>55</v>
      </c>
      <c r="BX21" s="1" t="s">
        <v>55</v>
      </c>
      <c r="BY21" s="1" t="s">
        <v>56</v>
      </c>
      <c r="BZ21" s="1" t="s">
        <v>56</v>
      </c>
      <c r="CA21" s="1" t="s">
        <v>57</v>
      </c>
      <c r="CB21" s="1" t="s">
        <v>57</v>
      </c>
      <c r="CC21" s="1" t="s">
        <v>58</v>
      </c>
      <c r="CD21" s="1" t="s">
        <v>58</v>
      </c>
      <c r="CE21" s="1" t="s">
        <v>59</v>
      </c>
      <c r="CF21" s="1" t="s">
        <v>59</v>
      </c>
      <c r="CG21" s="1" t="s">
        <v>60</v>
      </c>
      <c r="CH21" s="1" t="s">
        <v>60</v>
      </c>
      <c r="CI21" s="1" t="s">
        <v>61</v>
      </c>
      <c r="CJ21" s="1" t="s">
        <v>61</v>
      </c>
      <c r="CK21" s="1" t="s">
        <v>62</v>
      </c>
      <c r="CL21" s="1" t="s">
        <v>62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66</v>
      </c>
      <c r="C23" s="2">
        <v>0.23</v>
      </c>
      <c r="D23" s="2">
        <v>0.22</v>
      </c>
      <c r="E23" s="2">
        <v>0.06</v>
      </c>
      <c r="F23" s="2">
        <v>0.06</v>
      </c>
      <c r="G23" s="2">
        <v>0.06</v>
      </c>
      <c r="H23" s="2">
        <v>0.09</v>
      </c>
      <c r="I23" s="2">
        <v>0.16</v>
      </c>
      <c r="J23" s="2">
        <v>0.09</v>
      </c>
      <c r="K23" s="2">
        <v>0.22</v>
      </c>
      <c r="L23" s="2">
        <v>7.0000000000000007E-2</v>
      </c>
      <c r="M23" s="2">
        <v>0.22</v>
      </c>
      <c r="N23" s="2">
        <v>0.05</v>
      </c>
      <c r="O23" s="2">
        <v>0.21</v>
      </c>
      <c r="P23" s="2">
        <v>0.02</v>
      </c>
      <c r="Q23" s="2">
        <v>0.16</v>
      </c>
      <c r="R23" s="2">
        <v>0.05</v>
      </c>
      <c r="S23" s="2">
        <v>0.01</v>
      </c>
      <c r="T23" s="2">
        <v>0.01</v>
      </c>
      <c r="U23" s="2">
        <v>0.03</v>
      </c>
      <c r="V23" s="2">
        <v>0.01</v>
      </c>
      <c r="X23" s="1" t="s">
        <v>66</v>
      </c>
      <c r="Y23" s="2">
        <v>3700.9</v>
      </c>
      <c r="Z23" s="2">
        <v>3567.2</v>
      </c>
      <c r="AA23" s="2">
        <v>759.09</v>
      </c>
      <c r="AB23" s="2">
        <v>692.64</v>
      </c>
      <c r="AC23" s="2">
        <v>603.83000000000004</v>
      </c>
      <c r="AD23" s="2">
        <v>1224.3</v>
      </c>
      <c r="AE23" s="2">
        <v>2440.9</v>
      </c>
      <c r="AF23" s="2">
        <v>1383.9</v>
      </c>
      <c r="AG23" s="2">
        <v>3568.6</v>
      </c>
      <c r="AH23" s="2">
        <v>1173.2</v>
      </c>
      <c r="AI23" s="2">
        <v>3623.2</v>
      </c>
      <c r="AJ23" s="2">
        <v>852.6</v>
      </c>
      <c r="AK23" s="2">
        <v>3383.1</v>
      </c>
      <c r="AL23" s="2">
        <v>353.5</v>
      </c>
      <c r="AM23" s="2">
        <v>2511.6</v>
      </c>
      <c r="AN23" s="2">
        <v>784.7</v>
      </c>
      <c r="AO23" s="2">
        <v>166.75</v>
      </c>
      <c r="AP23" s="2">
        <v>127.19</v>
      </c>
      <c r="AQ23" s="2">
        <v>450.1</v>
      </c>
      <c r="AR23" s="2">
        <v>134.74</v>
      </c>
      <c r="AU23" s="1" t="s">
        <v>66</v>
      </c>
      <c r="AV23" s="2">
        <v>16800</v>
      </c>
      <c r="AW23" s="2">
        <v>16800</v>
      </c>
      <c r="AX23" s="2">
        <v>14489.01</v>
      </c>
      <c r="AY23" s="2">
        <v>13574.06</v>
      </c>
      <c r="AZ23" s="2">
        <v>13751.07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16800</v>
      </c>
      <c r="BH23" s="2">
        <v>16800</v>
      </c>
      <c r="BI23" s="2">
        <v>16800</v>
      </c>
      <c r="BJ23" s="2">
        <v>16800</v>
      </c>
      <c r="BK23" s="2">
        <v>16800</v>
      </c>
      <c r="BL23" s="2">
        <v>16666.150000000001</v>
      </c>
      <c r="BM23" s="2">
        <v>12853.61</v>
      </c>
      <c r="BN23" s="2">
        <v>16800</v>
      </c>
      <c r="BO23" s="2">
        <v>13534.86</v>
      </c>
      <c r="BR23" s="1" t="s">
        <v>66</v>
      </c>
      <c r="BS23" s="2">
        <v>20500.900000000001</v>
      </c>
      <c r="BT23" s="2">
        <v>20367.2</v>
      </c>
      <c r="BU23" s="2">
        <v>15248.1</v>
      </c>
      <c r="BV23" s="2">
        <v>14266.7</v>
      </c>
      <c r="BW23" s="2">
        <v>14354.9</v>
      </c>
      <c r="BX23" s="2">
        <v>18024.3</v>
      </c>
      <c r="BY23" s="2">
        <v>19240.900000000001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67</v>
      </c>
      <c r="C24" s="2">
        <v>0.14000000000000001</v>
      </c>
      <c r="D24" s="2">
        <v>0.14000000000000001</v>
      </c>
      <c r="E24" s="2">
        <v>0.15</v>
      </c>
      <c r="F24" s="2">
        <v>0.15</v>
      </c>
      <c r="G24" s="2">
        <v>0.15</v>
      </c>
      <c r="H24" s="2">
        <v>0.15</v>
      </c>
      <c r="I24" s="2">
        <v>0.15</v>
      </c>
      <c r="J24" s="2">
        <v>0.15</v>
      </c>
      <c r="K24" s="2">
        <v>0.14000000000000001</v>
      </c>
      <c r="L24" s="2">
        <v>0.14000000000000001</v>
      </c>
      <c r="M24" s="2">
        <v>0.14000000000000001</v>
      </c>
      <c r="N24" s="2">
        <v>0.14000000000000001</v>
      </c>
      <c r="O24" s="2">
        <v>0.14000000000000001</v>
      </c>
      <c r="P24" s="2">
        <v>0.14000000000000001</v>
      </c>
      <c r="Q24" s="2">
        <v>0.14000000000000001</v>
      </c>
      <c r="R24" s="2">
        <v>0.14000000000000001</v>
      </c>
      <c r="S24" s="2">
        <v>0.14000000000000001</v>
      </c>
      <c r="T24" s="2">
        <v>0.14000000000000001</v>
      </c>
      <c r="U24" s="2">
        <v>0.14000000000000001</v>
      </c>
      <c r="V24" s="2">
        <v>0.14000000000000001</v>
      </c>
      <c r="X24" s="1" t="s">
        <v>67</v>
      </c>
      <c r="Y24" s="2">
        <v>1049.56</v>
      </c>
      <c r="Z24" s="2">
        <v>642.91999999999996</v>
      </c>
      <c r="AA24" s="2">
        <v>1093.29</v>
      </c>
      <c r="AB24" s="2">
        <v>696.5</v>
      </c>
      <c r="AC24" s="2">
        <v>677.7</v>
      </c>
      <c r="AD24" s="2">
        <v>867.77</v>
      </c>
      <c r="AE24" s="2">
        <v>1193.29</v>
      </c>
      <c r="AF24" s="2">
        <v>763.65</v>
      </c>
      <c r="AG24" s="2">
        <v>1113.5999999999999</v>
      </c>
      <c r="AH24" s="2">
        <v>704.89</v>
      </c>
      <c r="AI24" s="2">
        <v>1070.75</v>
      </c>
      <c r="AJ24" s="2">
        <v>713.25</v>
      </c>
      <c r="AK24" s="2">
        <v>889.3</v>
      </c>
      <c r="AL24" s="2">
        <v>773.73</v>
      </c>
      <c r="AM24" s="2">
        <v>857.91</v>
      </c>
      <c r="AN24" s="2">
        <v>787.1</v>
      </c>
      <c r="AO24" s="2">
        <v>837.99</v>
      </c>
      <c r="AP24" s="2">
        <v>609.04999999999995</v>
      </c>
      <c r="AQ24" s="2">
        <v>998.61</v>
      </c>
      <c r="AR24" s="2">
        <v>612.35</v>
      </c>
      <c r="AU24" s="1" t="s">
        <v>67</v>
      </c>
      <c r="AV24" s="2">
        <v>7316.84</v>
      </c>
      <c r="AW24" s="2">
        <v>4792.4799999999996</v>
      </c>
      <c r="AX24" s="2">
        <v>6672.71</v>
      </c>
      <c r="AY24" s="2">
        <v>4463.7</v>
      </c>
      <c r="AZ24" s="2">
        <v>4363.7</v>
      </c>
      <c r="BA24" s="2">
        <v>5656.33</v>
      </c>
      <c r="BB24" s="2">
        <v>7520.91</v>
      </c>
      <c r="BC24" s="2">
        <v>5221.1499999999996</v>
      </c>
      <c r="BD24" s="2">
        <v>7595.7</v>
      </c>
      <c r="BE24" s="2">
        <v>5175.91</v>
      </c>
      <c r="BF24" s="2">
        <v>7390.95</v>
      </c>
      <c r="BG24" s="2">
        <v>5266.15</v>
      </c>
      <c r="BH24" s="2">
        <v>6207.5</v>
      </c>
      <c r="BI24" s="2">
        <v>5598.97</v>
      </c>
      <c r="BJ24" s="2">
        <v>6041.79</v>
      </c>
      <c r="BK24" s="2">
        <v>5612.1</v>
      </c>
      <c r="BL24" s="2">
        <v>5875.01</v>
      </c>
      <c r="BM24" s="2">
        <v>4505.45</v>
      </c>
      <c r="BN24" s="2">
        <v>7254.99</v>
      </c>
      <c r="BO24" s="2">
        <v>4634.75</v>
      </c>
      <c r="BR24" s="1" t="s">
        <v>67</v>
      </c>
      <c r="BS24" s="2">
        <v>8366.4</v>
      </c>
      <c r="BT24" s="2">
        <v>5435.4</v>
      </c>
      <c r="BU24" s="2">
        <v>7766</v>
      </c>
      <c r="BV24" s="2">
        <v>5160.2</v>
      </c>
      <c r="BW24" s="2">
        <v>5041.3999999999996</v>
      </c>
      <c r="BX24" s="2">
        <v>6524.1</v>
      </c>
      <c r="BY24" s="2">
        <v>8714.2000000000007</v>
      </c>
      <c r="BZ24" s="2">
        <v>5984.8</v>
      </c>
      <c r="CA24" s="2">
        <v>8709.2999999999993</v>
      </c>
      <c r="CB24" s="2">
        <v>5880.8</v>
      </c>
      <c r="CC24" s="2">
        <v>8461.7000000000007</v>
      </c>
      <c r="CD24" s="2">
        <v>5979.4</v>
      </c>
      <c r="CE24" s="2">
        <v>7096.8</v>
      </c>
      <c r="CF24" s="2">
        <v>6372.7</v>
      </c>
      <c r="CG24" s="2">
        <v>6899.7</v>
      </c>
      <c r="CH24" s="2">
        <v>6399.2</v>
      </c>
      <c r="CI24" s="2">
        <v>6713</v>
      </c>
      <c r="CJ24" s="2">
        <v>5114.5</v>
      </c>
      <c r="CK24" s="2">
        <v>8253.6</v>
      </c>
      <c r="CL24" s="2">
        <v>5247.1</v>
      </c>
    </row>
    <row r="25" spans="2:90" x14ac:dyDescent="0.3">
      <c r="B25" s="1" t="s">
        <v>68</v>
      </c>
      <c r="C25" s="2">
        <v>0.22</v>
      </c>
      <c r="D25" s="2">
        <v>0.14000000000000001</v>
      </c>
      <c r="E25" s="2">
        <v>0.21</v>
      </c>
      <c r="F25" s="2">
        <v>0.15</v>
      </c>
      <c r="G25" s="2">
        <v>0.32</v>
      </c>
      <c r="H25" s="2">
        <v>0.25</v>
      </c>
      <c r="I25" s="2">
        <v>0.26</v>
      </c>
      <c r="J25" s="2">
        <v>0.18</v>
      </c>
      <c r="K25" s="2">
        <v>0.26</v>
      </c>
      <c r="L25" s="2">
        <v>0.16</v>
      </c>
      <c r="M25" s="2">
        <v>0.27</v>
      </c>
      <c r="N25" s="2">
        <v>0.16</v>
      </c>
      <c r="O25" s="2">
        <v>0.28000000000000003</v>
      </c>
      <c r="P25" s="2">
        <v>0.16</v>
      </c>
      <c r="Q25" s="2">
        <v>0.28000000000000003</v>
      </c>
      <c r="R25" s="2">
        <v>0.15</v>
      </c>
      <c r="S25" s="2">
        <v>0.17</v>
      </c>
      <c r="T25" s="2">
        <v>0.14000000000000001</v>
      </c>
      <c r="U25" s="2">
        <v>0.14000000000000001</v>
      </c>
      <c r="V25" s="2">
        <v>0.14000000000000001</v>
      </c>
      <c r="X25" s="1" t="s">
        <v>68</v>
      </c>
      <c r="Y25" s="2">
        <v>5557.47</v>
      </c>
      <c r="Z25" s="2">
        <v>1603.19</v>
      </c>
      <c r="AA25" s="2">
        <v>5396.02</v>
      </c>
      <c r="AB25" s="2">
        <v>1572.83</v>
      </c>
      <c r="AC25" s="2">
        <v>6092.68</v>
      </c>
      <c r="AD25" s="2">
        <v>5403.68</v>
      </c>
      <c r="AE25" s="2">
        <v>6551.6</v>
      </c>
      <c r="AF25" s="2">
        <v>3103.76</v>
      </c>
      <c r="AG25" s="2">
        <v>6964.02</v>
      </c>
      <c r="AH25" s="2">
        <v>2575.37</v>
      </c>
      <c r="AI25" s="2">
        <v>7092.36</v>
      </c>
      <c r="AJ25" s="2">
        <v>2578.1</v>
      </c>
      <c r="AK25" s="2">
        <v>6722.74</v>
      </c>
      <c r="AL25" s="2">
        <v>2663.22</v>
      </c>
      <c r="AM25" s="2">
        <v>6495.16</v>
      </c>
      <c r="AN25" s="2">
        <v>2427.73</v>
      </c>
      <c r="AO25" s="2">
        <v>3066.38</v>
      </c>
      <c r="AP25" s="2">
        <v>1972.39</v>
      </c>
      <c r="AQ25" s="2">
        <v>1969.57</v>
      </c>
      <c r="AR25" s="2">
        <v>1757.77</v>
      </c>
      <c r="AU25" s="1" t="s">
        <v>68</v>
      </c>
      <c r="AV25" s="2">
        <v>23369.31</v>
      </c>
      <c r="AW25" s="2">
        <v>12263.11</v>
      </c>
      <c r="AX25" s="2">
        <v>22410.12</v>
      </c>
      <c r="AY25" s="2">
        <v>10152.969999999999</v>
      </c>
      <c r="AZ25" s="2">
        <v>16149.89</v>
      </c>
      <c r="BA25" s="2">
        <v>19639.84</v>
      </c>
      <c r="BB25" s="2">
        <v>22345.06</v>
      </c>
      <c r="BC25" s="2">
        <v>18044.29</v>
      </c>
      <c r="BD25" s="2">
        <v>23260.98</v>
      </c>
      <c r="BE25" s="2">
        <v>17618.86</v>
      </c>
      <c r="BF25" s="2">
        <v>23387.64</v>
      </c>
      <c r="BG25" s="2">
        <v>17658.900000000001</v>
      </c>
      <c r="BH25" s="2">
        <v>21557.03</v>
      </c>
      <c r="BI25" s="2">
        <v>17839.11</v>
      </c>
      <c r="BJ25" s="2">
        <v>20393.77</v>
      </c>
      <c r="BK25" s="2">
        <v>17261.34</v>
      </c>
      <c r="BL25" s="2">
        <v>18506.57</v>
      </c>
      <c r="BM25" s="2">
        <v>15526.06</v>
      </c>
      <c r="BN25" s="2">
        <v>15177.71</v>
      </c>
      <c r="BO25" s="2">
        <v>13724.39</v>
      </c>
      <c r="BR25" s="1" t="s">
        <v>68</v>
      </c>
      <c r="BS25" s="2">
        <v>28926.78</v>
      </c>
      <c r="BT25" s="2">
        <v>13866.3</v>
      </c>
      <c r="BU25" s="2">
        <v>27806.14</v>
      </c>
      <c r="BV25" s="2">
        <v>11725.8</v>
      </c>
      <c r="BW25" s="2">
        <v>22242.57</v>
      </c>
      <c r="BX25" s="2">
        <v>25043.52</v>
      </c>
      <c r="BY25" s="2">
        <v>28896.66</v>
      </c>
      <c r="BZ25" s="2">
        <v>21148.05</v>
      </c>
      <c r="CA25" s="2">
        <v>30225</v>
      </c>
      <c r="CB25" s="2">
        <v>20194.240000000002</v>
      </c>
      <c r="CC25" s="2">
        <v>30480</v>
      </c>
      <c r="CD25" s="2">
        <v>20237</v>
      </c>
      <c r="CE25" s="2">
        <v>28279.77</v>
      </c>
      <c r="CF25" s="2">
        <v>20502.32</v>
      </c>
      <c r="CG25" s="2">
        <v>26888.94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69</v>
      </c>
      <c r="C26" s="2">
        <v>0.15</v>
      </c>
      <c r="D26" s="2">
        <v>0.16</v>
      </c>
      <c r="E26" s="2">
        <v>0.15</v>
      </c>
      <c r="F26" s="2">
        <v>0.15</v>
      </c>
      <c r="G26" s="2">
        <v>0.25</v>
      </c>
      <c r="H26" s="2">
        <v>0.15</v>
      </c>
      <c r="I26" s="2">
        <v>0.22</v>
      </c>
      <c r="J26" s="2">
        <v>0.15</v>
      </c>
      <c r="K26" s="2">
        <v>0.21</v>
      </c>
      <c r="L26" s="2">
        <v>0.14000000000000001</v>
      </c>
      <c r="M26" s="2">
        <v>0.21</v>
      </c>
      <c r="N26" s="2">
        <v>0.14000000000000001</v>
      </c>
      <c r="O26" s="2">
        <v>0.21</v>
      </c>
      <c r="P26" s="2">
        <v>0.14000000000000001</v>
      </c>
      <c r="Q26" s="2">
        <v>0.17</v>
      </c>
      <c r="R26" s="2">
        <v>0.14000000000000001</v>
      </c>
      <c r="S26" s="2">
        <v>0.14000000000000001</v>
      </c>
      <c r="T26" s="2">
        <v>0.15</v>
      </c>
      <c r="U26" s="2">
        <v>0.14000000000000001</v>
      </c>
      <c r="V26" s="2">
        <v>0.15</v>
      </c>
      <c r="X26" s="1" t="s">
        <v>69</v>
      </c>
      <c r="Y26" s="2">
        <v>1010.4</v>
      </c>
      <c r="Z26" s="2">
        <v>603.5</v>
      </c>
      <c r="AA26" s="2">
        <v>1084.1199999999999</v>
      </c>
      <c r="AB26" s="2">
        <v>632.37</v>
      </c>
      <c r="AC26" s="2">
        <v>1399.8</v>
      </c>
      <c r="AD26" s="2">
        <v>1112.51</v>
      </c>
      <c r="AE26" s="2">
        <v>1614.58</v>
      </c>
      <c r="AF26" s="2">
        <v>888.15</v>
      </c>
      <c r="AG26" s="2">
        <v>1515.97</v>
      </c>
      <c r="AH26" s="2">
        <v>785.6</v>
      </c>
      <c r="AI26" s="2">
        <v>1514.66</v>
      </c>
      <c r="AJ26" s="2">
        <v>753.73</v>
      </c>
      <c r="AK26" s="2">
        <v>1508.83</v>
      </c>
      <c r="AL26" s="2">
        <v>759.14</v>
      </c>
      <c r="AM26" s="2">
        <v>1141.27</v>
      </c>
      <c r="AN26" s="2">
        <v>725.2</v>
      </c>
      <c r="AO26" s="2">
        <v>731.98</v>
      </c>
      <c r="AP26" s="2">
        <v>674.9</v>
      </c>
      <c r="AQ26" s="2">
        <v>666.33</v>
      </c>
      <c r="AR26" s="2">
        <v>636.37</v>
      </c>
      <c r="AU26" s="1" t="s">
        <v>69</v>
      </c>
      <c r="AV26" s="2">
        <v>7549.28</v>
      </c>
      <c r="AW26" s="2">
        <v>4326.3</v>
      </c>
      <c r="AX26" s="2">
        <v>7035.26</v>
      </c>
      <c r="AY26" s="2">
        <v>4220.63</v>
      </c>
      <c r="AZ26" s="2">
        <v>5538.89</v>
      </c>
      <c r="BA26" s="2">
        <v>7767.49</v>
      </c>
      <c r="BB26" s="2">
        <v>7265.42</v>
      </c>
      <c r="BC26" s="2">
        <v>6432.82</v>
      </c>
      <c r="BD26" s="2">
        <v>7364.03</v>
      </c>
      <c r="BE26" s="2">
        <v>6145.36</v>
      </c>
      <c r="BF26" s="2">
        <v>7365.34</v>
      </c>
      <c r="BG26" s="2">
        <v>5995.66</v>
      </c>
      <c r="BH26" s="2">
        <v>7371.17</v>
      </c>
      <c r="BI26" s="2">
        <v>6031.66</v>
      </c>
      <c r="BJ26" s="2">
        <v>6992.13</v>
      </c>
      <c r="BK26" s="2">
        <v>5733.5</v>
      </c>
      <c r="BL26" s="2">
        <v>5706.82</v>
      </c>
      <c r="BM26" s="2">
        <v>5351.5</v>
      </c>
      <c r="BN26" s="2">
        <v>5288.57</v>
      </c>
      <c r="BO26" s="2">
        <v>5010.34</v>
      </c>
      <c r="BR26" s="1" t="s">
        <v>69</v>
      </c>
      <c r="BS26" s="2">
        <v>8559.69</v>
      </c>
      <c r="BT26" s="2">
        <v>4929.8</v>
      </c>
      <c r="BU26" s="2">
        <v>8119.38</v>
      </c>
      <c r="BV26" s="2">
        <v>4853</v>
      </c>
      <c r="BW26" s="2">
        <v>6938.68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6790.8</v>
      </c>
      <c r="CG26" s="2">
        <v>8133.4</v>
      </c>
      <c r="CH26" s="2">
        <v>6458.7</v>
      </c>
      <c r="CI26" s="2">
        <v>6438.8</v>
      </c>
      <c r="CJ26" s="2">
        <v>6026.4</v>
      </c>
      <c r="CK26" s="2">
        <v>5954.9</v>
      </c>
      <c r="CL26" s="2">
        <v>5646.71</v>
      </c>
    </row>
    <row r="27" spans="2:90" x14ac:dyDescent="0.3">
      <c r="B27" s="1" t="s">
        <v>70</v>
      </c>
      <c r="C27" s="2">
        <v>0.23</v>
      </c>
      <c r="D27" s="2">
        <v>0.19</v>
      </c>
      <c r="E27" s="2">
        <v>0.21</v>
      </c>
      <c r="F27" s="2">
        <v>0.15</v>
      </c>
      <c r="G27" s="2">
        <v>0.23</v>
      </c>
      <c r="H27" s="2">
        <v>0.22</v>
      </c>
      <c r="I27" s="2">
        <v>0.15</v>
      </c>
      <c r="J27" s="2">
        <v>0.2</v>
      </c>
      <c r="K27" s="2">
        <v>0.17</v>
      </c>
      <c r="L27" s="2">
        <v>0.18</v>
      </c>
      <c r="M27" s="2">
        <v>0.15</v>
      </c>
      <c r="N27" s="2">
        <v>0.14000000000000001</v>
      </c>
      <c r="O27" s="2">
        <v>0.14000000000000001</v>
      </c>
      <c r="P27" s="2">
        <v>0.14000000000000001</v>
      </c>
      <c r="Q27" s="2">
        <v>0.14000000000000001</v>
      </c>
      <c r="R27" s="2">
        <v>0.14000000000000001</v>
      </c>
      <c r="S27" s="2">
        <v>0.14000000000000001</v>
      </c>
      <c r="T27" s="2">
        <v>0.14000000000000001</v>
      </c>
      <c r="U27" s="2">
        <v>0.14000000000000001</v>
      </c>
      <c r="V27" s="2">
        <v>0.14000000000000001</v>
      </c>
      <c r="X27" s="1" t="s">
        <v>70</v>
      </c>
      <c r="Y27" s="2">
        <v>5533.23</v>
      </c>
      <c r="Z27" s="2">
        <v>5905.42</v>
      </c>
      <c r="AA27" s="2">
        <v>7100.39</v>
      </c>
      <c r="AB27" s="2">
        <v>5648.65</v>
      </c>
      <c r="AC27" s="2">
        <v>5484.88</v>
      </c>
      <c r="AD27" s="2">
        <v>6024.41</v>
      </c>
      <c r="AE27" s="2">
        <v>4808.49</v>
      </c>
      <c r="AF27" s="2">
        <v>6130.36</v>
      </c>
      <c r="AG27" s="2">
        <v>5709.13</v>
      </c>
      <c r="AH27" s="2">
        <v>6073.3</v>
      </c>
      <c r="AI27" s="2">
        <v>4964.04</v>
      </c>
      <c r="AJ27" s="2">
        <v>4755.7299999999996</v>
      </c>
      <c r="AK27" s="2">
        <v>4355.88</v>
      </c>
      <c r="AL27" s="2">
        <v>4666.21</v>
      </c>
      <c r="AM27" s="2">
        <v>3962.95</v>
      </c>
      <c r="AN27" s="2">
        <v>4041.35</v>
      </c>
      <c r="AO27" s="2">
        <v>3648.75</v>
      </c>
      <c r="AP27" s="2">
        <v>3794.02</v>
      </c>
      <c r="AQ27" s="2">
        <v>3686.36</v>
      </c>
      <c r="AR27" s="2">
        <v>4137.05</v>
      </c>
      <c r="AU27" s="1" t="s">
        <v>70</v>
      </c>
      <c r="AV27" s="2">
        <v>23580.78</v>
      </c>
      <c r="AW27" s="2">
        <v>31139.08</v>
      </c>
      <c r="AX27" s="2">
        <v>30491.439999999999</v>
      </c>
      <c r="AY27" s="2">
        <v>35557.85</v>
      </c>
      <c r="AZ27" s="2">
        <v>22418.23</v>
      </c>
      <c r="BA27" s="2">
        <v>25088</v>
      </c>
      <c r="BB27" s="2">
        <v>32502.51</v>
      </c>
      <c r="BC27" s="2">
        <v>30342.639999999999</v>
      </c>
      <c r="BD27" s="2">
        <v>34788.870000000003</v>
      </c>
      <c r="BE27" s="2">
        <v>34375.199999999997</v>
      </c>
      <c r="BF27" s="2">
        <v>33868.959999999999</v>
      </c>
      <c r="BG27" s="2">
        <v>34937.769999999997</v>
      </c>
      <c r="BH27" s="2">
        <v>32314.62</v>
      </c>
      <c r="BI27" s="2">
        <v>34233.79</v>
      </c>
      <c r="BJ27" s="2">
        <v>29670.05</v>
      </c>
      <c r="BK27" s="2">
        <v>29971.15</v>
      </c>
      <c r="BL27" s="2">
        <v>27659.75</v>
      </c>
      <c r="BM27" s="2">
        <v>28159.98</v>
      </c>
      <c r="BN27" s="2">
        <v>28300.639999999999</v>
      </c>
      <c r="BO27" s="2">
        <v>31471.95</v>
      </c>
      <c r="BR27" s="1" t="s">
        <v>70</v>
      </c>
      <c r="BS27" s="2">
        <v>29114.01</v>
      </c>
      <c r="BT27" s="2">
        <v>37044.5</v>
      </c>
      <c r="BU27" s="2">
        <v>37591.839999999997</v>
      </c>
      <c r="BV27" s="2">
        <v>41206.5</v>
      </c>
      <c r="BW27" s="2">
        <v>27903.11</v>
      </c>
      <c r="BX27" s="2">
        <v>31112.41</v>
      </c>
      <c r="BY27" s="2">
        <v>37311</v>
      </c>
      <c r="BZ27" s="2">
        <v>36473</v>
      </c>
      <c r="CA27" s="2">
        <v>40498</v>
      </c>
      <c r="CB27" s="2">
        <v>40448.5</v>
      </c>
      <c r="CC27" s="2">
        <v>38833</v>
      </c>
      <c r="CD27" s="2">
        <v>39693.5</v>
      </c>
      <c r="CE27" s="2">
        <v>36670.5</v>
      </c>
      <c r="CF27" s="2">
        <v>38900</v>
      </c>
      <c r="CG27" s="2">
        <v>33633</v>
      </c>
      <c r="CH27" s="2">
        <v>34012.5</v>
      </c>
      <c r="CI27" s="2">
        <v>31308.5</v>
      </c>
      <c r="CJ27" s="2">
        <v>31954</v>
      </c>
      <c r="CK27" s="2">
        <v>31987</v>
      </c>
      <c r="CL27" s="2">
        <v>35609</v>
      </c>
    </row>
    <row r="28" spans="2:90" x14ac:dyDescent="0.3">
      <c r="B28" s="1" t="s">
        <v>71</v>
      </c>
      <c r="C28" s="2">
        <v>0.17</v>
      </c>
      <c r="D28" s="2">
        <v>0.24</v>
      </c>
      <c r="E28" s="2">
        <v>0.18</v>
      </c>
      <c r="F28" s="2">
        <v>0.18</v>
      </c>
      <c r="G28" s="2">
        <v>0.26</v>
      </c>
      <c r="H28" s="2">
        <v>0.25</v>
      </c>
      <c r="I28" s="2">
        <v>0.18</v>
      </c>
      <c r="J28" s="2">
        <v>0.25</v>
      </c>
      <c r="K28" s="2">
        <v>0.17</v>
      </c>
      <c r="L28" s="2">
        <v>0.21</v>
      </c>
      <c r="M28" s="2">
        <v>0.17</v>
      </c>
      <c r="N28" s="2">
        <v>0.2</v>
      </c>
      <c r="O28" s="2">
        <v>0.17</v>
      </c>
      <c r="P28" s="2">
        <v>0.19</v>
      </c>
      <c r="Q28" s="2">
        <v>0.17</v>
      </c>
      <c r="R28" s="2">
        <v>0.19</v>
      </c>
      <c r="S28" s="2">
        <v>0.17</v>
      </c>
      <c r="T28" s="2">
        <v>0.17</v>
      </c>
      <c r="U28" s="2">
        <v>0.17</v>
      </c>
      <c r="V28" s="2">
        <v>0.17</v>
      </c>
      <c r="X28" s="1" t="s">
        <v>71</v>
      </c>
      <c r="Y28" s="2">
        <v>979.18</v>
      </c>
      <c r="Z28" s="2">
        <v>1472.17</v>
      </c>
      <c r="AA28" s="2">
        <v>1449.44</v>
      </c>
      <c r="AB28" s="2">
        <v>1480.06</v>
      </c>
      <c r="AC28" s="2">
        <v>1276.77</v>
      </c>
      <c r="AD28" s="2">
        <v>1422.6</v>
      </c>
      <c r="AE28" s="2">
        <v>1055.18</v>
      </c>
      <c r="AF28" s="2">
        <v>1182.93</v>
      </c>
      <c r="AG28" s="2">
        <v>989.56</v>
      </c>
      <c r="AH28" s="2">
        <v>1569.74</v>
      </c>
      <c r="AI28" s="2">
        <v>1042.18</v>
      </c>
      <c r="AJ28" s="2">
        <v>1605.72</v>
      </c>
      <c r="AK28" s="2">
        <v>1037.6500000000001</v>
      </c>
      <c r="AL28" s="2">
        <v>1394.63</v>
      </c>
      <c r="AM28" s="2">
        <v>1017.99</v>
      </c>
      <c r="AN28" s="2">
        <v>1370.53</v>
      </c>
      <c r="AO28" s="2">
        <v>964.39</v>
      </c>
      <c r="AP28" s="2">
        <v>1192.25</v>
      </c>
      <c r="AQ28" s="2">
        <v>882.66</v>
      </c>
      <c r="AR28" s="2">
        <v>871.64</v>
      </c>
      <c r="AU28" s="1" t="s">
        <v>71</v>
      </c>
      <c r="AV28" s="2">
        <v>5927.64</v>
      </c>
      <c r="AW28" s="2">
        <v>5566.58</v>
      </c>
      <c r="AX28" s="2">
        <v>7430.56</v>
      </c>
      <c r="AY28" s="2">
        <v>7399.94</v>
      </c>
      <c r="AZ28" s="2">
        <v>4499.96</v>
      </c>
      <c r="BA28" s="2">
        <v>5133.38</v>
      </c>
      <c r="BB28" s="2">
        <v>5570.62</v>
      </c>
      <c r="BC28" s="2">
        <v>4386.99</v>
      </c>
      <c r="BD28" s="2">
        <v>5665.64</v>
      </c>
      <c r="BE28" s="2">
        <v>7089.26</v>
      </c>
      <c r="BF28" s="2">
        <v>6110.92</v>
      </c>
      <c r="BG28" s="2">
        <v>7274.28</v>
      </c>
      <c r="BH28" s="2">
        <v>6059.34</v>
      </c>
      <c r="BI28" s="2">
        <v>7077.48</v>
      </c>
      <c r="BJ28" s="2">
        <v>6018.88</v>
      </c>
      <c r="BK28" s="2">
        <v>7068.13</v>
      </c>
      <c r="BL28" s="2">
        <v>5801.06</v>
      </c>
      <c r="BM28" s="2">
        <v>6802.41</v>
      </c>
      <c r="BN28" s="2">
        <v>5384.39</v>
      </c>
      <c r="BO28" s="2">
        <v>4992.3599999999997</v>
      </c>
      <c r="BR28" s="1" t="s">
        <v>71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6625.8</v>
      </c>
      <c r="BZ28" s="2">
        <v>5569.92</v>
      </c>
      <c r="CA28" s="2">
        <v>6655.2</v>
      </c>
      <c r="CB28" s="2">
        <v>8659</v>
      </c>
      <c r="CC28" s="2">
        <v>7153.1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5864</v>
      </c>
    </row>
    <row r="29" spans="2:90" x14ac:dyDescent="0.3">
      <c r="B29" s="1" t="s">
        <v>72</v>
      </c>
      <c r="C29" s="2">
        <v>0.24</v>
      </c>
      <c r="D29" s="2">
        <v>0.24</v>
      </c>
      <c r="E29" s="2">
        <v>0.18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0.17</v>
      </c>
      <c r="L29" s="2">
        <v>0.27</v>
      </c>
      <c r="M29" s="2">
        <v>0.18</v>
      </c>
      <c r="N29" s="2">
        <v>0.27</v>
      </c>
      <c r="O29" s="2">
        <v>0.19</v>
      </c>
      <c r="P29" s="2">
        <v>0.26</v>
      </c>
      <c r="Q29" s="2">
        <v>0.2</v>
      </c>
      <c r="R29" s="2">
        <v>0.16</v>
      </c>
      <c r="S29" s="2">
        <v>0.17</v>
      </c>
      <c r="T29" s="2">
        <v>0.17</v>
      </c>
      <c r="U29" s="2">
        <v>0.17</v>
      </c>
      <c r="V29" s="2">
        <v>0.17</v>
      </c>
      <c r="X29" s="1" t="s">
        <v>72</v>
      </c>
      <c r="Y29" s="2">
        <v>5374.7</v>
      </c>
      <c r="Z29" s="2">
        <v>5613.11</v>
      </c>
      <c r="AA29" s="2">
        <v>4210.76</v>
      </c>
      <c r="AB29" s="2">
        <v>5808.65</v>
      </c>
      <c r="AC29" s="2">
        <v>4529.7299999999996</v>
      </c>
      <c r="AD29" s="2">
        <v>5407.8</v>
      </c>
      <c r="AE29" s="2">
        <v>4299.53</v>
      </c>
      <c r="AF29" s="2">
        <v>5932.38</v>
      </c>
      <c r="AG29" s="2">
        <v>3257.23</v>
      </c>
      <c r="AH29" s="2">
        <v>7309.24</v>
      </c>
      <c r="AI29" s="2">
        <v>3572.4</v>
      </c>
      <c r="AJ29" s="2">
        <v>7313.88</v>
      </c>
      <c r="AK29" s="2">
        <v>3588.64</v>
      </c>
      <c r="AL29" s="2">
        <v>6530.55</v>
      </c>
      <c r="AM29" s="2">
        <v>3978.51</v>
      </c>
      <c r="AN29" s="2">
        <v>3576.34</v>
      </c>
      <c r="AO29" s="2">
        <v>2943.74</v>
      </c>
      <c r="AP29" s="2">
        <v>3093.03</v>
      </c>
      <c r="AQ29" s="2">
        <v>2748.9</v>
      </c>
      <c r="AR29" s="2">
        <v>2736.61</v>
      </c>
      <c r="AU29" s="1" t="s">
        <v>72</v>
      </c>
      <c r="AV29" s="2">
        <v>20928.259999999998</v>
      </c>
      <c r="AW29" s="2">
        <v>22280.2</v>
      </c>
      <c r="AX29" s="2">
        <v>21581.94</v>
      </c>
      <c r="AY29" s="2">
        <v>24067.02</v>
      </c>
      <c r="AZ29" s="2">
        <v>13777.08</v>
      </c>
      <c r="BA29" s="2">
        <v>20543.59</v>
      </c>
      <c r="BB29" s="2">
        <v>18845.009999999998</v>
      </c>
      <c r="BC29" s="2">
        <v>15323.96</v>
      </c>
      <c r="BD29" s="2">
        <v>18377.98</v>
      </c>
      <c r="BE29" s="2">
        <v>23170.76</v>
      </c>
      <c r="BF29" s="2">
        <v>18902.73</v>
      </c>
      <c r="BG29" s="2">
        <v>23166.12</v>
      </c>
      <c r="BH29" s="2">
        <v>18931.38</v>
      </c>
      <c r="BI29" s="2">
        <v>22407.15</v>
      </c>
      <c r="BJ29" s="2">
        <v>19540.099999999999</v>
      </c>
      <c r="BK29" s="2">
        <v>21699.73</v>
      </c>
      <c r="BL29" s="2">
        <v>17844.310000000001</v>
      </c>
      <c r="BM29" s="2">
        <v>18129.02</v>
      </c>
      <c r="BN29" s="2">
        <v>16745.509999999998</v>
      </c>
      <c r="BO29" s="2">
        <v>16435.98</v>
      </c>
      <c r="BR29" s="1" t="s">
        <v>72</v>
      </c>
      <c r="BS29" s="2">
        <v>26302.959999999999</v>
      </c>
      <c r="BT29" s="2">
        <v>27893.31</v>
      </c>
      <c r="BU29" s="2">
        <v>25792.7</v>
      </c>
      <c r="BV29" s="2">
        <v>29875.67</v>
      </c>
      <c r="BW29" s="2">
        <v>18306.810000000001</v>
      </c>
      <c r="BX29" s="2">
        <v>25951.39</v>
      </c>
      <c r="BY29" s="2">
        <v>23144.55</v>
      </c>
      <c r="BZ29" s="2">
        <v>21256.35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28937.7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73</v>
      </c>
      <c r="C30" s="2">
        <v>0.17</v>
      </c>
      <c r="D30" s="2">
        <v>0.17</v>
      </c>
      <c r="E30" s="2">
        <v>0.18</v>
      </c>
      <c r="F30" s="2">
        <v>0.18</v>
      </c>
      <c r="G30" s="2">
        <v>0.05</v>
      </c>
      <c r="H30" s="2">
        <v>0.18</v>
      </c>
      <c r="I30" s="2">
        <v>0.15</v>
      </c>
      <c r="J30" s="2">
        <v>0.19</v>
      </c>
      <c r="K30" s="2">
        <v>0.19</v>
      </c>
      <c r="L30" s="2">
        <v>0.18</v>
      </c>
      <c r="M30" s="2">
        <v>0.19</v>
      </c>
      <c r="N30" s="2">
        <v>0.18</v>
      </c>
      <c r="O30" s="2">
        <v>0.19</v>
      </c>
      <c r="P30" s="2">
        <v>0.17</v>
      </c>
      <c r="Q30" s="2">
        <v>0.2</v>
      </c>
      <c r="R30" s="2">
        <v>0.19</v>
      </c>
      <c r="S30" s="2">
        <v>0.2</v>
      </c>
      <c r="T30" s="2">
        <v>0.2</v>
      </c>
      <c r="U30" s="2">
        <v>0.2</v>
      </c>
      <c r="V30" s="2">
        <v>0.19</v>
      </c>
      <c r="X30" s="1" t="s">
        <v>73</v>
      </c>
      <c r="Y30" s="2">
        <v>1974.1</v>
      </c>
      <c r="Z30" s="2">
        <v>2486.79</v>
      </c>
      <c r="AA30" s="2">
        <v>2049.39</v>
      </c>
      <c r="AB30" s="2">
        <v>2178.63</v>
      </c>
      <c r="AC30" s="2">
        <v>482.97</v>
      </c>
      <c r="AD30" s="2">
        <v>2276.2800000000002</v>
      </c>
      <c r="AE30" s="2">
        <v>1295.4000000000001</v>
      </c>
      <c r="AF30" s="2">
        <v>2431</v>
      </c>
      <c r="AG30" s="2">
        <v>1737.78</v>
      </c>
      <c r="AH30" s="2">
        <v>2279.81</v>
      </c>
      <c r="AI30" s="2">
        <v>1746.18</v>
      </c>
      <c r="AJ30" s="2">
        <v>2336.85</v>
      </c>
      <c r="AK30" s="2">
        <v>1729.89</v>
      </c>
      <c r="AL30" s="2">
        <v>2133.4299999999998</v>
      </c>
      <c r="AM30" s="2">
        <v>1701.1</v>
      </c>
      <c r="AN30" s="2">
        <v>1782.41</v>
      </c>
      <c r="AO30" s="2">
        <v>1647.16</v>
      </c>
      <c r="AP30" s="2">
        <v>1642.82</v>
      </c>
      <c r="AQ30" s="2">
        <v>1678.14</v>
      </c>
      <c r="AR30" s="2">
        <v>1657.51</v>
      </c>
      <c r="AU30" s="1" t="s">
        <v>73</v>
      </c>
      <c r="AV30" s="2">
        <v>12017.9</v>
      </c>
      <c r="AW30" s="2">
        <v>14646.81</v>
      </c>
      <c r="AX30" s="2">
        <v>10220.61</v>
      </c>
      <c r="AY30" s="2">
        <v>10900.47</v>
      </c>
      <c r="AZ30" s="2">
        <v>8836.5300000000007</v>
      </c>
      <c r="BA30" s="2">
        <v>12094.92</v>
      </c>
      <c r="BB30" s="2">
        <v>9360</v>
      </c>
      <c r="BC30" s="2">
        <v>12181.86</v>
      </c>
      <c r="BD30" s="2">
        <v>10027.32</v>
      </c>
      <c r="BE30" s="2">
        <v>12587.32</v>
      </c>
      <c r="BF30" s="2">
        <v>9740.2199999999993</v>
      </c>
      <c r="BG30" s="2">
        <v>13000.71</v>
      </c>
      <c r="BH30" s="2">
        <v>9744.81</v>
      </c>
      <c r="BI30" s="2">
        <v>12565.97</v>
      </c>
      <c r="BJ30" s="2">
        <v>9249.7999999999993</v>
      </c>
      <c r="BK30" s="2">
        <v>10042.69</v>
      </c>
      <c r="BL30" s="2">
        <v>8634.44</v>
      </c>
      <c r="BM30" s="2">
        <v>8831.3799999999992</v>
      </c>
      <c r="BN30" s="2">
        <v>9084.36</v>
      </c>
      <c r="BO30" s="2">
        <v>9679.49</v>
      </c>
      <c r="BR30" s="1" t="s">
        <v>73</v>
      </c>
      <c r="BS30" s="2">
        <v>13992</v>
      </c>
      <c r="BT30" s="2">
        <v>17133.599999999999</v>
      </c>
      <c r="BU30" s="2">
        <v>12270</v>
      </c>
      <c r="BV30" s="2">
        <v>13079.1</v>
      </c>
      <c r="BW30" s="2">
        <v>9319.5</v>
      </c>
      <c r="BX30" s="2">
        <v>14371.2</v>
      </c>
      <c r="BY30" s="2">
        <v>10655.4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63</v>
      </c>
      <c r="D34" s="1" t="s">
        <v>64</v>
      </c>
      <c r="E34" s="1" t="s">
        <v>63</v>
      </c>
      <c r="F34" s="1" t="s">
        <v>64</v>
      </c>
      <c r="G34" s="1" t="s">
        <v>63</v>
      </c>
      <c r="H34" s="1" t="s">
        <v>64</v>
      </c>
      <c r="I34" s="1" t="s">
        <v>63</v>
      </c>
      <c r="J34" s="1" t="s">
        <v>64</v>
      </c>
      <c r="K34" s="1" t="s">
        <v>63</v>
      </c>
      <c r="L34" s="1" t="s">
        <v>64</v>
      </c>
      <c r="M34" s="1" t="s">
        <v>63</v>
      </c>
      <c r="N34" s="1" t="s">
        <v>64</v>
      </c>
      <c r="O34" s="1" t="s">
        <v>63</v>
      </c>
      <c r="P34" s="1" t="s">
        <v>64</v>
      </c>
      <c r="Q34" s="1" t="s">
        <v>63</v>
      </c>
      <c r="R34" s="1" t="s">
        <v>64</v>
      </c>
      <c r="S34" s="1" t="s">
        <v>63</v>
      </c>
      <c r="T34" s="1" t="s">
        <v>64</v>
      </c>
      <c r="U34" s="1" t="s">
        <v>63</v>
      </c>
      <c r="V34" s="1" t="s">
        <v>64</v>
      </c>
      <c r="X34" s="1" t="s">
        <v>6</v>
      </c>
      <c r="Y34" s="1" t="s">
        <v>63</v>
      </c>
      <c r="Z34" s="1" t="s">
        <v>64</v>
      </c>
      <c r="AA34" s="1" t="s">
        <v>63</v>
      </c>
      <c r="AB34" s="1" t="s">
        <v>64</v>
      </c>
      <c r="AC34" s="1" t="s">
        <v>63</v>
      </c>
      <c r="AD34" s="1" t="s">
        <v>64</v>
      </c>
      <c r="AE34" s="1" t="s">
        <v>63</v>
      </c>
      <c r="AF34" s="1" t="s">
        <v>64</v>
      </c>
      <c r="AG34" s="1" t="s">
        <v>63</v>
      </c>
      <c r="AH34" s="1" t="s">
        <v>64</v>
      </c>
      <c r="AI34" s="1" t="s">
        <v>63</v>
      </c>
      <c r="AJ34" s="1" t="s">
        <v>64</v>
      </c>
      <c r="AK34" s="1" t="s">
        <v>63</v>
      </c>
      <c r="AL34" s="1" t="s">
        <v>64</v>
      </c>
      <c r="AM34" s="1" t="s">
        <v>63</v>
      </c>
      <c r="AN34" s="1" t="s">
        <v>64</v>
      </c>
      <c r="AO34" s="1" t="s">
        <v>63</v>
      </c>
      <c r="AP34" s="1" t="s">
        <v>64</v>
      </c>
      <c r="AQ34" s="1" t="s">
        <v>63</v>
      </c>
      <c r="AR34" s="1" t="s">
        <v>64</v>
      </c>
      <c r="AU34" s="1" t="s">
        <v>6</v>
      </c>
      <c r="AV34" s="1" t="s">
        <v>63</v>
      </c>
      <c r="AW34" s="1" t="s">
        <v>64</v>
      </c>
      <c r="AX34" s="1" t="s">
        <v>63</v>
      </c>
      <c r="AY34" s="1" t="s">
        <v>64</v>
      </c>
      <c r="AZ34" s="1" t="s">
        <v>63</v>
      </c>
      <c r="BA34" s="1" t="s">
        <v>64</v>
      </c>
      <c r="BB34" s="1" t="s">
        <v>63</v>
      </c>
      <c r="BC34" s="1" t="s">
        <v>64</v>
      </c>
      <c r="BD34" s="1" t="s">
        <v>63</v>
      </c>
      <c r="BE34" s="1" t="s">
        <v>64</v>
      </c>
      <c r="BF34" s="1" t="s">
        <v>63</v>
      </c>
      <c r="BG34" s="1" t="s">
        <v>64</v>
      </c>
      <c r="BH34" s="1" t="s">
        <v>63</v>
      </c>
      <c r="BI34" s="1" t="s">
        <v>64</v>
      </c>
      <c r="BJ34" s="1" t="s">
        <v>63</v>
      </c>
      <c r="BK34" s="1" t="s">
        <v>64</v>
      </c>
      <c r="BL34" s="1" t="s">
        <v>63</v>
      </c>
      <c r="BM34" s="1" t="s">
        <v>64</v>
      </c>
      <c r="BN34" s="1" t="s">
        <v>63</v>
      </c>
      <c r="BO34" s="1" t="s">
        <v>64</v>
      </c>
      <c r="BR34" s="1" t="s">
        <v>6</v>
      </c>
      <c r="BS34" s="1" t="s">
        <v>63</v>
      </c>
      <c r="BT34" s="1" t="s">
        <v>64</v>
      </c>
      <c r="BU34" s="1" t="s">
        <v>63</v>
      </c>
      <c r="BV34" s="1" t="s">
        <v>64</v>
      </c>
      <c r="BW34" s="1" t="s">
        <v>63</v>
      </c>
      <c r="BX34" s="1" t="s">
        <v>64</v>
      </c>
      <c r="BY34" s="1" t="s">
        <v>63</v>
      </c>
      <c r="BZ34" s="1" t="s">
        <v>64</v>
      </c>
      <c r="CA34" s="1" t="s">
        <v>63</v>
      </c>
      <c r="CB34" s="1" t="s">
        <v>64</v>
      </c>
      <c r="CC34" s="1" t="s">
        <v>63</v>
      </c>
      <c r="CD34" s="1" t="s">
        <v>64</v>
      </c>
      <c r="CE34" s="1" t="s">
        <v>63</v>
      </c>
      <c r="CF34" s="1" t="s">
        <v>64</v>
      </c>
      <c r="CG34" s="1" t="s">
        <v>63</v>
      </c>
      <c r="CH34" s="1" t="s">
        <v>64</v>
      </c>
      <c r="CI34" s="1" t="s">
        <v>63</v>
      </c>
      <c r="CJ34" s="1" t="s">
        <v>64</v>
      </c>
      <c r="CK34" s="1" t="s">
        <v>63</v>
      </c>
      <c r="CL34" s="1" t="s">
        <v>64</v>
      </c>
    </row>
    <row r="35" spans="2:90" x14ac:dyDescent="0.3">
      <c r="B35" s="1" t="s">
        <v>65</v>
      </c>
      <c r="C35" s="1" t="s">
        <v>53</v>
      </c>
      <c r="D35" s="1" t="s">
        <v>53</v>
      </c>
      <c r="E35" s="1" t="s">
        <v>54</v>
      </c>
      <c r="F35" s="1" t="s">
        <v>54</v>
      </c>
      <c r="G35" s="1" t="s">
        <v>55</v>
      </c>
      <c r="H35" s="1" t="s">
        <v>55</v>
      </c>
      <c r="I35" s="1" t="s">
        <v>56</v>
      </c>
      <c r="J35" s="1" t="s">
        <v>56</v>
      </c>
      <c r="K35" s="1" t="s">
        <v>57</v>
      </c>
      <c r="L35" s="1" t="s">
        <v>57</v>
      </c>
      <c r="M35" s="1" t="s">
        <v>58</v>
      </c>
      <c r="N35" s="1" t="s">
        <v>58</v>
      </c>
      <c r="O35" s="1" t="s">
        <v>59</v>
      </c>
      <c r="P35" s="1" t="s">
        <v>59</v>
      </c>
      <c r="Q35" s="1" t="s">
        <v>60</v>
      </c>
      <c r="R35" s="1" t="s">
        <v>60</v>
      </c>
      <c r="S35" s="1" t="s">
        <v>61</v>
      </c>
      <c r="T35" s="1" t="s">
        <v>61</v>
      </c>
      <c r="U35" s="1" t="s">
        <v>62</v>
      </c>
      <c r="V35" s="1" t="s">
        <v>62</v>
      </c>
      <c r="X35" s="1" t="s">
        <v>65</v>
      </c>
      <c r="Y35" s="1" t="s">
        <v>53</v>
      </c>
      <c r="Z35" s="1" t="s">
        <v>53</v>
      </c>
      <c r="AA35" s="1" t="s">
        <v>54</v>
      </c>
      <c r="AB35" s="1" t="s">
        <v>54</v>
      </c>
      <c r="AC35" s="1" t="s">
        <v>55</v>
      </c>
      <c r="AD35" s="1" t="s">
        <v>55</v>
      </c>
      <c r="AE35" s="1" t="s">
        <v>56</v>
      </c>
      <c r="AF35" s="1" t="s">
        <v>56</v>
      </c>
      <c r="AG35" s="1" t="s">
        <v>57</v>
      </c>
      <c r="AH35" s="1" t="s">
        <v>57</v>
      </c>
      <c r="AI35" s="1" t="s">
        <v>58</v>
      </c>
      <c r="AJ35" s="1" t="s">
        <v>58</v>
      </c>
      <c r="AK35" s="1" t="s">
        <v>59</v>
      </c>
      <c r="AL35" s="1" t="s">
        <v>59</v>
      </c>
      <c r="AM35" s="1" t="s">
        <v>60</v>
      </c>
      <c r="AN35" s="1" t="s">
        <v>60</v>
      </c>
      <c r="AO35" s="1" t="s">
        <v>61</v>
      </c>
      <c r="AP35" s="1" t="s">
        <v>61</v>
      </c>
      <c r="AQ35" s="1" t="s">
        <v>62</v>
      </c>
      <c r="AR35" s="1" t="s">
        <v>62</v>
      </c>
      <c r="AU35" s="1" t="s">
        <v>65</v>
      </c>
      <c r="AV35" s="1" t="s">
        <v>53</v>
      </c>
      <c r="AW35" s="1" t="s">
        <v>53</v>
      </c>
      <c r="AX35" s="1" t="s">
        <v>54</v>
      </c>
      <c r="AY35" s="1" t="s">
        <v>54</v>
      </c>
      <c r="AZ35" s="1" t="s">
        <v>55</v>
      </c>
      <c r="BA35" s="1" t="s">
        <v>55</v>
      </c>
      <c r="BB35" s="1" t="s">
        <v>56</v>
      </c>
      <c r="BC35" s="1" t="s">
        <v>56</v>
      </c>
      <c r="BD35" s="1" t="s">
        <v>57</v>
      </c>
      <c r="BE35" s="1" t="s">
        <v>57</v>
      </c>
      <c r="BF35" s="1" t="s">
        <v>58</v>
      </c>
      <c r="BG35" s="1" t="s">
        <v>58</v>
      </c>
      <c r="BH35" s="1" t="s">
        <v>59</v>
      </c>
      <c r="BI35" s="1" t="s">
        <v>59</v>
      </c>
      <c r="BJ35" s="1" t="s">
        <v>60</v>
      </c>
      <c r="BK35" s="1" t="s">
        <v>60</v>
      </c>
      <c r="BL35" s="1" t="s">
        <v>61</v>
      </c>
      <c r="BM35" s="1" t="s">
        <v>61</v>
      </c>
      <c r="BN35" s="1" t="s">
        <v>62</v>
      </c>
      <c r="BO35" s="1" t="s">
        <v>62</v>
      </c>
      <c r="BR35" s="1" t="s">
        <v>65</v>
      </c>
      <c r="BS35" s="1" t="s">
        <v>53</v>
      </c>
      <c r="BT35" s="1" t="s">
        <v>53</v>
      </c>
      <c r="BU35" s="1" t="s">
        <v>54</v>
      </c>
      <c r="BV35" s="1" t="s">
        <v>54</v>
      </c>
      <c r="BW35" s="1" t="s">
        <v>55</v>
      </c>
      <c r="BX35" s="1" t="s">
        <v>55</v>
      </c>
      <c r="BY35" s="1" t="s">
        <v>56</v>
      </c>
      <c r="BZ35" s="1" t="s">
        <v>56</v>
      </c>
      <c r="CA35" s="1" t="s">
        <v>57</v>
      </c>
      <c r="CB35" s="1" t="s">
        <v>57</v>
      </c>
      <c r="CC35" s="1" t="s">
        <v>58</v>
      </c>
      <c r="CD35" s="1" t="s">
        <v>58</v>
      </c>
      <c r="CE35" s="1" t="s">
        <v>59</v>
      </c>
      <c r="CF35" s="1" t="s">
        <v>59</v>
      </c>
      <c r="CG35" s="1" t="s">
        <v>60</v>
      </c>
      <c r="CH35" s="1" t="s">
        <v>60</v>
      </c>
      <c r="CI35" s="1" t="s">
        <v>61</v>
      </c>
      <c r="CJ35" s="1" t="s">
        <v>61</v>
      </c>
      <c r="CK35" s="1" t="s">
        <v>62</v>
      </c>
      <c r="CL35" s="1" t="s">
        <v>62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66</v>
      </c>
      <c r="C37" s="2">
        <v>1216.94</v>
      </c>
      <c r="D37" s="2">
        <v>1219.1500000000001</v>
      </c>
      <c r="E37" s="2">
        <v>212.84</v>
      </c>
      <c r="F37" s="2">
        <v>195.88</v>
      </c>
      <c r="G37" s="2">
        <v>69.53</v>
      </c>
      <c r="H37" s="2">
        <v>147.47</v>
      </c>
      <c r="I37" s="2">
        <v>996.24</v>
      </c>
      <c r="J37" s="2">
        <v>591.29999999999995</v>
      </c>
      <c r="K37" s="2">
        <v>1797.44</v>
      </c>
      <c r="L37" s="2">
        <v>643.47</v>
      </c>
      <c r="M37" s="2">
        <v>3281.66</v>
      </c>
      <c r="N37" s="2">
        <v>849.9</v>
      </c>
      <c r="O37" s="2">
        <v>2504.9499999999998</v>
      </c>
      <c r="P37" s="2">
        <v>289.72000000000003</v>
      </c>
      <c r="Q37" s="2">
        <v>2472.2800000000002</v>
      </c>
      <c r="R37" s="2">
        <v>843.33</v>
      </c>
      <c r="S37" s="2">
        <v>157.91</v>
      </c>
      <c r="T37" s="2">
        <v>133.16</v>
      </c>
      <c r="U37" s="2">
        <v>552.35</v>
      </c>
      <c r="V37" s="2">
        <v>193.36</v>
      </c>
      <c r="X37" s="1" t="s">
        <v>66</v>
      </c>
      <c r="Y37" s="2">
        <v>528.70000000000005</v>
      </c>
      <c r="Z37" s="2">
        <v>509.6</v>
      </c>
      <c r="AA37" s="2">
        <v>108.44</v>
      </c>
      <c r="AB37" s="2">
        <v>98.95</v>
      </c>
      <c r="AC37" s="2">
        <v>86.26</v>
      </c>
      <c r="AD37" s="2">
        <v>174.9</v>
      </c>
      <c r="AE37" s="2">
        <v>348.7</v>
      </c>
      <c r="AF37" s="2">
        <v>197.7</v>
      </c>
      <c r="AG37" s="2">
        <v>509.8</v>
      </c>
      <c r="AH37" s="2">
        <v>167.6</v>
      </c>
      <c r="AI37" s="2">
        <v>517.6</v>
      </c>
      <c r="AJ37" s="2">
        <v>121.8</v>
      </c>
      <c r="AK37" s="2">
        <v>483.3</v>
      </c>
      <c r="AL37" s="2">
        <v>50.5</v>
      </c>
      <c r="AM37" s="2">
        <v>358.8</v>
      </c>
      <c r="AN37" s="2">
        <v>112.1</v>
      </c>
      <c r="AO37" s="2">
        <v>23.82</v>
      </c>
      <c r="AP37" s="2">
        <v>18.170000000000002</v>
      </c>
      <c r="AQ37" s="2">
        <v>64.3</v>
      </c>
      <c r="AR37" s="2">
        <v>19.25</v>
      </c>
      <c r="AU37" s="1" t="s">
        <v>66</v>
      </c>
      <c r="AV37" s="2">
        <v>2400</v>
      </c>
      <c r="AW37" s="2">
        <v>2400</v>
      </c>
      <c r="AX37" s="2">
        <v>2069.86</v>
      </c>
      <c r="AY37" s="2">
        <v>1939.15</v>
      </c>
      <c r="AZ37" s="2">
        <v>1964.44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2400</v>
      </c>
      <c r="BH37" s="2">
        <v>2400</v>
      </c>
      <c r="BI37" s="2">
        <v>2400</v>
      </c>
      <c r="BJ37" s="2">
        <v>2400</v>
      </c>
      <c r="BK37" s="2">
        <v>2400</v>
      </c>
      <c r="BL37" s="2">
        <v>2380.88</v>
      </c>
      <c r="BM37" s="2">
        <v>1836.23</v>
      </c>
      <c r="BN37" s="2">
        <v>2400</v>
      </c>
      <c r="BO37" s="2">
        <v>1933.55</v>
      </c>
      <c r="BR37" s="1" t="s">
        <v>66</v>
      </c>
      <c r="BS37" s="2">
        <v>2928.7</v>
      </c>
      <c r="BT37" s="2">
        <v>2909.6</v>
      </c>
      <c r="BU37" s="2">
        <v>2178.3000000000002</v>
      </c>
      <c r="BV37" s="2">
        <v>2038.1</v>
      </c>
      <c r="BW37" s="2">
        <v>2050.6999999999998</v>
      </c>
      <c r="BX37" s="2">
        <v>2574.9</v>
      </c>
      <c r="BY37" s="2">
        <v>2748.7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67</v>
      </c>
      <c r="C38" s="2">
        <v>1812.44</v>
      </c>
      <c r="D38" s="2">
        <v>661.06</v>
      </c>
      <c r="E38" s="2">
        <v>1436.66</v>
      </c>
      <c r="F38" s="2">
        <v>591.02</v>
      </c>
      <c r="G38" s="2">
        <v>356.24</v>
      </c>
      <c r="H38" s="2">
        <v>367.89</v>
      </c>
      <c r="I38" s="2">
        <v>2349.9499999999998</v>
      </c>
      <c r="J38" s="2">
        <v>1831.13</v>
      </c>
      <c r="K38" s="2">
        <v>3045.34</v>
      </c>
      <c r="L38" s="2">
        <v>1614.24</v>
      </c>
      <c r="M38" s="2">
        <v>6716.24</v>
      </c>
      <c r="N38" s="2">
        <v>3052.2</v>
      </c>
      <c r="O38" s="2">
        <v>4098.82</v>
      </c>
      <c r="P38" s="2">
        <v>2934.7</v>
      </c>
      <c r="Q38" s="2">
        <v>4906.0600000000004</v>
      </c>
      <c r="R38" s="2">
        <v>3364.9</v>
      </c>
      <c r="S38" s="2">
        <v>4025.9</v>
      </c>
      <c r="T38" s="2">
        <v>1973.28</v>
      </c>
      <c r="U38" s="2">
        <v>5265.01</v>
      </c>
      <c r="V38" s="2">
        <v>1912.5</v>
      </c>
      <c r="X38" s="1" t="s">
        <v>67</v>
      </c>
      <c r="Y38" s="2">
        <v>1049.56</v>
      </c>
      <c r="Z38" s="2">
        <v>642.91999999999996</v>
      </c>
      <c r="AA38" s="2">
        <v>1093.29</v>
      </c>
      <c r="AB38" s="2">
        <v>696.5</v>
      </c>
      <c r="AC38" s="2">
        <v>677.7</v>
      </c>
      <c r="AD38" s="2">
        <v>867.77</v>
      </c>
      <c r="AE38" s="2">
        <v>1193.29</v>
      </c>
      <c r="AF38" s="2">
        <v>763.65</v>
      </c>
      <c r="AG38" s="2">
        <v>1113.5999999999999</v>
      </c>
      <c r="AH38" s="2">
        <v>704.89</v>
      </c>
      <c r="AI38" s="2">
        <v>1070.75</v>
      </c>
      <c r="AJ38" s="2">
        <v>713.25</v>
      </c>
      <c r="AK38" s="2">
        <v>889.3</v>
      </c>
      <c r="AL38" s="2">
        <v>773.73</v>
      </c>
      <c r="AM38" s="2">
        <v>857.91</v>
      </c>
      <c r="AN38" s="2">
        <v>787.1</v>
      </c>
      <c r="AO38" s="2">
        <v>837.99</v>
      </c>
      <c r="AP38" s="2">
        <v>609.04999999999995</v>
      </c>
      <c r="AQ38" s="2">
        <v>998.61</v>
      </c>
      <c r="AR38" s="2">
        <v>612.35</v>
      </c>
      <c r="AU38" s="1" t="s">
        <v>67</v>
      </c>
      <c r="AV38" s="2">
        <v>7316.84</v>
      </c>
      <c r="AW38" s="2">
        <v>4792.4799999999996</v>
      </c>
      <c r="AX38" s="2">
        <v>6672.71</v>
      </c>
      <c r="AY38" s="2">
        <v>4463.7</v>
      </c>
      <c r="AZ38" s="2">
        <v>4363.7</v>
      </c>
      <c r="BA38" s="2">
        <v>5656.33</v>
      </c>
      <c r="BB38" s="2">
        <v>7520.91</v>
      </c>
      <c r="BC38" s="2">
        <v>5221.1499999999996</v>
      </c>
      <c r="BD38" s="2">
        <v>7595.7</v>
      </c>
      <c r="BE38" s="2">
        <v>5175.91</v>
      </c>
      <c r="BF38" s="2">
        <v>7390.95</v>
      </c>
      <c r="BG38" s="2">
        <v>5266.15</v>
      </c>
      <c r="BH38" s="2">
        <v>6207.5</v>
      </c>
      <c r="BI38" s="2">
        <v>5598.97</v>
      </c>
      <c r="BJ38" s="2">
        <v>6041.79</v>
      </c>
      <c r="BK38" s="2">
        <v>5612.1</v>
      </c>
      <c r="BL38" s="2">
        <v>5875.01</v>
      </c>
      <c r="BM38" s="2">
        <v>4505.45</v>
      </c>
      <c r="BN38" s="2">
        <v>7254.99</v>
      </c>
      <c r="BO38" s="2">
        <v>4634.75</v>
      </c>
      <c r="BR38" s="1" t="s">
        <v>67</v>
      </c>
      <c r="BS38" s="2">
        <v>8366.4</v>
      </c>
      <c r="BT38" s="2">
        <v>5435.4</v>
      </c>
      <c r="BU38" s="2">
        <v>7766</v>
      </c>
      <c r="BV38" s="2">
        <v>5160.2</v>
      </c>
      <c r="BW38" s="2">
        <v>5041.3999999999996</v>
      </c>
      <c r="BX38" s="2">
        <v>6524.1</v>
      </c>
      <c r="BY38" s="2">
        <v>8714.2000000000007</v>
      </c>
      <c r="BZ38" s="2">
        <v>5984.8</v>
      </c>
      <c r="CA38" s="2">
        <v>8709.2999999999993</v>
      </c>
      <c r="CB38" s="2">
        <v>5880.8</v>
      </c>
      <c r="CC38" s="2">
        <v>8461.7000000000007</v>
      </c>
      <c r="CD38" s="2">
        <v>5979.4</v>
      </c>
      <c r="CE38" s="2">
        <v>7096.8</v>
      </c>
      <c r="CF38" s="2">
        <v>6372.7</v>
      </c>
      <c r="CG38" s="2">
        <v>6899.7</v>
      </c>
      <c r="CH38" s="2">
        <v>6399.2</v>
      </c>
      <c r="CI38" s="2">
        <v>6713</v>
      </c>
      <c r="CJ38" s="2">
        <v>5114.5</v>
      </c>
      <c r="CK38" s="2">
        <v>8253.6</v>
      </c>
      <c r="CL38" s="2">
        <v>5247.1</v>
      </c>
    </row>
    <row r="39" spans="2:90" x14ac:dyDescent="0.3">
      <c r="B39" s="1" t="s">
        <v>68</v>
      </c>
      <c r="C39" s="2">
        <v>28663.52</v>
      </c>
      <c r="D39" s="2">
        <v>2120.25</v>
      </c>
      <c r="E39" s="2">
        <v>28105.85</v>
      </c>
      <c r="F39" s="2">
        <v>1510.46</v>
      </c>
      <c r="G39" s="2">
        <v>6179.48</v>
      </c>
      <c r="H39" s="2">
        <v>5290.73</v>
      </c>
      <c r="I39" s="2">
        <v>20559.919999999998</v>
      </c>
      <c r="J39" s="2">
        <v>9846.4599999999991</v>
      </c>
      <c r="K39" s="2">
        <v>27430.59</v>
      </c>
      <c r="L39" s="2">
        <v>10251.040000000001</v>
      </c>
      <c r="M39" s="2">
        <v>50360.12</v>
      </c>
      <c r="N39" s="2">
        <v>18579.13</v>
      </c>
      <c r="O39" s="2">
        <v>39170.21</v>
      </c>
      <c r="P39" s="2">
        <v>15543.85</v>
      </c>
      <c r="Q39" s="2">
        <v>49657.64</v>
      </c>
      <c r="R39" s="2">
        <v>18349.759999999998</v>
      </c>
      <c r="S39" s="2">
        <v>20648.73</v>
      </c>
      <c r="T39" s="2">
        <v>12265.73</v>
      </c>
      <c r="U39" s="2">
        <v>15474.49</v>
      </c>
      <c r="V39" s="2">
        <v>12273.96</v>
      </c>
      <c r="X39" s="1" t="s">
        <v>68</v>
      </c>
      <c r="Y39" s="2">
        <v>1852.49</v>
      </c>
      <c r="Z39" s="2">
        <v>534.4</v>
      </c>
      <c r="AA39" s="2">
        <v>1798.67</v>
      </c>
      <c r="AB39" s="2">
        <v>524.28</v>
      </c>
      <c r="AC39" s="2">
        <v>2030.89</v>
      </c>
      <c r="AD39" s="2">
        <v>1801.23</v>
      </c>
      <c r="AE39" s="2">
        <v>2183.87</v>
      </c>
      <c r="AF39" s="2">
        <v>1034.5899999999999</v>
      </c>
      <c r="AG39" s="2">
        <v>2321.34</v>
      </c>
      <c r="AH39" s="2">
        <v>858.46</v>
      </c>
      <c r="AI39" s="2">
        <v>2364.12</v>
      </c>
      <c r="AJ39" s="2">
        <v>859.37</v>
      </c>
      <c r="AK39" s="2">
        <v>2240.91</v>
      </c>
      <c r="AL39" s="2">
        <v>887.74</v>
      </c>
      <c r="AM39" s="2">
        <v>2165.0500000000002</v>
      </c>
      <c r="AN39" s="2">
        <v>809.24</v>
      </c>
      <c r="AO39" s="2">
        <v>1022.13</v>
      </c>
      <c r="AP39" s="2">
        <v>657.46</v>
      </c>
      <c r="AQ39" s="2">
        <v>656.52</v>
      </c>
      <c r="AR39" s="2">
        <v>585.91999999999996</v>
      </c>
      <c r="AU39" s="1" t="s">
        <v>68</v>
      </c>
      <c r="AV39" s="2">
        <v>7789.77</v>
      </c>
      <c r="AW39" s="2">
        <v>4087.7</v>
      </c>
      <c r="AX39" s="2">
        <v>7470.04</v>
      </c>
      <c r="AY39" s="2">
        <v>3384.32</v>
      </c>
      <c r="AZ39" s="2">
        <v>5383.3</v>
      </c>
      <c r="BA39" s="2">
        <v>6546.61</v>
      </c>
      <c r="BB39" s="2">
        <v>7448.35</v>
      </c>
      <c r="BC39" s="2">
        <v>6014.76</v>
      </c>
      <c r="BD39" s="2">
        <v>7753.66</v>
      </c>
      <c r="BE39" s="2">
        <v>5872.95</v>
      </c>
      <c r="BF39" s="2">
        <v>7795.88</v>
      </c>
      <c r="BG39" s="2">
        <v>5886.3</v>
      </c>
      <c r="BH39" s="2">
        <v>7185.68</v>
      </c>
      <c r="BI39" s="2">
        <v>5946.37</v>
      </c>
      <c r="BJ39" s="2">
        <v>6797.92</v>
      </c>
      <c r="BK39" s="2">
        <v>5753.78</v>
      </c>
      <c r="BL39" s="2">
        <v>6168.86</v>
      </c>
      <c r="BM39" s="2">
        <v>5175.3500000000004</v>
      </c>
      <c r="BN39" s="2">
        <v>5059.24</v>
      </c>
      <c r="BO39" s="2">
        <v>4574.8</v>
      </c>
      <c r="BR39" s="1" t="s">
        <v>68</v>
      </c>
      <c r="BS39" s="2">
        <v>9642.26</v>
      </c>
      <c r="BT39" s="2">
        <v>4622.1000000000004</v>
      </c>
      <c r="BU39" s="2">
        <v>9268.7099999999991</v>
      </c>
      <c r="BV39" s="2">
        <v>3908.6</v>
      </c>
      <c r="BW39" s="2">
        <v>7414.19</v>
      </c>
      <c r="BX39" s="2">
        <v>8347.84</v>
      </c>
      <c r="BY39" s="2">
        <v>9632.2199999999993</v>
      </c>
      <c r="BZ39" s="2">
        <v>7049.35</v>
      </c>
      <c r="CA39" s="2">
        <v>10075</v>
      </c>
      <c r="CB39" s="2">
        <v>6731.41</v>
      </c>
      <c r="CC39" s="2">
        <v>10160</v>
      </c>
      <c r="CD39" s="2">
        <v>6745.67</v>
      </c>
      <c r="CE39" s="2">
        <v>9426.59</v>
      </c>
      <c r="CF39" s="2">
        <v>6834.11</v>
      </c>
      <c r="CG39" s="2">
        <v>8962.98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69</v>
      </c>
      <c r="C40" s="2">
        <v>5326.04</v>
      </c>
      <c r="D40" s="2">
        <v>819.55</v>
      </c>
      <c r="E40" s="2">
        <v>5035.05</v>
      </c>
      <c r="F40" s="2">
        <v>532.66</v>
      </c>
      <c r="G40" s="2">
        <v>1436.36</v>
      </c>
      <c r="H40" s="2">
        <v>2137.73</v>
      </c>
      <c r="I40" s="2">
        <v>5161.88</v>
      </c>
      <c r="J40" s="2">
        <v>2840.82</v>
      </c>
      <c r="K40" s="2">
        <v>6088.35</v>
      </c>
      <c r="L40" s="2">
        <v>2679.78</v>
      </c>
      <c r="M40" s="2">
        <v>10958.77</v>
      </c>
      <c r="N40" s="2">
        <v>4444.46</v>
      </c>
      <c r="O40" s="2">
        <v>8871.4500000000007</v>
      </c>
      <c r="P40" s="2">
        <v>3664.08</v>
      </c>
      <c r="Q40" s="2">
        <v>8749.26</v>
      </c>
      <c r="R40" s="2">
        <v>4093.17</v>
      </c>
      <c r="S40" s="2">
        <v>3609.54</v>
      </c>
      <c r="T40" s="2">
        <v>3045.75</v>
      </c>
      <c r="U40" s="2">
        <v>3878.61</v>
      </c>
      <c r="V40" s="2">
        <v>3391.82</v>
      </c>
      <c r="X40" s="1" t="s">
        <v>69</v>
      </c>
      <c r="Y40" s="2">
        <v>1010.4</v>
      </c>
      <c r="Z40" s="2">
        <v>603.5</v>
      </c>
      <c r="AA40" s="2">
        <v>1084.1199999999999</v>
      </c>
      <c r="AB40" s="2">
        <v>632.37</v>
      </c>
      <c r="AC40" s="2">
        <v>1399.8</v>
      </c>
      <c r="AD40" s="2">
        <v>1112.51</v>
      </c>
      <c r="AE40" s="2">
        <v>1614.58</v>
      </c>
      <c r="AF40" s="2">
        <v>888.15</v>
      </c>
      <c r="AG40" s="2">
        <v>1515.97</v>
      </c>
      <c r="AH40" s="2">
        <v>785.6</v>
      </c>
      <c r="AI40" s="2">
        <v>1514.66</v>
      </c>
      <c r="AJ40" s="2">
        <v>753.73</v>
      </c>
      <c r="AK40" s="2">
        <v>1508.83</v>
      </c>
      <c r="AL40" s="2">
        <v>759.14</v>
      </c>
      <c r="AM40" s="2">
        <v>1141.27</v>
      </c>
      <c r="AN40" s="2">
        <v>725.2</v>
      </c>
      <c r="AO40" s="2">
        <v>731.98</v>
      </c>
      <c r="AP40" s="2">
        <v>674.9</v>
      </c>
      <c r="AQ40" s="2">
        <v>666.33</v>
      </c>
      <c r="AR40" s="2">
        <v>636.37</v>
      </c>
      <c r="AU40" s="1" t="s">
        <v>69</v>
      </c>
      <c r="AV40" s="2">
        <v>7549.28</v>
      </c>
      <c r="AW40" s="2">
        <v>4326.3</v>
      </c>
      <c r="AX40" s="2">
        <v>7035.26</v>
      </c>
      <c r="AY40" s="2">
        <v>4220.63</v>
      </c>
      <c r="AZ40" s="2">
        <v>5538.89</v>
      </c>
      <c r="BA40" s="2">
        <v>7767.49</v>
      </c>
      <c r="BB40" s="2">
        <v>7265.42</v>
      </c>
      <c r="BC40" s="2">
        <v>6432.82</v>
      </c>
      <c r="BD40" s="2">
        <v>7364.03</v>
      </c>
      <c r="BE40" s="2">
        <v>6145.36</v>
      </c>
      <c r="BF40" s="2">
        <v>7365.34</v>
      </c>
      <c r="BG40" s="2">
        <v>5995.66</v>
      </c>
      <c r="BH40" s="2">
        <v>7371.17</v>
      </c>
      <c r="BI40" s="2">
        <v>6031.66</v>
      </c>
      <c r="BJ40" s="2">
        <v>6992.13</v>
      </c>
      <c r="BK40" s="2">
        <v>5733.5</v>
      </c>
      <c r="BL40" s="2">
        <v>5706.82</v>
      </c>
      <c r="BM40" s="2">
        <v>5351.5</v>
      </c>
      <c r="BN40" s="2">
        <v>5288.57</v>
      </c>
      <c r="BO40" s="2">
        <v>5010.34</v>
      </c>
      <c r="BR40" s="1" t="s">
        <v>69</v>
      </c>
      <c r="BS40" s="2">
        <v>8559.69</v>
      </c>
      <c r="BT40" s="2">
        <v>4929.8</v>
      </c>
      <c r="BU40" s="2">
        <v>8119.38</v>
      </c>
      <c r="BV40" s="2">
        <v>4853</v>
      </c>
      <c r="BW40" s="2">
        <v>6938.68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6790.8</v>
      </c>
      <c r="CG40" s="2">
        <v>8133.4</v>
      </c>
      <c r="CH40" s="2">
        <v>6458.7</v>
      </c>
      <c r="CI40" s="2">
        <v>6438.8</v>
      </c>
      <c r="CJ40" s="2">
        <v>6026.4</v>
      </c>
      <c r="CK40" s="2">
        <v>5954.9</v>
      </c>
      <c r="CL40" s="2">
        <v>5646.71</v>
      </c>
    </row>
    <row r="41" spans="2:90" x14ac:dyDescent="0.3">
      <c r="B41" s="1" t="s">
        <v>70</v>
      </c>
      <c r="C41" s="2">
        <v>14616.03</v>
      </c>
      <c r="D41" s="2">
        <v>15501.7</v>
      </c>
      <c r="E41" s="2">
        <v>17475.78</v>
      </c>
      <c r="F41" s="2">
        <v>8582.93</v>
      </c>
      <c r="G41" s="2">
        <v>5477.52</v>
      </c>
      <c r="H41" s="2">
        <v>5937.24</v>
      </c>
      <c r="I41" s="2">
        <v>9347.2800000000007</v>
      </c>
      <c r="J41" s="2">
        <v>19412.2</v>
      </c>
      <c r="K41" s="2">
        <v>22394.28</v>
      </c>
      <c r="L41" s="2">
        <v>23935.5</v>
      </c>
      <c r="M41" s="2">
        <v>35058.769999999997</v>
      </c>
      <c r="N41" s="2">
        <v>32464.07</v>
      </c>
      <c r="O41" s="2">
        <v>23168.76</v>
      </c>
      <c r="P41" s="2">
        <v>23157.93</v>
      </c>
      <c r="Q41" s="2">
        <v>22837.83</v>
      </c>
      <c r="R41" s="2">
        <v>23642.62</v>
      </c>
      <c r="S41" s="2">
        <v>17292.75</v>
      </c>
      <c r="T41" s="2">
        <v>15843.5</v>
      </c>
      <c r="U41" s="2">
        <v>22220.49</v>
      </c>
      <c r="V41" s="2">
        <v>17891.36</v>
      </c>
      <c r="X41" s="1" t="s">
        <v>70</v>
      </c>
      <c r="Y41" s="2">
        <v>1106.6500000000001</v>
      </c>
      <c r="Z41" s="2">
        <v>1181.08</v>
      </c>
      <c r="AA41" s="2">
        <v>1420.08</v>
      </c>
      <c r="AB41" s="2">
        <v>1129.73</v>
      </c>
      <c r="AC41" s="2">
        <v>1096.98</v>
      </c>
      <c r="AD41" s="2">
        <v>1204.8800000000001</v>
      </c>
      <c r="AE41" s="2">
        <v>961.7</v>
      </c>
      <c r="AF41" s="2">
        <v>1226.07</v>
      </c>
      <c r="AG41" s="2">
        <v>1141.83</v>
      </c>
      <c r="AH41" s="2">
        <v>1214.6600000000001</v>
      </c>
      <c r="AI41" s="2">
        <v>992.81</v>
      </c>
      <c r="AJ41" s="2">
        <v>951.15</v>
      </c>
      <c r="AK41" s="2">
        <v>871.18</v>
      </c>
      <c r="AL41" s="2">
        <v>933.24</v>
      </c>
      <c r="AM41" s="2">
        <v>792.59</v>
      </c>
      <c r="AN41" s="2">
        <v>808.27</v>
      </c>
      <c r="AO41" s="2">
        <v>729.75</v>
      </c>
      <c r="AP41" s="2">
        <v>758.8</v>
      </c>
      <c r="AQ41" s="2">
        <v>737.27</v>
      </c>
      <c r="AR41" s="2">
        <v>827.41</v>
      </c>
      <c r="AU41" s="1" t="s">
        <v>70</v>
      </c>
      <c r="AV41" s="2">
        <v>4716.16</v>
      </c>
      <c r="AW41" s="2">
        <v>6227.82</v>
      </c>
      <c r="AX41" s="2">
        <v>6098.29</v>
      </c>
      <c r="AY41" s="2">
        <v>7111.57</v>
      </c>
      <c r="AZ41" s="2">
        <v>4483.6499999999996</v>
      </c>
      <c r="BA41" s="2">
        <v>5017.6000000000004</v>
      </c>
      <c r="BB41" s="2">
        <v>6500.5</v>
      </c>
      <c r="BC41" s="2">
        <v>6068.53</v>
      </c>
      <c r="BD41" s="2">
        <v>6957.77</v>
      </c>
      <c r="BE41" s="2">
        <v>6875.04</v>
      </c>
      <c r="BF41" s="2">
        <v>6773.79</v>
      </c>
      <c r="BG41" s="2">
        <v>6987.55</v>
      </c>
      <c r="BH41" s="2">
        <v>6462.92</v>
      </c>
      <c r="BI41" s="2">
        <v>6846.76</v>
      </c>
      <c r="BJ41" s="2">
        <v>5934.01</v>
      </c>
      <c r="BK41" s="2">
        <v>5994.23</v>
      </c>
      <c r="BL41" s="2">
        <v>5531.95</v>
      </c>
      <c r="BM41" s="2">
        <v>5632</v>
      </c>
      <c r="BN41" s="2">
        <v>5660.13</v>
      </c>
      <c r="BO41" s="2">
        <v>6294.39</v>
      </c>
      <c r="BR41" s="1" t="s">
        <v>70</v>
      </c>
      <c r="BS41" s="2">
        <v>5822.8</v>
      </c>
      <c r="BT41" s="2">
        <v>7408.9</v>
      </c>
      <c r="BU41" s="2">
        <v>7518.37</v>
      </c>
      <c r="BV41" s="2">
        <v>8241.2999999999993</v>
      </c>
      <c r="BW41" s="2">
        <v>5580.62</v>
      </c>
      <c r="BX41" s="2">
        <v>6222.48</v>
      </c>
      <c r="BY41" s="2">
        <v>7462.2</v>
      </c>
      <c r="BZ41" s="2">
        <v>7294.6</v>
      </c>
      <c r="CA41" s="2">
        <v>8099.6</v>
      </c>
      <c r="CB41" s="2">
        <v>8089.7</v>
      </c>
      <c r="CC41" s="2">
        <v>7766.6</v>
      </c>
      <c r="CD41" s="2">
        <v>7938.7</v>
      </c>
      <c r="CE41" s="2">
        <v>7334.1</v>
      </c>
      <c r="CF41" s="2">
        <v>7780</v>
      </c>
      <c r="CG41" s="2">
        <v>6726.6</v>
      </c>
      <c r="CH41" s="2">
        <v>6802.5</v>
      </c>
      <c r="CI41" s="2">
        <v>6261.7</v>
      </c>
      <c r="CJ41" s="2">
        <v>6390.8</v>
      </c>
      <c r="CK41" s="2">
        <v>6397.4</v>
      </c>
      <c r="CL41" s="2">
        <v>7121.8</v>
      </c>
    </row>
    <row r="42" spans="2:90" x14ac:dyDescent="0.3">
      <c r="B42" s="1" t="s">
        <v>71</v>
      </c>
      <c r="C42" s="2">
        <v>4424.41</v>
      </c>
      <c r="D42" s="2">
        <v>3748.67</v>
      </c>
      <c r="E42" s="2">
        <v>5189.72</v>
      </c>
      <c r="F42" s="2">
        <v>5119.54</v>
      </c>
      <c r="G42" s="2">
        <v>1245.72</v>
      </c>
      <c r="H42" s="2">
        <v>1367.62</v>
      </c>
      <c r="I42" s="2">
        <v>1970.38</v>
      </c>
      <c r="J42" s="2">
        <v>3657.82</v>
      </c>
      <c r="K42" s="2">
        <v>2285.0700000000002</v>
      </c>
      <c r="L42" s="2">
        <v>6008.29</v>
      </c>
      <c r="M42" s="2">
        <v>5215.2299999999996</v>
      </c>
      <c r="N42" s="2">
        <v>10942.09</v>
      </c>
      <c r="O42" s="2">
        <v>4091.6</v>
      </c>
      <c r="P42" s="2">
        <v>7621.6</v>
      </c>
      <c r="Q42" s="2">
        <v>5225.05</v>
      </c>
      <c r="R42" s="2">
        <v>9880.9599999999991</v>
      </c>
      <c r="S42" s="2">
        <v>4142.7700000000004</v>
      </c>
      <c r="T42" s="2">
        <v>7368.61</v>
      </c>
      <c r="U42" s="2">
        <v>4403.03</v>
      </c>
      <c r="V42" s="2">
        <v>3602.62</v>
      </c>
      <c r="X42" s="1" t="s">
        <v>71</v>
      </c>
      <c r="Y42" s="2">
        <v>979.18</v>
      </c>
      <c r="Z42" s="2">
        <v>1472.17</v>
      </c>
      <c r="AA42" s="2">
        <v>1449.44</v>
      </c>
      <c r="AB42" s="2">
        <v>1480.06</v>
      </c>
      <c r="AC42" s="2">
        <v>1276.77</v>
      </c>
      <c r="AD42" s="2">
        <v>1422.6</v>
      </c>
      <c r="AE42" s="2">
        <v>1055.18</v>
      </c>
      <c r="AF42" s="2">
        <v>1182.93</v>
      </c>
      <c r="AG42" s="2">
        <v>989.56</v>
      </c>
      <c r="AH42" s="2">
        <v>1569.74</v>
      </c>
      <c r="AI42" s="2">
        <v>1042.18</v>
      </c>
      <c r="AJ42" s="2">
        <v>1605.72</v>
      </c>
      <c r="AK42" s="2">
        <v>1037.6500000000001</v>
      </c>
      <c r="AL42" s="2">
        <v>1394.63</v>
      </c>
      <c r="AM42" s="2">
        <v>1017.99</v>
      </c>
      <c r="AN42" s="2">
        <v>1370.53</v>
      </c>
      <c r="AO42" s="2">
        <v>964.39</v>
      </c>
      <c r="AP42" s="2">
        <v>1192.25</v>
      </c>
      <c r="AQ42" s="2">
        <v>882.66</v>
      </c>
      <c r="AR42" s="2">
        <v>871.64</v>
      </c>
      <c r="AU42" s="1" t="s">
        <v>71</v>
      </c>
      <c r="AV42" s="2">
        <v>5927.64</v>
      </c>
      <c r="AW42" s="2">
        <v>5566.58</v>
      </c>
      <c r="AX42" s="2">
        <v>7430.56</v>
      </c>
      <c r="AY42" s="2">
        <v>7399.94</v>
      </c>
      <c r="AZ42" s="2">
        <v>4499.96</v>
      </c>
      <c r="BA42" s="2">
        <v>5133.38</v>
      </c>
      <c r="BB42" s="2">
        <v>5570.62</v>
      </c>
      <c r="BC42" s="2">
        <v>4386.99</v>
      </c>
      <c r="BD42" s="2">
        <v>5665.64</v>
      </c>
      <c r="BE42" s="2">
        <v>7089.26</v>
      </c>
      <c r="BF42" s="2">
        <v>6110.92</v>
      </c>
      <c r="BG42" s="2">
        <v>7274.28</v>
      </c>
      <c r="BH42" s="2">
        <v>6059.34</v>
      </c>
      <c r="BI42" s="2">
        <v>7077.48</v>
      </c>
      <c r="BJ42" s="2">
        <v>6018.88</v>
      </c>
      <c r="BK42" s="2">
        <v>7068.13</v>
      </c>
      <c r="BL42" s="2">
        <v>5801.06</v>
      </c>
      <c r="BM42" s="2">
        <v>6802.41</v>
      </c>
      <c r="BN42" s="2">
        <v>5384.39</v>
      </c>
      <c r="BO42" s="2">
        <v>4992.3599999999997</v>
      </c>
      <c r="BR42" s="1" t="s">
        <v>71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6625.8</v>
      </c>
      <c r="BZ42" s="2">
        <v>5569.92</v>
      </c>
      <c r="CA42" s="2">
        <v>6655.2</v>
      </c>
      <c r="CB42" s="2">
        <v>8659</v>
      </c>
      <c r="CC42" s="2">
        <v>7153.1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5864</v>
      </c>
    </row>
    <row r="43" spans="2:90" x14ac:dyDescent="0.3">
      <c r="B43" s="1" t="s">
        <v>72</v>
      </c>
      <c r="C43" s="2">
        <v>27217.85</v>
      </c>
      <c r="D43" s="2">
        <v>28566.09</v>
      </c>
      <c r="E43" s="2">
        <v>18493.099999999999</v>
      </c>
      <c r="F43" s="2">
        <v>28419.599999999999</v>
      </c>
      <c r="G43" s="2">
        <v>4388.12</v>
      </c>
      <c r="H43" s="2">
        <v>10440.52</v>
      </c>
      <c r="I43" s="2">
        <v>13128.77</v>
      </c>
      <c r="J43" s="2">
        <v>18561.59</v>
      </c>
      <c r="K43" s="2">
        <v>12433.89</v>
      </c>
      <c r="L43" s="2">
        <v>28287.49</v>
      </c>
      <c r="M43" s="2">
        <v>24616.25</v>
      </c>
      <c r="N43" s="2">
        <v>50731.88</v>
      </c>
      <c r="O43" s="2">
        <v>19968.05</v>
      </c>
      <c r="P43" s="2">
        <v>36498.53</v>
      </c>
      <c r="Q43" s="2">
        <v>29240.52</v>
      </c>
      <c r="R43" s="2">
        <v>40766.92</v>
      </c>
      <c r="S43" s="2">
        <v>19271.919999999998</v>
      </c>
      <c r="T43" s="2">
        <v>20251.240000000002</v>
      </c>
      <c r="U43" s="2">
        <v>21456.31</v>
      </c>
      <c r="V43" s="2">
        <v>20407.7</v>
      </c>
      <c r="X43" s="1" t="s">
        <v>72</v>
      </c>
      <c r="Y43" s="2">
        <v>1791.57</v>
      </c>
      <c r="Z43" s="2">
        <v>1871.04</v>
      </c>
      <c r="AA43" s="2">
        <v>1403.59</v>
      </c>
      <c r="AB43" s="2">
        <v>1936.22</v>
      </c>
      <c r="AC43" s="2">
        <v>1509.91</v>
      </c>
      <c r="AD43" s="2">
        <v>1802.6</v>
      </c>
      <c r="AE43" s="2">
        <v>1433.18</v>
      </c>
      <c r="AF43" s="2">
        <v>1977.46</v>
      </c>
      <c r="AG43" s="2">
        <v>1085.74</v>
      </c>
      <c r="AH43" s="2">
        <v>2436.41</v>
      </c>
      <c r="AI43" s="2">
        <v>1190.8</v>
      </c>
      <c r="AJ43" s="2">
        <v>2437.96</v>
      </c>
      <c r="AK43" s="2">
        <v>1196.21</v>
      </c>
      <c r="AL43" s="2">
        <v>2176.85</v>
      </c>
      <c r="AM43" s="2">
        <v>1326.17</v>
      </c>
      <c r="AN43" s="2">
        <v>1192.1099999999999</v>
      </c>
      <c r="AO43" s="2">
        <v>981.25</v>
      </c>
      <c r="AP43" s="2">
        <v>1031.01</v>
      </c>
      <c r="AQ43" s="2">
        <v>916.3</v>
      </c>
      <c r="AR43" s="2">
        <v>912.2</v>
      </c>
      <c r="AU43" s="1" t="s">
        <v>72</v>
      </c>
      <c r="AV43" s="2">
        <v>6976.09</v>
      </c>
      <c r="AW43" s="2">
        <v>7426.73</v>
      </c>
      <c r="AX43" s="2">
        <v>7193.98</v>
      </c>
      <c r="AY43" s="2">
        <v>8022.34</v>
      </c>
      <c r="AZ43" s="2">
        <v>4592.3599999999997</v>
      </c>
      <c r="BA43" s="2">
        <v>6847.86</v>
      </c>
      <c r="BB43" s="2">
        <v>6281.67</v>
      </c>
      <c r="BC43" s="2">
        <v>5107.99</v>
      </c>
      <c r="BD43" s="2">
        <v>6125.99</v>
      </c>
      <c r="BE43" s="2">
        <v>7723.59</v>
      </c>
      <c r="BF43" s="2">
        <v>6300.91</v>
      </c>
      <c r="BG43" s="2">
        <v>7722.04</v>
      </c>
      <c r="BH43" s="2">
        <v>6310.46</v>
      </c>
      <c r="BI43" s="2">
        <v>7469.05</v>
      </c>
      <c r="BJ43" s="2">
        <v>6513.37</v>
      </c>
      <c r="BK43" s="2">
        <v>7233.24</v>
      </c>
      <c r="BL43" s="2">
        <v>5948.1</v>
      </c>
      <c r="BM43" s="2">
        <v>6043.01</v>
      </c>
      <c r="BN43" s="2">
        <v>5581.84</v>
      </c>
      <c r="BO43" s="2">
        <v>5478.66</v>
      </c>
      <c r="BR43" s="1" t="s">
        <v>72</v>
      </c>
      <c r="BS43" s="2">
        <v>8767.65</v>
      </c>
      <c r="BT43" s="2">
        <v>9297.77</v>
      </c>
      <c r="BU43" s="2">
        <v>8597.57</v>
      </c>
      <c r="BV43" s="2">
        <v>9958.56</v>
      </c>
      <c r="BW43" s="2">
        <v>6102.27</v>
      </c>
      <c r="BX43" s="2">
        <v>8650.4599999999991</v>
      </c>
      <c r="BY43" s="2">
        <v>7714.85</v>
      </c>
      <c r="BZ43" s="2">
        <v>7085.45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9645.9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73</v>
      </c>
      <c r="C44" s="2">
        <v>2920.12</v>
      </c>
      <c r="D44" s="2">
        <v>4876.58</v>
      </c>
      <c r="E44" s="2">
        <v>1083.4000000000001</v>
      </c>
      <c r="F44" s="2">
        <v>1213.98</v>
      </c>
      <c r="G44" s="2">
        <v>264.75</v>
      </c>
      <c r="H44" s="2">
        <v>574.29</v>
      </c>
      <c r="I44" s="2">
        <v>1102.8499999999999</v>
      </c>
      <c r="J44" s="2">
        <v>7486.81</v>
      </c>
      <c r="K44" s="2">
        <v>3817.18</v>
      </c>
      <c r="L44" s="2">
        <v>8770.6299999999992</v>
      </c>
      <c r="M44" s="2">
        <v>9885.0400000000009</v>
      </c>
      <c r="N44" s="2">
        <v>16201.87</v>
      </c>
      <c r="O44" s="2">
        <v>8841.2999999999993</v>
      </c>
      <c r="P44" s="2">
        <v>10896.11</v>
      </c>
      <c r="Q44" s="2">
        <v>9757.59</v>
      </c>
      <c r="R44" s="2">
        <v>9456.1200000000008</v>
      </c>
      <c r="S44" s="2">
        <v>7549.54</v>
      </c>
      <c r="T44" s="2">
        <v>6149.93</v>
      </c>
      <c r="U44" s="2">
        <v>8706.0300000000007</v>
      </c>
      <c r="V44" s="2">
        <v>7105.78</v>
      </c>
      <c r="X44" s="1" t="s">
        <v>73</v>
      </c>
      <c r="Y44" s="2">
        <v>658.03</v>
      </c>
      <c r="Z44" s="2">
        <v>828.93</v>
      </c>
      <c r="AA44" s="2">
        <v>683.13</v>
      </c>
      <c r="AB44" s="2">
        <v>726.21</v>
      </c>
      <c r="AC44" s="2">
        <v>160.99</v>
      </c>
      <c r="AD44" s="2">
        <v>758.76</v>
      </c>
      <c r="AE44" s="2">
        <v>431.8</v>
      </c>
      <c r="AF44" s="2">
        <v>810.33</v>
      </c>
      <c r="AG44" s="2">
        <v>579.26</v>
      </c>
      <c r="AH44" s="2">
        <v>759.94</v>
      </c>
      <c r="AI44" s="2">
        <v>582.05999999999995</v>
      </c>
      <c r="AJ44" s="2">
        <v>778.95</v>
      </c>
      <c r="AK44" s="2">
        <v>576.63</v>
      </c>
      <c r="AL44" s="2">
        <v>711.14</v>
      </c>
      <c r="AM44" s="2">
        <v>567.03</v>
      </c>
      <c r="AN44" s="2">
        <v>594.14</v>
      </c>
      <c r="AO44" s="2">
        <v>549.04999999999995</v>
      </c>
      <c r="AP44" s="2">
        <v>547.61</v>
      </c>
      <c r="AQ44" s="2">
        <v>559.38</v>
      </c>
      <c r="AR44" s="2">
        <v>552.5</v>
      </c>
      <c r="AU44" s="1" t="s">
        <v>73</v>
      </c>
      <c r="AV44" s="2">
        <v>4005.97</v>
      </c>
      <c r="AW44" s="2">
        <v>4882.2700000000004</v>
      </c>
      <c r="AX44" s="2">
        <v>3406.87</v>
      </c>
      <c r="AY44" s="2">
        <v>3633.49</v>
      </c>
      <c r="AZ44" s="2">
        <v>2945.51</v>
      </c>
      <c r="BA44" s="2">
        <v>4031.64</v>
      </c>
      <c r="BB44" s="2">
        <v>3120</v>
      </c>
      <c r="BC44" s="2">
        <v>4060.62</v>
      </c>
      <c r="BD44" s="2">
        <v>3342.44</v>
      </c>
      <c r="BE44" s="2">
        <v>4195.7700000000004</v>
      </c>
      <c r="BF44" s="2">
        <v>3246.74</v>
      </c>
      <c r="BG44" s="2">
        <v>4333.57</v>
      </c>
      <c r="BH44" s="2">
        <v>3248.27</v>
      </c>
      <c r="BI44" s="2">
        <v>4188.66</v>
      </c>
      <c r="BJ44" s="2">
        <v>3083.27</v>
      </c>
      <c r="BK44" s="2">
        <v>3347.56</v>
      </c>
      <c r="BL44" s="2">
        <v>2878.15</v>
      </c>
      <c r="BM44" s="2">
        <v>2943.79</v>
      </c>
      <c r="BN44" s="2">
        <v>3028.12</v>
      </c>
      <c r="BO44" s="2">
        <v>3226.5</v>
      </c>
      <c r="BR44" s="1" t="s">
        <v>73</v>
      </c>
      <c r="BS44" s="2">
        <v>4664</v>
      </c>
      <c r="BT44" s="2">
        <v>5711.2</v>
      </c>
      <c r="BU44" s="2">
        <v>4090</v>
      </c>
      <c r="BV44" s="2">
        <v>4359.7</v>
      </c>
      <c r="BW44" s="2">
        <v>3106.5</v>
      </c>
      <c r="BX44" s="2">
        <v>4790.3999999999996</v>
      </c>
      <c r="BY44" s="2">
        <v>3551.8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5" spans="2:90" x14ac:dyDescent="0.3">
      <c r="W45">
        <f>SUM(C37:V44)</f>
        <v>1623307.0900000008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63</v>
      </c>
      <c r="D48" s="1" t="s">
        <v>64</v>
      </c>
      <c r="E48" s="1" t="s">
        <v>63</v>
      </c>
      <c r="F48" s="1" t="s">
        <v>64</v>
      </c>
      <c r="G48" s="1" t="s">
        <v>63</v>
      </c>
      <c r="H48" s="1" t="s">
        <v>64</v>
      </c>
      <c r="I48" s="1" t="s">
        <v>63</v>
      </c>
      <c r="J48" s="1" t="s">
        <v>64</v>
      </c>
      <c r="K48" s="1" t="s">
        <v>63</v>
      </c>
      <c r="L48" s="1" t="s">
        <v>64</v>
      </c>
      <c r="M48" s="1" t="s">
        <v>63</v>
      </c>
      <c r="N48" s="1" t="s">
        <v>64</v>
      </c>
      <c r="O48" s="1" t="s">
        <v>63</v>
      </c>
      <c r="P48" s="1" t="s">
        <v>64</v>
      </c>
      <c r="Q48" s="1" t="s">
        <v>63</v>
      </c>
      <c r="R48" s="1" t="s">
        <v>64</v>
      </c>
      <c r="S48" s="1" t="s">
        <v>63</v>
      </c>
      <c r="T48" s="1" t="s">
        <v>64</v>
      </c>
      <c r="U48" s="1" t="s">
        <v>63</v>
      </c>
      <c r="V48" s="1" t="s">
        <v>64</v>
      </c>
      <c r="X48" s="1" t="s">
        <v>6</v>
      </c>
      <c r="Y48" s="1" t="s">
        <v>63</v>
      </c>
      <c r="Z48" s="1" t="s">
        <v>64</v>
      </c>
      <c r="AA48" s="1" t="s">
        <v>63</v>
      </c>
      <c r="AB48" s="1" t="s">
        <v>64</v>
      </c>
      <c r="AC48" s="1" t="s">
        <v>63</v>
      </c>
      <c r="AD48" s="1" t="s">
        <v>64</v>
      </c>
      <c r="AE48" s="1" t="s">
        <v>63</v>
      </c>
      <c r="AF48" s="1" t="s">
        <v>64</v>
      </c>
      <c r="AG48" s="1" t="s">
        <v>63</v>
      </c>
      <c r="AH48" s="1" t="s">
        <v>64</v>
      </c>
      <c r="AI48" s="1" t="s">
        <v>63</v>
      </c>
      <c r="AJ48" s="1" t="s">
        <v>64</v>
      </c>
      <c r="AK48" s="1" t="s">
        <v>63</v>
      </c>
      <c r="AL48" s="1" t="s">
        <v>64</v>
      </c>
      <c r="AM48" s="1" t="s">
        <v>63</v>
      </c>
      <c r="AN48" s="1" t="s">
        <v>64</v>
      </c>
      <c r="AO48" s="1" t="s">
        <v>63</v>
      </c>
      <c r="AP48" s="1" t="s">
        <v>64</v>
      </c>
      <c r="AQ48" s="1" t="s">
        <v>63</v>
      </c>
      <c r="AR48" s="1" t="s">
        <v>64</v>
      </c>
      <c r="AU48" s="1" t="s">
        <v>6</v>
      </c>
      <c r="AV48" s="1" t="s">
        <v>63</v>
      </c>
      <c r="AW48" s="1" t="s">
        <v>64</v>
      </c>
      <c r="AX48" s="1" t="s">
        <v>63</v>
      </c>
      <c r="AY48" s="1" t="s">
        <v>64</v>
      </c>
      <c r="AZ48" s="1" t="s">
        <v>63</v>
      </c>
      <c r="BA48" s="1" t="s">
        <v>64</v>
      </c>
      <c r="BB48" s="1" t="s">
        <v>63</v>
      </c>
      <c r="BC48" s="1" t="s">
        <v>64</v>
      </c>
      <c r="BD48" s="1" t="s">
        <v>63</v>
      </c>
      <c r="BE48" s="1" t="s">
        <v>64</v>
      </c>
      <c r="BF48" s="1" t="s">
        <v>63</v>
      </c>
      <c r="BG48" s="1" t="s">
        <v>64</v>
      </c>
      <c r="BH48" s="1" t="s">
        <v>63</v>
      </c>
      <c r="BI48" s="1" t="s">
        <v>64</v>
      </c>
      <c r="BJ48" s="1" t="s">
        <v>63</v>
      </c>
      <c r="BK48" s="1" t="s">
        <v>64</v>
      </c>
      <c r="BL48" s="1" t="s">
        <v>63</v>
      </c>
      <c r="BM48" s="1" t="s">
        <v>64</v>
      </c>
      <c r="BN48" s="1" t="s">
        <v>63</v>
      </c>
      <c r="BO48" s="1" t="s">
        <v>64</v>
      </c>
      <c r="BR48" s="1" t="s">
        <v>6</v>
      </c>
      <c r="BS48" s="1" t="s">
        <v>63</v>
      </c>
      <c r="BT48" s="1" t="s">
        <v>64</v>
      </c>
      <c r="BU48" s="1" t="s">
        <v>63</v>
      </c>
      <c r="BV48" s="1" t="s">
        <v>64</v>
      </c>
      <c r="BW48" s="1" t="s">
        <v>63</v>
      </c>
      <c r="BX48" s="1" t="s">
        <v>64</v>
      </c>
      <c r="BY48" s="1" t="s">
        <v>63</v>
      </c>
      <c r="BZ48" s="1" t="s">
        <v>64</v>
      </c>
      <c r="CA48" s="1" t="s">
        <v>63</v>
      </c>
      <c r="CB48" s="1" t="s">
        <v>64</v>
      </c>
      <c r="CC48" s="1" t="s">
        <v>63</v>
      </c>
      <c r="CD48" s="1" t="s">
        <v>64</v>
      </c>
      <c r="CE48" s="1" t="s">
        <v>63</v>
      </c>
      <c r="CF48" s="1" t="s">
        <v>64</v>
      </c>
      <c r="CG48" s="1" t="s">
        <v>63</v>
      </c>
      <c r="CH48" s="1" t="s">
        <v>64</v>
      </c>
      <c r="CI48" s="1" t="s">
        <v>63</v>
      </c>
      <c r="CJ48" s="1" t="s">
        <v>64</v>
      </c>
      <c r="CK48" s="1" t="s">
        <v>63</v>
      </c>
      <c r="CL48" s="1" t="s">
        <v>64</v>
      </c>
    </row>
    <row r="49" spans="2:90" x14ac:dyDescent="0.3">
      <c r="B49" s="1" t="s">
        <v>65</v>
      </c>
      <c r="C49" s="1" t="s">
        <v>53</v>
      </c>
      <c r="D49" s="1" t="s">
        <v>53</v>
      </c>
      <c r="E49" s="1" t="s">
        <v>54</v>
      </c>
      <c r="F49" s="1" t="s">
        <v>54</v>
      </c>
      <c r="G49" s="1" t="s">
        <v>55</v>
      </c>
      <c r="H49" s="1" t="s">
        <v>55</v>
      </c>
      <c r="I49" s="1" t="s">
        <v>56</v>
      </c>
      <c r="J49" s="1" t="s">
        <v>56</v>
      </c>
      <c r="K49" s="1" t="s">
        <v>57</v>
      </c>
      <c r="L49" s="1" t="s">
        <v>57</v>
      </c>
      <c r="M49" s="1" t="s">
        <v>58</v>
      </c>
      <c r="N49" s="1" t="s">
        <v>58</v>
      </c>
      <c r="O49" s="1" t="s">
        <v>59</v>
      </c>
      <c r="P49" s="1" t="s">
        <v>59</v>
      </c>
      <c r="Q49" s="1" t="s">
        <v>60</v>
      </c>
      <c r="R49" s="1" t="s">
        <v>60</v>
      </c>
      <c r="S49" s="1" t="s">
        <v>61</v>
      </c>
      <c r="T49" s="1" t="s">
        <v>61</v>
      </c>
      <c r="U49" s="1" t="s">
        <v>62</v>
      </c>
      <c r="V49" s="1" t="s">
        <v>62</v>
      </c>
      <c r="X49" s="1" t="s">
        <v>65</v>
      </c>
      <c r="Y49" s="1" t="s">
        <v>53</v>
      </c>
      <c r="Z49" s="1" t="s">
        <v>53</v>
      </c>
      <c r="AA49" s="1" t="s">
        <v>54</v>
      </c>
      <c r="AB49" s="1" t="s">
        <v>54</v>
      </c>
      <c r="AC49" s="1" t="s">
        <v>55</v>
      </c>
      <c r="AD49" s="1" t="s">
        <v>55</v>
      </c>
      <c r="AE49" s="1" t="s">
        <v>56</v>
      </c>
      <c r="AF49" s="1" t="s">
        <v>56</v>
      </c>
      <c r="AG49" s="1" t="s">
        <v>57</v>
      </c>
      <c r="AH49" s="1" t="s">
        <v>57</v>
      </c>
      <c r="AI49" s="1" t="s">
        <v>58</v>
      </c>
      <c r="AJ49" s="1" t="s">
        <v>58</v>
      </c>
      <c r="AK49" s="1" t="s">
        <v>59</v>
      </c>
      <c r="AL49" s="1" t="s">
        <v>59</v>
      </c>
      <c r="AM49" s="1" t="s">
        <v>60</v>
      </c>
      <c r="AN49" s="1" t="s">
        <v>60</v>
      </c>
      <c r="AO49" s="1" t="s">
        <v>61</v>
      </c>
      <c r="AP49" s="1" t="s">
        <v>61</v>
      </c>
      <c r="AQ49" s="1" t="s">
        <v>62</v>
      </c>
      <c r="AR49" s="1" t="s">
        <v>62</v>
      </c>
      <c r="AU49" s="1" t="s">
        <v>65</v>
      </c>
      <c r="AV49" s="1" t="s">
        <v>53</v>
      </c>
      <c r="AW49" s="1" t="s">
        <v>53</v>
      </c>
      <c r="AX49" s="1" t="s">
        <v>54</v>
      </c>
      <c r="AY49" s="1" t="s">
        <v>54</v>
      </c>
      <c r="AZ49" s="1" t="s">
        <v>55</v>
      </c>
      <c r="BA49" s="1" t="s">
        <v>55</v>
      </c>
      <c r="BB49" s="1" t="s">
        <v>56</v>
      </c>
      <c r="BC49" s="1" t="s">
        <v>56</v>
      </c>
      <c r="BD49" s="1" t="s">
        <v>57</v>
      </c>
      <c r="BE49" s="1" t="s">
        <v>57</v>
      </c>
      <c r="BF49" s="1" t="s">
        <v>58</v>
      </c>
      <c r="BG49" s="1" t="s">
        <v>58</v>
      </c>
      <c r="BH49" s="1" t="s">
        <v>59</v>
      </c>
      <c r="BI49" s="1" t="s">
        <v>59</v>
      </c>
      <c r="BJ49" s="1" t="s">
        <v>60</v>
      </c>
      <c r="BK49" s="1" t="s">
        <v>60</v>
      </c>
      <c r="BL49" s="1" t="s">
        <v>61</v>
      </c>
      <c r="BM49" s="1" t="s">
        <v>61</v>
      </c>
      <c r="BN49" s="1" t="s">
        <v>62</v>
      </c>
      <c r="BO49" s="1" t="s">
        <v>62</v>
      </c>
      <c r="BR49" s="1" t="s">
        <v>65</v>
      </c>
      <c r="BS49" s="1" t="s">
        <v>53</v>
      </c>
      <c r="BT49" s="1" t="s">
        <v>53</v>
      </c>
      <c r="BU49" s="1" t="s">
        <v>54</v>
      </c>
      <c r="BV49" s="1" t="s">
        <v>54</v>
      </c>
      <c r="BW49" s="1" t="s">
        <v>55</v>
      </c>
      <c r="BX49" s="1" t="s">
        <v>55</v>
      </c>
      <c r="BY49" s="1" t="s">
        <v>56</v>
      </c>
      <c r="BZ49" s="1" t="s">
        <v>56</v>
      </c>
      <c r="CA49" s="1" t="s">
        <v>57</v>
      </c>
      <c r="CB49" s="1" t="s">
        <v>57</v>
      </c>
      <c r="CC49" s="1" t="s">
        <v>58</v>
      </c>
      <c r="CD49" s="1" t="s">
        <v>58</v>
      </c>
      <c r="CE49" s="1" t="s">
        <v>59</v>
      </c>
      <c r="CF49" s="1" t="s">
        <v>59</v>
      </c>
      <c r="CG49" s="1" t="s">
        <v>60</v>
      </c>
      <c r="CH49" s="1" t="s">
        <v>60</v>
      </c>
      <c r="CI49" s="1" t="s">
        <v>61</v>
      </c>
      <c r="CJ49" s="1" t="s">
        <v>61</v>
      </c>
      <c r="CK49" s="1" t="s">
        <v>62</v>
      </c>
      <c r="CL49" s="1" t="s">
        <v>62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66</v>
      </c>
      <c r="C51" s="2">
        <v>733.36</v>
      </c>
      <c r="D51" s="2">
        <v>669.65</v>
      </c>
      <c r="E51" s="2">
        <v>177.99</v>
      </c>
      <c r="F51" s="2">
        <v>160.52000000000001</v>
      </c>
      <c r="G51" s="2">
        <v>50.5</v>
      </c>
      <c r="H51" s="2">
        <v>96.86</v>
      </c>
      <c r="I51" s="2">
        <v>585.86</v>
      </c>
      <c r="J51" s="2">
        <v>306.14</v>
      </c>
      <c r="K51" s="2">
        <v>1099.8900000000001</v>
      </c>
      <c r="L51" s="2">
        <v>307.24</v>
      </c>
      <c r="M51" s="2">
        <v>2031.53</v>
      </c>
      <c r="N51" s="2">
        <v>398.76</v>
      </c>
      <c r="O51" s="2">
        <v>1483.77</v>
      </c>
      <c r="P51" s="2">
        <v>129.49</v>
      </c>
      <c r="Q51" s="2">
        <v>1427.64</v>
      </c>
      <c r="R51" s="2">
        <v>384.25</v>
      </c>
      <c r="S51" s="2">
        <v>72.78</v>
      </c>
      <c r="T51" s="2">
        <v>44.99</v>
      </c>
      <c r="U51" s="2">
        <v>278.42</v>
      </c>
      <c r="V51" s="2">
        <v>58.5</v>
      </c>
      <c r="X51" s="1" t="s">
        <v>66</v>
      </c>
      <c r="Y51" s="2">
        <v>0.15</v>
      </c>
      <c r="Z51" s="2">
        <v>0.14000000000000001</v>
      </c>
      <c r="AA51" s="2">
        <v>0.03</v>
      </c>
      <c r="AB51" s="2">
        <v>0.03</v>
      </c>
      <c r="AC51" s="2">
        <v>0.02</v>
      </c>
      <c r="AD51" s="2">
        <v>0.05</v>
      </c>
      <c r="AE51" s="2">
        <v>0.1</v>
      </c>
      <c r="AF51" s="2">
        <v>0.05</v>
      </c>
      <c r="AG51" s="2">
        <v>0.14000000000000001</v>
      </c>
      <c r="AH51" s="2">
        <v>0.05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0.02</v>
      </c>
      <c r="AR51" s="2">
        <v>0.01</v>
      </c>
      <c r="AU51" s="1" t="s">
        <v>66</v>
      </c>
      <c r="AV51" s="2">
        <v>0.3</v>
      </c>
      <c r="AW51" s="2">
        <v>0.3</v>
      </c>
      <c r="AX51" s="2">
        <v>0.26</v>
      </c>
      <c r="AY51" s="2">
        <v>0.24</v>
      </c>
      <c r="AZ51" s="2">
        <v>0.25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0.3</v>
      </c>
      <c r="BO51" s="2">
        <v>0.24</v>
      </c>
      <c r="BR51" s="1" t="s">
        <v>66</v>
      </c>
      <c r="BS51" s="2">
        <v>0.37</v>
      </c>
      <c r="BT51" s="2">
        <v>0.36</v>
      </c>
      <c r="BU51" s="2">
        <v>0.27</v>
      </c>
      <c r="BV51" s="2">
        <v>0.25</v>
      </c>
      <c r="BW51" s="2">
        <v>0.26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67</v>
      </c>
      <c r="C52" s="2">
        <v>1511.78</v>
      </c>
      <c r="D52" s="2">
        <v>502.94</v>
      </c>
      <c r="E52" s="2">
        <v>1302.53</v>
      </c>
      <c r="F52" s="2">
        <v>498.18</v>
      </c>
      <c r="G52" s="2">
        <v>300.31</v>
      </c>
      <c r="H52" s="2">
        <v>301.01</v>
      </c>
      <c r="I52" s="2">
        <v>2071.08</v>
      </c>
      <c r="J52" s="2">
        <v>1404.81</v>
      </c>
      <c r="K52" s="2">
        <v>2658.85</v>
      </c>
      <c r="L52" s="2">
        <v>1249.1400000000001</v>
      </c>
      <c r="M52" s="2">
        <v>5867.34</v>
      </c>
      <c r="N52" s="2">
        <v>2342.1</v>
      </c>
      <c r="O52" s="2">
        <v>3436.65</v>
      </c>
      <c r="P52" s="2">
        <v>2343.92</v>
      </c>
      <c r="Q52" s="2">
        <v>4075.48</v>
      </c>
      <c r="R52" s="2">
        <v>2745.1</v>
      </c>
      <c r="S52" s="2">
        <v>3383.04</v>
      </c>
      <c r="T52" s="2">
        <v>1505.55</v>
      </c>
      <c r="U52" s="2">
        <v>4286.3500000000004</v>
      </c>
      <c r="V52" s="2">
        <v>1421.6</v>
      </c>
      <c r="X52" s="1" t="s">
        <v>67</v>
      </c>
      <c r="Y52" s="2">
        <v>0.28999999999999998</v>
      </c>
      <c r="Z52" s="2">
        <v>0.18</v>
      </c>
      <c r="AA52" s="2">
        <v>0.3</v>
      </c>
      <c r="AB52" s="2">
        <v>0.19</v>
      </c>
      <c r="AC52" s="2">
        <v>0.19</v>
      </c>
      <c r="AD52" s="2">
        <v>0.24</v>
      </c>
      <c r="AE52" s="2">
        <v>0.33</v>
      </c>
      <c r="AF52" s="2">
        <v>0.21</v>
      </c>
      <c r="AG52" s="2">
        <v>0.31</v>
      </c>
      <c r="AH52" s="2">
        <v>0.2</v>
      </c>
      <c r="AI52" s="2">
        <v>0.3</v>
      </c>
      <c r="AJ52" s="2">
        <v>0.2</v>
      </c>
      <c r="AK52" s="2">
        <v>0.25</v>
      </c>
      <c r="AL52" s="2">
        <v>0.21</v>
      </c>
      <c r="AM52" s="2">
        <v>0.24</v>
      </c>
      <c r="AN52" s="2">
        <v>0.22</v>
      </c>
      <c r="AO52" s="2">
        <v>0.23</v>
      </c>
      <c r="AP52" s="2">
        <v>0.17</v>
      </c>
      <c r="AQ52" s="2">
        <v>0.28000000000000003</v>
      </c>
      <c r="AR52" s="2">
        <v>0.17</v>
      </c>
      <c r="AU52" s="1" t="s">
        <v>67</v>
      </c>
      <c r="AV52" s="2">
        <v>0.7</v>
      </c>
      <c r="AW52" s="2">
        <v>0.46</v>
      </c>
      <c r="AX52" s="2">
        <v>0.64</v>
      </c>
      <c r="AY52" s="2">
        <v>0.43</v>
      </c>
      <c r="AZ52" s="2">
        <v>0.56999999999999995</v>
      </c>
      <c r="BA52" s="2">
        <v>0.54</v>
      </c>
      <c r="BB52" s="2">
        <v>0.72</v>
      </c>
      <c r="BC52" s="2">
        <v>0.72</v>
      </c>
      <c r="BD52" s="2">
        <v>0.76</v>
      </c>
      <c r="BE52" s="2">
        <v>0.65</v>
      </c>
      <c r="BF52" s="2">
        <v>0.82</v>
      </c>
      <c r="BG52" s="2">
        <v>0.66</v>
      </c>
      <c r="BH52" s="2">
        <v>0.78</v>
      </c>
      <c r="BI52" s="2">
        <v>0.7</v>
      </c>
      <c r="BJ52" s="2">
        <v>0.76</v>
      </c>
      <c r="BK52" s="2">
        <v>0.66</v>
      </c>
      <c r="BL52" s="2">
        <v>0.73</v>
      </c>
      <c r="BM52" s="2">
        <v>0.56000000000000005</v>
      </c>
      <c r="BN52" s="2">
        <v>0.7</v>
      </c>
      <c r="BO52" s="2">
        <v>0.46</v>
      </c>
      <c r="BR52" s="1" t="s">
        <v>67</v>
      </c>
      <c r="BS52" s="2">
        <v>0.8</v>
      </c>
      <c r="BT52" s="2">
        <v>0.52</v>
      </c>
      <c r="BU52" s="2">
        <v>0.75</v>
      </c>
      <c r="BV52" s="2">
        <v>0.5</v>
      </c>
      <c r="BW52" s="2">
        <v>0.66</v>
      </c>
      <c r="BX52" s="2">
        <v>0.63</v>
      </c>
      <c r="BY52" s="2">
        <v>0.84</v>
      </c>
      <c r="BZ52" s="2">
        <v>0.82</v>
      </c>
      <c r="CA52" s="2">
        <v>0.88</v>
      </c>
      <c r="CB52" s="2">
        <v>0.74</v>
      </c>
      <c r="CC52" s="2">
        <v>0.94</v>
      </c>
      <c r="CD52" s="2">
        <v>0.75</v>
      </c>
      <c r="CE52" s="2">
        <v>0.89</v>
      </c>
      <c r="CF52" s="2">
        <v>0.8</v>
      </c>
      <c r="CG52" s="2">
        <v>0.86</v>
      </c>
      <c r="CH52" s="2">
        <v>0.75</v>
      </c>
      <c r="CI52" s="2">
        <v>0.84</v>
      </c>
      <c r="CJ52" s="2">
        <v>0.64</v>
      </c>
      <c r="CK52" s="2">
        <v>0.79</v>
      </c>
      <c r="CL52" s="2">
        <v>0.53</v>
      </c>
    </row>
    <row r="53" spans="2:90" x14ac:dyDescent="0.3">
      <c r="B53" s="1" t="s">
        <v>68</v>
      </c>
      <c r="C53" s="2">
        <v>21777.69</v>
      </c>
      <c r="D53" s="2">
        <v>1552.72</v>
      </c>
      <c r="E53" s="2">
        <v>24205.54</v>
      </c>
      <c r="F53" s="2">
        <v>1260.3499999999999</v>
      </c>
      <c r="G53" s="2">
        <v>4433.88</v>
      </c>
      <c r="H53" s="2">
        <v>3911.53</v>
      </c>
      <c r="I53" s="2">
        <v>15831.64</v>
      </c>
      <c r="J53" s="2">
        <v>7111.39</v>
      </c>
      <c r="K53" s="2">
        <v>20670.64</v>
      </c>
      <c r="L53" s="2">
        <v>7280.55</v>
      </c>
      <c r="M53" s="2">
        <v>38108.17</v>
      </c>
      <c r="N53" s="2">
        <v>12991.09</v>
      </c>
      <c r="O53" s="2">
        <v>28076.19</v>
      </c>
      <c r="P53" s="2">
        <v>10933.62</v>
      </c>
      <c r="Q53" s="2">
        <v>35595.360000000001</v>
      </c>
      <c r="R53" s="2">
        <v>13458.16</v>
      </c>
      <c r="S53" s="2">
        <v>15532.38</v>
      </c>
      <c r="T53" s="2">
        <v>8335.99</v>
      </c>
      <c r="U53" s="2">
        <v>11188.62</v>
      </c>
      <c r="V53" s="2">
        <v>8623.7999999999993</v>
      </c>
      <c r="X53" s="1" t="s">
        <v>68</v>
      </c>
      <c r="Y53" s="2">
        <v>0.51</v>
      </c>
      <c r="Z53" s="2">
        <v>0.15</v>
      </c>
      <c r="AA53" s="2">
        <v>0.5</v>
      </c>
      <c r="AB53" s="2">
        <v>0.15</v>
      </c>
      <c r="AC53" s="2">
        <v>0.56000000000000005</v>
      </c>
      <c r="AD53" s="2">
        <v>0.5</v>
      </c>
      <c r="AE53" s="2">
        <v>0.61</v>
      </c>
      <c r="AF53" s="2">
        <v>0.28999999999999998</v>
      </c>
      <c r="AG53" s="2">
        <v>0.64</v>
      </c>
      <c r="AH53" s="2">
        <v>0.24</v>
      </c>
      <c r="AI53" s="2">
        <v>0.66</v>
      </c>
      <c r="AJ53" s="2">
        <v>0.24</v>
      </c>
      <c r="AK53" s="2">
        <v>0.62</v>
      </c>
      <c r="AL53" s="2">
        <v>0.25</v>
      </c>
      <c r="AM53" s="2">
        <v>0.6</v>
      </c>
      <c r="AN53" s="2">
        <v>0.22</v>
      </c>
      <c r="AO53" s="2">
        <v>0.28000000000000003</v>
      </c>
      <c r="AP53" s="2">
        <v>0.18</v>
      </c>
      <c r="AQ53" s="2">
        <v>0.18</v>
      </c>
      <c r="AR53" s="2">
        <v>0.16</v>
      </c>
      <c r="AU53" s="1" t="s">
        <v>68</v>
      </c>
      <c r="AV53" s="2">
        <v>1.03</v>
      </c>
      <c r="AW53" s="2">
        <v>0.39</v>
      </c>
      <c r="AX53" s="2">
        <v>1.02</v>
      </c>
      <c r="AY53" s="2">
        <v>0.33</v>
      </c>
      <c r="AZ53" s="2">
        <v>0.92</v>
      </c>
      <c r="BA53" s="2">
        <v>0.87</v>
      </c>
      <c r="BB53" s="2">
        <v>0.93</v>
      </c>
      <c r="BC53" s="2">
        <v>0.75</v>
      </c>
      <c r="BD53" s="2">
        <v>0.97</v>
      </c>
      <c r="BE53" s="2">
        <v>0.73</v>
      </c>
      <c r="BF53" s="2">
        <v>0.97</v>
      </c>
      <c r="BG53" s="2">
        <v>0.74</v>
      </c>
      <c r="BH53" s="2">
        <v>0.97</v>
      </c>
      <c r="BI53" s="2">
        <v>0.74</v>
      </c>
      <c r="BJ53" s="2">
        <v>0.96</v>
      </c>
      <c r="BK53" s="2">
        <v>0.72</v>
      </c>
      <c r="BL53" s="2">
        <v>0.77</v>
      </c>
      <c r="BM53" s="2">
        <v>0.65</v>
      </c>
      <c r="BN53" s="2">
        <v>0.63</v>
      </c>
      <c r="BO53" s="2">
        <v>0.56999999999999995</v>
      </c>
      <c r="BR53" s="1" t="s">
        <v>68</v>
      </c>
      <c r="BS53" s="2">
        <v>1.27</v>
      </c>
      <c r="BT53" s="2">
        <v>0.44</v>
      </c>
      <c r="BU53" s="2">
        <v>1.27</v>
      </c>
      <c r="BV53" s="2">
        <v>0.38</v>
      </c>
      <c r="BW53" s="2">
        <v>1.27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69</v>
      </c>
      <c r="C54" s="2">
        <v>3847.87</v>
      </c>
      <c r="D54" s="2">
        <v>564.44000000000005</v>
      </c>
      <c r="E54" s="2">
        <v>4261.49</v>
      </c>
      <c r="F54" s="2">
        <v>426.05</v>
      </c>
      <c r="G54" s="2">
        <v>1013.2</v>
      </c>
      <c r="H54" s="2">
        <v>1617.84</v>
      </c>
      <c r="I54" s="2">
        <v>3731.75</v>
      </c>
      <c r="J54" s="2">
        <v>2041.16</v>
      </c>
      <c r="K54" s="2">
        <v>4360</v>
      </c>
      <c r="L54" s="2">
        <v>1879.58</v>
      </c>
      <c r="M54" s="2">
        <v>7817.11</v>
      </c>
      <c r="N54" s="2">
        <v>3044.77</v>
      </c>
      <c r="O54" s="2">
        <v>6155.38</v>
      </c>
      <c r="P54" s="2">
        <v>2539.46</v>
      </c>
      <c r="Q54" s="2">
        <v>6116.88</v>
      </c>
      <c r="R54" s="2">
        <v>2829.88</v>
      </c>
      <c r="S54" s="2">
        <v>2560.54</v>
      </c>
      <c r="T54" s="2">
        <v>2030.08</v>
      </c>
      <c r="U54" s="2">
        <v>2630.08</v>
      </c>
      <c r="V54" s="2">
        <v>2275.66</v>
      </c>
      <c r="X54" s="1" t="s">
        <v>69</v>
      </c>
      <c r="Y54" s="2">
        <v>0.28000000000000003</v>
      </c>
      <c r="Z54" s="2">
        <v>0.17</v>
      </c>
      <c r="AA54" s="2">
        <v>0.3</v>
      </c>
      <c r="AB54" s="2">
        <v>0.18</v>
      </c>
      <c r="AC54" s="2">
        <v>0.39</v>
      </c>
      <c r="AD54" s="2">
        <v>0.31</v>
      </c>
      <c r="AE54" s="2">
        <v>0.45</v>
      </c>
      <c r="AF54" s="2">
        <v>0.25</v>
      </c>
      <c r="AG54" s="2">
        <v>0.42</v>
      </c>
      <c r="AH54" s="2">
        <v>0.22</v>
      </c>
      <c r="AI54" s="2">
        <v>0.42</v>
      </c>
      <c r="AJ54" s="2">
        <v>0.21</v>
      </c>
      <c r="AK54" s="2">
        <v>0.42</v>
      </c>
      <c r="AL54" s="2">
        <v>0.21</v>
      </c>
      <c r="AM54" s="2">
        <v>0.32</v>
      </c>
      <c r="AN54" s="2">
        <v>0.2</v>
      </c>
      <c r="AO54" s="2">
        <v>0.2</v>
      </c>
      <c r="AP54" s="2">
        <v>0.19</v>
      </c>
      <c r="AQ54" s="2">
        <v>0.19</v>
      </c>
      <c r="AR54" s="2">
        <v>0.18</v>
      </c>
      <c r="AU54" s="1" t="s">
        <v>69</v>
      </c>
      <c r="AV54" s="2">
        <v>0.98</v>
      </c>
      <c r="AW54" s="2">
        <v>0.54</v>
      </c>
      <c r="AX54" s="2">
        <v>0.96</v>
      </c>
      <c r="AY54" s="2">
        <v>0.41</v>
      </c>
      <c r="AZ54" s="2">
        <v>0.89</v>
      </c>
      <c r="BA54" s="2">
        <v>0.97</v>
      </c>
      <c r="BB54" s="2">
        <v>0.91</v>
      </c>
      <c r="BC54" s="2">
        <v>0.8</v>
      </c>
      <c r="BD54" s="2">
        <v>0.92</v>
      </c>
      <c r="BE54" s="2">
        <v>0.77</v>
      </c>
      <c r="BF54" s="2">
        <v>0.92</v>
      </c>
      <c r="BG54" s="2">
        <v>0.75</v>
      </c>
      <c r="BH54" s="2">
        <v>0.92</v>
      </c>
      <c r="BI54" s="2">
        <v>0.75</v>
      </c>
      <c r="BJ54" s="2">
        <v>0.87</v>
      </c>
      <c r="BK54" s="2">
        <v>0.72</v>
      </c>
      <c r="BL54" s="2">
        <v>0.71</v>
      </c>
      <c r="BM54" s="2">
        <v>0.67</v>
      </c>
      <c r="BN54" s="2">
        <v>0.66</v>
      </c>
      <c r="BO54" s="2">
        <v>0.63</v>
      </c>
      <c r="BR54" s="1" t="s">
        <v>69</v>
      </c>
      <c r="BS54" s="2">
        <v>1.1100000000000001</v>
      </c>
      <c r="BT54" s="2">
        <v>0.62</v>
      </c>
      <c r="BU54" s="2">
        <v>1.1100000000000001</v>
      </c>
      <c r="BV54" s="2">
        <v>0.47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70</v>
      </c>
      <c r="C55" s="2">
        <v>10686.53</v>
      </c>
      <c r="D55" s="2">
        <v>11529.23</v>
      </c>
      <c r="E55" s="2">
        <v>14903.42</v>
      </c>
      <c r="F55" s="2">
        <v>7405.68</v>
      </c>
      <c r="G55" s="2">
        <v>4157.7</v>
      </c>
      <c r="H55" s="2">
        <v>4630.1899999999996</v>
      </c>
      <c r="I55" s="2">
        <v>7261.7</v>
      </c>
      <c r="J55" s="2">
        <v>14665.24</v>
      </c>
      <c r="K55" s="2">
        <v>17099.07</v>
      </c>
      <c r="L55" s="2">
        <v>18319.63</v>
      </c>
      <c r="M55" s="2">
        <v>26918.82</v>
      </c>
      <c r="N55" s="2">
        <v>25301.98</v>
      </c>
      <c r="O55" s="2">
        <v>17549.66</v>
      </c>
      <c r="P55" s="2">
        <v>18007.75</v>
      </c>
      <c r="Q55" s="2">
        <v>17057.37</v>
      </c>
      <c r="R55" s="2">
        <v>17952.3</v>
      </c>
      <c r="S55" s="2">
        <v>12645.52</v>
      </c>
      <c r="T55" s="2">
        <v>12111.67</v>
      </c>
      <c r="U55" s="2">
        <v>16111.41</v>
      </c>
      <c r="V55" s="2">
        <v>13323.41</v>
      </c>
      <c r="X55" s="1" t="s">
        <v>70</v>
      </c>
      <c r="Y55" s="2">
        <v>0.31</v>
      </c>
      <c r="Z55" s="2">
        <v>0.33</v>
      </c>
      <c r="AA55" s="2">
        <v>0.39</v>
      </c>
      <c r="AB55" s="2">
        <v>0.31</v>
      </c>
      <c r="AC55" s="2">
        <v>0.3</v>
      </c>
      <c r="AD55" s="2">
        <v>0.33</v>
      </c>
      <c r="AE55" s="2">
        <v>0.27</v>
      </c>
      <c r="AF55" s="2">
        <v>0.34</v>
      </c>
      <c r="AG55" s="2">
        <v>0.32</v>
      </c>
      <c r="AH55" s="2">
        <v>0.34</v>
      </c>
      <c r="AI55" s="2">
        <v>0.28000000000000003</v>
      </c>
      <c r="AJ55" s="2">
        <v>0.26</v>
      </c>
      <c r="AK55" s="2">
        <v>0.24</v>
      </c>
      <c r="AL55" s="2">
        <v>0.26</v>
      </c>
      <c r="AM55" s="2">
        <v>0.22</v>
      </c>
      <c r="AN55" s="2">
        <v>0.22</v>
      </c>
      <c r="AO55" s="2">
        <v>0.2</v>
      </c>
      <c r="AP55" s="2">
        <v>0.21</v>
      </c>
      <c r="AQ55" s="2">
        <v>0.2</v>
      </c>
      <c r="AR55" s="2">
        <v>0.23</v>
      </c>
      <c r="AU55" s="1" t="s">
        <v>70</v>
      </c>
      <c r="AV55" s="2">
        <v>0.87</v>
      </c>
      <c r="AW55" s="2">
        <v>0.85</v>
      </c>
      <c r="AX55" s="2">
        <v>0.87</v>
      </c>
      <c r="AY55" s="2">
        <v>0.68</v>
      </c>
      <c r="AZ55" s="2">
        <v>0.86</v>
      </c>
      <c r="BA55" s="2">
        <v>0.86</v>
      </c>
      <c r="BB55" s="2">
        <v>0.68</v>
      </c>
      <c r="BC55" s="2">
        <v>0.87</v>
      </c>
      <c r="BD55" s="2">
        <v>0.87</v>
      </c>
      <c r="BE55" s="2">
        <v>0.88</v>
      </c>
      <c r="BF55" s="2">
        <v>0.85</v>
      </c>
      <c r="BG55" s="2">
        <v>0.83</v>
      </c>
      <c r="BH55" s="2">
        <v>0.81</v>
      </c>
      <c r="BI55" s="2">
        <v>0.8</v>
      </c>
      <c r="BJ55" s="2">
        <v>0.74</v>
      </c>
      <c r="BK55" s="2">
        <v>0.75</v>
      </c>
      <c r="BL55" s="2">
        <v>0.71</v>
      </c>
      <c r="BM55" s="2">
        <v>0.67</v>
      </c>
      <c r="BN55" s="2">
        <v>0.69</v>
      </c>
      <c r="BO55" s="2">
        <v>0.61</v>
      </c>
      <c r="BR55" s="1" t="s">
        <v>70</v>
      </c>
      <c r="BS55" s="2">
        <v>1.07</v>
      </c>
      <c r="BT55" s="2">
        <v>1.01</v>
      </c>
      <c r="BU55" s="2">
        <v>1.07</v>
      </c>
      <c r="BV55" s="2">
        <v>0.79</v>
      </c>
      <c r="BW55" s="2">
        <v>1.07</v>
      </c>
      <c r="BX55" s="2">
        <v>1.07</v>
      </c>
      <c r="BY55" s="2">
        <v>0.78</v>
      </c>
      <c r="BZ55" s="2">
        <v>1.05</v>
      </c>
      <c r="CA55" s="2">
        <v>1.01</v>
      </c>
      <c r="CB55" s="2">
        <v>1.04</v>
      </c>
      <c r="CC55" s="2">
        <v>0.97</v>
      </c>
      <c r="CD55" s="2">
        <v>0.94</v>
      </c>
      <c r="CE55" s="2">
        <v>0.92</v>
      </c>
      <c r="CF55" s="2">
        <v>0.9</v>
      </c>
      <c r="CG55" s="2">
        <v>0.84</v>
      </c>
      <c r="CH55" s="2">
        <v>0.85</v>
      </c>
      <c r="CI55" s="2">
        <v>0.8</v>
      </c>
      <c r="CJ55" s="2">
        <v>0.76</v>
      </c>
      <c r="CK55" s="2">
        <v>0.78</v>
      </c>
      <c r="CL55" s="2">
        <v>0.68</v>
      </c>
    </row>
    <row r="56" spans="2:90" x14ac:dyDescent="0.3">
      <c r="B56" s="1" t="s">
        <v>71</v>
      </c>
      <c r="C56" s="2">
        <v>3588.33</v>
      </c>
      <c r="D56" s="2">
        <v>3063.44</v>
      </c>
      <c r="E56" s="2">
        <v>4689.55</v>
      </c>
      <c r="F56" s="2">
        <v>4737.5600000000004</v>
      </c>
      <c r="G56" s="2">
        <v>1010.97</v>
      </c>
      <c r="H56" s="2">
        <v>1162.68</v>
      </c>
      <c r="I56" s="2">
        <v>1681.41</v>
      </c>
      <c r="J56" s="2">
        <v>3048.78</v>
      </c>
      <c r="K56" s="2">
        <v>1940.36</v>
      </c>
      <c r="L56" s="2">
        <v>5063.03</v>
      </c>
      <c r="M56" s="2">
        <v>4358.38</v>
      </c>
      <c r="N56" s="2">
        <v>9431.5400000000009</v>
      </c>
      <c r="O56" s="2">
        <v>3421.55</v>
      </c>
      <c r="P56" s="2">
        <v>6674.47</v>
      </c>
      <c r="Q56" s="2">
        <v>4342.1400000000003</v>
      </c>
      <c r="R56" s="2">
        <v>8436.36</v>
      </c>
      <c r="S56" s="2">
        <v>3360.22</v>
      </c>
      <c r="T56" s="2">
        <v>6482.87</v>
      </c>
      <c r="U56" s="2">
        <v>3530.77</v>
      </c>
      <c r="V56" s="2">
        <v>3082.18</v>
      </c>
      <c r="X56" s="1" t="s">
        <v>71</v>
      </c>
      <c r="Y56" s="2">
        <v>0.27</v>
      </c>
      <c r="Z56" s="2">
        <v>0.41</v>
      </c>
      <c r="AA56" s="2">
        <v>0.4</v>
      </c>
      <c r="AB56" s="2">
        <v>0.41</v>
      </c>
      <c r="AC56" s="2">
        <v>0.35</v>
      </c>
      <c r="AD56" s="2">
        <v>0.4</v>
      </c>
      <c r="AE56" s="2">
        <v>0.28999999999999998</v>
      </c>
      <c r="AF56" s="2">
        <v>0.33</v>
      </c>
      <c r="AG56" s="2">
        <v>0.27</v>
      </c>
      <c r="AH56" s="2">
        <v>0.44</v>
      </c>
      <c r="AI56" s="2">
        <v>0.28999999999999998</v>
      </c>
      <c r="AJ56" s="2">
        <v>0.45</v>
      </c>
      <c r="AK56" s="2">
        <v>0.28999999999999998</v>
      </c>
      <c r="AL56" s="2">
        <v>0.39</v>
      </c>
      <c r="AM56" s="2">
        <v>0.28000000000000003</v>
      </c>
      <c r="AN56" s="2">
        <v>0.38</v>
      </c>
      <c r="AO56" s="2">
        <v>0.27</v>
      </c>
      <c r="AP56" s="2">
        <v>0.33</v>
      </c>
      <c r="AQ56" s="2">
        <v>0.25</v>
      </c>
      <c r="AR56" s="2">
        <v>0.24</v>
      </c>
      <c r="AU56" s="1" t="s">
        <v>71</v>
      </c>
      <c r="AV56" s="2">
        <v>0.95</v>
      </c>
      <c r="AW56" s="2">
        <v>0.88</v>
      </c>
      <c r="AX56" s="2">
        <v>0.93</v>
      </c>
      <c r="AY56" s="2">
        <v>0.92</v>
      </c>
      <c r="AZ56" s="2">
        <v>0.86</v>
      </c>
      <c r="BA56" s="2">
        <v>0.87</v>
      </c>
      <c r="BB56" s="2">
        <v>0.7</v>
      </c>
      <c r="BC56" s="2">
        <v>0.87</v>
      </c>
      <c r="BD56" s="2">
        <v>0.71</v>
      </c>
      <c r="BE56" s="2">
        <v>0.91</v>
      </c>
      <c r="BF56" s="2">
        <v>0.76</v>
      </c>
      <c r="BG56" s="2">
        <v>0.91</v>
      </c>
      <c r="BH56" s="2">
        <v>0.76</v>
      </c>
      <c r="BI56" s="2">
        <v>0.88</v>
      </c>
      <c r="BJ56" s="2">
        <v>0.75</v>
      </c>
      <c r="BK56" s="2">
        <v>0.88</v>
      </c>
      <c r="BL56" s="2">
        <v>0.73</v>
      </c>
      <c r="BM56" s="2">
        <v>0.85</v>
      </c>
      <c r="BN56" s="2">
        <v>0.67</v>
      </c>
      <c r="BO56" s="2">
        <v>0.62</v>
      </c>
      <c r="BR56" s="1" t="s">
        <v>71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72</v>
      </c>
      <c r="C57" s="2">
        <v>22595.13</v>
      </c>
      <c r="D57" s="2">
        <v>23374.02</v>
      </c>
      <c r="E57" s="2">
        <v>16880.939999999999</v>
      </c>
      <c r="F57" s="2">
        <v>26122.66</v>
      </c>
      <c r="G57" s="2">
        <v>3656.73</v>
      </c>
      <c r="H57" s="2">
        <v>8838.66</v>
      </c>
      <c r="I57" s="2">
        <v>11221.14</v>
      </c>
      <c r="J57" s="2">
        <v>15141.05</v>
      </c>
      <c r="K57" s="2">
        <v>10602.37</v>
      </c>
      <c r="L57" s="2">
        <v>23587.94</v>
      </c>
      <c r="M57" s="2">
        <v>20906.64</v>
      </c>
      <c r="N57" s="2">
        <v>42779.91</v>
      </c>
      <c r="O57" s="2">
        <v>16962.490000000002</v>
      </c>
      <c r="P57" s="2">
        <v>30896.21</v>
      </c>
      <c r="Q57" s="2">
        <v>24368.36</v>
      </c>
      <c r="R57" s="2">
        <v>34430.07</v>
      </c>
      <c r="S57" s="2">
        <v>15779.76</v>
      </c>
      <c r="T57" s="2">
        <v>17217.88</v>
      </c>
      <c r="U57" s="2">
        <v>17513.38</v>
      </c>
      <c r="V57" s="2">
        <v>16991</v>
      </c>
      <c r="X57" s="1" t="s">
        <v>72</v>
      </c>
      <c r="Y57" s="2">
        <v>0.5</v>
      </c>
      <c r="Z57" s="2">
        <v>0.52</v>
      </c>
      <c r="AA57" s="2">
        <v>0.39</v>
      </c>
      <c r="AB57" s="2">
        <v>0.54</v>
      </c>
      <c r="AC57" s="2">
        <v>0.42</v>
      </c>
      <c r="AD57" s="2">
        <v>0.5</v>
      </c>
      <c r="AE57" s="2">
        <v>0.4</v>
      </c>
      <c r="AF57" s="2">
        <v>0.55000000000000004</v>
      </c>
      <c r="AG57" s="2">
        <v>0.3</v>
      </c>
      <c r="AH57" s="2">
        <v>0.68</v>
      </c>
      <c r="AI57" s="2">
        <v>0.33</v>
      </c>
      <c r="AJ57" s="2">
        <v>0.68</v>
      </c>
      <c r="AK57" s="2">
        <v>0.33</v>
      </c>
      <c r="AL57" s="2">
        <v>0.6</v>
      </c>
      <c r="AM57" s="2">
        <v>0.37</v>
      </c>
      <c r="AN57" s="2">
        <v>0.33</v>
      </c>
      <c r="AO57" s="2">
        <v>0.27</v>
      </c>
      <c r="AP57" s="2">
        <v>0.28999999999999998</v>
      </c>
      <c r="AQ57" s="2">
        <v>0.25</v>
      </c>
      <c r="AR57" s="2">
        <v>0.25</v>
      </c>
      <c r="AU57" s="1" t="s">
        <v>72</v>
      </c>
      <c r="AV57" s="2">
        <v>1.01</v>
      </c>
      <c r="AW57" s="2">
        <v>1.01</v>
      </c>
      <c r="AX57" s="2">
        <v>0.93</v>
      </c>
      <c r="AY57" s="2">
        <v>1</v>
      </c>
      <c r="AZ57" s="2">
        <v>0.84</v>
      </c>
      <c r="BA57" s="2">
        <v>1.01</v>
      </c>
      <c r="BB57" s="2">
        <v>0.81</v>
      </c>
      <c r="BC57" s="2">
        <v>0.92</v>
      </c>
      <c r="BD57" s="2">
        <v>0.77</v>
      </c>
      <c r="BE57" s="2">
        <v>0.97</v>
      </c>
      <c r="BF57" s="2">
        <v>0.79</v>
      </c>
      <c r="BG57" s="2">
        <v>0.97</v>
      </c>
      <c r="BH57" s="2">
        <v>0.79</v>
      </c>
      <c r="BI57" s="2">
        <v>0.93</v>
      </c>
      <c r="BJ57" s="2">
        <v>0.81</v>
      </c>
      <c r="BK57" s="2">
        <v>0.9</v>
      </c>
      <c r="BL57" s="2">
        <v>0.74</v>
      </c>
      <c r="BM57" s="2">
        <v>0.76</v>
      </c>
      <c r="BN57" s="2">
        <v>0.7</v>
      </c>
      <c r="BO57" s="2">
        <v>0.68</v>
      </c>
      <c r="BR57" s="1" t="s">
        <v>72</v>
      </c>
      <c r="BS57" s="2">
        <v>1.27</v>
      </c>
      <c r="BT57" s="2">
        <v>1.27</v>
      </c>
      <c r="BU57" s="2">
        <v>1.1100000000000001</v>
      </c>
      <c r="BV57" s="2">
        <v>1.24</v>
      </c>
      <c r="BW57" s="2">
        <v>1.1100000000000001</v>
      </c>
      <c r="BX57" s="2">
        <v>1.27</v>
      </c>
      <c r="BY57" s="2">
        <v>1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73</v>
      </c>
      <c r="C58" s="2">
        <v>2387.2199999999998</v>
      </c>
      <c r="D58" s="2">
        <v>4144.18</v>
      </c>
      <c r="E58" s="2">
        <v>992.5</v>
      </c>
      <c r="F58" s="2">
        <v>1108.99</v>
      </c>
      <c r="G58" s="2">
        <v>156.55000000000001</v>
      </c>
      <c r="H58" s="2">
        <v>502.04</v>
      </c>
      <c r="I58" s="2">
        <v>859.93</v>
      </c>
      <c r="J58" s="2">
        <v>6503.77</v>
      </c>
      <c r="K58" s="2">
        <v>3089.36</v>
      </c>
      <c r="L58" s="2">
        <v>7646.4</v>
      </c>
      <c r="M58" s="2">
        <v>7998.81</v>
      </c>
      <c r="N58" s="2">
        <v>14093.37</v>
      </c>
      <c r="O58" s="2">
        <v>7104.44</v>
      </c>
      <c r="P58" s="2">
        <v>9285.9</v>
      </c>
      <c r="Q58" s="2">
        <v>7830.85</v>
      </c>
      <c r="R58" s="2">
        <v>7762.83</v>
      </c>
      <c r="S58" s="2">
        <v>5928.58</v>
      </c>
      <c r="T58" s="2">
        <v>4931.07</v>
      </c>
      <c r="U58" s="2">
        <v>6823.08</v>
      </c>
      <c r="V58" s="2">
        <v>5490.36</v>
      </c>
      <c r="X58" s="1" t="s">
        <v>73</v>
      </c>
      <c r="Y58" s="2">
        <v>0.18</v>
      </c>
      <c r="Z58" s="2">
        <v>0.23</v>
      </c>
      <c r="AA58" s="2">
        <v>0.19</v>
      </c>
      <c r="AB58" s="2">
        <v>0.2</v>
      </c>
      <c r="AC58" s="2">
        <v>0.04</v>
      </c>
      <c r="AD58" s="2">
        <v>0.21</v>
      </c>
      <c r="AE58" s="2">
        <v>0.12</v>
      </c>
      <c r="AF58" s="2">
        <v>0.23</v>
      </c>
      <c r="AG58" s="2">
        <v>0.16</v>
      </c>
      <c r="AH58" s="2">
        <v>0.21</v>
      </c>
      <c r="AI58" s="2">
        <v>0.16</v>
      </c>
      <c r="AJ58" s="2">
        <v>0.22</v>
      </c>
      <c r="AK58" s="2">
        <v>0.16</v>
      </c>
      <c r="AL58" s="2">
        <v>0.2</v>
      </c>
      <c r="AM58" s="2">
        <v>0.16</v>
      </c>
      <c r="AN58" s="2">
        <v>0.17</v>
      </c>
      <c r="AO58" s="2">
        <v>0.15</v>
      </c>
      <c r="AP58" s="2">
        <v>0.15</v>
      </c>
      <c r="AQ58" s="2">
        <v>0.16</v>
      </c>
      <c r="AR58" s="2">
        <v>0.15</v>
      </c>
      <c r="AU58" s="1" t="s">
        <v>73</v>
      </c>
      <c r="AV58" s="2">
        <v>0.6</v>
      </c>
      <c r="AW58" s="2">
        <v>0.72</v>
      </c>
      <c r="AX58" s="2">
        <v>0.33</v>
      </c>
      <c r="AY58" s="2">
        <v>0.35</v>
      </c>
      <c r="AZ58" s="2">
        <v>0.3</v>
      </c>
      <c r="BA58" s="2">
        <v>0.39</v>
      </c>
      <c r="BB58" s="2">
        <v>0.3</v>
      </c>
      <c r="BC58" s="2">
        <v>0.82</v>
      </c>
      <c r="BD58" s="2">
        <v>0.62</v>
      </c>
      <c r="BE58" s="2">
        <v>0.83</v>
      </c>
      <c r="BF58" s="2">
        <v>0.75</v>
      </c>
      <c r="BG58" s="2">
        <v>0.83</v>
      </c>
      <c r="BH58" s="2">
        <v>0.78</v>
      </c>
      <c r="BI58" s="2">
        <v>0.79</v>
      </c>
      <c r="BJ58" s="2">
        <v>0.73</v>
      </c>
      <c r="BK58" s="2">
        <v>0.71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73</v>
      </c>
      <c r="BS58" s="2">
        <v>0.7</v>
      </c>
      <c r="BT58" s="2">
        <v>0.84</v>
      </c>
      <c r="BU58" s="2">
        <v>0.39</v>
      </c>
      <c r="BV58" s="2">
        <v>0.42</v>
      </c>
      <c r="BW58" s="2">
        <v>0.32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59" spans="2:90" x14ac:dyDescent="0.3">
      <c r="W59" s="4">
        <f>SUM(C51:V58)/$W$45</f>
        <v>0.78948701566996804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63</v>
      </c>
      <c r="D62" s="1" t="s">
        <v>64</v>
      </c>
      <c r="E62" s="1" t="s">
        <v>63</v>
      </c>
      <c r="F62" s="1" t="s">
        <v>64</v>
      </c>
      <c r="G62" s="1" t="s">
        <v>63</v>
      </c>
      <c r="H62" s="1" t="s">
        <v>64</v>
      </c>
      <c r="I62" s="1" t="s">
        <v>63</v>
      </c>
      <c r="J62" s="1" t="s">
        <v>64</v>
      </c>
      <c r="K62" s="1" t="s">
        <v>63</v>
      </c>
      <c r="L62" s="1" t="s">
        <v>64</v>
      </c>
      <c r="M62" s="1" t="s">
        <v>63</v>
      </c>
      <c r="N62" s="1" t="s">
        <v>64</v>
      </c>
      <c r="O62" s="1" t="s">
        <v>63</v>
      </c>
      <c r="P62" s="1" t="s">
        <v>64</v>
      </c>
      <c r="Q62" s="1" t="s">
        <v>63</v>
      </c>
      <c r="R62" s="1" t="s">
        <v>64</v>
      </c>
      <c r="S62" s="1" t="s">
        <v>63</v>
      </c>
      <c r="T62" s="1" t="s">
        <v>64</v>
      </c>
      <c r="U62" s="1" t="s">
        <v>63</v>
      </c>
      <c r="V62" s="1" t="s">
        <v>64</v>
      </c>
      <c r="X62" s="1" t="s">
        <v>6</v>
      </c>
      <c r="Y62" s="1" t="s">
        <v>63</v>
      </c>
      <c r="Z62" s="1" t="s">
        <v>64</v>
      </c>
      <c r="AA62" s="1" t="s">
        <v>63</v>
      </c>
      <c r="AB62" s="1" t="s">
        <v>64</v>
      </c>
      <c r="AC62" s="1" t="s">
        <v>63</v>
      </c>
      <c r="AD62" s="1" t="s">
        <v>64</v>
      </c>
      <c r="AE62" s="1" t="s">
        <v>63</v>
      </c>
      <c r="AF62" s="1" t="s">
        <v>64</v>
      </c>
      <c r="AG62" s="1" t="s">
        <v>63</v>
      </c>
      <c r="AH62" s="1" t="s">
        <v>64</v>
      </c>
      <c r="AI62" s="1" t="s">
        <v>63</v>
      </c>
      <c r="AJ62" s="1" t="s">
        <v>64</v>
      </c>
      <c r="AK62" s="1" t="s">
        <v>63</v>
      </c>
      <c r="AL62" s="1" t="s">
        <v>64</v>
      </c>
      <c r="AM62" s="1" t="s">
        <v>63</v>
      </c>
      <c r="AN62" s="1" t="s">
        <v>64</v>
      </c>
      <c r="AO62" s="1" t="s">
        <v>63</v>
      </c>
      <c r="AP62" s="1" t="s">
        <v>64</v>
      </c>
      <c r="AQ62" s="1" t="s">
        <v>63</v>
      </c>
      <c r="AR62" s="1" t="s">
        <v>64</v>
      </c>
      <c r="AU62" s="1" t="s">
        <v>6</v>
      </c>
      <c r="AV62" s="1" t="s">
        <v>63</v>
      </c>
      <c r="AW62" s="1" t="s">
        <v>64</v>
      </c>
      <c r="AX62" s="1" t="s">
        <v>63</v>
      </c>
      <c r="AY62" s="1" t="s">
        <v>64</v>
      </c>
      <c r="AZ62" s="1" t="s">
        <v>63</v>
      </c>
      <c r="BA62" s="1" t="s">
        <v>64</v>
      </c>
      <c r="BB62" s="1" t="s">
        <v>63</v>
      </c>
      <c r="BC62" s="1" t="s">
        <v>64</v>
      </c>
      <c r="BD62" s="1" t="s">
        <v>63</v>
      </c>
      <c r="BE62" s="1" t="s">
        <v>64</v>
      </c>
      <c r="BF62" s="1" t="s">
        <v>63</v>
      </c>
      <c r="BG62" s="1" t="s">
        <v>64</v>
      </c>
      <c r="BH62" s="1" t="s">
        <v>63</v>
      </c>
      <c r="BI62" s="1" t="s">
        <v>64</v>
      </c>
      <c r="BJ62" s="1" t="s">
        <v>63</v>
      </c>
      <c r="BK62" s="1" t="s">
        <v>64</v>
      </c>
      <c r="BL62" s="1" t="s">
        <v>63</v>
      </c>
      <c r="BM62" s="1" t="s">
        <v>64</v>
      </c>
      <c r="BN62" s="1" t="s">
        <v>63</v>
      </c>
      <c r="BO62" s="1" t="s">
        <v>64</v>
      </c>
      <c r="BR62" s="1" t="s">
        <v>6</v>
      </c>
      <c r="BS62" s="1" t="s">
        <v>63</v>
      </c>
      <c r="BT62" s="1" t="s">
        <v>64</v>
      </c>
      <c r="BU62" s="1" t="s">
        <v>63</v>
      </c>
      <c r="BV62" s="1" t="s">
        <v>64</v>
      </c>
      <c r="BW62" s="1" t="s">
        <v>63</v>
      </c>
      <c r="BX62" s="1" t="s">
        <v>64</v>
      </c>
      <c r="BY62" s="1" t="s">
        <v>63</v>
      </c>
      <c r="BZ62" s="1" t="s">
        <v>64</v>
      </c>
      <c r="CA62" s="1" t="s">
        <v>63</v>
      </c>
      <c r="CB62" s="1" t="s">
        <v>64</v>
      </c>
      <c r="CC62" s="1" t="s">
        <v>63</v>
      </c>
      <c r="CD62" s="1" t="s">
        <v>64</v>
      </c>
      <c r="CE62" s="1" t="s">
        <v>63</v>
      </c>
      <c r="CF62" s="1" t="s">
        <v>64</v>
      </c>
      <c r="CG62" s="1" t="s">
        <v>63</v>
      </c>
      <c r="CH62" s="1" t="s">
        <v>64</v>
      </c>
      <c r="CI62" s="1" t="s">
        <v>63</v>
      </c>
      <c r="CJ62" s="1" t="s">
        <v>64</v>
      </c>
      <c r="CK62" s="1" t="s">
        <v>63</v>
      </c>
      <c r="CL62" s="1" t="s">
        <v>64</v>
      </c>
    </row>
    <row r="63" spans="2:90" x14ac:dyDescent="0.3">
      <c r="B63" s="1" t="s">
        <v>65</v>
      </c>
      <c r="C63" s="1" t="s">
        <v>53</v>
      </c>
      <c r="D63" s="1" t="s">
        <v>53</v>
      </c>
      <c r="E63" s="1" t="s">
        <v>54</v>
      </c>
      <c r="F63" s="1" t="s">
        <v>54</v>
      </c>
      <c r="G63" s="1" t="s">
        <v>55</v>
      </c>
      <c r="H63" s="1" t="s">
        <v>55</v>
      </c>
      <c r="I63" s="1" t="s">
        <v>56</v>
      </c>
      <c r="J63" s="1" t="s">
        <v>56</v>
      </c>
      <c r="K63" s="1" t="s">
        <v>57</v>
      </c>
      <c r="L63" s="1" t="s">
        <v>57</v>
      </c>
      <c r="M63" s="1" t="s">
        <v>58</v>
      </c>
      <c r="N63" s="1" t="s">
        <v>58</v>
      </c>
      <c r="O63" s="1" t="s">
        <v>59</v>
      </c>
      <c r="P63" s="1" t="s">
        <v>59</v>
      </c>
      <c r="Q63" s="1" t="s">
        <v>60</v>
      </c>
      <c r="R63" s="1" t="s">
        <v>60</v>
      </c>
      <c r="S63" s="1" t="s">
        <v>61</v>
      </c>
      <c r="T63" s="1" t="s">
        <v>61</v>
      </c>
      <c r="U63" s="1" t="s">
        <v>62</v>
      </c>
      <c r="V63" s="1" t="s">
        <v>62</v>
      </c>
      <c r="X63" s="1" t="s">
        <v>65</v>
      </c>
      <c r="Y63" s="1" t="s">
        <v>53</v>
      </c>
      <c r="Z63" s="1" t="s">
        <v>53</v>
      </c>
      <c r="AA63" s="1" t="s">
        <v>54</v>
      </c>
      <c r="AB63" s="1" t="s">
        <v>54</v>
      </c>
      <c r="AC63" s="1" t="s">
        <v>55</v>
      </c>
      <c r="AD63" s="1" t="s">
        <v>55</v>
      </c>
      <c r="AE63" s="1" t="s">
        <v>56</v>
      </c>
      <c r="AF63" s="1" t="s">
        <v>56</v>
      </c>
      <c r="AG63" s="1" t="s">
        <v>57</v>
      </c>
      <c r="AH63" s="1" t="s">
        <v>57</v>
      </c>
      <c r="AI63" s="1" t="s">
        <v>58</v>
      </c>
      <c r="AJ63" s="1" t="s">
        <v>58</v>
      </c>
      <c r="AK63" s="1" t="s">
        <v>59</v>
      </c>
      <c r="AL63" s="1" t="s">
        <v>59</v>
      </c>
      <c r="AM63" s="1" t="s">
        <v>60</v>
      </c>
      <c r="AN63" s="1" t="s">
        <v>60</v>
      </c>
      <c r="AO63" s="1" t="s">
        <v>61</v>
      </c>
      <c r="AP63" s="1" t="s">
        <v>61</v>
      </c>
      <c r="AQ63" s="1" t="s">
        <v>62</v>
      </c>
      <c r="AR63" s="1" t="s">
        <v>62</v>
      </c>
      <c r="AU63" s="1" t="s">
        <v>65</v>
      </c>
      <c r="AV63" s="1" t="s">
        <v>53</v>
      </c>
      <c r="AW63" s="1" t="s">
        <v>53</v>
      </c>
      <c r="AX63" s="1" t="s">
        <v>54</v>
      </c>
      <c r="AY63" s="1" t="s">
        <v>54</v>
      </c>
      <c r="AZ63" s="1" t="s">
        <v>55</v>
      </c>
      <c r="BA63" s="1" t="s">
        <v>55</v>
      </c>
      <c r="BB63" s="1" t="s">
        <v>56</v>
      </c>
      <c r="BC63" s="1" t="s">
        <v>56</v>
      </c>
      <c r="BD63" s="1" t="s">
        <v>57</v>
      </c>
      <c r="BE63" s="1" t="s">
        <v>57</v>
      </c>
      <c r="BF63" s="1" t="s">
        <v>58</v>
      </c>
      <c r="BG63" s="1" t="s">
        <v>58</v>
      </c>
      <c r="BH63" s="1" t="s">
        <v>59</v>
      </c>
      <c r="BI63" s="1" t="s">
        <v>59</v>
      </c>
      <c r="BJ63" s="1" t="s">
        <v>60</v>
      </c>
      <c r="BK63" s="1" t="s">
        <v>60</v>
      </c>
      <c r="BL63" s="1" t="s">
        <v>61</v>
      </c>
      <c r="BM63" s="1" t="s">
        <v>61</v>
      </c>
      <c r="BN63" s="1" t="s">
        <v>62</v>
      </c>
      <c r="BO63" s="1" t="s">
        <v>62</v>
      </c>
      <c r="BR63" s="1" t="s">
        <v>65</v>
      </c>
      <c r="BS63" s="1" t="s">
        <v>53</v>
      </c>
      <c r="BT63" s="1" t="s">
        <v>53</v>
      </c>
      <c r="BU63" s="1" t="s">
        <v>54</v>
      </c>
      <c r="BV63" s="1" t="s">
        <v>54</v>
      </c>
      <c r="BW63" s="1" t="s">
        <v>55</v>
      </c>
      <c r="BX63" s="1" t="s">
        <v>55</v>
      </c>
      <c r="BY63" s="1" t="s">
        <v>56</v>
      </c>
      <c r="BZ63" s="1" t="s">
        <v>56</v>
      </c>
      <c r="CA63" s="1" t="s">
        <v>57</v>
      </c>
      <c r="CB63" s="1" t="s">
        <v>57</v>
      </c>
      <c r="CC63" s="1" t="s">
        <v>58</v>
      </c>
      <c r="CD63" s="1" t="s">
        <v>58</v>
      </c>
      <c r="CE63" s="1" t="s">
        <v>59</v>
      </c>
      <c r="CF63" s="1" t="s">
        <v>59</v>
      </c>
      <c r="CG63" s="1" t="s">
        <v>60</v>
      </c>
      <c r="CH63" s="1" t="s">
        <v>60</v>
      </c>
      <c r="CI63" s="1" t="s">
        <v>61</v>
      </c>
      <c r="CJ63" s="1" t="s">
        <v>61</v>
      </c>
      <c r="CK63" s="1" t="s">
        <v>62</v>
      </c>
      <c r="CL63" s="1" t="s">
        <v>62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66</v>
      </c>
      <c r="C65" s="2">
        <v>30.02</v>
      </c>
      <c r="D65" s="2">
        <v>28.05</v>
      </c>
      <c r="E65" s="2">
        <v>6.02</v>
      </c>
      <c r="F65" s="2">
        <v>5.98</v>
      </c>
      <c r="G65" s="2">
        <v>2.46</v>
      </c>
      <c r="H65" s="2">
        <v>5.18</v>
      </c>
      <c r="I65" s="2">
        <v>21.15</v>
      </c>
      <c r="J65" s="2">
        <v>21.38</v>
      </c>
      <c r="K65" s="2">
        <v>35.42</v>
      </c>
      <c r="L65" s="2">
        <v>20.54</v>
      </c>
      <c r="M65" s="2">
        <v>58.23</v>
      </c>
      <c r="N65" s="2">
        <v>28.07</v>
      </c>
      <c r="O65" s="2">
        <v>58.2</v>
      </c>
      <c r="P65" s="2">
        <v>9</v>
      </c>
      <c r="Q65" s="2">
        <v>49.71</v>
      </c>
      <c r="R65" s="2">
        <v>22.7</v>
      </c>
      <c r="S65" s="2">
        <v>6.5</v>
      </c>
      <c r="T65" s="2">
        <v>5.23</v>
      </c>
      <c r="U65" s="2">
        <v>15.03</v>
      </c>
      <c r="V65" s="2">
        <v>7.72</v>
      </c>
      <c r="X65" s="1" t="s">
        <v>66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66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66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67</v>
      </c>
      <c r="C66" s="2">
        <v>85.36</v>
      </c>
      <c r="D66" s="2">
        <v>38.79</v>
      </c>
      <c r="E66" s="2">
        <v>36.86</v>
      </c>
      <c r="F66" s="2">
        <v>25.81</v>
      </c>
      <c r="G66" s="2">
        <v>14.83</v>
      </c>
      <c r="H66" s="2">
        <v>21.85</v>
      </c>
      <c r="I66" s="2">
        <v>85.27</v>
      </c>
      <c r="J66" s="2">
        <v>134.16999999999999</v>
      </c>
      <c r="K66" s="2">
        <v>119.46</v>
      </c>
      <c r="L66" s="2">
        <v>119.08</v>
      </c>
      <c r="M66" s="2">
        <v>273.66000000000003</v>
      </c>
      <c r="N66" s="2">
        <v>244.92</v>
      </c>
      <c r="O66" s="2">
        <v>200.09</v>
      </c>
      <c r="P66" s="2">
        <v>180.55</v>
      </c>
      <c r="Q66" s="2">
        <v>235.34</v>
      </c>
      <c r="R66" s="2">
        <v>175.2</v>
      </c>
      <c r="S66" s="2">
        <v>168.29</v>
      </c>
      <c r="T66" s="2">
        <v>121.15</v>
      </c>
      <c r="U66" s="2">
        <v>249.4</v>
      </c>
      <c r="V66" s="2">
        <v>115.12</v>
      </c>
      <c r="X66" s="1" t="s">
        <v>67</v>
      </c>
      <c r="Y66" s="2">
        <v>59.96</v>
      </c>
      <c r="Z66" s="2">
        <v>60</v>
      </c>
      <c r="AA66" s="2">
        <v>59.95</v>
      </c>
      <c r="AB66" s="2">
        <v>60</v>
      </c>
      <c r="AC66" s="2">
        <v>60</v>
      </c>
      <c r="AD66" s="2">
        <v>59.99</v>
      </c>
      <c r="AE66" s="2">
        <v>69.89</v>
      </c>
      <c r="AF66" s="2">
        <v>69.989999999999995</v>
      </c>
      <c r="AG66" s="2">
        <v>69.930000000000007</v>
      </c>
      <c r="AH66" s="2">
        <v>70</v>
      </c>
      <c r="AI66" s="2">
        <v>69.95</v>
      </c>
      <c r="AJ66" s="2">
        <v>70</v>
      </c>
      <c r="AK66" s="2">
        <v>69.98</v>
      </c>
      <c r="AL66" s="2">
        <v>69.989999999999995</v>
      </c>
      <c r="AM66" s="2">
        <v>69.989999999999995</v>
      </c>
      <c r="AN66" s="2">
        <v>69.989999999999995</v>
      </c>
      <c r="AO66" s="2">
        <v>69.989999999999995</v>
      </c>
      <c r="AP66" s="2">
        <v>70</v>
      </c>
      <c r="AQ66" s="2">
        <v>69.97</v>
      </c>
      <c r="AR66" s="2">
        <v>70</v>
      </c>
      <c r="AU66" s="1" t="s">
        <v>67</v>
      </c>
      <c r="AV66" s="2">
        <v>49.05</v>
      </c>
      <c r="AW66" s="2">
        <v>54.48</v>
      </c>
      <c r="AX66" s="2">
        <v>51.41</v>
      </c>
      <c r="AY66" s="2">
        <v>54.66</v>
      </c>
      <c r="AZ66" s="2">
        <v>53.13</v>
      </c>
      <c r="BA66" s="2">
        <v>53.61</v>
      </c>
      <c r="BB66" s="2">
        <v>56.87</v>
      </c>
      <c r="BC66" s="2">
        <v>57.33</v>
      </c>
      <c r="BD66" s="2">
        <v>58.44</v>
      </c>
      <c r="BE66" s="2">
        <v>65.209999999999994</v>
      </c>
      <c r="BF66" s="2">
        <v>53.52</v>
      </c>
      <c r="BG66" s="2">
        <v>64.709999999999994</v>
      </c>
      <c r="BH66" s="2">
        <v>57.46</v>
      </c>
      <c r="BI66" s="2">
        <v>62.64</v>
      </c>
      <c r="BJ66" s="2">
        <v>59.04</v>
      </c>
      <c r="BK66" s="2">
        <v>64.83</v>
      </c>
      <c r="BL66" s="2">
        <v>60.51</v>
      </c>
      <c r="BM66" s="2">
        <v>67.84</v>
      </c>
      <c r="BN66" s="2">
        <v>62.77</v>
      </c>
      <c r="BO66" s="2">
        <v>69.3</v>
      </c>
      <c r="BR66" s="1" t="s">
        <v>67</v>
      </c>
      <c r="BS66" s="2">
        <v>-0.28999999999999998</v>
      </c>
      <c r="BT66" s="2">
        <v>-0.13</v>
      </c>
      <c r="BU66" s="2">
        <v>-0.22</v>
      </c>
      <c r="BV66" s="2">
        <v>-0.13</v>
      </c>
      <c r="BW66" s="2">
        <v>-0.06</v>
      </c>
      <c r="BX66" s="2">
        <v>-0.06</v>
      </c>
      <c r="BY66" s="2">
        <v>-0.31</v>
      </c>
      <c r="BZ66" s="2">
        <v>-0.3</v>
      </c>
      <c r="CA66" s="2">
        <v>-0.34</v>
      </c>
      <c r="CB66" s="2">
        <v>-0.13</v>
      </c>
      <c r="CC66" s="2">
        <v>-0.95</v>
      </c>
      <c r="CD66" s="2">
        <v>-0.25</v>
      </c>
      <c r="CE66" s="2">
        <v>-0.54</v>
      </c>
      <c r="CF66" s="2">
        <v>-0.28999999999999998</v>
      </c>
      <c r="CG66" s="2">
        <v>-0.6</v>
      </c>
      <c r="CH66" s="2">
        <v>-0.26</v>
      </c>
      <c r="CI66" s="2">
        <v>-0.46</v>
      </c>
      <c r="CJ66" s="2">
        <v>-0.09</v>
      </c>
      <c r="CK66" s="2">
        <v>-0.44</v>
      </c>
      <c r="CL66" s="2">
        <v>-0.04</v>
      </c>
    </row>
    <row r="67" spans="2:90" x14ac:dyDescent="0.3">
      <c r="B67" s="1" t="s">
        <v>68</v>
      </c>
      <c r="C67" s="2">
        <v>1795.69</v>
      </c>
      <c r="D67" s="2">
        <v>138.69</v>
      </c>
      <c r="E67" s="2">
        <v>1453.44</v>
      </c>
      <c r="F67" s="2">
        <v>83.42</v>
      </c>
      <c r="G67" s="2">
        <v>444.74</v>
      </c>
      <c r="H67" s="2">
        <v>492.15</v>
      </c>
      <c r="I67" s="2">
        <v>1323.35</v>
      </c>
      <c r="J67" s="2">
        <v>833.47</v>
      </c>
      <c r="K67" s="2">
        <v>2080.5100000000002</v>
      </c>
      <c r="L67" s="2">
        <v>960.79</v>
      </c>
      <c r="M67" s="2">
        <v>3611.78</v>
      </c>
      <c r="N67" s="2">
        <v>1826.18</v>
      </c>
      <c r="O67" s="2">
        <v>3111.23</v>
      </c>
      <c r="P67" s="2">
        <v>1329.58</v>
      </c>
      <c r="Q67" s="2">
        <v>3826.67</v>
      </c>
      <c r="R67" s="2">
        <v>1408.04</v>
      </c>
      <c r="S67" s="2">
        <v>1454.39</v>
      </c>
      <c r="T67" s="2">
        <v>1158.79</v>
      </c>
      <c r="U67" s="2">
        <v>1149.94</v>
      </c>
      <c r="V67" s="2">
        <v>943.91</v>
      </c>
      <c r="X67" s="1" t="s">
        <v>68</v>
      </c>
      <c r="Y67" s="2">
        <v>58.57</v>
      </c>
      <c r="Z67" s="2">
        <v>60</v>
      </c>
      <c r="AA67" s="2">
        <v>58.81</v>
      </c>
      <c r="AB67" s="2">
        <v>60</v>
      </c>
      <c r="AC67" s="2">
        <v>57.5</v>
      </c>
      <c r="AD67" s="2">
        <v>58.8</v>
      </c>
      <c r="AE67" s="2">
        <v>65.5</v>
      </c>
      <c r="AF67" s="2">
        <v>69.959999999999994</v>
      </c>
      <c r="AG67" s="2">
        <v>63.59</v>
      </c>
      <c r="AH67" s="2">
        <v>69.989999999999995</v>
      </c>
      <c r="AI67" s="2">
        <v>62.89</v>
      </c>
      <c r="AJ67" s="2">
        <v>69.989999999999995</v>
      </c>
      <c r="AK67" s="2">
        <v>64.77</v>
      </c>
      <c r="AL67" s="2">
        <v>69.98</v>
      </c>
      <c r="AM67" s="2">
        <v>65.73</v>
      </c>
      <c r="AN67" s="2">
        <v>69.989999999999995</v>
      </c>
      <c r="AO67" s="2">
        <v>69.959999999999994</v>
      </c>
      <c r="AP67" s="2">
        <v>70</v>
      </c>
      <c r="AQ67" s="2">
        <v>70</v>
      </c>
      <c r="AR67" s="2">
        <v>70</v>
      </c>
      <c r="AU67" s="1" t="s">
        <v>68</v>
      </c>
      <c r="AV67" s="2">
        <v>25.39</v>
      </c>
      <c r="AW67" s="2">
        <v>54.8</v>
      </c>
      <c r="AX67" s="2">
        <v>25.58</v>
      </c>
      <c r="AY67" s="2">
        <v>54.93</v>
      </c>
      <c r="AZ67" s="2">
        <v>34.06</v>
      </c>
      <c r="BA67" s="2">
        <v>38.32</v>
      </c>
      <c r="BB67" s="2">
        <v>39.36</v>
      </c>
      <c r="BC67" s="2">
        <v>55.06</v>
      </c>
      <c r="BD67" s="2">
        <v>38.270000000000003</v>
      </c>
      <c r="BE67" s="2">
        <v>60.53</v>
      </c>
      <c r="BF67" s="2">
        <v>37.71</v>
      </c>
      <c r="BG67" s="2">
        <v>60.41</v>
      </c>
      <c r="BH67" s="2">
        <v>38.39</v>
      </c>
      <c r="BI67" s="2">
        <v>59.9</v>
      </c>
      <c r="BJ67" s="2">
        <v>38.92</v>
      </c>
      <c r="BK67" s="2">
        <v>61.49</v>
      </c>
      <c r="BL67" s="2">
        <v>57.84</v>
      </c>
      <c r="BM67" s="2">
        <v>65.22</v>
      </c>
      <c r="BN67" s="2">
        <v>65.790000000000006</v>
      </c>
      <c r="BO67" s="2">
        <v>67.63</v>
      </c>
      <c r="BR67" s="1" t="s">
        <v>68</v>
      </c>
      <c r="BS67" s="2">
        <v>-1.74</v>
      </c>
      <c r="BT67" s="2">
        <v>-0.12</v>
      </c>
      <c r="BU67" s="2">
        <v>-1.72</v>
      </c>
      <c r="BV67" s="2">
        <v>-0.12</v>
      </c>
      <c r="BW67" s="2">
        <v>-0.36</v>
      </c>
      <c r="BX67" s="2">
        <v>-0.27</v>
      </c>
      <c r="BY67" s="2">
        <v>-0.97</v>
      </c>
      <c r="BZ67" s="2">
        <v>-0.37</v>
      </c>
      <c r="CA67" s="2">
        <v>-1.25</v>
      </c>
      <c r="CB67" s="2">
        <v>-0.27</v>
      </c>
      <c r="CC67" s="2">
        <v>-2.29</v>
      </c>
      <c r="CD67" s="2">
        <v>-0.49</v>
      </c>
      <c r="CE67" s="2">
        <v>-1.85</v>
      </c>
      <c r="CF67" s="2">
        <v>-0.42</v>
      </c>
      <c r="CG67" s="2">
        <v>-2.39</v>
      </c>
      <c r="CH67" s="2">
        <v>-0.45</v>
      </c>
      <c r="CI67" s="2">
        <v>-0.61</v>
      </c>
      <c r="CJ67" s="2">
        <v>-0.21</v>
      </c>
      <c r="CK67" s="2">
        <v>-0.25</v>
      </c>
      <c r="CL67" s="2">
        <v>-0.13</v>
      </c>
    </row>
    <row r="68" spans="2:90" x14ac:dyDescent="0.3">
      <c r="B68" s="1" t="s">
        <v>69</v>
      </c>
      <c r="C68" s="2">
        <v>338.71</v>
      </c>
      <c r="D68" s="2">
        <v>45.48</v>
      </c>
      <c r="E68" s="2">
        <v>227.97</v>
      </c>
      <c r="F68" s="2">
        <v>31.16</v>
      </c>
      <c r="G68" s="2">
        <v>91.16</v>
      </c>
      <c r="H68" s="2">
        <v>128.13999999999999</v>
      </c>
      <c r="I68" s="2">
        <v>375.64</v>
      </c>
      <c r="J68" s="2">
        <v>173.73</v>
      </c>
      <c r="K68" s="2">
        <v>425.85</v>
      </c>
      <c r="L68" s="2">
        <v>210.78</v>
      </c>
      <c r="M68" s="2">
        <v>811.9</v>
      </c>
      <c r="N68" s="2">
        <v>369.11</v>
      </c>
      <c r="O68" s="2">
        <v>685.65</v>
      </c>
      <c r="P68" s="2">
        <v>254.52</v>
      </c>
      <c r="Q68" s="2">
        <v>675.63</v>
      </c>
      <c r="R68" s="2">
        <v>307.86</v>
      </c>
      <c r="S68" s="2">
        <v>260.12</v>
      </c>
      <c r="T68" s="2">
        <v>204.83</v>
      </c>
      <c r="U68" s="2">
        <v>278.41000000000003</v>
      </c>
      <c r="V68" s="2">
        <v>219.02</v>
      </c>
      <c r="X68" s="1" t="s">
        <v>69</v>
      </c>
      <c r="Y68" s="2">
        <v>59.97</v>
      </c>
      <c r="Z68" s="2">
        <v>60</v>
      </c>
      <c r="AA68" s="2">
        <v>59.95</v>
      </c>
      <c r="AB68" s="2">
        <v>60</v>
      </c>
      <c r="AC68" s="2">
        <v>59.75</v>
      </c>
      <c r="AD68" s="2">
        <v>59.94</v>
      </c>
      <c r="AE68" s="2">
        <v>69.290000000000006</v>
      </c>
      <c r="AF68" s="2">
        <v>69.98</v>
      </c>
      <c r="AG68" s="2">
        <v>69.52</v>
      </c>
      <c r="AH68" s="2">
        <v>69.989999999999995</v>
      </c>
      <c r="AI68" s="2">
        <v>69.52</v>
      </c>
      <c r="AJ68" s="2">
        <v>69.989999999999995</v>
      </c>
      <c r="AK68" s="2">
        <v>69.540000000000006</v>
      </c>
      <c r="AL68" s="2">
        <v>69.989999999999995</v>
      </c>
      <c r="AM68" s="2">
        <v>69.92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69</v>
      </c>
      <c r="AV68" s="2">
        <v>29.25</v>
      </c>
      <c r="AW68" s="2">
        <v>53.66</v>
      </c>
      <c r="AX68" s="2">
        <v>30.7</v>
      </c>
      <c r="AY68" s="2">
        <v>54.76</v>
      </c>
      <c r="AZ68" s="2">
        <v>37.06</v>
      </c>
      <c r="BA68" s="2">
        <v>29.93</v>
      </c>
      <c r="BB68" s="2">
        <v>41.64</v>
      </c>
      <c r="BC68" s="2">
        <v>51.17</v>
      </c>
      <c r="BD68" s="2">
        <v>43.52</v>
      </c>
      <c r="BE68" s="2">
        <v>58.07</v>
      </c>
      <c r="BF68" s="2">
        <v>43.51</v>
      </c>
      <c r="BG68" s="2">
        <v>59.46</v>
      </c>
      <c r="BH68" s="2">
        <v>43.43</v>
      </c>
      <c r="BI68" s="2">
        <v>59.14</v>
      </c>
      <c r="BJ68" s="2">
        <v>48.42</v>
      </c>
      <c r="BK68" s="2">
        <v>61.65</v>
      </c>
      <c r="BL68" s="2">
        <v>61.85</v>
      </c>
      <c r="BM68" s="2">
        <v>64.239999999999995</v>
      </c>
      <c r="BN68" s="2">
        <v>64.61</v>
      </c>
      <c r="BO68" s="2">
        <v>66.02</v>
      </c>
      <c r="BR68" s="1" t="s">
        <v>69</v>
      </c>
      <c r="BS68" s="2">
        <v>-1.37</v>
      </c>
      <c r="BT68" s="2">
        <v>-0.15</v>
      </c>
      <c r="BU68" s="2">
        <v>-1.24</v>
      </c>
      <c r="BV68" s="2">
        <v>-0.12</v>
      </c>
      <c r="BW68" s="2">
        <v>-0.31</v>
      </c>
      <c r="BX68" s="2">
        <v>-0.5</v>
      </c>
      <c r="BY68" s="2">
        <v>-0.92</v>
      </c>
      <c r="BZ68" s="2">
        <v>-0.5</v>
      </c>
      <c r="CA68" s="2">
        <v>-1.03</v>
      </c>
      <c r="CB68" s="2">
        <v>-0.35</v>
      </c>
      <c r="CC68" s="2">
        <v>-1.86</v>
      </c>
      <c r="CD68" s="2">
        <v>-0.55000000000000004</v>
      </c>
      <c r="CE68" s="2">
        <v>-1.5</v>
      </c>
      <c r="CF68" s="2">
        <v>-0.46</v>
      </c>
      <c r="CG68" s="2">
        <v>-1.45</v>
      </c>
      <c r="CH68" s="2">
        <v>-0.44</v>
      </c>
      <c r="CI68" s="2">
        <v>-0.38</v>
      </c>
      <c r="CJ68" s="2">
        <v>-0.26</v>
      </c>
      <c r="CK68" s="2">
        <v>-0.32</v>
      </c>
      <c r="CL68" s="2">
        <v>-0.23</v>
      </c>
    </row>
    <row r="69" spans="2:90" x14ac:dyDescent="0.3">
      <c r="B69" s="1" t="s">
        <v>70</v>
      </c>
      <c r="C69" s="2">
        <v>793.38</v>
      </c>
      <c r="D69" s="2">
        <v>783.12</v>
      </c>
      <c r="E69" s="2">
        <v>856.42</v>
      </c>
      <c r="F69" s="2">
        <v>424.3</v>
      </c>
      <c r="G69" s="2">
        <v>297.12</v>
      </c>
      <c r="H69" s="2">
        <v>295.19</v>
      </c>
      <c r="I69" s="2">
        <v>606.46</v>
      </c>
      <c r="J69" s="2">
        <v>1245.29</v>
      </c>
      <c r="K69" s="2">
        <v>1550.53</v>
      </c>
      <c r="L69" s="2">
        <v>1462.52</v>
      </c>
      <c r="M69" s="2">
        <v>2399.64</v>
      </c>
      <c r="N69" s="2">
        <v>1911.49</v>
      </c>
      <c r="O69" s="2">
        <v>1578.68</v>
      </c>
      <c r="P69" s="2">
        <v>1299.94</v>
      </c>
      <c r="Q69" s="2">
        <v>1524.13</v>
      </c>
      <c r="R69" s="2">
        <v>1449.55</v>
      </c>
      <c r="S69" s="2">
        <v>1207.3599999999999</v>
      </c>
      <c r="T69" s="2">
        <v>790.65</v>
      </c>
      <c r="U69" s="2">
        <v>1374.22</v>
      </c>
      <c r="V69" s="2">
        <v>955.5</v>
      </c>
      <c r="X69" s="1" t="s">
        <v>70</v>
      </c>
      <c r="Y69" s="2">
        <v>59.94</v>
      </c>
      <c r="Z69" s="2">
        <v>59.91</v>
      </c>
      <c r="AA69" s="2">
        <v>59.73</v>
      </c>
      <c r="AB69" s="2">
        <v>59.94</v>
      </c>
      <c r="AC69" s="2">
        <v>59.95</v>
      </c>
      <c r="AD69" s="2">
        <v>59.9</v>
      </c>
      <c r="AE69" s="2">
        <v>69.97</v>
      </c>
      <c r="AF69" s="2">
        <v>69.87</v>
      </c>
      <c r="AG69" s="2">
        <v>69.92</v>
      </c>
      <c r="AH69" s="2">
        <v>69.88</v>
      </c>
      <c r="AI69" s="2">
        <v>69.97</v>
      </c>
      <c r="AJ69" s="2">
        <v>69.97</v>
      </c>
      <c r="AK69" s="2">
        <v>69.989999999999995</v>
      </c>
      <c r="AL69" s="2">
        <v>69.98</v>
      </c>
      <c r="AM69" s="2">
        <v>69.989999999999995</v>
      </c>
      <c r="AN69" s="2">
        <v>69.989999999999995</v>
      </c>
      <c r="AO69" s="2">
        <v>70</v>
      </c>
      <c r="AP69" s="2">
        <v>69.989999999999995</v>
      </c>
      <c r="AQ69" s="2">
        <v>69.989999999999995</v>
      </c>
      <c r="AR69" s="2">
        <v>69.989999999999995</v>
      </c>
      <c r="AU69" s="1" t="s">
        <v>70</v>
      </c>
      <c r="AV69" s="2">
        <v>38.630000000000003</v>
      </c>
      <c r="AW69" s="2">
        <v>40</v>
      </c>
      <c r="AX69" s="2">
        <v>38.53</v>
      </c>
      <c r="AY69" s="2">
        <v>49.9</v>
      </c>
      <c r="AZ69" s="2">
        <v>39.18</v>
      </c>
      <c r="BA69" s="2">
        <v>38.94</v>
      </c>
      <c r="BB69" s="2">
        <v>59.22</v>
      </c>
      <c r="BC69" s="2">
        <v>45.22</v>
      </c>
      <c r="BD69" s="2">
        <v>48.86</v>
      </c>
      <c r="BE69" s="2">
        <v>47.53</v>
      </c>
      <c r="BF69" s="2">
        <v>51.15</v>
      </c>
      <c r="BG69" s="2">
        <v>53.16</v>
      </c>
      <c r="BH69" s="2">
        <v>54.77</v>
      </c>
      <c r="BI69" s="2">
        <v>55.86</v>
      </c>
      <c r="BJ69" s="2">
        <v>60.01</v>
      </c>
      <c r="BK69" s="2">
        <v>59.48</v>
      </c>
      <c r="BL69" s="2">
        <v>62.32</v>
      </c>
      <c r="BM69" s="2">
        <v>64.12</v>
      </c>
      <c r="BN69" s="2">
        <v>63.15</v>
      </c>
      <c r="BO69" s="2">
        <v>66.72</v>
      </c>
      <c r="BR69" s="1" t="s">
        <v>70</v>
      </c>
      <c r="BS69" s="2">
        <v>-0.72</v>
      </c>
      <c r="BT69" s="2">
        <v>-0.65</v>
      </c>
      <c r="BU69" s="2">
        <v>-0.72</v>
      </c>
      <c r="BV69" s="2">
        <v>-0.26</v>
      </c>
      <c r="BW69" s="2">
        <v>-0.27</v>
      </c>
      <c r="BX69" s="2">
        <v>-0.27</v>
      </c>
      <c r="BY69" s="2">
        <v>-0.25</v>
      </c>
      <c r="BZ69" s="2">
        <v>-0.75</v>
      </c>
      <c r="CA69" s="2">
        <v>-0.74</v>
      </c>
      <c r="CB69" s="2">
        <v>-0.81</v>
      </c>
      <c r="CC69" s="2">
        <v>-1.1399999999999999</v>
      </c>
      <c r="CD69" s="2">
        <v>-0.98</v>
      </c>
      <c r="CE69" s="2">
        <v>-0.69</v>
      </c>
      <c r="CF69" s="2">
        <v>-0.63</v>
      </c>
      <c r="CG69" s="2">
        <v>-0.54</v>
      </c>
      <c r="CH69" s="2">
        <v>-0.57999999999999996</v>
      </c>
      <c r="CI69" s="2">
        <v>-0.36</v>
      </c>
      <c r="CJ69" s="2">
        <v>-0.27</v>
      </c>
      <c r="CK69" s="2">
        <v>-0.42</v>
      </c>
      <c r="CL69" s="2">
        <v>-0.19</v>
      </c>
    </row>
    <row r="70" spans="2:90" x14ac:dyDescent="0.3">
      <c r="B70" s="1" t="s">
        <v>71</v>
      </c>
      <c r="C70" s="2">
        <v>163.71</v>
      </c>
      <c r="D70" s="2">
        <v>135.32</v>
      </c>
      <c r="E70" s="2">
        <v>155.5</v>
      </c>
      <c r="F70" s="2">
        <v>177.01</v>
      </c>
      <c r="G70" s="2">
        <v>52.52</v>
      </c>
      <c r="H70" s="2">
        <v>42.33</v>
      </c>
      <c r="I70" s="2">
        <v>96.76</v>
      </c>
      <c r="J70" s="2">
        <v>137.94</v>
      </c>
      <c r="K70" s="2">
        <v>109.79</v>
      </c>
      <c r="L70" s="2">
        <v>260.70999999999998</v>
      </c>
      <c r="M70" s="2">
        <v>277.35000000000002</v>
      </c>
      <c r="N70" s="2">
        <v>477.11</v>
      </c>
      <c r="O70" s="2">
        <v>202.12</v>
      </c>
      <c r="P70" s="2">
        <v>285.75</v>
      </c>
      <c r="Q70" s="2">
        <v>265.01</v>
      </c>
      <c r="R70" s="2">
        <v>450.61</v>
      </c>
      <c r="S70" s="2">
        <v>223.85</v>
      </c>
      <c r="T70" s="2">
        <v>253.02</v>
      </c>
      <c r="U70" s="2">
        <v>218.66</v>
      </c>
      <c r="V70" s="2">
        <v>154.57</v>
      </c>
      <c r="X70" s="1" t="s">
        <v>71</v>
      </c>
      <c r="Y70" s="2">
        <v>59.97</v>
      </c>
      <c r="Z70" s="2">
        <v>59.66</v>
      </c>
      <c r="AA70" s="2">
        <v>59.69</v>
      </c>
      <c r="AB70" s="2">
        <v>59.65</v>
      </c>
      <c r="AC70" s="2">
        <v>59.86</v>
      </c>
      <c r="AD70" s="2">
        <v>59.72</v>
      </c>
      <c r="AE70" s="2">
        <v>69.95</v>
      </c>
      <c r="AF70" s="2">
        <v>69.900000000000006</v>
      </c>
      <c r="AG70" s="2">
        <v>69.97</v>
      </c>
      <c r="AH70" s="2">
        <v>69.41</v>
      </c>
      <c r="AI70" s="2">
        <v>69.95</v>
      </c>
      <c r="AJ70" s="2">
        <v>69.31</v>
      </c>
      <c r="AK70" s="2">
        <v>69.959999999999994</v>
      </c>
      <c r="AL70" s="2">
        <v>69.72</v>
      </c>
      <c r="AM70" s="2">
        <v>69.959999999999994</v>
      </c>
      <c r="AN70" s="2">
        <v>69.75</v>
      </c>
      <c r="AO70" s="2">
        <v>69.97</v>
      </c>
      <c r="AP70" s="2">
        <v>69.89</v>
      </c>
      <c r="AQ70" s="2">
        <v>69.98</v>
      </c>
      <c r="AR70" s="2">
        <v>69.989999999999995</v>
      </c>
      <c r="AU70" s="1" t="s">
        <v>71</v>
      </c>
      <c r="AV70" s="2">
        <v>31.48</v>
      </c>
      <c r="AW70" s="2">
        <v>37.729999999999997</v>
      </c>
      <c r="AX70" s="2">
        <v>33.49</v>
      </c>
      <c r="AY70" s="2">
        <v>33.82</v>
      </c>
      <c r="AZ70" s="2">
        <v>38.79</v>
      </c>
      <c r="BA70" s="2">
        <v>38.43</v>
      </c>
      <c r="BB70" s="2">
        <v>58.35</v>
      </c>
      <c r="BC70" s="2">
        <v>44.94</v>
      </c>
      <c r="BD70" s="2">
        <v>62.16</v>
      </c>
      <c r="BE70" s="2">
        <v>44.78</v>
      </c>
      <c r="BF70" s="2">
        <v>58.4</v>
      </c>
      <c r="BG70" s="2">
        <v>44.72</v>
      </c>
      <c r="BH70" s="2">
        <v>58.88</v>
      </c>
      <c r="BI70" s="2">
        <v>47.32</v>
      </c>
      <c r="BJ70" s="2">
        <v>59.25</v>
      </c>
      <c r="BK70" s="2">
        <v>47.44</v>
      </c>
      <c r="BL70" s="2">
        <v>61.12</v>
      </c>
      <c r="BM70" s="2">
        <v>50.8</v>
      </c>
      <c r="BN70" s="2">
        <v>64.05</v>
      </c>
      <c r="BO70" s="2">
        <v>66.099999999999994</v>
      </c>
      <c r="BR70" s="1" t="s">
        <v>71</v>
      </c>
      <c r="BS70" s="2">
        <v>-1.18</v>
      </c>
      <c r="BT70" s="2">
        <v>-0.76</v>
      </c>
      <c r="BU70" s="2">
        <v>-1.02</v>
      </c>
      <c r="BV70" s="2">
        <v>-1</v>
      </c>
      <c r="BW70" s="2">
        <v>-0.27</v>
      </c>
      <c r="BX70" s="2">
        <v>-0.28000000000000003</v>
      </c>
      <c r="BY70" s="2">
        <v>-0.27</v>
      </c>
      <c r="BZ70" s="2">
        <v>-0.76</v>
      </c>
      <c r="CA70" s="2">
        <v>-0.22</v>
      </c>
      <c r="CB70" s="2">
        <v>-0.95</v>
      </c>
      <c r="CC70" s="2">
        <v>-0.61</v>
      </c>
      <c r="CD70" s="2">
        <v>-1.71</v>
      </c>
      <c r="CE70" s="2">
        <v>-0.47</v>
      </c>
      <c r="CF70" s="2">
        <v>-1.18</v>
      </c>
      <c r="CG70" s="2">
        <v>-0.59</v>
      </c>
      <c r="CH70" s="2">
        <v>-1.54</v>
      </c>
      <c r="CI70" s="2">
        <v>-0.42</v>
      </c>
      <c r="CJ70" s="2">
        <v>-1.1000000000000001</v>
      </c>
      <c r="CK70" s="2">
        <v>-0.36</v>
      </c>
      <c r="CL70" s="2">
        <v>-0.23</v>
      </c>
    </row>
    <row r="71" spans="2:90" x14ac:dyDescent="0.3">
      <c r="B71" s="1" t="s">
        <v>72</v>
      </c>
      <c r="C71" s="2">
        <v>828.73</v>
      </c>
      <c r="D71" s="2">
        <v>985.3</v>
      </c>
      <c r="E71" s="2">
        <v>464.66</v>
      </c>
      <c r="F71" s="2">
        <v>706.74</v>
      </c>
      <c r="G71" s="2">
        <v>153.38</v>
      </c>
      <c r="H71" s="2">
        <v>287.98</v>
      </c>
      <c r="I71" s="2">
        <v>482.58</v>
      </c>
      <c r="J71" s="2">
        <v>699.28</v>
      </c>
      <c r="K71" s="2">
        <v>474.3</v>
      </c>
      <c r="L71" s="2">
        <v>1045.23</v>
      </c>
      <c r="M71" s="2">
        <v>947.25</v>
      </c>
      <c r="N71" s="2">
        <v>1767.09</v>
      </c>
      <c r="O71" s="2">
        <v>690.14</v>
      </c>
      <c r="P71" s="2">
        <v>1114.93</v>
      </c>
      <c r="Q71" s="2">
        <v>1053.1199999999999</v>
      </c>
      <c r="R71" s="2">
        <v>1460.61</v>
      </c>
      <c r="S71" s="2">
        <v>741.31</v>
      </c>
      <c r="T71" s="2">
        <v>583.1</v>
      </c>
      <c r="U71" s="2">
        <v>741.66</v>
      </c>
      <c r="V71" s="2">
        <v>690.9</v>
      </c>
      <c r="X71" s="1" t="s">
        <v>72</v>
      </c>
      <c r="Y71" s="2">
        <v>58.84</v>
      </c>
      <c r="Z71" s="2">
        <v>58.48</v>
      </c>
      <c r="AA71" s="2">
        <v>59.75</v>
      </c>
      <c r="AB71" s="2">
        <v>58.13</v>
      </c>
      <c r="AC71" s="2">
        <v>59.6</v>
      </c>
      <c r="AD71" s="2">
        <v>58.8</v>
      </c>
      <c r="AE71" s="2">
        <v>69.66</v>
      </c>
      <c r="AF71" s="2">
        <v>67.52</v>
      </c>
      <c r="AG71" s="2">
        <v>69.94</v>
      </c>
      <c r="AH71" s="2">
        <v>61.58</v>
      </c>
      <c r="AI71" s="2">
        <v>69.89</v>
      </c>
      <c r="AJ71" s="2">
        <v>61.55</v>
      </c>
      <c r="AK71" s="2">
        <v>69.89</v>
      </c>
      <c r="AL71" s="2">
        <v>65.59</v>
      </c>
      <c r="AM71" s="2">
        <v>69.790000000000006</v>
      </c>
      <c r="AN71" s="2">
        <v>69.89</v>
      </c>
      <c r="AO71" s="2">
        <v>69.97</v>
      </c>
      <c r="AP71" s="2">
        <v>69.959999999999994</v>
      </c>
      <c r="AQ71" s="2">
        <v>69.98</v>
      </c>
      <c r="AR71" s="2">
        <v>69.98</v>
      </c>
      <c r="AU71" s="1" t="s">
        <v>72</v>
      </c>
      <c r="AV71" s="2">
        <v>26.64</v>
      </c>
      <c r="AW71" s="2">
        <v>26.32</v>
      </c>
      <c r="AX71" s="2">
        <v>33.74</v>
      </c>
      <c r="AY71" s="2">
        <v>27.27</v>
      </c>
      <c r="AZ71" s="2">
        <v>41.05</v>
      </c>
      <c r="BA71" s="2">
        <v>27.06</v>
      </c>
      <c r="BB71" s="2">
        <v>50.62</v>
      </c>
      <c r="BC71" s="2">
        <v>40.909999999999997</v>
      </c>
      <c r="BD71" s="2">
        <v>58.26</v>
      </c>
      <c r="BE71" s="2">
        <v>38.68</v>
      </c>
      <c r="BF71" s="2">
        <v>56.51</v>
      </c>
      <c r="BG71" s="2">
        <v>38.700000000000003</v>
      </c>
      <c r="BH71" s="2">
        <v>56.41</v>
      </c>
      <c r="BI71" s="2">
        <v>42.11</v>
      </c>
      <c r="BJ71" s="2">
        <v>54.21</v>
      </c>
      <c r="BK71" s="2">
        <v>45.27</v>
      </c>
      <c r="BL71" s="2">
        <v>59.88</v>
      </c>
      <c r="BM71" s="2">
        <v>59.03</v>
      </c>
      <c r="BN71" s="2">
        <v>62.76</v>
      </c>
      <c r="BO71" s="2">
        <v>63.45</v>
      </c>
      <c r="BR71" s="1" t="s">
        <v>72</v>
      </c>
      <c r="BS71" s="2">
        <v>-1.6</v>
      </c>
      <c r="BT71" s="2">
        <v>-1.63</v>
      </c>
      <c r="BU71" s="2">
        <v>-1.01</v>
      </c>
      <c r="BV71" s="2">
        <v>-1.52</v>
      </c>
      <c r="BW71" s="2">
        <v>-0.23</v>
      </c>
      <c r="BX71" s="2">
        <v>-0.6</v>
      </c>
      <c r="BY71" s="2">
        <v>-0.52</v>
      </c>
      <c r="BZ71" s="2">
        <v>-0.93</v>
      </c>
      <c r="CA71" s="2">
        <v>-0.34</v>
      </c>
      <c r="CB71" s="2">
        <v>-1.1499999999999999</v>
      </c>
      <c r="CC71" s="2">
        <v>-0.73</v>
      </c>
      <c r="CD71" s="2">
        <v>-2.0699999999999998</v>
      </c>
      <c r="CE71" s="2">
        <v>-0.59</v>
      </c>
      <c r="CF71" s="2">
        <v>-1.48</v>
      </c>
      <c r="CG71" s="2">
        <v>-0.94</v>
      </c>
      <c r="CH71" s="2">
        <v>-1.77</v>
      </c>
      <c r="CI71" s="2">
        <v>-0.49</v>
      </c>
      <c r="CJ71" s="2">
        <v>-0.54</v>
      </c>
      <c r="CK71" s="2">
        <v>-0.44</v>
      </c>
      <c r="CL71" s="2">
        <v>-0.4</v>
      </c>
    </row>
    <row r="72" spans="2:90" x14ac:dyDescent="0.3">
      <c r="B72" s="1" t="s">
        <v>73</v>
      </c>
      <c r="C72" s="2">
        <v>82.87</v>
      </c>
      <c r="D72" s="2">
        <v>84.23</v>
      </c>
      <c r="E72" s="2">
        <v>14.58</v>
      </c>
      <c r="F72" s="2">
        <v>18.14</v>
      </c>
      <c r="G72" s="2">
        <v>6.33</v>
      </c>
      <c r="H72" s="2">
        <v>8.57</v>
      </c>
      <c r="I72" s="2">
        <v>22.8</v>
      </c>
      <c r="J72" s="2">
        <v>115.29</v>
      </c>
      <c r="K72" s="2">
        <v>100.31</v>
      </c>
      <c r="L72" s="2">
        <v>101.72</v>
      </c>
      <c r="M72" s="2">
        <v>189.8</v>
      </c>
      <c r="N72" s="2">
        <v>209.33</v>
      </c>
      <c r="O72" s="2">
        <v>185.19</v>
      </c>
      <c r="P72" s="2">
        <v>192.76</v>
      </c>
      <c r="Q72" s="2">
        <v>170.23</v>
      </c>
      <c r="R72" s="2">
        <v>174.9</v>
      </c>
      <c r="S72" s="2">
        <v>196.78</v>
      </c>
      <c r="T72" s="2">
        <v>111.03</v>
      </c>
      <c r="U72" s="2">
        <v>213.88</v>
      </c>
      <c r="V72" s="2">
        <v>130.69999999999999</v>
      </c>
      <c r="X72" s="1" t="s">
        <v>73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59.99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73</v>
      </c>
      <c r="AV72" s="2">
        <v>52.61</v>
      </c>
      <c r="AW72" s="2">
        <v>48.41</v>
      </c>
      <c r="AX72" s="2">
        <v>54.93</v>
      </c>
      <c r="AY72" s="2">
        <v>54.9</v>
      </c>
      <c r="AZ72" s="2">
        <v>54.96</v>
      </c>
      <c r="BA72" s="2">
        <v>54.81</v>
      </c>
      <c r="BB72" s="2">
        <v>64.95</v>
      </c>
      <c r="BC72" s="2">
        <v>50.1</v>
      </c>
      <c r="BD72" s="2">
        <v>66.11</v>
      </c>
      <c r="BE72" s="2">
        <v>52.78</v>
      </c>
      <c r="BF72" s="2">
        <v>59.66</v>
      </c>
      <c r="BG72" s="2">
        <v>52.69</v>
      </c>
      <c r="BH72" s="2">
        <v>56.94</v>
      </c>
      <c r="BI72" s="2">
        <v>56.12</v>
      </c>
      <c r="BJ72" s="2">
        <v>60.61</v>
      </c>
      <c r="BK72" s="2">
        <v>62.23</v>
      </c>
      <c r="BL72" s="2">
        <v>62.93</v>
      </c>
      <c r="BM72" s="2">
        <v>66.13</v>
      </c>
      <c r="BN72" s="2">
        <v>65.510000000000005</v>
      </c>
      <c r="BO72" s="2">
        <v>67.84</v>
      </c>
      <c r="BR72" s="1" t="s">
        <v>73</v>
      </c>
      <c r="BS72" s="2">
        <v>-0.18</v>
      </c>
      <c r="BT72" s="2">
        <v>-0.31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-0.1</v>
      </c>
      <c r="CB72" s="2">
        <v>-0.56000000000000005</v>
      </c>
      <c r="CC72" s="2">
        <v>-0.53</v>
      </c>
      <c r="CD72" s="2">
        <v>-1.01</v>
      </c>
      <c r="CE72" s="2">
        <v>-0.56999999999999995</v>
      </c>
      <c r="CF72" s="2">
        <v>-0.61</v>
      </c>
      <c r="CG72" s="2">
        <v>-0.5</v>
      </c>
      <c r="CH72" s="2">
        <v>-0.41</v>
      </c>
      <c r="CI72" s="2">
        <v>-0.33</v>
      </c>
      <c r="CJ72" s="2">
        <v>-0.17</v>
      </c>
      <c r="CK72" s="2">
        <v>-0.26</v>
      </c>
      <c r="CL72" s="2">
        <v>-0.12</v>
      </c>
    </row>
    <row r="73" spans="2:90" x14ac:dyDescent="0.3">
      <c r="W73" s="5">
        <f>SUM(C65:V72)/$W$45</f>
        <v>5.1633532876394918E-2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63</v>
      </c>
      <c r="D76" s="1" t="s">
        <v>64</v>
      </c>
      <c r="E76" s="1" t="s">
        <v>63</v>
      </c>
      <c r="F76" s="1" t="s">
        <v>64</v>
      </c>
      <c r="G76" s="1" t="s">
        <v>63</v>
      </c>
      <c r="H76" s="1" t="s">
        <v>64</v>
      </c>
      <c r="I76" s="1" t="s">
        <v>63</v>
      </c>
      <c r="J76" s="1" t="s">
        <v>64</v>
      </c>
      <c r="K76" s="1" t="s">
        <v>63</v>
      </c>
      <c r="L76" s="1" t="s">
        <v>64</v>
      </c>
      <c r="M76" s="1" t="s">
        <v>63</v>
      </c>
      <c r="N76" s="1" t="s">
        <v>64</v>
      </c>
      <c r="O76" s="1" t="s">
        <v>63</v>
      </c>
      <c r="P76" s="1" t="s">
        <v>64</v>
      </c>
      <c r="Q76" s="1" t="s">
        <v>63</v>
      </c>
      <c r="R76" s="1" t="s">
        <v>64</v>
      </c>
      <c r="S76" s="1" t="s">
        <v>63</v>
      </c>
      <c r="T76" s="1" t="s">
        <v>64</v>
      </c>
      <c r="U76" s="1" t="s">
        <v>63</v>
      </c>
      <c r="V76" s="1" t="s">
        <v>64</v>
      </c>
      <c r="X76" s="1" t="s">
        <v>6</v>
      </c>
      <c r="Y76" s="1" t="s">
        <v>63</v>
      </c>
      <c r="Z76" s="1" t="s">
        <v>64</v>
      </c>
      <c r="AA76" s="1" t="s">
        <v>63</v>
      </c>
      <c r="AB76" s="1" t="s">
        <v>64</v>
      </c>
      <c r="AC76" s="1" t="s">
        <v>63</v>
      </c>
      <c r="AD76" s="1" t="s">
        <v>64</v>
      </c>
      <c r="AE76" s="1" t="s">
        <v>63</v>
      </c>
      <c r="AF76" s="1" t="s">
        <v>64</v>
      </c>
      <c r="AG76" s="1" t="s">
        <v>63</v>
      </c>
      <c r="AH76" s="1" t="s">
        <v>64</v>
      </c>
      <c r="AI76" s="1" t="s">
        <v>63</v>
      </c>
      <c r="AJ76" s="1" t="s">
        <v>64</v>
      </c>
      <c r="AK76" s="1" t="s">
        <v>63</v>
      </c>
      <c r="AL76" s="1" t="s">
        <v>64</v>
      </c>
      <c r="AM76" s="1" t="s">
        <v>63</v>
      </c>
      <c r="AN76" s="1" t="s">
        <v>64</v>
      </c>
      <c r="AO76" s="1" t="s">
        <v>63</v>
      </c>
      <c r="AP76" s="1" t="s">
        <v>64</v>
      </c>
      <c r="AQ76" s="1" t="s">
        <v>63</v>
      </c>
      <c r="AR76" s="1" t="s">
        <v>64</v>
      </c>
      <c r="AU76" s="1" t="s">
        <v>6</v>
      </c>
      <c r="AV76" s="1" t="s">
        <v>63</v>
      </c>
      <c r="AW76" s="1" t="s">
        <v>64</v>
      </c>
      <c r="AX76" s="1" t="s">
        <v>63</v>
      </c>
      <c r="AY76" s="1" t="s">
        <v>64</v>
      </c>
      <c r="AZ76" s="1" t="s">
        <v>63</v>
      </c>
      <c r="BA76" s="1" t="s">
        <v>64</v>
      </c>
      <c r="BB76" s="1" t="s">
        <v>63</v>
      </c>
      <c r="BC76" s="1" t="s">
        <v>64</v>
      </c>
      <c r="BD76" s="1" t="s">
        <v>63</v>
      </c>
      <c r="BE76" s="1" t="s">
        <v>64</v>
      </c>
      <c r="BF76" s="1" t="s">
        <v>63</v>
      </c>
      <c r="BG76" s="1" t="s">
        <v>64</v>
      </c>
      <c r="BH76" s="1" t="s">
        <v>63</v>
      </c>
      <c r="BI76" s="1" t="s">
        <v>64</v>
      </c>
      <c r="BJ76" s="1" t="s">
        <v>63</v>
      </c>
      <c r="BK76" s="1" t="s">
        <v>64</v>
      </c>
      <c r="BL76" s="1" t="s">
        <v>63</v>
      </c>
      <c r="BM76" s="1" t="s">
        <v>64</v>
      </c>
      <c r="BN76" s="1" t="s">
        <v>63</v>
      </c>
      <c r="BO76" s="1" t="s">
        <v>64</v>
      </c>
      <c r="BR76" s="1" t="s">
        <v>6</v>
      </c>
      <c r="BS76" s="1" t="s">
        <v>63</v>
      </c>
      <c r="BT76" s="1" t="s">
        <v>64</v>
      </c>
      <c r="BU76" s="1" t="s">
        <v>63</v>
      </c>
      <c r="BV76" s="1" t="s">
        <v>64</v>
      </c>
      <c r="BW76" s="1" t="s">
        <v>63</v>
      </c>
      <c r="BX76" s="1" t="s">
        <v>64</v>
      </c>
      <c r="BY76" s="1" t="s">
        <v>63</v>
      </c>
      <c r="BZ76" s="1" t="s">
        <v>64</v>
      </c>
      <c r="CA76" s="1" t="s">
        <v>63</v>
      </c>
      <c r="CB76" s="1" t="s">
        <v>64</v>
      </c>
      <c r="CC76" s="1" t="s">
        <v>63</v>
      </c>
      <c r="CD76" s="1" t="s">
        <v>64</v>
      </c>
      <c r="CE76" s="1" t="s">
        <v>63</v>
      </c>
      <c r="CF76" s="1" t="s">
        <v>64</v>
      </c>
      <c r="CG76" s="1" t="s">
        <v>63</v>
      </c>
      <c r="CH76" s="1" t="s">
        <v>64</v>
      </c>
      <c r="CI76" s="1" t="s">
        <v>63</v>
      </c>
      <c r="CJ76" s="1" t="s">
        <v>64</v>
      </c>
      <c r="CK76" s="1" t="s">
        <v>63</v>
      </c>
      <c r="CL76" s="1" t="s">
        <v>64</v>
      </c>
    </row>
    <row r="77" spans="2:90" x14ac:dyDescent="0.3">
      <c r="B77" s="1" t="s">
        <v>65</v>
      </c>
      <c r="C77" s="1" t="s">
        <v>53</v>
      </c>
      <c r="D77" s="1" t="s">
        <v>53</v>
      </c>
      <c r="E77" s="1" t="s">
        <v>54</v>
      </c>
      <c r="F77" s="1" t="s">
        <v>54</v>
      </c>
      <c r="G77" s="1" t="s">
        <v>55</v>
      </c>
      <c r="H77" s="1" t="s">
        <v>55</v>
      </c>
      <c r="I77" s="1" t="s">
        <v>56</v>
      </c>
      <c r="J77" s="1" t="s">
        <v>56</v>
      </c>
      <c r="K77" s="1" t="s">
        <v>57</v>
      </c>
      <c r="L77" s="1" t="s">
        <v>57</v>
      </c>
      <c r="M77" s="1" t="s">
        <v>58</v>
      </c>
      <c r="N77" s="1" t="s">
        <v>58</v>
      </c>
      <c r="O77" s="1" t="s">
        <v>59</v>
      </c>
      <c r="P77" s="1" t="s">
        <v>59</v>
      </c>
      <c r="Q77" s="1" t="s">
        <v>60</v>
      </c>
      <c r="R77" s="1" t="s">
        <v>60</v>
      </c>
      <c r="S77" s="1" t="s">
        <v>61</v>
      </c>
      <c r="T77" s="1" t="s">
        <v>61</v>
      </c>
      <c r="U77" s="1" t="s">
        <v>62</v>
      </c>
      <c r="V77" s="1" t="s">
        <v>62</v>
      </c>
      <c r="X77" s="1" t="s">
        <v>65</v>
      </c>
      <c r="Y77" s="1" t="s">
        <v>53</v>
      </c>
      <c r="Z77" s="1" t="s">
        <v>53</v>
      </c>
      <c r="AA77" s="1" t="s">
        <v>54</v>
      </c>
      <c r="AB77" s="1" t="s">
        <v>54</v>
      </c>
      <c r="AC77" s="1" t="s">
        <v>55</v>
      </c>
      <c r="AD77" s="1" t="s">
        <v>55</v>
      </c>
      <c r="AE77" s="1" t="s">
        <v>56</v>
      </c>
      <c r="AF77" s="1" t="s">
        <v>56</v>
      </c>
      <c r="AG77" s="1" t="s">
        <v>57</v>
      </c>
      <c r="AH77" s="1" t="s">
        <v>57</v>
      </c>
      <c r="AI77" s="1" t="s">
        <v>58</v>
      </c>
      <c r="AJ77" s="1" t="s">
        <v>58</v>
      </c>
      <c r="AK77" s="1" t="s">
        <v>59</v>
      </c>
      <c r="AL77" s="1" t="s">
        <v>59</v>
      </c>
      <c r="AM77" s="1" t="s">
        <v>60</v>
      </c>
      <c r="AN77" s="1" t="s">
        <v>60</v>
      </c>
      <c r="AO77" s="1" t="s">
        <v>61</v>
      </c>
      <c r="AP77" s="1" t="s">
        <v>61</v>
      </c>
      <c r="AQ77" s="1" t="s">
        <v>62</v>
      </c>
      <c r="AR77" s="1" t="s">
        <v>62</v>
      </c>
      <c r="AU77" s="1" t="s">
        <v>65</v>
      </c>
      <c r="AV77" s="1" t="s">
        <v>53</v>
      </c>
      <c r="AW77" s="1" t="s">
        <v>53</v>
      </c>
      <c r="AX77" s="1" t="s">
        <v>54</v>
      </c>
      <c r="AY77" s="1" t="s">
        <v>54</v>
      </c>
      <c r="AZ77" s="1" t="s">
        <v>55</v>
      </c>
      <c r="BA77" s="1" t="s">
        <v>55</v>
      </c>
      <c r="BB77" s="1" t="s">
        <v>56</v>
      </c>
      <c r="BC77" s="1" t="s">
        <v>56</v>
      </c>
      <c r="BD77" s="1" t="s">
        <v>57</v>
      </c>
      <c r="BE77" s="1" t="s">
        <v>57</v>
      </c>
      <c r="BF77" s="1" t="s">
        <v>58</v>
      </c>
      <c r="BG77" s="1" t="s">
        <v>58</v>
      </c>
      <c r="BH77" s="1" t="s">
        <v>59</v>
      </c>
      <c r="BI77" s="1" t="s">
        <v>59</v>
      </c>
      <c r="BJ77" s="1" t="s">
        <v>60</v>
      </c>
      <c r="BK77" s="1" t="s">
        <v>60</v>
      </c>
      <c r="BL77" s="1" t="s">
        <v>61</v>
      </c>
      <c r="BM77" s="1" t="s">
        <v>61</v>
      </c>
      <c r="BN77" s="1" t="s">
        <v>62</v>
      </c>
      <c r="BO77" s="1" t="s">
        <v>62</v>
      </c>
      <c r="BR77" s="1" t="s">
        <v>65</v>
      </c>
      <c r="BS77" s="1" t="s">
        <v>53</v>
      </c>
      <c r="BT77" s="1" t="s">
        <v>53</v>
      </c>
      <c r="BU77" s="1" t="s">
        <v>54</v>
      </c>
      <c r="BV77" s="1" t="s">
        <v>54</v>
      </c>
      <c r="BW77" s="1" t="s">
        <v>55</v>
      </c>
      <c r="BX77" s="1" t="s">
        <v>55</v>
      </c>
      <c r="BY77" s="1" t="s">
        <v>56</v>
      </c>
      <c r="BZ77" s="1" t="s">
        <v>56</v>
      </c>
      <c r="CA77" s="1" t="s">
        <v>57</v>
      </c>
      <c r="CB77" s="1" t="s">
        <v>57</v>
      </c>
      <c r="CC77" s="1" t="s">
        <v>58</v>
      </c>
      <c r="CD77" s="1" t="s">
        <v>58</v>
      </c>
      <c r="CE77" s="1" t="s">
        <v>59</v>
      </c>
      <c r="CF77" s="1" t="s">
        <v>59</v>
      </c>
      <c r="CG77" s="1" t="s">
        <v>60</v>
      </c>
      <c r="CH77" s="1" t="s">
        <v>60</v>
      </c>
      <c r="CI77" s="1" t="s">
        <v>61</v>
      </c>
      <c r="CJ77" s="1" t="s">
        <v>61</v>
      </c>
      <c r="CK77" s="1" t="s">
        <v>62</v>
      </c>
      <c r="CL77" s="1" t="s">
        <v>62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66</v>
      </c>
      <c r="C79" s="2">
        <v>7.82</v>
      </c>
      <c r="D79" s="2">
        <v>11.02</v>
      </c>
      <c r="E79" s="2">
        <v>1.74</v>
      </c>
      <c r="F79" s="2">
        <v>1.73</v>
      </c>
      <c r="G79" s="2">
        <v>0.56999999999999995</v>
      </c>
      <c r="H79" s="2">
        <v>1.61</v>
      </c>
      <c r="I79" s="2">
        <v>12.72</v>
      </c>
      <c r="J79" s="2">
        <v>3.99</v>
      </c>
      <c r="K79" s="2">
        <v>14.63</v>
      </c>
      <c r="L79" s="2">
        <v>10.85</v>
      </c>
      <c r="M79" s="2">
        <v>14.22</v>
      </c>
      <c r="N79" s="2">
        <v>10.029999999999999</v>
      </c>
      <c r="O79" s="2">
        <v>13.16</v>
      </c>
      <c r="P79" s="2">
        <v>3.01</v>
      </c>
      <c r="Q79" s="2">
        <v>8.8800000000000008</v>
      </c>
      <c r="R79" s="2">
        <v>4.2</v>
      </c>
      <c r="S79" s="2">
        <v>0.72</v>
      </c>
      <c r="T79" s="2">
        <v>1.26</v>
      </c>
      <c r="U79" s="2">
        <v>1.2</v>
      </c>
      <c r="V79" s="2">
        <v>0.97</v>
      </c>
      <c r="X79" s="1" t="s">
        <v>66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66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66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67</v>
      </c>
      <c r="C80" s="2">
        <v>44.68</v>
      </c>
      <c r="D80" s="2">
        <v>17.27</v>
      </c>
      <c r="E80" s="2">
        <v>24.73</v>
      </c>
      <c r="F80" s="2">
        <v>11.68</v>
      </c>
      <c r="G80" s="2">
        <v>5.81</v>
      </c>
      <c r="H80" s="2">
        <v>10.62</v>
      </c>
      <c r="I80" s="2">
        <v>40.880000000000003</v>
      </c>
      <c r="J80" s="2">
        <v>62.9</v>
      </c>
      <c r="K80" s="2">
        <v>51.21</v>
      </c>
      <c r="L80" s="2">
        <v>54.03</v>
      </c>
      <c r="M80" s="2">
        <v>92.01</v>
      </c>
      <c r="N80" s="2">
        <v>75.7</v>
      </c>
      <c r="O80" s="2">
        <v>69.739999999999995</v>
      </c>
      <c r="P80" s="2">
        <v>65.55</v>
      </c>
      <c r="Q80" s="2">
        <v>89.73</v>
      </c>
      <c r="R80" s="2">
        <v>62.65</v>
      </c>
      <c r="S80" s="2">
        <v>60.81</v>
      </c>
      <c r="T80" s="2">
        <v>50.33</v>
      </c>
      <c r="U80" s="2">
        <v>77.55</v>
      </c>
      <c r="V80" s="2">
        <v>48.28</v>
      </c>
      <c r="X80" s="1" t="s">
        <v>67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67</v>
      </c>
      <c r="AV80" s="2">
        <v>1.59</v>
      </c>
      <c r="AW80" s="2">
        <v>1.43</v>
      </c>
      <c r="AX80" s="2">
        <v>1.52</v>
      </c>
      <c r="AY80" s="2">
        <v>1.43</v>
      </c>
      <c r="AZ80" s="2">
        <v>0.56000000000000005</v>
      </c>
      <c r="BA80" s="2">
        <v>0.56000000000000005</v>
      </c>
      <c r="BB80" s="2">
        <v>1.69</v>
      </c>
      <c r="BC80" s="2">
        <v>1.67</v>
      </c>
      <c r="BD80" s="2">
        <v>2.0499999999999998</v>
      </c>
      <c r="BE80" s="2">
        <v>1.84</v>
      </c>
      <c r="BF80" s="2">
        <v>4.04</v>
      </c>
      <c r="BG80" s="2">
        <v>3.34</v>
      </c>
      <c r="BH80" s="2">
        <v>3.03</v>
      </c>
      <c r="BI80" s="2">
        <v>2.78</v>
      </c>
      <c r="BJ80" s="2">
        <v>3.86</v>
      </c>
      <c r="BK80" s="2">
        <v>3.52</v>
      </c>
      <c r="BL80" s="2">
        <v>3.37</v>
      </c>
      <c r="BM80" s="2">
        <v>3.01</v>
      </c>
      <c r="BN80" s="2">
        <v>4.3</v>
      </c>
      <c r="BO80" s="2">
        <v>3.9</v>
      </c>
      <c r="BR80" s="1" t="s">
        <v>67</v>
      </c>
      <c r="BS80" s="2">
        <v>-0.18</v>
      </c>
      <c r="BT80" s="2">
        <v>-0.09</v>
      </c>
      <c r="BU80" s="2">
        <v>-0.14000000000000001</v>
      </c>
      <c r="BV80" s="2">
        <v>-0.09</v>
      </c>
      <c r="BW80" s="2">
        <v>-0.11</v>
      </c>
      <c r="BX80" s="2">
        <v>-0.11</v>
      </c>
      <c r="BY80" s="2">
        <v>-0.19</v>
      </c>
      <c r="BZ80" s="2">
        <v>-0.18</v>
      </c>
      <c r="CA80" s="2">
        <v>-0.16</v>
      </c>
      <c r="CB80" s="2">
        <v>-7.0000000000000007E-2</v>
      </c>
      <c r="CC80" s="2">
        <v>-0.23</v>
      </c>
      <c r="CD80" s="2">
        <v>-0.08</v>
      </c>
      <c r="CE80" s="2">
        <v>-0.18</v>
      </c>
      <c r="CF80" s="2">
        <v>-0.11</v>
      </c>
      <c r="CG80" s="2">
        <v>-0.16</v>
      </c>
      <c r="CH80" s="2">
        <v>-7.0000000000000007E-2</v>
      </c>
      <c r="CI80" s="2">
        <v>-0.14000000000000001</v>
      </c>
      <c r="CJ80" s="2">
        <v>-0.03</v>
      </c>
      <c r="CK80" s="2">
        <v>-0.1</v>
      </c>
      <c r="CL80" s="2">
        <v>-0.01</v>
      </c>
    </row>
    <row r="81" spans="2:90" x14ac:dyDescent="0.3">
      <c r="B81" s="1" t="s">
        <v>68</v>
      </c>
      <c r="C81" s="2">
        <v>444.64</v>
      </c>
      <c r="D81" s="2">
        <v>48.34</v>
      </c>
      <c r="E81" s="2">
        <v>372.82</v>
      </c>
      <c r="F81" s="2">
        <v>23.98</v>
      </c>
      <c r="G81" s="2">
        <v>82.73</v>
      </c>
      <c r="H81" s="2">
        <v>139.07</v>
      </c>
      <c r="I81" s="2">
        <v>445.12</v>
      </c>
      <c r="J81" s="2">
        <v>313.24</v>
      </c>
      <c r="K81" s="2">
        <v>549.22</v>
      </c>
      <c r="L81" s="2">
        <v>295.23</v>
      </c>
      <c r="M81" s="2">
        <v>937.27</v>
      </c>
      <c r="N81" s="2">
        <v>484.05</v>
      </c>
      <c r="O81" s="2">
        <v>847.15</v>
      </c>
      <c r="P81" s="2">
        <v>407.39</v>
      </c>
      <c r="Q81" s="2">
        <v>1081.8499999999999</v>
      </c>
      <c r="R81" s="2">
        <v>431.33</v>
      </c>
      <c r="S81" s="2">
        <v>367.58</v>
      </c>
      <c r="T81" s="2">
        <v>331.99</v>
      </c>
      <c r="U81" s="2">
        <v>343.61</v>
      </c>
      <c r="V81" s="2">
        <v>284.07</v>
      </c>
      <c r="X81" s="1" t="s">
        <v>68</v>
      </c>
      <c r="Y81" s="2">
        <v>1.33</v>
      </c>
      <c r="Z81" s="2">
        <v>1.3</v>
      </c>
      <c r="AA81" s="2">
        <v>1.33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1.89</v>
      </c>
      <c r="AH81" s="2">
        <v>1.71</v>
      </c>
      <c r="AI81" s="2">
        <v>3.43</v>
      </c>
      <c r="AJ81" s="2">
        <v>3.09</v>
      </c>
      <c r="AK81" s="2">
        <v>2.69</v>
      </c>
      <c r="AL81" s="2">
        <v>2.4900000000000002</v>
      </c>
      <c r="AM81" s="2">
        <v>3.47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68</v>
      </c>
      <c r="AV81" s="2">
        <v>3.07</v>
      </c>
      <c r="AW81" s="2">
        <v>1.42</v>
      </c>
      <c r="AX81" s="2">
        <v>3.05</v>
      </c>
      <c r="AY81" s="2">
        <v>1.42</v>
      </c>
      <c r="AZ81" s="2">
        <v>0.88</v>
      </c>
      <c r="BA81" s="2">
        <v>0.78</v>
      </c>
      <c r="BB81" s="2">
        <v>2.44</v>
      </c>
      <c r="BC81" s="2">
        <v>1.74</v>
      </c>
      <c r="BD81" s="2">
        <v>3.14</v>
      </c>
      <c r="BE81" s="2">
        <v>1.98</v>
      </c>
      <c r="BF81" s="2">
        <v>5.73</v>
      </c>
      <c r="BG81" s="2">
        <v>3.58</v>
      </c>
      <c r="BH81" s="2">
        <v>4.53</v>
      </c>
      <c r="BI81" s="2">
        <v>2.9</v>
      </c>
      <c r="BJ81" s="2">
        <v>5.86</v>
      </c>
      <c r="BK81" s="2">
        <v>3.71</v>
      </c>
      <c r="BL81" s="2">
        <v>3.53</v>
      </c>
      <c r="BM81" s="2">
        <v>3.13</v>
      </c>
      <c r="BN81" s="2">
        <v>4.0999999999999996</v>
      </c>
      <c r="BO81" s="2">
        <v>3.99</v>
      </c>
      <c r="BR81" s="1" t="s">
        <v>68</v>
      </c>
      <c r="BS81" s="2">
        <v>-0.56999999999999995</v>
      </c>
      <c r="BT81" s="2">
        <v>-0.09</v>
      </c>
      <c r="BU81" s="2">
        <v>-0.56000000000000005</v>
      </c>
      <c r="BV81" s="2">
        <v>-0.08</v>
      </c>
      <c r="BW81" s="2">
        <v>-0.41</v>
      </c>
      <c r="BX81" s="2">
        <v>-0.35</v>
      </c>
      <c r="BY81" s="2">
        <v>-0.4</v>
      </c>
      <c r="BZ81" s="2">
        <v>-0.21</v>
      </c>
      <c r="CA81" s="2">
        <v>-0.4</v>
      </c>
      <c r="CB81" s="2">
        <v>-0.14000000000000001</v>
      </c>
      <c r="CC81" s="2">
        <v>-0.4</v>
      </c>
      <c r="CD81" s="2">
        <v>-0.14000000000000001</v>
      </c>
      <c r="CE81" s="2">
        <v>-0.41</v>
      </c>
      <c r="CF81" s="2">
        <v>-0.14000000000000001</v>
      </c>
      <c r="CG81" s="2">
        <v>-0.41</v>
      </c>
      <c r="CH81" s="2">
        <v>-0.12</v>
      </c>
      <c r="CI81" s="2">
        <v>-0.17</v>
      </c>
      <c r="CJ81" s="2">
        <v>-7.0000000000000007E-2</v>
      </c>
      <c r="CK81" s="2">
        <v>-0.06</v>
      </c>
      <c r="CL81" s="2">
        <v>-0.03</v>
      </c>
    </row>
    <row r="82" spans="2:90" x14ac:dyDescent="0.3">
      <c r="B82" s="1" t="s">
        <v>69</v>
      </c>
      <c r="C82" s="2">
        <v>94.09</v>
      </c>
      <c r="D82" s="2">
        <v>17.75</v>
      </c>
      <c r="E82" s="2">
        <v>79.569999999999993</v>
      </c>
      <c r="F82" s="2">
        <v>9.2799999999999994</v>
      </c>
      <c r="G82" s="2">
        <v>23.04</v>
      </c>
      <c r="H82" s="2">
        <v>41.04</v>
      </c>
      <c r="I82" s="2">
        <v>158.71</v>
      </c>
      <c r="J82" s="2">
        <v>77.209999999999994</v>
      </c>
      <c r="K82" s="2">
        <v>198.5</v>
      </c>
      <c r="L82" s="2">
        <v>70.64</v>
      </c>
      <c r="M82" s="2">
        <v>328.14</v>
      </c>
      <c r="N82" s="2">
        <v>101.47</v>
      </c>
      <c r="O82" s="2">
        <v>288.52999999999997</v>
      </c>
      <c r="P82" s="2">
        <v>86.33</v>
      </c>
      <c r="Q82" s="2">
        <v>306.52</v>
      </c>
      <c r="R82" s="2">
        <v>126.1</v>
      </c>
      <c r="S82" s="2">
        <v>117.93</v>
      </c>
      <c r="T82" s="2">
        <v>73.86</v>
      </c>
      <c r="U82" s="2">
        <v>110.35</v>
      </c>
      <c r="V82" s="2">
        <v>95.3</v>
      </c>
      <c r="X82" s="1" t="s">
        <v>69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69</v>
      </c>
      <c r="AV82" s="2">
        <v>2.67</v>
      </c>
      <c r="AW82" s="2">
        <v>1.45</v>
      </c>
      <c r="AX82" s="2">
        <v>2.54</v>
      </c>
      <c r="AY82" s="2">
        <v>1.42</v>
      </c>
      <c r="AZ82" s="2">
        <v>0.81</v>
      </c>
      <c r="BA82" s="2">
        <v>1</v>
      </c>
      <c r="BB82" s="2">
        <v>2.31</v>
      </c>
      <c r="BC82" s="2">
        <v>1.88</v>
      </c>
      <c r="BD82" s="2">
        <v>2.76</v>
      </c>
      <c r="BE82" s="2">
        <v>2.0699999999999998</v>
      </c>
      <c r="BF82" s="2">
        <v>4.96</v>
      </c>
      <c r="BG82" s="2">
        <v>3.63</v>
      </c>
      <c r="BH82" s="2">
        <v>4.01</v>
      </c>
      <c r="BI82" s="2">
        <v>2.94</v>
      </c>
      <c r="BJ82" s="2">
        <v>4.71</v>
      </c>
      <c r="BK82" s="2">
        <v>3.7</v>
      </c>
      <c r="BL82" s="2">
        <v>3.3</v>
      </c>
      <c r="BM82" s="2">
        <v>3.18</v>
      </c>
      <c r="BN82" s="2">
        <v>4.18</v>
      </c>
      <c r="BO82" s="2">
        <v>4.09</v>
      </c>
      <c r="BR82" s="1" t="s">
        <v>69</v>
      </c>
      <c r="BS82" s="2">
        <v>-0.51</v>
      </c>
      <c r="BT82" s="2">
        <v>-0.11</v>
      </c>
      <c r="BU82" s="2">
        <v>-0.49</v>
      </c>
      <c r="BV82" s="2">
        <v>-0.09</v>
      </c>
      <c r="BW82" s="2">
        <v>-0.38</v>
      </c>
      <c r="BX82" s="2">
        <v>-0.5</v>
      </c>
      <c r="BY82" s="2">
        <v>-0.4</v>
      </c>
      <c r="BZ82" s="2">
        <v>-0.27</v>
      </c>
      <c r="CA82" s="2">
        <v>-0.37</v>
      </c>
      <c r="CB82" s="2">
        <v>-0.17</v>
      </c>
      <c r="CC82" s="2">
        <v>-0.37</v>
      </c>
      <c r="CD82" s="2">
        <v>-0.15</v>
      </c>
      <c r="CE82" s="2">
        <v>-0.38</v>
      </c>
      <c r="CF82" s="2">
        <v>-0.16</v>
      </c>
      <c r="CG82" s="2">
        <v>-0.31</v>
      </c>
      <c r="CH82" s="2">
        <v>-0.12</v>
      </c>
      <c r="CI82" s="2">
        <v>-0.12</v>
      </c>
      <c r="CJ82" s="2">
        <v>-0.08</v>
      </c>
      <c r="CK82" s="2">
        <v>-0.08</v>
      </c>
      <c r="CL82" s="2">
        <v>-0.06</v>
      </c>
    </row>
    <row r="83" spans="2:90" x14ac:dyDescent="0.3">
      <c r="B83" s="1" t="s">
        <v>70</v>
      </c>
      <c r="C83" s="2">
        <v>216.63</v>
      </c>
      <c r="D83" s="2">
        <v>244.09</v>
      </c>
      <c r="E83" s="2">
        <v>209.44</v>
      </c>
      <c r="F83" s="2">
        <v>77.69</v>
      </c>
      <c r="G83" s="2">
        <v>75.73</v>
      </c>
      <c r="H83" s="2">
        <v>110.15</v>
      </c>
      <c r="I83" s="2">
        <v>226.93</v>
      </c>
      <c r="J83" s="2">
        <v>427.35</v>
      </c>
      <c r="K83" s="2">
        <v>522.16999999999996</v>
      </c>
      <c r="L83" s="2">
        <v>527.98</v>
      </c>
      <c r="M83" s="2">
        <v>679.72</v>
      </c>
      <c r="N83" s="2">
        <v>597.86</v>
      </c>
      <c r="O83" s="2">
        <v>503.99</v>
      </c>
      <c r="P83" s="2">
        <v>470.8</v>
      </c>
      <c r="Q83" s="2">
        <v>533.09</v>
      </c>
      <c r="R83" s="2">
        <v>533.01</v>
      </c>
      <c r="S83" s="2">
        <v>432.55</v>
      </c>
      <c r="T83" s="2">
        <v>322.89999999999998</v>
      </c>
      <c r="U83" s="2">
        <v>483.26</v>
      </c>
      <c r="V83" s="2">
        <v>332.49</v>
      </c>
      <c r="X83" s="1" t="s">
        <v>70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70</v>
      </c>
      <c r="AV83" s="2">
        <v>2.02</v>
      </c>
      <c r="AW83" s="2">
        <v>1.95</v>
      </c>
      <c r="AX83" s="2">
        <v>2.02</v>
      </c>
      <c r="AY83" s="2">
        <v>1.56</v>
      </c>
      <c r="AZ83" s="2">
        <v>0.77</v>
      </c>
      <c r="BA83" s="2">
        <v>0.77</v>
      </c>
      <c r="BB83" s="2">
        <v>1.62</v>
      </c>
      <c r="BC83" s="2">
        <v>2.12</v>
      </c>
      <c r="BD83" s="2">
        <v>2.46</v>
      </c>
      <c r="BE83" s="2">
        <v>2.52</v>
      </c>
      <c r="BF83" s="2">
        <v>4.22</v>
      </c>
      <c r="BG83" s="2">
        <v>4.0599999999999996</v>
      </c>
      <c r="BH83" s="2">
        <v>3.18</v>
      </c>
      <c r="BI83" s="2">
        <v>3.11</v>
      </c>
      <c r="BJ83" s="2">
        <v>3.8</v>
      </c>
      <c r="BK83" s="2">
        <v>3.83</v>
      </c>
      <c r="BL83" s="2">
        <v>3.27</v>
      </c>
      <c r="BM83" s="2">
        <v>3.18</v>
      </c>
      <c r="BN83" s="2">
        <v>4.28</v>
      </c>
      <c r="BO83" s="2">
        <v>4.05</v>
      </c>
      <c r="BR83" s="1" t="s">
        <v>70</v>
      </c>
      <c r="BS83" s="2">
        <v>-0.36</v>
      </c>
      <c r="BT83" s="2">
        <v>-0.33</v>
      </c>
      <c r="BU83" s="2">
        <v>-0.35</v>
      </c>
      <c r="BV83" s="2">
        <v>-0.17</v>
      </c>
      <c r="BW83" s="2">
        <v>-0.35</v>
      </c>
      <c r="BX83" s="2">
        <v>-0.35</v>
      </c>
      <c r="BY83" s="2">
        <v>-0.15</v>
      </c>
      <c r="BZ83" s="2">
        <v>-0.35</v>
      </c>
      <c r="CA83" s="2">
        <v>-0.3</v>
      </c>
      <c r="CB83" s="2">
        <v>-0.32</v>
      </c>
      <c r="CC83" s="2">
        <v>-0.27</v>
      </c>
      <c r="CD83" s="2">
        <v>-0.24</v>
      </c>
      <c r="CE83" s="2">
        <v>-0.22</v>
      </c>
      <c r="CF83" s="2">
        <v>-0.2</v>
      </c>
      <c r="CG83" s="2">
        <v>-0.14000000000000001</v>
      </c>
      <c r="CH83" s="2">
        <v>-0.15</v>
      </c>
      <c r="CI83" s="2">
        <v>-0.11</v>
      </c>
      <c r="CJ83" s="2">
        <v>-0.08</v>
      </c>
      <c r="CK83" s="2">
        <v>-0.1</v>
      </c>
      <c r="CL83" s="2">
        <v>-0.05</v>
      </c>
    </row>
    <row r="84" spans="2:90" x14ac:dyDescent="0.3">
      <c r="B84" s="1" t="s">
        <v>71</v>
      </c>
      <c r="C84" s="2">
        <v>55.12</v>
      </c>
      <c r="D84" s="2">
        <v>18.260000000000002</v>
      </c>
      <c r="E84" s="2">
        <v>47.99</v>
      </c>
      <c r="F84" s="2">
        <v>17.100000000000001</v>
      </c>
      <c r="G84" s="2">
        <v>13.12</v>
      </c>
      <c r="H84" s="2">
        <v>9.8699999999999992</v>
      </c>
      <c r="I84" s="2">
        <v>22.68</v>
      </c>
      <c r="J84" s="2">
        <v>31.9</v>
      </c>
      <c r="K84" s="2">
        <v>24.88</v>
      </c>
      <c r="L84" s="2">
        <v>59.37</v>
      </c>
      <c r="M84" s="2">
        <v>62.46</v>
      </c>
      <c r="N84" s="2">
        <v>93.64</v>
      </c>
      <c r="O84" s="2">
        <v>55.71</v>
      </c>
      <c r="P84" s="2">
        <v>63.5</v>
      </c>
      <c r="Q84" s="2">
        <v>70.040000000000006</v>
      </c>
      <c r="R84" s="2">
        <v>107.58</v>
      </c>
      <c r="S84" s="2">
        <v>65.8</v>
      </c>
      <c r="T84" s="2">
        <v>47.41</v>
      </c>
      <c r="U84" s="2">
        <v>60.08</v>
      </c>
      <c r="V84" s="2">
        <v>38.659999999999997</v>
      </c>
      <c r="X84" s="1" t="s">
        <v>71</v>
      </c>
      <c r="Y84" s="2">
        <v>1.3</v>
      </c>
      <c r="Z84" s="2">
        <v>1.31</v>
      </c>
      <c r="AA84" s="2">
        <v>1.31</v>
      </c>
      <c r="AB84" s="2">
        <v>1.31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71</v>
      </c>
      <c r="AV84" s="2">
        <v>2.48</v>
      </c>
      <c r="AW84" s="2">
        <v>2.0699999999999998</v>
      </c>
      <c r="AX84" s="2">
        <v>2.33</v>
      </c>
      <c r="AY84" s="2">
        <v>2.31</v>
      </c>
      <c r="AZ84" s="2">
        <v>0.77</v>
      </c>
      <c r="BA84" s="2">
        <v>0.78</v>
      </c>
      <c r="BB84" s="2">
        <v>1.65</v>
      </c>
      <c r="BC84" s="2">
        <v>2.14</v>
      </c>
      <c r="BD84" s="2">
        <v>1.93</v>
      </c>
      <c r="BE84" s="2">
        <v>2.68</v>
      </c>
      <c r="BF84" s="2">
        <v>3.7</v>
      </c>
      <c r="BG84" s="2">
        <v>4.83</v>
      </c>
      <c r="BH84" s="2">
        <v>2.96</v>
      </c>
      <c r="BI84" s="2">
        <v>3.68</v>
      </c>
      <c r="BJ84" s="2">
        <v>3.85</v>
      </c>
      <c r="BK84" s="2">
        <v>4.8099999999999996</v>
      </c>
      <c r="BL84" s="2">
        <v>3.34</v>
      </c>
      <c r="BM84" s="2">
        <v>4.0199999999999996</v>
      </c>
      <c r="BN84" s="2">
        <v>4.22</v>
      </c>
      <c r="BO84" s="2">
        <v>4.08</v>
      </c>
      <c r="BR84" s="1" t="s">
        <v>71</v>
      </c>
      <c r="BS84" s="2">
        <v>-0.48</v>
      </c>
      <c r="BT84" s="2">
        <v>-0.37</v>
      </c>
      <c r="BU84" s="2">
        <v>-0.44</v>
      </c>
      <c r="BV84" s="2">
        <v>-0.43</v>
      </c>
      <c r="BW84" s="2">
        <v>-0.35</v>
      </c>
      <c r="BX84" s="2">
        <v>-0.36</v>
      </c>
      <c r="BY84" s="2">
        <v>-0.17</v>
      </c>
      <c r="BZ84" s="2">
        <v>-0.36</v>
      </c>
      <c r="CA84" s="2">
        <v>-0.11</v>
      </c>
      <c r="CB84" s="2">
        <v>-0.35</v>
      </c>
      <c r="CC84" s="2">
        <v>-0.17</v>
      </c>
      <c r="CD84" s="2">
        <v>-0.35</v>
      </c>
      <c r="CE84" s="2">
        <v>-0.16</v>
      </c>
      <c r="CF84" s="2">
        <v>-0.32</v>
      </c>
      <c r="CG84" s="2">
        <v>-0.15</v>
      </c>
      <c r="CH84" s="2">
        <v>-0.32</v>
      </c>
      <c r="CI84" s="2">
        <v>-0.13</v>
      </c>
      <c r="CJ84" s="2">
        <v>-0.27</v>
      </c>
      <c r="CK84" s="2">
        <v>-0.08</v>
      </c>
      <c r="CL84" s="2">
        <v>-0.06</v>
      </c>
    </row>
    <row r="85" spans="2:90" x14ac:dyDescent="0.3">
      <c r="B85" s="1" t="s">
        <v>72</v>
      </c>
      <c r="C85" s="2">
        <v>181.53</v>
      </c>
      <c r="D85" s="2">
        <v>187.51</v>
      </c>
      <c r="E85" s="2">
        <v>93.17</v>
      </c>
      <c r="F85" s="2">
        <v>145.97</v>
      </c>
      <c r="G85" s="2">
        <v>33.130000000000003</v>
      </c>
      <c r="H85" s="2">
        <v>77.52</v>
      </c>
      <c r="I85" s="2">
        <v>119.35</v>
      </c>
      <c r="J85" s="2">
        <v>137.69</v>
      </c>
      <c r="K85" s="2">
        <v>118.44</v>
      </c>
      <c r="L85" s="2">
        <v>199.4</v>
      </c>
      <c r="M85" s="2">
        <v>194.93</v>
      </c>
      <c r="N85" s="2">
        <v>343.52</v>
      </c>
      <c r="O85" s="2">
        <v>153.56</v>
      </c>
      <c r="P85" s="2">
        <v>271.37</v>
      </c>
      <c r="Q85" s="2">
        <v>270.92</v>
      </c>
      <c r="R85" s="2">
        <v>334.5</v>
      </c>
      <c r="S85" s="2">
        <v>185.61</v>
      </c>
      <c r="T85" s="2">
        <v>136.93</v>
      </c>
      <c r="U85" s="2">
        <v>179.03</v>
      </c>
      <c r="V85" s="2">
        <v>131.66</v>
      </c>
      <c r="X85" s="1" t="s">
        <v>72</v>
      </c>
      <c r="Y85" s="2">
        <v>1.33</v>
      </c>
      <c r="Z85" s="2">
        <v>1.33</v>
      </c>
      <c r="AA85" s="2">
        <v>1.31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1.95</v>
      </c>
      <c r="AI85" s="2">
        <v>3.09</v>
      </c>
      <c r="AJ85" s="2">
        <v>3.51</v>
      </c>
      <c r="AK85" s="2">
        <v>2.4900000000000002</v>
      </c>
      <c r="AL85" s="2">
        <v>2.65</v>
      </c>
      <c r="AM85" s="2">
        <v>3.27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72</v>
      </c>
      <c r="AV85" s="2">
        <v>2.93</v>
      </c>
      <c r="AW85" s="2">
        <v>2.96</v>
      </c>
      <c r="AX85" s="2">
        <v>2.31</v>
      </c>
      <c r="AY85" s="2">
        <v>2.86</v>
      </c>
      <c r="AZ85" s="2">
        <v>0.73</v>
      </c>
      <c r="BA85" s="2">
        <v>1.1100000000000001</v>
      </c>
      <c r="BB85" s="2">
        <v>1.9</v>
      </c>
      <c r="BC85" s="2">
        <v>2.35</v>
      </c>
      <c r="BD85" s="2">
        <v>2.06</v>
      </c>
      <c r="BE85" s="2">
        <v>3.1</v>
      </c>
      <c r="BF85" s="2">
        <v>3.82</v>
      </c>
      <c r="BG85" s="2">
        <v>5.58</v>
      </c>
      <c r="BH85" s="2">
        <v>3.08</v>
      </c>
      <c r="BI85" s="2">
        <v>4.13</v>
      </c>
      <c r="BJ85" s="2">
        <v>4.21</v>
      </c>
      <c r="BK85" s="2">
        <v>5.04</v>
      </c>
      <c r="BL85" s="2">
        <v>3.41</v>
      </c>
      <c r="BM85" s="2">
        <v>3.46</v>
      </c>
      <c r="BN85" s="2">
        <v>4.3</v>
      </c>
      <c r="BO85" s="2">
        <v>4.26</v>
      </c>
      <c r="BR85" s="1" t="s">
        <v>72</v>
      </c>
      <c r="BS85" s="2">
        <v>-0.55000000000000004</v>
      </c>
      <c r="BT85" s="2">
        <v>-0.55000000000000004</v>
      </c>
      <c r="BU85" s="2">
        <v>-0.44</v>
      </c>
      <c r="BV85" s="2">
        <v>-0.53</v>
      </c>
      <c r="BW85" s="2">
        <v>-0.31</v>
      </c>
      <c r="BX85" s="2">
        <v>-0.54</v>
      </c>
      <c r="BY85" s="2">
        <v>-0.27</v>
      </c>
      <c r="BZ85" s="2">
        <v>-0.39</v>
      </c>
      <c r="CA85" s="2">
        <v>-0.17</v>
      </c>
      <c r="CB85" s="2">
        <v>-0.37</v>
      </c>
      <c r="CC85" s="2">
        <v>-0.19</v>
      </c>
      <c r="CD85" s="2">
        <v>-0.37</v>
      </c>
      <c r="CE85" s="2">
        <v>-0.19</v>
      </c>
      <c r="CF85" s="2">
        <v>-0.36</v>
      </c>
      <c r="CG85" s="2">
        <v>-0.22</v>
      </c>
      <c r="CH85" s="2">
        <v>-0.35</v>
      </c>
      <c r="CI85" s="2">
        <v>-0.14000000000000001</v>
      </c>
      <c r="CJ85" s="2">
        <v>-0.16</v>
      </c>
      <c r="CK85" s="2">
        <v>-0.1</v>
      </c>
      <c r="CL85" s="2">
        <v>-0.09</v>
      </c>
    </row>
    <row r="86" spans="2:90" x14ac:dyDescent="0.3">
      <c r="B86" s="1" t="s">
        <v>73</v>
      </c>
      <c r="C86" s="2">
        <v>8.16</v>
      </c>
      <c r="D86" s="2">
        <v>19.399999999999999</v>
      </c>
      <c r="E86" s="2">
        <v>1.97</v>
      </c>
      <c r="F86" s="2">
        <v>2.79</v>
      </c>
      <c r="G86" s="2">
        <v>0.73</v>
      </c>
      <c r="H86" s="2">
        <v>1.23</v>
      </c>
      <c r="I86" s="2">
        <v>7.15</v>
      </c>
      <c r="J86" s="2">
        <v>18.07</v>
      </c>
      <c r="K86" s="2">
        <v>15.47</v>
      </c>
      <c r="L86" s="2">
        <v>36.659999999999997</v>
      </c>
      <c r="M86" s="2">
        <v>47.32</v>
      </c>
      <c r="N86" s="2">
        <v>44.91</v>
      </c>
      <c r="O86" s="2">
        <v>43.2</v>
      </c>
      <c r="P86" s="2">
        <v>22.79</v>
      </c>
      <c r="Q86" s="2">
        <v>28.56</v>
      </c>
      <c r="R86" s="2">
        <v>12.57</v>
      </c>
      <c r="S86" s="2">
        <v>11.77</v>
      </c>
      <c r="T86" s="2">
        <v>9.41</v>
      </c>
      <c r="U86" s="2">
        <v>26.09</v>
      </c>
      <c r="V86" s="2">
        <v>25.09</v>
      </c>
      <c r="X86" s="1" t="s">
        <v>73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73</v>
      </c>
      <c r="AV86" s="2">
        <v>1.48</v>
      </c>
      <c r="AW86" s="2">
        <v>1.61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1.92</v>
      </c>
      <c r="BD86" s="2">
        <v>1.82</v>
      </c>
      <c r="BE86" s="2">
        <v>2.27</v>
      </c>
      <c r="BF86" s="2">
        <v>3.62</v>
      </c>
      <c r="BG86" s="2">
        <v>4.0999999999999996</v>
      </c>
      <c r="BH86" s="2">
        <v>3.06</v>
      </c>
      <c r="BI86" s="2">
        <v>3.1</v>
      </c>
      <c r="BJ86" s="2">
        <v>3.76</v>
      </c>
      <c r="BK86" s="2">
        <v>3.66</v>
      </c>
      <c r="BL86" s="2">
        <v>3.24</v>
      </c>
      <c r="BM86" s="2">
        <v>3.08</v>
      </c>
      <c r="BN86" s="2">
        <v>4.12</v>
      </c>
      <c r="BO86" s="2">
        <v>3.98</v>
      </c>
      <c r="BR86" s="1" t="s">
        <v>73</v>
      </c>
      <c r="BS86" s="2">
        <v>-0.12</v>
      </c>
      <c r="BT86" s="2">
        <v>-0.19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-0.06</v>
      </c>
      <c r="CB86" s="2">
        <v>-0.25</v>
      </c>
      <c r="CC86" s="2">
        <v>-0.15</v>
      </c>
      <c r="CD86" s="2">
        <v>-0.25</v>
      </c>
      <c r="CE86" s="2">
        <v>-0.19</v>
      </c>
      <c r="CF86" s="2">
        <v>-0.2</v>
      </c>
      <c r="CG86" s="2">
        <v>-0.13</v>
      </c>
      <c r="CH86" s="2">
        <v>-0.11</v>
      </c>
      <c r="CI86" s="2">
        <v>-0.1</v>
      </c>
      <c r="CJ86" s="2">
        <v>-0.06</v>
      </c>
      <c r="CK86" s="2">
        <v>-0.06</v>
      </c>
      <c r="CL86" s="2">
        <v>-0.03</v>
      </c>
    </row>
    <row r="87" spans="2:90" x14ac:dyDescent="0.3">
      <c r="W87" s="5">
        <f>SUM(C79:V86)/$W$45</f>
        <v>1.4875564918526899E-2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63</v>
      </c>
      <c r="D90" s="1" t="s">
        <v>64</v>
      </c>
      <c r="E90" s="1" t="s">
        <v>63</v>
      </c>
      <c r="F90" s="1" t="s">
        <v>64</v>
      </c>
      <c r="G90" s="1" t="s">
        <v>63</v>
      </c>
      <c r="H90" s="1" t="s">
        <v>64</v>
      </c>
      <c r="I90" s="1" t="s">
        <v>63</v>
      </c>
      <c r="J90" s="1" t="s">
        <v>64</v>
      </c>
      <c r="K90" s="1" t="s">
        <v>63</v>
      </c>
      <c r="L90" s="1" t="s">
        <v>64</v>
      </c>
      <c r="M90" s="1" t="s">
        <v>63</v>
      </c>
      <c r="N90" s="1" t="s">
        <v>64</v>
      </c>
      <c r="O90" s="1" t="s">
        <v>63</v>
      </c>
      <c r="P90" s="1" t="s">
        <v>64</v>
      </c>
      <c r="Q90" s="1" t="s">
        <v>63</v>
      </c>
      <c r="R90" s="1" t="s">
        <v>64</v>
      </c>
      <c r="S90" s="1" t="s">
        <v>63</v>
      </c>
      <c r="T90" s="1" t="s">
        <v>64</v>
      </c>
      <c r="U90" s="1" t="s">
        <v>63</v>
      </c>
      <c r="V90" s="1" t="s">
        <v>64</v>
      </c>
      <c r="X90" s="1" t="s">
        <v>6</v>
      </c>
      <c r="Y90" s="10" t="s">
        <v>63</v>
      </c>
      <c r="Z90" s="10"/>
      <c r="AA90" s="10"/>
      <c r="AB90" s="10"/>
      <c r="AC90" s="10"/>
      <c r="AD90" s="10"/>
      <c r="AE90" s="10"/>
      <c r="AF90" s="10"/>
      <c r="AG90" s="10"/>
      <c r="AH90" s="10"/>
      <c r="AI90" s="10" t="s">
        <v>64</v>
      </c>
      <c r="AJ90" s="10"/>
      <c r="AK90" s="10"/>
      <c r="AL90" s="10"/>
      <c r="AM90" s="10"/>
      <c r="AN90" s="10"/>
      <c r="AO90" s="10"/>
      <c r="AP90" s="10"/>
      <c r="AQ90" s="10"/>
      <c r="AR90" s="10"/>
      <c r="AU90" s="1" t="s">
        <v>6</v>
      </c>
      <c r="AV90" s="10" t="s">
        <v>63</v>
      </c>
      <c r="AW90" s="10"/>
      <c r="AX90" s="10"/>
      <c r="AY90" s="10"/>
      <c r="AZ90" s="10"/>
      <c r="BA90" s="10"/>
      <c r="BB90" s="10"/>
      <c r="BC90" s="10"/>
      <c r="BD90" s="10"/>
      <c r="BE90" s="10"/>
      <c r="BF90" s="10" t="s">
        <v>64</v>
      </c>
      <c r="BG90" s="10"/>
      <c r="BH90" s="10"/>
      <c r="BI90" s="10"/>
      <c r="BJ90" s="10"/>
      <c r="BK90" s="10"/>
      <c r="BL90" s="10"/>
      <c r="BM90" s="10"/>
      <c r="BN90" s="10"/>
      <c r="BO90" s="10"/>
      <c r="BR90" s="1" t="s">
        <v>6</v>
      </c>
      <c r="BS90" s="1" t="s">
        <v>63</v>
      </c>
      <c r="BT90" s="1" t="s">
        <v>64</v>
      </c>
      <c r="BU90" s="1" t="s">
        <v>63</v>
      </c>
      <c r="BV90" s="1" t="s">
        <v>64</v>
      </c>
      <c r="BW90" s="1" t="s">
        <v>63</v>
      </c>
      <c r="BX90" s="1" t="s">
        <v>64</v>
      </c>
      <c r="BY90" s="1" t="s">
        <v>63</v>
      </c>
      <c r="BZ90" s="1" t="s">
        <v>64</v>
      </c>
      <c r="CA90" s="1" t="s">
        <v>63</v>
      </c>
      <c r="CB90" s="1" t="s">
        <v>64</v>
      </c>
      <c r="CC90" s="1" t="s">
        <v>63</v>
      </c>
      <c r="CD90" s="1" t="s">
        <v>64</v>
      </c>
      <c r="CE90" s="1" t="s">
        <v>63</v>
      </c>
      <c r="CF90" s="1" t="s">
        <v>64</v>
      </c>
      <c r="CG90" s="1" t="s">
        <v>63</v>
      </c>
      <c r="CH90" s="1" t="s">
        <v>64</v>
      </c>
      <c r="CI90" s="1" t="s">
        <v>63</v>
      </c>
      <c r="CJ90" s="1" t="s">
        <v>64</v>
      </c>
      <c r="CK90" s="1" t="s">
        <v>63</v>
      </c>
      <c r="CL90" s="1" t="s">
        <v>64</v>
      </c>
    </row>
    <row r="91" spans="2:90" x14ac:dyDescent="0.3">
      <c r="B91" s="1" t="s">
        <v>65</v>
      </c>
      <c r="C91" s="1" t="s">
        <v>53</v>
      </c>
      <c r="D91" s="1" t="s">
        <v>53</v>
      </c>
      <c r="E91" s="1" t="s">
        <v>54</v>
      </c>
      <c r="F91" s="1" t="s">
        <v>54</v>
      </c>
      <c r="G91" s="1" t="s">
        <v>55</v>
      </c>
      <c r="H91" s="1" t="s">
        <v>55</v>
      </c>
      <c r="I91" s="1" t="s">
        <v>56</v>
      </c>
      <c r="J91" s="1" t="s">
        <v>56</v>
      </c>
      <c r="K91" s="1" t="s">
        <v>57</v>
      </c>
      <c r="L91" s="1" t="s">
        <v>57</v>
      </c>
      <c r="M91" s="1" t="s">
        <v>58</v>
      </c>
      <c r="N91" s="1" t="s">
        <v>58</v>
      </c>
      <c r="O91" s="1" t="s">
        <v>59</v>
      </c>
      <c r="P91" s="1" t="s">
        <v>59</v>
      </c>
      <c r="Q91" s="1" t="s">
        <v>60</v>
      </c>
      <c r="R91" s="1" t="s">
        <v>60</v>
      </c>
      <c r="S91" s="1" t="s">
        <v>61</v>
      </c>
      <c r="T91" s="1" t="s">
        <v>61</v>
      </c>
      <c r="U91" s="1" t="s">
        <v>62</v>
      </c>
      <c r="V91" s="1" t="s">
        <v>62</v>
      </c>
      <c r="X91" s="1" t="s">
        <v>65</v>
      </c>
      <c r="Y91" s="1" t="s">
        <v>53</v>
      </c>
      <c r="Z91" s="1" t="s">
        <v>62</v>
      </c>
      <c r="AA91" s="1" t="s">
        <v>54</v>
      </c>
      <c r="AB91" s="1" t="s">
        <v>55</v>
      </c>
      <c r="AC91" s="1" t="s">
        <v>56</v>
      </c>
      <c r="AD91" s="1" t="s">
        <v>57</v>
      </c>
      <c r="AE91" s="1" t="s">
        <v>58</v>
      </c>
      <c r="AF91" s="1" t="s">
        <v>59</v>
      </c>
      <c r="AG91" s="1" t="s">
        <v>60</v>
      </c>
      <c r="AH91" s="1" t="s">
        <v>61</v>
      </c>
      <c r="AI91" s="1" t="s">
        <v>53</v>
      </c>
      <c r="AJ91" s="1" t="s">
        <v>62</v>
      </c>
      <c r="AK91" s="1" t="s">
        <v>54</v>
      </c>
      <c r="AL91" s="1" t="s">
        <v>55</v>
      </c>
      <c r="AM91" s="1" t="s">
        <v>56</v>
      </c>
      <c r="AN91" s="1" t="s">
        <v>57</v>
      </c>
      <c r="AO91" s="1" t="s">
        <v>58</v>
      </c>
      <c r="AP91" s="1" t="s">
        <v>59</v>
      </c>
      <c r="AQ91" s="1" t="s">
        <v>60</v>
      </c>
      <c r="AR91" s="1" t="s">
        <v>61</v>
      </c>
      <c r="AU91" s="1" t="s">
        <v>65</v>
      </c>
      <c r="AV91" s="1" t="s">
        <v>53</v>
      </c>
      <c r="AW91" s="1" t="s">
        <v>62</v>
      </c>
      <c r="AX91" s="1" t="s">
        <v>54</v>
      </c>
      <c r="AY91" s="1" t="s">
        <v>55</v>
      </c>
      <c r="AZ91" s="1" t="s">
        <v>56</v>
      </c>
      <c r="BA91" s="1" t="s">
        <v>57</v>
      </c>
      <c r="BB91" s="1" t="s">
        <v>58</v>
      </c>
      <c r="BC91" s="1" t="s">
        <v>59</v>
      </c>
      <c r="BD91" s="1" t="s">
        <v>60</v>
      </c>
      <c r="BE91" s="1" t="s">
        <v>61</v>
      </c>
      <c r="BF91" s="1" t="s">
        <v>53</v>
      </c>
      <c r="BG91" s="1" t="s">
        <v>62</v>
      </c>
      <c r="BH91" s="1" t="s">
        <v>54</v>
      </c>
      <c r="BI91" s="1" t="s">
        <v>55</v>
      </c>
      <c r="BJ91" s="1" t="s">
        <v>56</v>
      </c>
      <c r="BK91" s="1" t="s">
        <v>57</v>
      </c>
      <c r="BL91" s="1" t="s">
        <v>58</v>
      </c>
      <c r="BM91" s="1" t="s">
        <v>59</v>
      </c>
      <c r="BN91" s="1" t="s">
        <v>60</v>
      </c>
      <c r="BO91" s="1" t="s">
        <v>61</v>
      </c>
      <c r="BR91" s="1" t="s">
        <v>65</v>
      </c>
      <c r="BS91" s="1" t="s">
        <v>53</v>
      </c>
      <c r="BT91" s="1" t="s">
        <v>53</v>
      </c>
      <c r="BU91" s="1" t="s">
        <v>54</v>
      </c>
      <c r="BV91" s="1" t="s">
        <v>54</v>
      </c>
      <c r="BW91" s="1" t="s">
        <v>55</v>
      </c>
      <c r="BX91" s="1" t="s">
        <v>55</v>
      </c>
      <c r="BY91" s="1" t="s">
        <v>56</v>
      </c>
      <c r="BZ91" s="1" t="s">
        <v>56</v>
      </c>
      <c r="CA91" s="1" t="s">
        <v>57</v>
      </c>
      <c r="CB91" s="1" t="s">
        <v>57</v>
      </c>
      <c r="CC91" s="1" t="s">
        <v>58</v>
      </c>
      <c r="CD91" s="1" t="s">
        <v>58</v>
      </c>
      <c r="CE91" s="1" t="s">
        <v>59</v>
      </c>
      <c r="CF91" s="1" t="s">
        <v>59</v>
      </c>
      <c r="CG91" s="1" t="s">
        <v>60</v>
      </c>
      <c r="CH91" s="1" t="s">
        <v>60</v>
      </c>
      <c r="CI91" s="1" t="s">
        <v>61</v>
      </c>
      <c r="CJ91" s="1" t="s">
        <v>61</v>
      </c>
      <c r="CK91" s="1" t="s">
        <v>62</v>
      </c>
      <c r="CL91" s="1" t="s">
        <v>62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66</v>
      </c>
      <c r="C93" s="2">
        <v>445.73</v>
      </c>
      <c r="D93" s="2">
        <v>510.43</v>
      </c>
      <c r="E93" s="2">
        <v>27.09</v>
      </c>
      <c r="F93" s="2">
        <v>27.64</v>
      </c>
      <c r="G93" s="2">
        <v>16</v>
      </c>
      <c r="H93" s="2">
        <v>43.82</v>
      </c>
      <c r="I93" s="2">
        <v>376.52</v>
      </c>
      <c r="J93" s="2">
        <v>259.8</v>
      </c>
      <c r="K93" s="2">
        <v>647.5</v>
      </c>
      <c r="L93" s="2">
        <v>304.83999999999997</v>
      </c>
      <c r="M93" s="2">
        <v>1177.68</v>
      </c>
      <c r="N93" s="2">
        <v>413.05</v>
      </c>
      <c r="O93" s="2">
        <v>949.81</v>
      </c>
      <c r="P93" s="2">
        <v>148.22</v>
      </c>
      <c r="Q93" s="2">
        <v>986.06</v>
      </c>
      <c r="R93" s="2">
        <v>432.18</v>
      </c>
      <c r="S93" s="2">
        <v>77.91</v>
      </c>
      <c r="T93" s="2">
        <v>81.67</v>
      </c>
      <c r="U93" s="2">
        <v>257.70999999999998</v>
      </c>
      <c r="V93" s="2">
        <v>126.16</v>
      </c>
      <c r="X93" s="1" t="s">
        <v>66</v>
      </c>
      <c r="Y93" s="2">
        <v>3666.79</v>
      </c>
      <c r="Z93" s="2">
        <v>1392.1</v>
      </c>
      <c r="AA93" s="2">
        <v>889.96</v>
      </c>
      <c r="AB93" s="2">
        <v>252.48</v>
      </c>
      <c r="AC93" s="2">
        <v>2929.28</v>
      </c>
      <c r="AD93" s="2">
        <v>5499.44</v>
      </c>
      <c r="AE93" s="2">
        <v>10157.66</v>
      </c>
      <c r="AF93" s="2">
        <v>7418.87</v>
      </c>
      <c r="AG93" s="2">
        <v>7138.2</v>
      </c>
      <c r="AH93" s="2">
        <v>363.92</v>
      </c>
      <c r="AI93" s="2">
        <v>3348.23</v>
      </c>
      <c r="AJ93" s="2">
        <v>292.5</v>
      </c>
      <c r="AK93" s="2">
        <v>802.62</v>
      </c>
      <c r="AL93" s="2">
        <v>484.3</v>
      </c>
      <c r="AM93" s="2">
        <v>1530.68</v>
      </c>
      <c r="AN93" s="2">
        <v>1536.22</v>
      </c>
      <c r="AO93" s="2">
        <v>1993.79</v>
      </c>
      <c r="AP93" s="2">
        <v>647.46</v>
      </c>
      <c r="AQ93" s="2">
        <v>1921.26</v>
      </c>
      <c r="AR93" s="2">
        <v>224.96</v>
      </c>
      <c r="AU93" s="1" t="s">
        <v>66</v>
      </c>
      <c r="AV93" s="2">
        <v>12031.62</v>
      </c>
      <c r="AW93" s="2">
        <v>42610.25</v>
      </c>
      <c r="AX93" s="2">
        <v>13595.42</v>
      </c>
      <c r="AY93" s="2">
        <v>3875.77</v>
      </c>
      <c r="AZ93" s="2">
        <v>15518.24</v>
      </c>
      <c r="BA93" s="2">
        <v>19462.560000000001</v>
      </c>
      <c r="BB93" s="2">
        <v>36051.58</v>
      </c>
      <c r="BC93" s="2">
        <v>28238.080000000002</v>
      </c>
      <c r="BD93" s="2">
        <v>38124.36</v>
      </c>
      <c r="BE93" s="2">
        <v>35076.660000000003</v>
      </c>
      <c r="BF93" s="2">
        <v>11900.64</v>
      </c>
      <c r="BG93" s="2">
        <v>28192.95</v>
      </c>
      <c r="BH93" s="2">
        <v>12333.23</v>
      </c>
      <c r="BI93" s="2">
        <v>5040.8</v>
      </c>
      <c r="BJ93" s="2">
        <v>15141.64</v>
      </c>
      <c r="BK93" s="2">
        <v>19046.580000000002</v>
      </c>
      <c r="BL93" s="2">
        <v>34891.449999999997</v>
      </c>
      <c r="BM93" s="2">
        <v>27508.639999999999</v>
      </c>
      <c r="BN93" s="2">
        <v>37760.620000000003</v>
      </c>
      <c r="BO93" s="2">
        <v>21682.94</v>
      </c>
      <c r="BR93" s="1" t="s">
        <v>66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67</v>
      </c>
      <c r="C94" s="2">
        <v>170.63</v>
      </c>
      <c r="D94" s="2">
        <v>102.07</v>
      </c>
      <c r="E94" s="2">
        <v>72.540000000000006</v>
      </c>
      <c r="F94" s="2">
        <v>55.36</v>
      </c>
      <c r="G94" s="2">
        <v>35.29</v>
      </c>
      <c r="H94" s="2">
        <v>34.409999999999997</v>
      </c>
      <c r="I94" s="2">
        <v>152.71</v>
      </c>
      <c r="J94" s="2">
        <v>229.25</v>
      </c>
      <c r="K94" s="2">
        <v>215.82</v>
      </c>
      <c r="L94" s="2">
        <v>191.99</v>
      </c>
      <c r="M94" s="2">
        <v>483.22</v>
      </c>
      <c r="N94" s="2">
        <v>389.48</v>
      </c>
      <c r="O94" s="2">
        <v>392.34</v>
      </c>
      <c r="P94" s="2">
        <v>344.7</v>
      </c>
      <c r="Q94" s="2">
        <v>505.52</v>
      </c>
      <c r="R94" s="2">
        <v>381.96</v>
      </c>
      <c r="S94" s="2">
        <v>413.75</v>
      </c>
      <c r="T94" s="2">
        <v>296.25</v>
      </c>
      <c r="U94" s="2">
        <v>651.70000000000005</v>
      </c>
      <c r="V94" s="2">
        <v>327.5</v>
      </c>
      <c r="X94" s="1" t="s">
        <v>67</v>
      </c>
      <c r="Y94" s="2">
        <v>1202.79</v>
      </c>
      <c r="Z94" s="2">
        <v>3936.93</v>
      </c>
      <c r="AA94" s="2">
        <v>1326.86</v>
      </c>
      <c r="AB94" s="2">
        <v>302.79000000000002</v>
      </c>
      <c r="AC94" s="2">
        <v>1747.59</v>
      </c>
      <c r="AD94" s="2">
        <v>2026.61</v>
      </c>
      <c r="AE94" s="2">
        <v>3511.86</v>
      </c>
      <c r="AF94" s="2">
        <v>2287.44</v>
      </c>
      <c r="AG94" s="2">
        <v>2877.56</v>
      </c>
      <c r="AH94" s="2">
        <v>2543.58</v>
      </c>
      <c r="AI94" s="2">
        <v>697.41</v>
      </c>
      <c r="AJ94" s="2">
        <v>2270.4499999999998</v>
      </c>
      <c r="AK94" s="2">
        <v>806.38</v>
      </c>
      <c r="AL94" s="2">
        <v>375.05</v>
      </c>
      <c r="AM94" s="2">
        <v>1009.6</v>
      </c>
      <c r="AN94" s="2">
        <v>1170.47</v>
      </c>
      <c r="AO94" s="2">
        <v>2125.3000000000002</v>
      </c>
      <c r="AP94" s="2">
        <v>1921.05</v>
      </c>
      <c r="AQ94" s="2">
        <v>2609.29</v>
      </c>
      <c r="AR94" s="2">
        <v>1728.21</v>
      </c>
      <c r="AU94" s="1" t="s">
        <v>67</v>
      </c>
      <c r="AV94" s="2">
        <v>7269.96</v>
      </c>
      <c r="AW94" s="2">
        <v>24269.97</v>
      </c>
      <c r="AX94" s="2">
        <v>7482.33</v>
      </c>
      <c r="AY94" s="2">
        <v>1687.51</v>
      </c>
      <c r="AZ94" s="2">
        <v>9926.17</v>
      </c>
      <c r="BA94" s="2">
        <v>12384.79</v>
      </c>
      <c r="BB94" s="2">
        <v>21796.5</v>
      </c>
      <c r="BC94" s="2">
        <v>13888.47</v>
      </c>
      <c r="BD94" s="2">
        <v>17496.52</v>
      </c>
      <c r="BE94" s="2">
        <v>15423.38</v>
      </c>
      <c r="BF94" s="2">
        <v>4182.66</v>
      </c>
      <c r="BG94" s="2">
        <v>13682.95</v>
      </c>
      <c r="BH94" s="2">
        <v>4505.68</v>
      </c>
      <c r="BI94" s="2">
        <v>2093.1999999999998</v>
      </c>
      <c r="BJ94" s="2">
        <v>5639.04</v>
      </c>
      <c r="BK94" s="2">
        <v>7030.13</v>
      </c>
      <c r="BL94" s="2">
        <v>12795.26</v>
      </c>
      <c r="BM94" s="2">
        <v>11581.64</v>
      </c>
      <c r="BN94" s="2">
        <v>15793.35</v>
      </c>
      <c r="BO94" s="2">
        <v>10376.469999999999</v>
      </c>
      <c r="BR94" s="1" t="s">
        <v>67</v>
      </c>
      <c r="BS94" s="2">
        <v>1.63</v>
      </c>
      <c r="BT94" s="2">
        <v>0.94</v>
      </c>
      <c r="BU94" s="2">
        <v>1.28</v>
      </c>
      <c r="BV94" s="2">
        <v>0.8</v>
      </c>
      <c r="BW94" s="2">
        <v>0.5</v>
      </c>
      <c r="BX94" s="2">
        <v>0.4</v>
      </c>
      <c r="BY94" s="2">
        <v>1.9</v>
      </c>
      <c r="BZ94" s="2">
        <v>2.23</v>
      </c>
      <c r="CA94" s="2">
        <v>2.62</v>
      </c>
      <c r="CB94" s="2">
        <v>2.13</v>
      </c>
      <c r="CC94" s="2">
        <v>6.01</v>
      </c>
      <c r="CD94" s="2">
        <v>3.97</v>
      </c>
      <c r="CE94" s="2">
        <v>4.3600000000000003</v>
      </c>
      <c r="CF94" s="2">
        <v>3.54</v>
      </c>
      <c r="CG94" s="2">
        <v>5.38</v>
      </c>
      <c r="CH94" s="2">
        <v>4</v>
      </c>
      <c r="CI94" s="2">
        <v>4.5199999999999996</v>
      </c>
      <c r="CJ94" s="2">
        <v>2.96</v>
      </c>
      <c r="CK94" s="2">
        <v>4.9000000000000004</v>
      </c>
      <c r="CL94" s="2">
        <v>2.82</v>
      </c>
    </row>
    <row r="95" spans="2:90" x14ac:dyDescent="0.3">
      <c r="B95" s="1" t="s">
        <v>68</v>
      </c>
      <c r="C95" s="2">
        <v>4645.5</v>
      </c>
      <c r="D95" s="2">
        <v>380.5</v>
      </c>
      <c r="E95" s="2">
        <v>2074.04</v>
      </c>
      <c r="F95" s="2">
        <v>142.71</v>
      </c>
      <c r="G95" s="2">
        <v>1218.1199999999999</v>
      </c>
      <c r="H95" s="2">
        <v>747.98</v>
      </c>
      <c r="I95" s="2">
        <v>2959.82</v>
      </c>
      <c r="J95" s="2">
        <v>1588.36</v>
      </c>
      <c r="K95" s="2">
        <v>4130.22</v>
      </c>
      <c r="L95" s="2">
        <v>1714.48</v>
      </c>
      <c r="M95" s="2">
        <v>7702.9</v>
      </c>
      <c r="N95" s="2">
        <v>3277.81</v>
      </c>
      <c r="O95" s="2">
        <v>7135.63</v>
      </c>
      <c r="P95" s="2">
        <v>2873.27</v>
      </c>
      <c r="Q95" s="2">
        <v>9153.76</v>
      </c>
      <c r="R95" s="2">
        <v>3052.23</v>
      </c>
      <c r="S95" s="2">
        <v>3294.38</v>
      </c>
      <c r="T95" s="2">
        <v>2438.96</v>
      </c>
      <c r="U95" s="2">
        <v>2792.32</v>
      </c>
      <c r="V95" s="2">
        <v>2422.1799999999998</v>
      </c>
      <c r="X95" s="1" t="s">
        <v>68</v>
      </c>
      <c r="Y95" s="2">
        <v>6049.36</v>
      </c>
      <c r="Z95" s="2">
        <v>7145.08</v>
      </c>
      <c r="AA95" s="2">
        <v>6307.33</v>
      </c>
      <c r="AB95" s="2">
        <v>2463.27</v>
      </c>
      <c r="AC95" s="2">
        <v>8795.36</v>
      </c>
      <c r="AD95" s="2">
        <v>11483.69</v>
      </c>
      <c r="AE95" s="2">
        <v>21171.22</v>
      </c>
      <c r="AF95" s="2">
        <v>15597.88</v>
      </c>
      <c r="AG95" s="2">
        <v>19775.2</v>
      </c>
      <c r="AH95" s="2">
        <v>8629.1</v>
      </c>
      <c r="AI95" s="2">
        <v>1700.67</v>
      </c>
      <c r="AJ95" s="2">
        <v>6263.99</v>
      </c>
      <c r="AK95" s="2">
        <v>1803.48</v>
      </c>
      <c r="AL95" s="2">
        <v>2173.0700000000002</v>
      </c>
      <c r="AM95" s="2">
        <v>3950.77</v>
      </c>
      <c r="AN95" s="2">
        <v>4044.75</v>
      </c>
      <c r="AO95" s="2">
        <v>7217.28</v>
      </c>
      <c r="AP95" s="2">
        <v>6074.23</v>
      </c>
      <c r="AQ95" s="2">
        <v>7476.76</v>
      </c>
      <c r="AR95" s="2">
        <v>5141.83</v>
      </c>
      <c r="AU95" s="1" t="s">
        <v>68</v>
      </c>
      <c r="AV95" s="2">
        <v>21038.04</v>
      </c>
      <c r="AW95" s="2">
        <v>42917.68</v>
      </c>
      <c r="AX95" s="2">
        <v>23572.48</v>
      </c>
      <c r="AY95" s="2">
        <v>5259.75</v>
      </c>
      <c r="AZ95" s="2">
        <v>25140.53</v>
      </c>
      <c r="BA95" s="2">
        <v>31898.71</v>
      </c>
      <c r="BB95" s="2">
        <v>58184.03</v>
      </c>
      <c r="BC95" s="2">
        <v>40391.050000000003</v>
      </c>
      <c r="BD95" s="2">
        <v>50244.99</v>
      </c>
      <c r="BE95" s="2">
        <v>42043.07</v>
      </c>
      <c r="BF95" s="2">
        <v>10199.4</v>
      </c>
      <c r="BG95" s="2">
        <v>37337.050000000003</v>
      </c>
      <c r="BH95" s="2">
        <v>10073.969999999999</v>
      </c>
      <c r="BI95" s="2">
        <v>6497.29</v>
      </c>
      <c r="BJ95" s="2">
        <v>18198</v>
      </c>
      <c r="BK95" s="2">
        <v>21565.119999999999</v>
      </c>
      <c r="BL95" s="2">
        <v>38154.36</v>
      </c>
      <c r="BM95" s="2">
        <v>31358.14</v>
      </c>
      <c r="BN95" s="2">
        <v>42070.28</v>
      </c>
      <c r="BO95" s="2">
        <v>30450.02</v>
      </c>
      <c r="BR95" s="1" t="s">
        <v>68</v>
      </c>
      <c r="BS95" s="2">
        <v>4.68</v>
      </c>
      <c r="BT95" s="2">
        <v>1.19</v>
      </c>
      <c r="BU95" s="2">
        <v>4.99</v>
      </c>
      <c r="BV95" s="2">
        <v>0.91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5.51</v>
      </c>
      <c r="CK95" s="2">
        <v>7.05</v>
      </c>
      <c r="CL95" s="2">
        <v>6.2</v>
      </c>
    </row>
    <row r="96" spans="2:90" x14ac:dyDescent="0.3">
      <c r="B96" s="1" t="s">
        <v>69</v>
      </c>
      <c r="C96" s="2">
        <v>1045.3599999999999</v>
      </c>
      <c r="D96" s="2">
        <v>191.88</v>
      </c>
      <c r="E96" s="2">
        <v>466.03</v>
      </c>
      <c r="F96" s="2">
        <v>66.17</v>
      </c>
      <c r="G96" s="2">
        <v>308.95999999999998</v>
      </c>
      <c r="H96" s="2">
        <v>350.71</v>
      </c>
      <c r="I96" s="2">
        <v>895.78</v>
      </c>
      <c r="J96" s="2">
        <v>548.72</v>
      </c>
      <c r="K96" s="2">
        <v>1104.01</v>
      </c>
      <c r="L96" s="2">
        <v>518.79</v>
      </c>
      <c r="M96" s="2">
        <v>2001.62</v>
      </c>
      <c r="N96" s="2">
        <v>929.12</v>
      </c>
      <c r="O96" s="2">
        <v>1741.89</v>
      </c>
      <c r="P96" s="2">
        <v>783.78</v>
      </c>
      <c r="Q96" s="2">
        <v>1650.24</v>
      </c>
      <c r="R96" s="2">
        <v>829.34</v>
      </c>
      <c r="S96" s="2">
        <v>670.94</v>
      </c>
      <c r="T96" s="2">
        <v>736.99</v>
      </c>
      <c r="U96" s="2">
        <v>859.76</v>
      </c>
      <c r="V96" s="2">
        <v>801.84</v>
      </c>
      <c r="X96" s="1" t="s">
        <v>69</v>
      </c>
      <c r="Y96" s="2">
        <v>1068.8499999999999</v>
      </c>
      <c r="Z96" s="2">
        <v>2328.19</v>
      </c>
      <c r="AA96" s="2">
        <v>1259.44</v>
      </c>
      <c r="AB96" s="2">
        <v>562.89</v>
      </c>
      <c r="AC96" s="2">
        <v>2073.19</v>
      </c>
      <c r="AD96" s="2">
        <v>2422.2199999999998</v>
      </c>
      <c r="AE96" s="2">
        <v>4342.84</v>
      </c>
      <c r="AF96" s="2">
        <v>3419.66</v>
      </c>
      <c r="AG96" s="2">
        <v>3398.26</v>
      </c>
      <c r="AH96" s="2">
        <v>1975.26</v>
      </c>
      <c r="AI96" s="2">
        <v>623.79</v>
      </c>
      <c r="AJ96" s="2">
        <v>2221.4</v>
      </c>
      <c r="AK96" s="2">
        <v>707.79</v>
      </c>
      <c r="AL96" s="2">
        <v>464.52</v>
      </c>
      <c r="AM96" s="2">
        <v>1147.71</v>
      </c>
      <c r="AN96" s="2">
        <v>1239.0999999999999</v>
      </c>
      <c r="AO96" s="2">
        <v>2111.08</v>
      </c>
      <c r="AP96" s="2">
        <v>1738.27</v>
      </c>
      <c r="AQ96" s="2">
        <v>2154.7199999999998</v>
      </c>
      <c r="AR96" s="2">
        <v>1774.86</v>
      </c>
      <c r="AU96" s="1" t="s">
        <v>69</v>
      </c>
      <c r="AV96" s="2">
        <v>6199.18</v>
      </c>
      <c r="AW96" s="2">
        <v>13787.66</v>
      </c>
      <c r="AX96" s="2">
        <v>7177.19</v>
      </c>
      <c r="AY96" s="2">
        <v>1734.54</v>
      </c>
      <c r="AZ96" s="2">
        <v>7432.74</v>
      </c>
      <c r="BA96" s="2">
        <v>9312.31</v>
      </c>
      <c r="BB96" s="2">
        <v>16715.25</v>
      </c>
      <c r="BC96" s="2">
        <v>12988.61</v>
      </c>
      <c r="BD96" s="2">
        <v>16159.96</v>
      </c>
      <c r="BE96" s="2">
        <v>11857.64</v>
      </c>
      <c r="BF96" s="2">
        <v>3352.52</v>
      </c>
      <c r="BG96" s="2">
        <v>12890.94</v>
      </c>
      <c r="BH96" s="2">
        <v>3951.02</v>
      </c>
      <c r="BI96" s="2">
        <v>2604.14</v>
      </c>
      <c r="BJ96" s="2">
        <v>6417.69</v>
      </c>
      <c r="BK96" s="2">
        <v>7434.73</v>
      </c>
      <c r="BL96" s="2">
        <v>12661.46</v>
      </c>
      <c r="BM96" s="2">
        <v>10422.59</v>
      </c>
      <c r="BN96" s="2">
        <v>12922.92</v>
      </c>
      <c r="BO96" s="2">
        <v>10305</v>
      </c>
      <c r="BR96" s="1" t="s">
        <v>69</v>
      </c>
      <c r="BS96" s="2">
        <v>4.68</v>
      </c>
      <c r="BT96" s="2">
        <v>1.18</v>
      </c>
      <c r="BU96" s="2">
        <v>4.4000000000000004</v>
      </c>
      <c r="BV96" s="2">
        <v>0.78</v>
      </c>
      <c r="BW96" s="2">
        <v>0.9</v>
      </c>
      <c r="BX96" s="2">
        <v>1.74</v>
      </c>
      <c r="BY96" s="2">
        <v>2.88</v>
      </c>
      <c r="BZ96" s="2">
        <v>2.85</v>
      </c>
      <c r="CA96" s="2">
        <v>3.6</v>
      </c>
      <c r="CB96" s="2">
        <v>3.03</v>
      </c>
      <c r="CC96" s="2">
        <v>6.48</v>
      </c>
      <c r="CD96" s="2">
        <v>5.19</v>
      </c>
      <c r="CE96" s="2">
        <v>5.22</v>
      </c>
      <c r="CF96" s="2">
        <v>4.24</v>
      </c>
      <c r="CG96" s="2">
        <v>6.84</v>
      </c>
      <c r="CH96" s="2">
        <v>4.99</v>
      </c>
      <c r="CI96" s="2">
        <v>4.41</v>
      </c>
      <c r="CJ96" s="2">
        <v>3.89</v>
      </c>
      <c r="CK96" s="2">
        <v>5.08</v>
      </c>
      <c r="CL96" s="2">
        <v>4.6100000000000003</v>
      </c>
    </row>
    <row r="97" spans="2:90" x14ac:dyDescent="0.3">
      <c r="B97" s="1" t="s">
        <v>70</v>
      </c>
      <c r="C97" s="2">
        <v>2919.49</v>
      </c>
      <c r="D97" s="2">
        <v>2945.26</v>
      </c>
      <c r="E97" s="2">
        <v>1506.5</v>
      </c>
      <c r="F97" s="2">
        <v>675.26</v>
      </c>
      <c r="G97" s="2">
        <v>946.98</v>
      </c>
      <c r="H97" s="2">
        <v>901.72</v>
      </c>
      <c r="I97" s="2">
        <v>1252.19</v>
      </c>
      <c r="J97" s="2">
        <v>3074.31</v>
      </c>
      <c r="K97" s="2">
        <v>3222.51</v>
      </c>
      <c r="L97" s="2">
        <v>3625.37</v>
      </c>
      <c r="M97" s="2">
        <v>5060.59</v>
      </c>
      <c r="N97" s="2">
        <v>4652.75</v>
      </c>
      <c r="O97" s="2">
        <v>3536.44</v>
      </c>
      <c r="P97" s="2">
        <v>3379.43</v>
      </c>
      <c r="Q97" s="2">
        <v>3723.24</v>
      </c>
      <c r="R97" s="2">
        <v>3707.76</v>
      </c>
      <c r="S97" s="2">
        <v>3007.33</v>
      </c>
      <c r="T97" s="2">
        <v>2618.2800000000002</v>
      </c>
      <c r="U97" s="2">
        <v>4251.6000000000004</v>
      </c>
      <c r="V97" s="2">
        <v>3279.96</v>
      </c>
      <c r="X97" s="1" t="s">
        <v>70</v>
      </c>
      <c r="Y97" s="2">
        <v>5936.96</v>
      </c>
      <c r="Z97" s="2">
        <v>13504.42</v>
      </c>
      <c r="AA97" s="2">
        <v>8279.68</v>
      </c>
      <c r="AB97" s="2">
        <v>2309.83</v>
      </c>
      <c r="AC97" s="2">
        <v>6472.45</v>
      </c>
      <c r="AD97" s="2">
        <v>9499.48</v>
      </c>
      <c r="AE97" s="2">
        <v>14954.9</v>
      </c>
      <c r="AF97" s="2">
        <v>10482.73</v>
      </c>
      <c r="AG97" s="2">
        <v>12403.07</v>
      </c>
      <c r="AH97" s="2">
        <v>10072.84</v>
      </c>
      <c r="AI97" s="2">
        <v>6405.13</v>
      </c>
      <c r="AJ97" s="2">
        <v>15485.84</v>
      </c>
      <c r="AK97" s="2">
        <v>6634.29</v>
      </c>
      <c r="AL97" s="2">
        <v>2572.33</v>
      </c>
      <c r="AM97" s="2">
        <v>8147.36</v>
      </c>
      <c r="AN97" s="2">
        <v>10177.58</v>
      </c>
      <c r="AO97" s="2">
        <v>14533.81</v>
      </c>
      <c r="AP97" s="2">
        <v>11479.87</v>
      </c>
      <c r="AQ97" s="2">
        <v>12808.83</v>
      </c>
      <c r="AR97" s="2">
        <v>10889.58</v>
      </c>
      <c r="AU97" s="1" t="s">
        <v>70</v>
      </c>
      <c r="AV97" s="2">
        <v>20180.900000000001</v>
      </c>
      <c r="AW97" s="2">
        <v>80311.58</v>
      </c>
      <c r="AX97" s="2">
        <v>31475.84</v>
      </c>
      <c r="AY97" s="2">
        <v>7686.24</v>
      </c>
      <c r="AZ97" s="2">
        <v>35933.15</v>
      </c>
      <c r="BA97" s="2">
        <v>47301.52</v>
      </c>
      <c r="BB97" s="2">
        <v>83220.7</v>
      </c>
      <c r="BC97" s="2">
        <v>62640.77</v>
      </c>
      <c r="BD97" s="2">
        <v>73951.929999999993</v>
      </c>
      <c r="BE97" s="2">
        <v>59844.76</v>
      </c>
      <c r="BF97" s="2">
        <v>26993.17</v>
      </c>
      <c r="BG97" s="2">
        <v>92941.66</v>
      </c>
      <c r="BH97" s="2">
        <v>37012.559999999998</v>
      </c>
      <c r="BI97" s="2">
        <v>8895.67</v>
      </c>
      <c r="BJ97" s="2">
        <v>32739.84</v>
      </c>
      <c r="BK97" s="2">
        <v>47079.42</v>
      </c>
      <c r="BL97" s="2">
        <v>87614.39</v>
      </c>
      <c r="BM97" s="2">
        <v>68857.38</v>
      </c>
      <c r="BN97" s="2">
        <v>76470.27</v>
      </c>
      <c r="BO97" s="2">
        <v>64864.12</v>
      </c>
      <c r="BR97" s="1" t="s">
        <v>70</v>
      </c>
      <c r="BS97" s="2">
        <v>2.34</v>
      </c>
      <c r="BT97" s="2">
        <v>2.34</v>
      </c>
      <c r="BU97" s="2">
        <v>2.34</v>
      </c>
      <c r="BV97" s="2">
        <v>1.45</v>
      </c>
      <c r="BW97" s="2">
        <v>0.9</v>
      </c>
      <c r="BX97" s="2">
        <v>0.9</v>
      </c>
      <c r="BY97" s="2">
        <v>1.8</v>
      </c>
      <c r="BZ97" s="2">
        <v>2.88</v>
      </c>
      <c r="CA97" s="2">
        <v>3.6</v>
      </c>
      <c r="CB97" s="2">
        <v>3.6</v>
      </c>
      <c r="CC97" s="2">
        <v>6.48</v>
      </c>
      <c r="CD97" s="2">
        <v>6.27</v>
      </c>
      <c r="CE97" s="2">
        <v>4.8600000000000003</v>
      </c>
      <c r="CF97" s="2">
        <v>4.55</v>
      </c>
      <c r="CG97" s="2">
        <v>5.23</v>
      </c>
      <c r="CH97" s="2">
        <v>5.33</v>
      </c>
      <c r="CI97" s="2">
        <v>4.2699999999999996</v>
      </c>
      <c r="CJ97" s="2">
        <v>3.78</v>
      </c>
      <c r="CK97" s="2">
        <v>5.37</v>
      </c>
      <c r="CL97" s="2">
        <v>3.87</v>
      </c>
    </row>
    <row r="98" spans="2:90" x14ac:dyDescent="0.3">
      <c r="B98" s="1" t="s">
        <v>71</v>
      </c>
      <c r="C98" s="2">
        <v>617.24</v>
      </c>
      <c r="D98" s="2">
        <v>531.66</v>
      </c>
      <c r="E98" s="2">
        <v>296.68</v>
      </c>
      <c r="F98" s="2">
        <v>187.87</v>
      </c>
      <c r="G98" s="2">
        <v>169.11</v>
      </c>
      <c r="H98" s="2">
        <v>152.75</v>
      </c>
      <c r="I98" s="2">
        <v>169.53</v>
      </c>
      <c r="J98" s="2">
        <v>439.2</v>
      </c>
      <c r="K98" s="2">
        <v>210.04</v>
      </c>
      <c r="L98" s="2">
        <v>625.17999999999995</v>
      </c>
      <c r="M98" s="2">
        <v>517.03</v>
      </c>
      <c r="N98" s="2">
        <v>939.8</v>
      </c>
      <c r="O98" s="2">
        <v>412.22</v>
      </c>
      <c r="P98" s="2">
        <v>597.89</v>
      </c>
      <c r="Q98" s="2">
        <v>547.85</v>
      </c>
      <c r="R98" s="2">
        <v>886.41</v>
      </c>
      <c r="S98" s="2">
        <v>492.89</v>
      </c>
      <c r="T98" s="2">
        <v>585.29999999999995</v>
      </c>
      <c r="U98" s="2">
        <v>593.52</v>
      </c>
      <c r="V98" s="2">
        <v>327.20999999999998</v>
      </c>
      <c r="X98" s="1" t="s">
        <v>71</v>
      </c>
      <c r="Y98" s="2">
        <v>1121.82</v>
      </c>
      <c r="Z98" s="2">
        <v>3450.91</v>
      </c>
      <c r="AA98" s="2">
        <v>1760.17</v>
      </c>
      <c r="AB98" s="2">
        <v>561.65</v>
      </c>
      <c r="AC98" s="2">
        <v>1515.18</v>
      </c>
      <c r="AD98" s="2">
        <v>1773.72</v>
      </c>
      <c r="AE98" s="2">
        <v>3323.71</v>
      </c>
      <c r="AF98" s="2">
        <v>2670.11</v>
      </c>
      <c r="AG98" s="2">
        <v>3419.58</v>
      </c>
      <c r="AH98" s="2">
        <v>2853.56</v>
      </c>
      <c r="AI98" s="2">
        <v>1701.91</v>
      </c>
      <c r="AJ98" s="2">
        <v>3539.45</v>
      </c>
      <c r="AK98" s="2">
        <v>1818.65</v>
      </c>
      <c r="AL98" s="2">
        <v>645.94000000000005</v>
      </c>
      <c r="AM98" s="2">
        <v>1693.76</v>
      </c>
      <c r="AN98" s="2">
        <v>2812.8</v>
      </c>
      <c r="AO98" s="2">
        <v>5239.74</v>
      </c>
      <c r="AP98" s="2">
        <v>3708.04</v>
      </c>
      <c r="AQ98" s="2">
        <v>4686.87</v>
      </c>
      <c r="AR98" s="2">
        <v>3735.95</v>
      </c>
      <c r="AU98" s="1" t="s">
        <v>71</v>
      </c>
      <c r="AV98" s="2">
        <v>5408.54</v>
      </c>
      <c r="AW98" s="2">
        <v>16690.84</v>
      </c>
      <c r="AX98" s="2">
        <v>8117.4</v>
      </c>
      <c r="AY98" s="2">
        <v>1607.2</v>
      </c>
      <c r="AZ98" s="2">
        <v>6774.9</v>
      </c>
      <c r="BA98" s="2">
        <v>8552.2800000000007</v>
      </c>
      <c r="BB98" s="2">
        <v>16235.81</v>
      </c>
      <c r="BC98" s="2">
        <v>12974.75</v>
      </c>
      <c r="BD98" s="2">
        <v>16682.53</v>
      </c>
      <c r="BE98" s="2">
        <v>13820.36</v>
      </c>
      <c r="BF98" s="2">
        <v>5259.83</v>
      </c>
      <c r="BG98" s="2">
        <v>17171.8</v>
      </c>
      <c r="BH98" s="2">
        <v>8420.69</v>
      </c>
      <c r="BI98" s="2">
        <v>1965.46</v>
      </c>
      <c r="BJ98" s="2">
        <v>5213.26</v>
      </c>
      <c r="BK98" s="2">
        <v>10629.55</v>
      </c>
      <c r="BL98" s="2">
        <v>20398.46</v>
      </c>
      <c r="BM98" s="2">
        <v>16315.01</v>
      </c>
      <c r="BN98" s="2">
        <v>20518.02</v>
      </c>
      <c r="BO98" s="2">
        <v>18601.400000000001</v>
      </c>
      <c r="BR98" s="1" t="s">
        <v>71</v>
      </c>
      <c r="BS98" s="2">
        <v>4.16</v>
      </c>
      <c r="BT98" s="2">
        <v>2.34</v>
      </c>
      <c r="BU98" s="2">
        <v>3.46</v>
      </c>
      <c r="BV98" s="2">
        <v>3.39</v>
      </c>
      <c r="BW98" s="2">
        <v>0.9</v>
      </c>
      <c r="BX98" s="2">
        <v>0.9</v>
      </c>
      <c r="BY98" s="2">
        <v>1.78</v>
      </c>
      <c r="BZ98" s="2">
        <v>2.88</v>
      </c>
      <c r="CA98" s="2">
        <v>2.19</v>
      </c>
      <c r="CB98" s="2">
        <v>3.6</v>
      </c>
      <c r="CC98" s="2">
        <v>4.72</v>
      </c>
      <c r="CD98" s="2">
        <v>6.48</v>
      </c>
      <c r="CE98" s="2">
        <v>3.72</v>
      </c>
      <c r="CF98" s="2">
        <v>5.22</v>
      </c>
      <c r="CG98" s="2">
        <v>4.83</v>
      </c>
      <c r="CH98" s="2">
        <v>6.84</v>
      </c>
      <c r="CI98" s="2">
        <v>4</v>
      </c>
      <c r="CJ98" s="2">
        <v>5.9</v>
      </c>
      <c r="CK98" s="2">
        <v>4.5999999999999996</v>
      </c>
      <c r="CL98" s="2">
        <v>3.92</v>
      </c>
    </row>
    <row r="99" spans="2:90" x14ac:dyDescent="0.3">
      <c r="B99" s="1" t="s">
        <v>72</v>
      </c>
      <c r="C99" s="2">
        <v>3612.46</v>
      </c>
      <c r="D99" s="2">
        <v>4019.27</v>
      </c>
      <c r="E99" s="2">
        <v>1054.33</v>
      </c>
      <c r="F99" s="2">
        <v>1444.23</v>
      </c>
      <c r="G99" s="2">
        <v>544.88</v>
      </c>
      <c r="H99" s="2">
        <v>1236.3499999999999</v>
      </c>
      <c r="I99" s="2">
        <v>1305.71</v>
      </c>
      <c r="J99" s="2">
        <v>2583.56</v>
      </c>
      <c r="K99" s="2">
        <v>1238.78</v>
      </c>
      <c r="L99" s="2">
        <v>3454.92</v>
      </c>
      <c r="M99" s="2">
        <v>2567.4299999999998</v>
      </c>
      <c r="N99" s="2">
        <v>5841.37</v>
      </c>
      <c r="O99" s="2">
        <v>2161.86</v>
      </c>
      <c r="P99" s="2">
        <v>4216.0200000000004</v>
      </c>
      <c r="Q99" s="2">
        <v>3548.13</v>
      </c>
      <c r="R99" s="2">
        <v>4541.7299999999996</v>
      </c>
      <c r="S99" s="2">
        <v>2565.2399999999998</v>
      </c>
      <c r="T99" s="2">
        <v>2313.35</v>
      </c>
      <c r="U99" s="2">
        <v>3022.24</v>
      </c>
      <c r="V99" s="2">
        <v>2594.15</v>
      </c>
      <c r="X99" s="1" t="s">
        <v>72</v>
      </c>
      <c r="Y99" s="2">
        <v>6276.42</v>
      </c>
      <c r="Z99" s="2">
        <v>10980.71</v>
      </c>
      <c r="AA99" s="2">
        <v>5165.0600000000004</v>
      </c>
      <c r="AB99" s="2">
        <v>2031.52</v>
      </c>
      <c r="AC99" s="2">
        <v>6233.96</v>
      </c>
      <c r="AD99" s="2">
        <v>5890.21</v>
      </c>
      <c r="AE99" s="2">
        <v>11614.81</v>
      </c>
      <c r="AF99" s="2">
        <v>9423.61</v>
      </c>
      <c r="AG99" s="2">
        <v>13537.98</v>
      </c>
      <c r="AH99" s="2">
        <v>8869.75</v>
      </c>
      <c r="AI99" s="2">
        <v>6492.78</v>
      </c>
      <c r="AJ99" s="2">
        <v>11056.08</v>
      </c>
      <c r="AK99" s="2">
        <v>7148.53</v>
      </c>
      <c r="AL99" s="2">
        <v>2455.1799999999998</v>
      </c>
      <c r="AM99" s="2">
        <v>8411.69</v>
      </c>
      <c r="AN99" s="2">
        <v>13104.41</v>
      </c>
      <c r="AO99" s="2">
        <v>23766.62</v>
      </c>
      <c r="AP99" s="2">
        <v>17164.599999999999</v>
      </c>
      <c r="AQ99" s="2">
        <v>12258.01</v>
      </c>
      <c r="AR99" s="2">
        <v>9565.49</v>
      </c>
      <c r="AU99" s="1" t="s">
        <v>72</v>
      </c>
      <c r="AV99" s="2">
        <v>20147.32</v>
      </c>
      <c r="AW99" s="2">
        <v>53587.57</v>
      </c>
      <c r="AX99" s="2">
        <v>23966.17</v>
      </c>
      <c r="AY99" s="2">
        <v>5141.17</v>
      </c>
      <c r="AZ99" s="2">
        <v>23044.69</v>
      </c>
      <c r="BA99" s="2">
        <v>27817.279999999999</v>
      </c>
      <c r="BB99" s="2">
        <v>51340.51</v>
      </c>
      <c r="BC99" s="2">
        <v>41392.93</v>
      </c>
      <c r="BD99" s="2">
        <v>54641.53</v>
      </c>
      <c r="BE99" s="2">
        <v>43248.92</v>
      </c>
      <c r="BF99" s="2">
        <v>20935.14</v>
      </c>
      <c r="BG99" s="2">
        <v>54037.35</v>
      </c>
      <c r="BH99" s="2">
        <v>27017.9</v>
      </c>
      <c r="BI99" s="2">
        <v>7760.24</v>
      </c>
      <c r="BJ99" s="2">
        <v>17730.919999999998</v>
      </c>
      <c r="BK99" s="2">
        <v>34639.279999999999</v>
      </c>
      <c r="BL99" s="2">
        <v>63473.1</v>
      </c>
      <c r="BM99" s="2">
        <v>49544.39</v>
      </c>
      <c r="BN99" s="2">
        <v>62100.95</v>
      </c>
      <c r="BO99" s="2">
        <v>46384.25</v>
      </c>
      <c r="BR99" s="1" t="s">
        <v>72</v>
      </c>
      <c r="BS99" s="2">
        <v>4.68</v>
      </c>
      <c r="BT99" s="2">
        <v>4.68</v>
      </c>
      <c r="BU99" s="2">
        <v>4.25</v>
      </c>
      <c r="BV99" s="2">
        <v>4.75</v>
      </c>
      <c r="BW99" s="2">
        <v>0.9</v>
      </c>
      <c r="BX99" s="2">
        <v>1.8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10.67</v>
      </c>
      <c r="CI99" s="2">
        <v>6.05</v>
      </c>
      <c r="CJ99" s="2">
        <v>6.12</v>
      </c>
      <c r="CK99" s="2">
        <v>7.18</v>
      </c>
      <c r="CL99" s="2">
        <v>6.92</v>
      </c>
    </row>
    <row r="100" spans="2:90" x14ac:dyDescent="0.3">
      <c r="B100" s="1" t="s">
        <v>73</v>
      </c>
      <c r="C100" s="2">
        <v>441.88</v>
      </c>
      <c r="D100" s="2">
        <v>628.77</v>
      </c>
      <c r="E100" s="2">
        <v>74.349999999999994</v>
      </c>
      <c r="F100" s="2">
        <v>84.07</v>
      </c>
      <c r="G100" s="2">
        <v>101.15</v>
      </c>
      <c r="H100" s="2">
        <v>62.44</v>
      </c>
      <c r="I100" s="2">
        <v>212.98</v>
      </c>
      <c r="J100" s="2">
        <v>849.68</v>
      </c>
      <c r="K100" s="2">
        <v>612.04999999999995</v>
      </c>
      <c r="L100" s="2">
        <v>985.85</v>
      </c>
      <c r="M100" s="2">
        <v>1649.11</v>
      </c>
      <c r="N100" s="2">
        <v>1854.27</v>
      </c>
      <c r="O100" s="2">
        <v>1508.47</v>
      </c>
      <c r="P100" s="2">
        <v>1394.66</v>
      </c>
      <c r="Q100" s="2">
        <v>1727.95</v>
      </c>
      <c r="R100" s="2">
        <v>1505.82</v>
      </c>
      <c r="S100" s="2">
        <v>1412.42</v>
      </c>
      <c r="T100" s="2">
        <v>1098.42</v>
      </c>
      <c r="U100" s="2">
        <v>1642.98</v>
      </c>
      <c r="V100" s="2">
        <v>1459.64</v>
      </c>
      <c r="X100" s="1" t="s">
        <v>73</v>
      </c>
      <c r="Y100" s="2">
        <v>2296.58</v>
      </c>
      <c r="Z100" s="2">
        <v>6633.75</v>
      </c>
      <c r="AA100" s="2">
        <v>2540.29</v>
      </c>
      <c r="AB100" s="2">
        <v>182.67</v>
      </c>
      <c r="AC100" s="2">
        <v>1816.56</v>
      </c>
      <c r="AD100" s="2">
        <v>3096.58</v>
      </c>
      <c r="AE100" s="2">
        <v>5622.75</v>
      </c>
      <c r="AF100" s="2">
        <v>4466.63</v>
      </c>
      <c r="AG100" s="2">
        <v>5771.82</v>
      </c>
      <c r="AH100" s="2">
        <v>4924.33</v>
      </c>
      <c r="AI100" s="2">
        <v>2965.81</v>
      </c>
      <c r="AJ100" s="2">
        <v>6529.56</v>
      </c>
      <c r="AK100" s="2">
        <v>2693.86</v>
      </c>
      <c r="AL100" s="2">
        <v>1060.8699999999999</v>
      </c>
      <c r="AM100" s="2">
        <v>3613.21</v>
      </c>
      <c r="AN100" s="2">
        <v>4248.01</v>
      </c>
      <c r="AO100" s="2">
        <v>7829.9</v>
      </c>
      <c r="AP100" s="2">
        <v>5688.73</v>
      </c>
      <c r="AQ100" s="2">
        <v>6116.9</v>
      </c>
      <c r="AR100" s="2">
        <v>4987.6099999999997</v>
      </c>
      <c r="AU100" s="1" t="s">
        <v>73</v>
      </c>
      <c r="AV100" s="2">
        <v>10836.28</v>
      </c>
      <c r="AW100" s="2">
        <v>26885.4</v>
      </c>
      <c r="AX100" s="2">
        <v>11271.95</v>
      </c>
      <c r="AY100" s="2">
        <v>3170.28</v>
      </c>
      <c r="AZ100" s="2">
        <v>10108.56</v>
      </c>
      <c r="BA100" s="2">
        <v>13541.42</v>
      </c>
      <c r="BB100" s="2">
        <v>23983.29</v>
      </c>
      <c r="BC100" s="2">
        <v>19006.84</v>
      </c>
      <c r="BD100" s="2">
        <v>23827.14</v>
      </c>
      <c r="BE100" s="2">
        <v>19528.13</v>
      </c>
      <c r="BF100" s="2">
        <v>14178.59</v>
      </c>
      <c r="BG100" s="2">
        <v>27962.94</v>
      </c>
      <c r="BH100" s="2">
        <v>11960.78</v>
      </c>
      <c r="BI100" s="2">
        <v>4697.78</v>
      </c>
      <c r="BJ100" s="2">
        <v>14978.02</v>
      </c>
      <c r="BK100" s="2">
        <v>19560.009999999998</v>
      </c>
      <c r="BL100" s="2">
        <v>36408.74</v>
      </c>
      <c r="BM100" s="2">
        <v>27232.94</v>
      </c>
      <c r="BN100" s="2">
        <v>26933.98</v>
      </c>
      <c r="BO100" s="2">
        <v>20343.07</v>
      </c>
      <c r="BR100" s="1" t="s">
        <v>73</v>
      </c>
      <c r="BS100" s="2">
        <v>1.35</v>
      </c>
      <c r="BT100" s="2">
        <v>1.82</v>
      </c>
      <c r="BU100" s="2">
        <v>0.51</v>
      </c>
      <c r="BV100" s="2">
        <v>0.54</v>
      </c>
      <c r="BW100" s="2">
        <v>0.43</v>
      </c>
      <c r="BX100" s="2">
        <v>0.24</v>
      </c>
      <c r="BY100" s="2">
        <v>0.76</v>
      </c>
      <c r="BZ100" s="2">
        <v>2.88</v>
      </c>
      <c r="CA100" s="2">
        <v>2</v>
      </c>
      <c r="CB100" s="2">
        <v>3.6</v>
      </c>
      <c r="CC100" s="2">
        <v>5.12</v>
      </c>
      <c r="CD100" s="2">
        <v>6.48</v>
      </c>
      <c r="CE100" s="2">
        <v>4.6100000000000003</v>
      </c>
      <c r="CF100" s="2">
        <v>4.7300000000000004</v>
      </c>
      <c r="CG100" s="2">
        <v>5.16</v>
      </c>
      <c r="CH100" s="2">
        <v>4.82</v>
      </c>
      <c r="CI100" s="2">
        <v>4.09</v>
      </c>
      <c r="CJ100" s="2">
        <v>3.36</v>
      </c>
      <c r="CK100" s="2">
        <v>4.63</v>
      </c>
      <c r="CL100" s="2">
        <v>3.78</v>
      </c>
    </row>
    <row r="101" spans="2:90" x14ac:dyDescent="0.3">
      <c r="W101" s="5">
        <f>SUM(C93:V100)/$W$45</f>
        <v>0.14400400974038732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63</v>
      </c>
      <c r="D104" s="1" t="s">
        <v>64</v>
      </c>
      <c r="E104" s="1" t="s">
        <v>63</v>
      </c>
      <c r="F104" s="1" t="s">
        <v>64</v>
      </c>
      <c r="G104" s="1" t="s">
        <v>63</v>
      </c>
      <c r="H104" s="1" t="s">
        <v>64</v>
      </c>
      <c r="I104" s="1" t="s">
        <v>63</v>
      </c>
      <c r="J104" s="1" t="s">
        <v>64</v>
      </c>
      <c r="K104" s="1" t="s">
        <v>63</v>
      </c>
      <c r="L104" s="1" t="s">
        <v>64</v>
      </c>
      <c r="M104" s="1" t="s">
        <v>63</v>
      </c>
      <c r="N104" s="1" t="s">
        <v>64</v>
      </c>
      <c r="O104" s="1" t="s">
        <v>63</v>
      </c>
      <c r="P104" s="1" t="s">
        <v>64</v>
      </c>
      <c r="Q104" s="1" t="s">
        <v>63</v>
      </c>
      <c r="R104" s="1" t="s">
        <v>64</v>
      </c>
      <c r="S104" s="1" t="s">
        <v>63</v>
      </c>
      <c r="T104" s="1" t="s">
        <v>64</v>
      </c>
      <c r="U104" s="1" t="s">
        <v>63</v>
      </c>
      <c r="V104" s="1" t="s">
        <v>64</v>
      </c>
      <c r="X104" s="1" t="s">
        <v>6</v>
      </c>
      <c r="Y104" s="1" t="s">
        <v>63</v>
      </c>
      <c r="Z104" s="1" t="s">
        <v>64</v>
      </c>
      <c r="AA104" s="1" t="s">
        <v>63</v>
      </c>
      <c r="AB104" s="1" t="s">
        <v>64</v>
      </c>
      <c r="AC104" s="1" t="s">
        <v>63</v>
      </c>
      <c r="AD104" s="1" t="s">
        <v>64</v>
      </c>
      <c r="AE104" s="1" t="s">
        <v>63</v>
      </c>
      <c r="AF104" s="1" t="s">
        <v>64</v>
      </c>
      <c r="AG104" s="1" t="s">
        <v>63</v>
      </c>
      <c r="AH104" s="1" t="s">
        <v>64</v>
      </c>
      <c r="AI104" s="1" t="s">
        <v>63</v>
      </c>
      <c r="AJ104" s="1" t="s">
        <v>64</v>
      </c>
      <c r="AK104" s="1" t="s">
        <v>63</v>
      </c>
      <c r="AL104" s="1" t="s">
        <v>64</v>
      </c>
      <c r="AM104" s="1" t="s">
        <v>63</v>
      </c>
      <c r="AN104" s="1" t="s">
        <v>64</v>
      </c>
      <c r="AO104" s="1" t="s">
        <v>63</v>
      </c>
      <c r="AP104" s="1" t="s">
        <v>64</v>
      </c>
      <c r="AQ104" s="1" t="s">
        <v>63</v>
      </c>
      <c r="AR104" s="1" t="s">
        <v>64</v>
      </c>
      <c r="AU104" s="1" t="s">
        <v>6</v>
      </c>
      <c r="AV104" s="1" t="s">
        <v>63</v>
      </c>
      <c r="AW104" s="1" t="s">
        <v>64</v>
      </c>
      <c r="AX104" s="1" t="s">
        <v>63</v>
      </c>
      <c r="AY104" s="1" t="s">
        <v>64</v>
      </c>
      <c r="AZ104" s="1" t="s">
        <v>63</v>
      </c>
      <c r="BA104" s="1" t="s">
        <v>64</v>
      </c>
      <c r="BB104" s="1" t="s">
        <v>63</v>
      </c>
      <c r="BC104" s="1" t="s">
        <v>64</v>
      </c>
      <c r="BD104" s="1" t="s">
        <v>63</v>
      </c>
      <c r="BE104" s="1" t="s">
        <v>64</v>
      </c>
      <c r="BF104" s="1" t="s">
        <v>63</v>
      </c>
      <c r="BG104" s="1" t="s">
        <v>64</v>
      </c>
      <c r="BH104" s="1" t="s">
        <v>63</v>
      </c>
      <c r="BI104" s="1" t="s">
        <v>64</v>
      </c>
      <c r="BJ104" s="1" t="s">
        <v>63</v>
      </c>
      <c r="BK104" s="1" t="s">
        <v>64</v>
      </c>
      <c r="BL104" s="1" t="s">
        <v>63</v>
      </c>
      <c r="BM104" s="1" t="s">
        <v>64</v>
      </c>
      <c r="BN104" s="1" t="s">
        <v>63</v>
      </c>
      <c r="BO104" s="1" t="s">
        <v>64</v>
      </c>
      <c r="BR104" s="1" t="s">
        <v>6</v>
      </c>
      <c r="BS104" s="1" t="s">
        <v>63</v>
      </c>
      <c r="BT104" s="1" t="s">
        <v>64</v>
      </c>
      <c r="BU104" s="1" t="s">
        <v>63</v>
      </c>
      <c r="BV104" s="1" t="s">
        <v>64</v>
      </c>
      <c r="BW104" s="1" t="s">
        <v>63</v>
      </c>
      <c r="BX104" s="1" t="s">
        <v>64</v>
      </c>
      <c r="BY104" s="1" t="s">
        <v>63</v>
      </c>
      <c r="BZ104" s="1" t="s">
        <v>64</v>
      </c>
      <c r="CA104" s="1" t="s">
        <v>63</v>
      </c>
      <c r="CB104" s="1" t="s">
        <v>64</v>
      </c>
      <c r="CC104" s="1" t="s">
        <v>63</v>
      </c>
      <c r="CD104" s="1" t="s">
        <v>64</v>
      </c>
      <c r="CE104" s="1" t="s">
        <v>63</v>
      </c>
      <c r="CF104" s="1" t="s">
        <v>64</v>
      </c>
      <c r="CG104" s="1" t="s">
        <v>63</v>
      </c>
      <c r="CH104" s="1" t="s">
        <v>64</v>
      </c>
      <c r="CI104" s="1" t="s">
        <v>63</v>
      </c>
      <c r="CJ104" s="1" t="s">
        <v>64</v>
      </c>
      <c r="CK104" s="1" t="s">
        <v>63</v>
      </c>
      <c r="CL104" s="1" t="s">
        <v>64</v>
      </c>
    </row>
    <row r="105" spans="2:90" x14ac:dyDescent="0.3">
      <c r="B105" s="1" t="s">
        <v>65</v>
      </c>
      <c r="C105" s="1" t="s">
        <v>53</v>
      </c>
      <c r="D105" s="1" t="s">
        <v>53</v>
      </c>
      <c r="E105" s="1" t="s">
        <v>54</v>
      </c>
      <c r="F105" s="1" t="s">
        <v>54</v>
      </c>
      <c r="G105" s="1" t="s">
        <v>55</v>
      </c>
      <c r="H105" s="1" t="s">
        <v>55</v>
      </c>
      <c r="I105" s="1" t="s">
        <v>56</v>
      </c>
      <c r="J105" s="1" t="s">
        <v>56</v>
      </c>
      <c r="K105" s="1" t="s">
        <v>57</v>
      </c>
      <c r="L105" s="1" t="s">
        <v>57</v>
      </c>
      <c r="M105" s="1" t="s">
        <v>58</v>
      </c>
      <c r="N105" s="1" t="s">
        <v>58</v>
      </c>
      <c r="O105" s="1" t="s">
        <v>59</v>
      </c>
      <c r="P105" s="1" t="s">
        <v>59</v>
      </c>
      <c r="Q105" s="1" t="s">
        <v>60</v>
      </c>
      <c r="R105" s="1" t="s">
        <v>60</v>
      </c>
      <c r="S105" s="1" t="s">
        <v>61</v>
      </c>
      <c r="T105" s="1" t="s">
        <v>61</v>
      </c>
      <c r="U105" s="1" t="s">
        <v>62</v>
      </c>
      <c r="V105" s="1" t="s">
        <v>62</v>
      </c>
      <c r="X105" s="1" t="s">
        <v>65</v>
      </c>
      <c r="Y105" s="1" t="s">
        <v>53</v>
      </c>
      <c r="Z105" s="1" t="s">
        <v>53</v>
      </c>
      <c r="AA105" s="1" t="s">
        <v>54</v>
      </c>
      <c r="AB105" s="1" t="s">
        <v>54</v>
      </c>
      <c r="AC105" s="1" t="s">
        <v>55</v>
      </c>
      <c r="AD105" s="1" t="s">
        <v>55</v>
      </c>
      <c r="AE105" s="1" t="s">
        <v>56</v>
      </c>
      <c r="AF105" s="1" t="s">
        <v>56</v>
      </c>
      <c r="AG105" s="1" t="s">
        <v>57</v>
      </c>
      <c r="AH105" s="1" t="s">
        <v>57</v>
      </c>
      <c r="AI105" s="1" t="s">
        <v>58</v>
      </c>
      <c r="AJ105" s="1" t="s">
        <v>58</v>
      </c>
      <c r="AK105" s="1" t="s">
        <v>59</v>
      </c>
      <c r="AL105" s="1" t="s">
        <v>59</v>
      </c>
      <c r="AM105" s="1" t="s">
        <v>60</v>
      </c>
      <c r="AN105" s="1" t="s">
        <v>60</v>
      </c>
      <c r="AO105" s="1" t="s">
        <v>61</v>
      </c>
      <c r="AP105" s="1" t="s">
        <v>61</v>
      </c>
      <c r="AQ105" s="1" t="s">
        <v>62</v>
      </c>
      <c r="AR105" s="1" t="s">
        <v>62</v>
      </c>
      <c r="AU105" s="1" t="s">
        <v>65</v>
      </c>
      <c r="AV105" s="1" t="s">
        <v>53</v>
      </c>
      <c r="AW105" s="1" t="s">
        <v>53</v>
      </c>
      <c r="AX105" s="1" t="s">
        <v>54</v>
      </c>
      <c r="AY105" s="1" t="s">
        <v>54</v>
      </c>
      <c r="AZ105" s="1" t="s">
        <v>55</v>
      </c>
      <c r="BA105" s="1" t="s">
        <v>55</v>
      </c>
      <c r="BB105" s="1" t="s">
        <v>56</v>
      </c>
      <c r="BC105" s="1" t="s">
        <v>56</v>
      </c>
      <c r="BD105" s="1" t="s">
        <v>57</v>
      </c>
      <c r="BE105" s="1" t="s">
        <v>57</v>
      </c>
      <c r="BF105" s="1" t="s">
        <v>58</v>
      </c>
      <c r="BG105" s="1" t="s">
        <v>58</v>
      </c>
      <c r="BH105" s="1" t="s">
        <v>59</v>
      </c>
      <c r="BI105" s="1" t="s">
        <v>59</v>
      </c>
      <c r="BJ105" s="1" t="s">
        <v>60</v>
      </c>
      <c r="BK105" s="1" t="s">
        <v>60</v>
      </c>
      <c r="BL105" s="1" t="s">
        <v>61</v>
      </c>
      <c r="BM105" s="1" t="s">
        <v>61</v>
      </c>
      <c r="BN105" s="1" t="s">
        <v>62</v>
      </c>
      <c r="BO105" s="1" t="s">
        <v>62</v>
      </c>
      <c r="BR105" s="1" t="s">
        <v>65</v>
      </c>
      <c r="BS105" s="1" t="s">
        <v>53</v>
      </c>
      <c r="BT105" s="1" t="s">
        <v>53</v>
      </c>
      <c r="BU105" s="1" t="s">
        <v>54</v>
      </c>
      <c r="BV105" s="1" t="s">
        <v>54</v>
      </c>
      <c r="BW105" s="1" t="s">
        <v>55</v>
      </c>
      <c r="BX105" s="1" t="s">
        <v>55</v>
      </c>
      <c r="BY105" s="1" t="s">
        <v>56</v>
      </c>
      <c r="BZ105" s="1" t="s">
        <v>56</v>
      </c>
      <c r="CA105" s="1" t="s">
        <v>57</v>
      </c>
      <c r="CB105" s="1" t="s">
        <v>57</v>
      </c>
      <c r="CC105" s="1" t="s">
        <v>58</v>
      </c>
      <c r="CD105" s="1" t="s">
        <v>58</v>
      </c>
      <c r="CE105" s="1" t="s">
        <v>59</v>
      </c>
      <c r="CF105" s="1" t="s">
        <v>59</v>
      </c>
      <c r="CG105" s="1" t="s">
        <v>60</v>
      </c>
      <c r="CH105" s="1" t="s">
        <v>60</v>
      </c>
      <c r="CI105" s="1" t="s">
        <v>61</v>
      </c>
      <c r="CJ105" s="1" t="s">
        <v>61</v>
      </c>
      <c r="CK105" s="1" t="s">
        <v>62</v>
      </c>
      <c r="CL105" s="1" t="s">
        <v>62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66</v>
      </c>
      <c r="C107" s="2">
        <v>1.411806743478773E-2</v>
      </c>
      <c r="D107" s="2">
        <v>2.1197797717213751E-2</v>
      </c>
      <c r="E107" s="2">
        <v>2.7629932340158172E-3</v>
      </c>
      <c r="F107" s="2">
        <v>4.2429429232334476E-3</v>
      </c>
      <c r="G107" s="2">
        <v>3.5807499541655758E-3</v>
      </c>
      <c r="H107" s="2">
        <v>5.6150191768116111E-3</v>
      </c>
      <c r="I107" s="2">
        <v>1.824038440588481E-2</v>
      </c>
      <c r="J107" s="2">
        <v>9.2062465464898303E-3</v>
      </c>
      <c r="K107" s="2">
        <v>2.2668577238551011E-2</v>
      </c>
      <c r="L107" s="2">
        <v>7.8290127172941284E-3</v>
      </c>
      <c r="M107" s="2">
        <v>2.2462956239653789E-2</v>
      </c>
      <c r="N107" s="2">
        <v>6.1916459768507192E-3</v>
      </c>
      <c r="O107" s="2">
        <v>2.2625180259899409E-2</v>
      </c>
      <c r="P107" s="2">
        <v>2.879733838323799E-3</v>
      </c>
      <c r="Q107" s="2">
        <v>1.861008776839207E-2</v>
      </c>
      <c r="R107" s="2">
        <v>7.6390123062257233E-3</v>
      </c>
      <c r="S107" s="2">
        <v>2.058825753535963E-3</v>
      </c>
      <c r="T107" s="2">
        <v>1.9865376123357481E-3</v>
      </c>
      <c r="U107" s="2">
        <v>6.7395656613181273E-3</v>
      </c>
      <c r="V107" s="2">
        <v>2.8955167110667861E-3</v>
      </c>
      <c r="X107" s="1" t="s">
        <v>66</v>
      </c>
      <c r="Y107" s="2">
        <v>2820.6</v>
      </c>
      <c r="Z107" s="2">
        <v>2575.56</v>
      </c>
      <c r="AA107" s="2">
        <v>684.59</v>
      </c>
      <c r="AB107" s="2">
        <v>617.4</v>
      </c>
      <c r="AC107" s="2">
        <v>504.95</v>
      </c>
      <c r="AD107" s="2">
        <v>968.61</v>
      </c>
      <c r="AE107" s="2">
        <v>1830.8</v>
      </c>
      <c r="AF107" s="2">
        <v>956.67</v>
      </c>
      <c r="AG107" s="2">
        <v>2749.72</v>
      </c>
      <c r="AH107" s="2">
        <v>768.11</v>
      </c>
      <c r="AI107" s="2">
        <v>2821.57</v>
      </c>
      <c r="AJ107" s="2">
        <v>553.83000000000004</v>
      </c>
      <c r="AK107" s="2">
        <v>2558.23</v>
      </c>
      <c r="AL107" s="2">
        <v>223.26</v>
      </c>
      <c r="AM107" s="2">
        <v>1878.47</v>
      </c>
      <c r="AN107" s="2">
        <v>505.6</v>
      </c>
      <c r="AO107" s="2">
        <v>107.04</v>
      </c>
      <c r="AP107" s="2">
        <v>66.17</v>
      </c>
      <c r="AQ107" s="2">
        <v>309.35000000000002</v>
      </c>
      <c r="AR107" s="2">
        <v>65</v>
      </c>
      <c r="AU107" s="1" t="s">
        <v>66</v>
      </c>
      <c r="AV107" s="2">
        <v>9255.1</v>
      </c>
      <c r="AW107" s="2">
        <v>9154.34</v>
      </c>
      <c r="AX107" s="2">
        <v>10458.01</v>
      </c>
      <c r="AY107" s="2">
        <v>9487.1</v>
      </c>
      <c r="AZ107" s="2">
        <v>7751.55</v>
      </c>
      <c r="BA107" s="2">
        <v>10081.59</v>
      </c>
      <c r="BB107" s="2">
        <v>9698.9</v>
      </c>
      <c r="BC107" s="2">
        <v>9463.5300000000007</v>
      </c>
      <c r="BD107" s="2">
        <v>9731.2800000000007</v>
      </c>
      <c r="BE107" s="2">
        <v>9523.2900000000009</v>
      </c>
      <c r="BF107" s="2">
        <v>10014.33</v>
      </c>
      <c r="BG107" s="2">
        <v>9692.07</v>
      </c>
      <c r="BH107" s="2">
        <v>9737.27</v>
      </c>
      <c r="BI107" s="2">
        <v>9485.74</v>
      </c>
      <c r="BJ107" s="2">
        <v>10032.73</v>
      </c>
      <c r="BK107" s="2">
        <v>9937</v>
      </c>
      <c r="BL107" s="2">
        <v>10316.66</v>
      </c>
      <c r="BM107" s="2">
        <v>6377.33</v>
      </c>
      <c r="BN107" s="2">
        <v>9468.9500000000007</v>
      </c>
      <c r="BO107" s="2">
        <v>6265.1</v>
      </c>
      <c r="BR107" s="1" t="s">
        <v>66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67</v>
      </c>
      <c r="C108" s="2">
        <v>2.1026632489281862E-2</v>
      </c>
      <c r="D108" s="2">
        <v>1.149408699416915E-2</v>
      </c>
      <c r="E108" s="2">
        <v>1.865007451410056E-2</v>
      </c>
      <c r="F108" s="2">
        <v>1.2802042712320969E-2</v>
      </c>
      <c r="G108" s="2">
        <v>1.8346129205694589E-2</v>
      </c>
      <c r="H108" s="2">
        <v>1.400765854043008E-2</v>
      </c>
      <c r="I108" s="2">
        <v>4.302576822312796E-2</v>
      </c>
      <c r="J108" s="2">
        <v>2.850978224027385E-2</v>
      </c>
      <c r="K108" s="2">
        <v>3.8406581030604049E-2</v>
      </c>
      <c r="L108" s="2">
        <v>1.9640240397788351E-2</v>
      </c>
      <c r="M108" s="2">
        <v>4.5972649578265981E-2</v>
      </c>
      <c r="N108" s="2">
        <v>2.2235724026995841E-2</v>
      </c>
      <c r="O108" s="2">
        <v>3.7021314338761623E-2</v>
      </c>
      <c r="P108" s="2">
        <v>2.9170077645067131E-2</v>
      </c>
      <c r="Q108" s="2">
        <v>3.69303667857191E-2</v>
      </c>
      <c r="R108" s="2">
        <v>3.0479779575277689E-2</v>
      </c>
      <c r="S108" s="2">
        <v>5.2489561149771588E-2</v>
      </c>
      <c r="T108" s="2">
        <v>2.9438231748797571E-2</v>
      </c>
      <c r="U108" s="2">
        <v>6.4241659459575551E-2</v>
      </c>
      <c r="V108" s="2">
        <v>2.863919998921818E-2</v>
      </c>
      <c r="X108" s="1" t="s">
        <v>67</v>
      </c>
      <c r="Y108" s="2">
        <v>925.22</v>
      </c>
      <c r="Z108" s="2">
        <v>536.47</v>
      </c>
      <c r="AA108" s="2">
        <v>1020.66</v>
      </c>
      <c r="AB108" s="2">
        <v>620.29999999999995</v>
      </c>
      <c r="AC108" s="2">
        <v>605.58000000000004</v>
      </c>
      <c r="AD108" s="2">
        <v>750.1</v>
      </c>
      <c r="AE108" s="2">
        <v>1092.24</v>
      </c>
      <c r="AF108" s="2">
        <v>631</v>
      </c>
      <c r="AG108" s="2">
        <v>1013.3</v>
      </c>
      <c r="AH108" s="2">
        <v>585.23</v>
      </c>
      <c r="AI108" s="2">
        <v>975.52</v>
      </c>
      <c r="AJ108" s="2">
        <v>590.36</v>
      </c>
      <c r="AK108" s="2">
        <v>788.77</v>
      </c>
      <c r="AL108" s="2">
        <v>662.43</v>
      </c>
      <c r="AM108" s="2">
        <v>757.25</v>
      </c>
      <c r="AN108" s="2">
        <v>686.66</v>
      </c>
      <c r="AO108" s="2">
        <v>748.11</v>
      </c>
      <c r="AP108" s="2">
        <v>508.3</v>
      </c>
      <c r="AQ108" s="2">
        <v>874.87</v>
      </c>
      <c r="AR108" s="2">
        <v>504.54</v>
      </c>
      <c r="AU108" s="1" t="s">
        <v>67</v>
      </c>
      <c r="AV108" s="2">
        <v>5592.28</v>
      </c>
      <c r="AW108" s="2">
        <v>3217.43</v>
      </c>
      <c r="AX108" s="2">
        <v>5755.64</v>
      </c>
      <c r="AY108" s="2">
        <v>3465.9</v>
      </c>
      <c r="AZ108" s="2">
        <v>3375.02</v>
      </c>
      <c r="BA108" s="2">
        <v>4186.3999999999996</v>
      </c>
      <c r="BB108" s="2">
        <v>6203.86</v>
      </c>
      <c r="BC108" s="2">
        <v>3524.4</v>
      </c>
      <c r="BD108" s="2">
        <v>6192.4</v>
      </c>
      <c r="BE108" s="2">
        <v>3515.07</v>
      </c>
      <c r="BF108" s="2">
        <v>6054.58</v>
      </c>
      <c r="BG108" s="2">
        <v>3554.24</v>
      </c>
      <c r="BH108" s="2">
        <v>4789.13</v>
      </c>
      <c r="BI108" s="2">
        <v>3993.67</v>
      </c>
      <c r="BJ108" s="2">
        <v>4604.3500000000004</v>
      </c>
      <c r="BK108" s="2">
        <v>4156.1400000000003</v>
      </c>
      <c r="BL108" s="2">
        <v>4536.29</v>
      </c>
      <c r="BM108" s="2">
        <v>3051.9</v>
      </c>
      <c r="BN108" s="2">
        <v>5393.33</v>
      </c>
      <c r="BO108" s="2">
        <v>3040.66</v>
      </c>
      <c r="BR108" s="1" t="s">
        <v>67</v>
      </c>
      <c r="BS108" s="2">
        <v>4.9000000000000004</v>
      </c>
      <c r="BT108" s="2">
        <v>2.81</v>
      </c>
      <c r="BU108" s="2">
        <v>3.83</v>
      </c>
      <c r="BV108" s="2">
        <v>2.41</v>
      </c>
      <c r="BW108" s="2">
        <v>1.49</v>
      </c>
      <c r="BX108" s="2">
        <v>1.2</v>
      </c>
      <c r="BY108" s="2">
        <v>5.69</v>
      </c>
      <c r="BZ108" s="2">
        <v>6.68</v>
      </c>
      <c r="CA108" s="2">
        <v>7.87</v>
      </c>
      <c r="CB108" s="2">
        <v>6.4</v>
      </c>
      <c r="CC108" s="2">
        <v>18.04</v>
      </c>
      <c r="CD108" s="2">
        <v>11.9</v>
      </c>
      <c r="CE108" s="2">
        <v>13.07</v>
      </c>
      <c r="CF108" s="2">
        <v>10.62</v>
      </c>
      <c r="CG108" s="2">
        <v>16.149999999999999</v>
      </c>
      <c r="CH108" s="2">
        <v>11.99</v>
      </c>
      <c r="CI108" s="2">
        <v>13.57</v>
      </c>
      <c r="CJ108" s="2">
        <v>8.89</v>
      </c>
      <c r="CK108" s="2">
        <v>14.7</v>
      </c>
      <c r="CL108" s="2">
        <v>8.4499999999999993</v>
      </c>
    </row>
    <row r="109" spans="2:90" x14ac:dyDescent="0.3">
      <c r="B109" s="1" t="s">
        <v>68</v>
      </c>
      <c r="C109" s="2">
        <v>0.33253365677715152</v>
      </c>
      <c r="D109" s="2">
        <v>3.6865546167348107E-2</v>
      </c>
      <c r="E109" s="2">
        <v>0.36485751450039211</v>
      </c>
      <c r="F109" s="2">
        <v>3.2717967979513957E-2</v>
      </c>
      <c r="G109" s="2">
        <v>0.31823921655065568</v>
      </c>
      <c r="H109" s="2">
        <v>0.20144809391288049</v>
      </c>
      <c r="I109" s="2">
        <v>0.37643624443330842</v>
      </c>
      <c r="J109" s="2">
        <v>0.15330447889421661</v>
      </c>
      <c r="K109" s="2">
        <v>0.34594336840952972</v>
      </c>
      <c r="L109" s="2">
        <v>0.1247230213148877</v>
      </c>
      <c r="M109" s="2">
        <v>0.3447149222599884</v>
      </c>
      <c r="N109" s="2">
        <v>0.1353516831602383</v>
      </c>
      <c r="O109" s="2">
        <v>0.35379271525104877</v>
      </c>
      <c r="P109" s="2">
        <v>0.15450141799954911</v>
      </c>
      <c r="Q109" s="2">
        <v>0.37379788647370721</v>
      </c>
      <c r="R109" s="2">
        <v>0.16621493656847081</v>
      </c>
      <c r="S109" s="2">
        <v>0.26921751061877419</v>
      </c>
      <c r="T109" s="2">
        <v>0.18298538590984489</v>
      </c>
      <c r="U109" s="2">
        <v>0.18881387060814839</v>
      </c>
      <c r="V109" s="2">
        <v>0.1837994222743343</v>
      </c>
      <c r="X109" s="1" t="s">
        <v>68</v>
      </c>
      <c r="Y109" s="2">
        <v>4653.3500000000004</v>
      </c>
      <c r="Z109" s="2">
        <v>1308.21</v>
      </c>
      <c r="AA109" s="2">
        <v>4851.79</v>
      </c>
      <c r="AB109" s="2">
        <v>1387.29</v>
      </c>
      <c r="AC109" s="2">
        <v>4926.53</v>
      </c>
      <c r="AD109" s="2">
        <v>4346.1499999999996</v>
      </c>
      <c r="AE109" s="2">
        <v>5497.1</v>
      </c>
      <c r="AF109" s="2">
        <v>2469.23</v>
      </c>
      <c r="AG109" s="2">
        <v>5741.85</v>
      </c>
      <c r="AH109" s="2">
        <v>2022.38</v>
      </c>
      <c r="AI109" s="2">
        <v>5880.89</v>
      </c>
      <c r="AJ109" s="2">
        <v>2004.8</v>
      </c>
      <c r="AK109" s="2">
        <v>5378.58</v>
      </c>
      <c r="AL109" s="2">
        <v>2094.56</v>
      </c>
      <c r="AM109" s="2">
        <v>5204</v>
      </c>
      <c r="AN109" s="2">
        <v>1967.57</v>
      </c>
      <c r="AO109" s="2">
        <v>2537.9699999999998</v>
      </c>
      <c r="AP109" s="2">
        <v>1512.3</v>
      </c>
      <c r="AQ109" s="2">
        <v>1587.79</v>
      </c>
      <c r="AR109" s="2">
        <v>1392</v>
      </c>
      <c r="AU109" s="1" t="s">
        <v>68</v>
      </c>
      <c r="AV109" s="2">
        <v>16183.11</v>
      </c>
      <c r="AW109" s="2">
        <v>7845.69</v>
      </c>
      <c r="AX109" s="2">
        <v>18132.669999999998</v>
      </c>
      <c r="AY109" s="2">
        <v>7749.21</v>
      </c>
      <c r="AZ109" s="2">
        <v>10519.5</v>
      </c>
      <c r="BA109" s="2">
        <v>12994.57</v>
      </c>
      <c r="BB109" s="2">
        <v>15712.83</v>
      </c>
      <c r="BC109" s="2">
        <v>11373.75</v>
      </c>
      <c r="BD109" s="2">
        <v>15949.35</v>
      </c>
      <c r="BE109" s="2">
        <v>10782.56</v>
      </c>
      <c r="BF109" s="2">
        <v>16162.23</v>
      </c>
      <c r="BG109" s="2">
        <v>10598.43</v>
      </c>
      <c r="BH109" s="2">
        <v>13927.95</v>
      </c>
      <c r="BI109" s="2">
        <v>10813.15</v>
      </c>
      <c r="BJ109" s="2">
        <v>13222.36</v>
      </c>
      <c r="BK109" s="2">
        <v>11071.13</v>
      </c>
      <c r="BL109" s="2">
        <v>12365.61</v>
      </c>
      <c r="BM109" s="2">
        <v>8955.89</v>
      </c>
      <c r="BN109" s="2">
        <v>9537.26</v>
      </c>
      <c r="BO109" s="2">
        <v>8297.1200000000008</v>
      </c>
      <c r="BR109" s="1" t="s">
        <v>68</v>
      </c>
      <c r="BS109" s="2">
        <v>14.04</v>
      </c>
      <c r="BT109" s="2">
        <v>3.56</v>
      </c>
      <c r="BU109" s="2">
        <v>14.97</v>
      </c>
      <c r="BV109" s="2">
        <v>2.73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16.54</v>
      </c>
      <c r="CK109" s="2">
        <v>21.14</v>
      </c>
      <c r="CL109" s="2">
        <v>18.59</v>
      </c>
    </row>
    <row r="110" spans="2:90" x14ac:dyDescent="0.3">
      <c r="B110" s="1" t="s">
        <v>69</v>
      </c>
      <c r="C110" s="2">
        <v>6.1788906503506193E-2</v>
      </c>
      <c r="D110" s="2">
        <v>1.424980939108602E-2</v>
      </c>
      <c r="E110" s="2">
        <v>6.5362756450532508E-2</v>
      </c>
      <c r="F110" s="2">
        <v>1.153791085097778E-2</v>
      </c>
      <c r="G110" s="2">
        <v>7.3971609437153266E-2</v>
      </c>
      <c r="H110" s="2">
        <v>8.1395503796334756E-2</v>
      </c>
      <c r="I110" s="2">
        <v>9.4510033181812281E-2</v>
      </c>
      <c r="J110" s="2">
        <v>4.4230152738371803E-2</v>
      </c>
      <c r="K110" s="2">
        <v>7.6783777055329835E-2</v>
      </c>
      <c r="L110" s="2">
        <v>3.2604521888433741E-2</v>
      </c>
      <c r="M110" s="2">
        <v>7.5012759076330496E-2</v>
      </c>
      <c r="N110" s="2">
        <v>3.237854203820914E-2</v>
      </c>
      <c r="O110" s="2">
        <v>8.012860752377679E-2</v>
      </c>
      <c r="P110" s="2">
        <v>3.641990598621242E-2</v>
      </c>
      <c r="Q110" s="2">
        <v>6.5860054892035697E-2</v>
      </c>
      <c r="R110" s="2">
        <v>3.7076560778667833E-2</v>
      </c>
      <c r="S110" s="2">
        <v>4.7061072195669677E-2</v>
      </c>
      <c r="T110" s="2">
        <v>4.5437796130757012E-2</v>
      </c>
      <c r="U110" s="2">
        <v>4.7325331347234732E-2</v>
      </c>
      <c r="V110" s="2">
        <v>5.0791639899309807E-2</v>
      </c>
      <c r="X110" s="1" t="s">
        <v>69</v>
      </c>
      <c r="Y110" s="2">
        <v>822.2</v>
      </c>
      <c r="Z110" s="2">
        <v>479.84</v>
      </c>
      <c r="AA110" s="2">
        <v>968.8</v>
      </c>
      <c r="AB110" s="2">
        <v>544.46</v>
      </c>
      <c r="AC110" s="2">
        <v>1125.79</v>
      </c>
      <c r="AD110" s="2">
        <v>929.05</v>
      </c>
      <c r="AE110" s="2">
        <v>1295.75</v>
      </c>
      <c r="AF110" s="2">
        <v>717.32</v>
      </c>
      <c r="AG110" s="2">
        <v>1211.1099999999999</v>
      </c>
      <c r="AH110" s="2">
        <v>619.54999999999995</v>
      </c>
      <c r="AI110" s="2">
        <v>1206.3399999999999</v>
      </c>
      <c r="AJ110" s="2">
        <v>586.41</v>
      </c>
      <c r="AK110" s="2">
        <v>1179.19</v>
      </c>
      <c r="AL110" s="2">
        <v>599.4</v>
      </c>
      <c r="AM110" s="2">
        <v>894.28</v>
      </c>
      <c r="AN110" s="2">
        <v>567.03</v>
      </c>
      <c r="AO110" s="2">
        <v>580.96</v>
      </c>
      <c r="AP110" s="2">
        <v>522.02</v>
      </c>
      <c r="AQ110" s="2">
        <v>517.38</v>
      </c>
      <c r="AR110" s="2">
        <v>493.64</v>
      </c>
      <c r="AU110" s="1" t="s">
        <v>69</v>
      </c>
      <c r="AV110" s="2">
        <v>4768.6000000000004</v>
      </c>
      <c r="AW110" s="2">
        <v>2578.86</v>
      </c>
      <c r="AX110" s="2">
        <v>5520.91</v>
      </c>
      <c r="AY110" s="2">
        <v>3039.24</v>
      </c>
      <c r="AZ110" s="2">
        <v>3469.07</v>
      </c>
      <c r="BA110" s="2">
        <v>5208.2700000000004</v>
      </c>
      <c r="BB110" s="2">
        <v>4645.46</v>
      </c>
      <c r="BC110" s="2">
        <v>4011.06</v>
      </c>
      <c r="BD110" s="2">
        <v>4656.16</v>
      </c>
      <c r="BE110" s="2">
        <v>3717.36</v>
      </c>
      <c r="BF110" s="2">
        <v>4643.13</v>
      </c>
      <c r="BG110" s="2">
        <v>3517.07</v>
      </c>
      <c r="BH110" s="2">
        <v>4478.83</v>
      </c>
      <c r="BI110" s="2">
        <v>3594</v>
      </c>
      <c r="BJ110" s="2">
        <v>4252.62</v>
      </c>
      <c r="BK110" s="2">
        <v>3400.77</v>
      </c>
      <c r="BL110" s="2">
        <v>3487.54</v>
      </c>
      <c r="BM110" s="2">
        <v>3030.88</v>
      </c>
      <c r="BN110" s="2">
        <v>3063.92</v>
      </c>
      <c r="BO110" s="2">
        <v>2864.65</v>
      </c>
      <c r="BR110" s="1" t="s">
        <v>69</v>
      </c>
      <c r="BS110" s="2">
        <v>14.04</v>
      </c>
      <c r="BT110" s="2">
        <v>3.53</v>
      </c>
      <c r="BU110" s="2">
        <v>13.2</v>
      </c>
      <c r="BV110" s="2">
        <v>2.35</v>
      </c>
      <c r="BW110" s="2">
        <v>2.7</v>
      </c>
      <c r="BX110" s="2">
        <v>5.22</v>
      </c>
      <c r="BY110" s="2">
        <v>8.64</v>
      </c>
      <c r="BZ110" s="2">
        <v>8.5399999999999991</v>
      </c>
      <c r="CA110" s="2">
        <v>10.8</v>
      </c>
      <c r="CB110" s="2">
        <v>9.1</v>
      </c>
      <c r="CC110" s="2">
        <v>19.440000000000001</v>
      </c>
      <c r="CD110" s="2">
        <v>15.58</v>
      </c>
      <c r="CE110" s="2">
        <v>15.66</v>
      </c>
      <c r="CF110" s="2">
        <v>12.71</v>
      </c>
      <c r="CG110" s="2">
        <v>20.52</v>
      </c>
      <c r="CH110" s="2">
        <v>14.97</v>
      </c>
      <c r="CI110" s="2">
        <v>13.22</v>
      </c>
      <c r="CJ110" s="2">
        <v>11.67</v>
      </c>
      <c r="CK110" s="2">
        <v>15.25</v>
      </c>
      <c r="CL110" s="2">
        <v>13.83</v>
      </c>
    </row>
    <row r="111" spans="2:90" x14ac:dyDescent="0.3">
      <c r="B111" s="1" t="s">
        <v>70</v>
      </c>
      <c r="C111" s="2">
        <v>0.16956472559771271</v>
      </c>
      <c r="D111" s="2">
        <v>0.26953361019803329</v>
      </c>
      <c r="E111" s="2">
        <v>0.22686272269850091</v>
      </c>
      <c r="F111" s="2">
        <v>0.18591424394582429</v>
      </c>
      <c r="G111" s="2">
        <v>0.28208873132375989</v>
      </c>
      <c r="H111" s="2">
        <v>0.22606439585904231</v>
      </c>
      <c r="I111" s="2">
        <v>0.17114147228523141</v>
      </c>
      <c r="J111" s="2">
        <v>0.30223828718039902</v>
      </c>
      <c r="K111" s="2">
        <v>0.28242748902980802</v>
      </c>
      <c r="L111" s="2">
        <v>0.29122000076894589</v>
      </c>
      <c r="M111" s="2">
        <v>0.23997721163255389</v>
      </c>
      <c r="N111" s="2">
        <v>0.23650550465666559</v>
      </c>
      <c r="O111" s="2">
        <v>0.20926460464214741</v>
      </c>
      <c r="P111" s="2">
        <v>0.23018319289843239</v>
      </c>
      <c r="Q111" s="2">
        <v>0.17191176595677571</v>
      </c>
      <c r="R111" s="2">
        <v>0.21415847311422381</v>
      </c>
      <c r="S111" s="2">
        <v>0.22546234595313161</v>
      </c>
      <c r="T111" s="2">
        <v>0.2363600830657962</v>
      </c>
      <c r="U111" s="2">
        <v>0.27112600956216681</v>
      </c>
      <c r="V111" s="2">
        <v>0.26791855535639142</v>
      </c>
      <c r="X111" s="1" t="s">
        <v>70</v>
      </c>
      <c r="Y111" s="2">
        <v>4566.8900000000003</v>
      </c>
      <c r="Z111" s="2">
        <v>4927.0200000000004</v>
      </c>
      <c r="AA111" s="2">
        <v>6368.98</v>
      </c>
      <c r="AB111" s="2">
        <v>5103.3</v>
      </c>
      <c r="AC111" s="2">
        <v>4619.66</v>
      </c>
      <c r="AD111" s="2">
        <v>5144.6499999999996</v>
      </c>
      <c r="AE111" s="2">
        <v>4045.28</v>
      </c>
      <c r="AF111" s="2">
        <v>5092.1000000000004</v>
      </c>
      <c r="AG111" s="2">
        <v>4749.74</v>
      </c>
      <c r="AH111" s="2">
        <v>5088.79</v>
      </c>
      <c r="AI111" s="2">
        <v>4154.1400000000003</v>
      </c>
      <c r="AJ111" s="2">
        <v>4037.17</v>
      </c>
      <c r="AK111" s="2">
        <v>3614.73</v>
      </c>
      <c r="AL111" s="2">
        <v>3958.58</v>
      </c>
      <c r="AM111" s="2">
        <v>3263.97</v>
      </c>
      <c r="AN111" s="2">
        <v>3370.75</v>
      </c>
      <c r="AO111" s="2">
        <v>2962.6</v>
      </c>
      <c r="AP111" s="2">
        <v>3202.82</v>
      </c>
      <c r="AQ111" s="2">
        <v>3000.98</v>
      </c>
      <c r="AR111" s="2">
        <v>3441.3</v>
      </c>
      <c r="AU111" s="1" t="s">
        <v>70</v>
      </c>
      <c r="AV111" s="2">
        <v>15523.77</v>
      </c>
      <c r="AW111" s="2">
        <v>20763.98</v>
      </c>
      <c r="AX111" s="2">
        <v>24212.18</v>
      </c>
      <c r="AY111" s="2">
        <v>28471.200000000001</v>
      </c>
      <c r="AZ111" s="2">
        <v>15372.48</v>
      </c>
      <c r="BA111" s="2">
        <v>17791.330000000002</v>
      </c>
      <c r="BB111" s="2">
        <v>22458.22</v>
      </c>
      <c r="BC111" s="2">
        <v>20462.400000000001</v>
      </c>
      <c r="BD111" s="2">
        <v>23650.76</v>
      </c>
      <c r="BE111" s="2">
        <v>23539.71</v>
      </c>
      <c r="BF111" s="2">
        <v>23116.86</v>
      </c>
      <c r="BG111" s="2">
        <v>24337.33</v>
      </c>
      <c r="BH111" s="2">
        <v>21600.27</v>
      </c>
      <c r="BI111" s="2">
        <v>23743.919999999998</v>
      </c>
      <c r="BJ111" s="2">
        <v>19461.03</v>
      </c>
      <c r="BK111" s="2">
        <v>20123.75</v>
      </c>
      <c r="BL111" s="2">
        <v>17601.400000000001</v>
      </c>
      <c r="BM111" s="2">
        <v>19077.68</v>
      </c>
      <c r="BN111" s="2">
        <v>17847.02</v>
      </c>
      <c r="BO111" s="2">
        <v>20653.7</v>
      </c>
      <c r="BR111" s="1" t="s">
        <v>70</v>
      </c>
      <c r="BS111" s="2">
        <v>7.02</v>
      </c>
      <c r="BT111" s="2">
        <v>7.02</v>
      </c>
      <c r="BU111" s="2">
        <v>7.02</v>
      </c>
      <c r="BV111" s="2">
        <v>4.3499999999999996</v>
      </c>
      <c r="BW111" s="2">
        <v>2.7</v>
      </c>
      <c r="BX111" s="2">
        <v>2.7</v>
      </c>
      <c r="BY111" s="2">
        <v>5.39</v>
      </c>
      <c r="BZ111" s="2">
        <v>8.64</v>
      </c>
      <c r="CA111" s="2">
        <v>10.8</v>
      </c>
      <c r="CB111" s="2">
        <v>10.8</v>
      </c>
      <c r="CC111" s="2">
        <v>19.440000000000001</v>
      </c>
      <c r="CD111" s="2">
        <v>18.8</v>
      </c>
      <c r="CE111" s="2">
        <v>14.57</v>
      </c>
      <c r="CF111" s="2">
        <v>13.65</v>
      </c>
      <c r="CG111" s="2">
        <v>15.68</v>
      </c>
      <c r="CH111" s="2">
        <v>15.98</v>
      </c>
      <c r="CI111" s="2">
        <v>12.81</v>
      </c>
      <c r="CJ111" s="2">
        <v>11.34</v>
      </c>
      <c r="CK111" s="2">
        <v>16.11</v>
      </c>
      <c r="CL111" s="2">
        <v>11.61</v>
      </c>
    </row>
    <row r="112" spans="2:90" x14ac:dyDescent="0.3">
      <c r="B112" s="1" t="s">
        <v>71</v>
      </c>
      <c r="C112" s="2">
        <v>5.1328840155758837E-2</v>
      </c>
      <c r="D112" s="2">
        <v>6.5179467964227245E-2</v>
      </c>
      <c r="E112" s="2">
        <v>6.7370612884967887E-2</v>
      </c>
      <c r="F112" s="2">
        <v>0.1108939963917223</v>
      </c>
      <c r="G112" s="2">
        <v>6.4153772945536341E-2</v>
      </c>
      <c r="H112" s="2">
        <v>5.2073048935994411E-2</v>
      </c>
      <c r="I112" s="2">
        <v>3.607613489286448E-2</v>
      </c>
      <c r="J112" s="2">
        <v>5.69504358915634E-2</v>
      </c>
      <c r="K112" s="2">
        <v>2.88183671168416E-2</v>
      </c>
      <c r="L112" s="2">
        <v>7.3102054204844252E-2</v>
      </c>
      <c r="M112" s="2">
        <v>3.5698239083186437E-2</v>
      </c>
      <c r="N112" s="2">
        <v>7.9714728234896448E-2</v>
      </c>
      <c r="O112" s="2">
        <v>3.6956101938723097E-2</v>
      </c>
      <c r="P112" s="2">
        <v>7.5756521545522093E-2</v>
      </c>
      <c r="Q112" s="2">
        <v>3.9331564019543498E-2</v>
      </c>
      <c r="R112" s="2">
        <v>8.9503249068957721E-2</v>
      </c>
      <c r="S112" s="2">
        <v>5.4013308637680828E-2</v>
      </c>
      <c r="T112" s="2">
        <v>0.1099280633496043</v>
      </c>
      <c r="U112" s="2">
        <v>5.3724105718753599E-2</v>
      </c>
      <c r="V112" s="2">
        <v>5.3948316164788082E-2</v>
      </c>
      <c r="X112" s="1" t="s">
        <v>71</v>
      </c>
      <c r="Y112" s="2">
        <v>862.94</v>
      </c>
      <c r="Z112" s="2">
        <v>1309.1600000000001</v>
      </c>
      <c r="AA112" s="2">
        <v>1353.98</v>
      </c>
      <c r="AB112" s="2">
        <v>1398.96</v>
      </c>
      <c r="AC112" s="2">
        <v>1123.31</v>
      </c>
      <c r="AD112" s="2">
        <v>1291.8699999999999</v>
      </c>
      <c r="AE112" s="2">
        <v>946.99</v>
      </c>
      <c r="AF112" s="2">
        <v>1058.5999999999999</v>
      </c>
      <c r="AG112" s="2">
        <v>886.86</v>
      </c>
      <c r="AH112" s="2">
        <v>1406.4</v>
      </c>
      <c r="AI112" s="2">
        <v>923.25</v>
      </c>
      <c r="AJ112" s="2">
        <v>1455.48</v>
      </c>
      <c r="AK112" s="2">
        <v>920.73</v>
      </c>
      <c r="AL112" s="2">
        <v>1278.6300000000001</v>
      </c>
      <c r="AM112" s="2">
        <v>899.89</v>
      </c>
      <c r="AN112" s="2">
        <v>1233.3900000000001</v>
      </c>
      <c r="AO112" s="2">
        <v>839.28</v>
      </c>
      <c r="AP112" s="2">
        <v>1098.81</v>
      </c>
      <c r="AQ112" s="2">
        <v>766.87</v>
      </c>
      <c r="AR112" s="2">
        <v>786.54</v>
      </c>
      <c r="AU112" s="1" t="s">
        <v>71</v>
      </c>
      <c r="AV112" s="2">
        <v>4160.41</v>
      </c>
      <c r="AW112" s="2">
        <v>4046.03</v>
      </c>
      <c r="AX112" s="2">
        <v>6244.15</v>
      </c>
      <c r="AY112" s="2">
        <v>6477.45</v>
      </c>
      <c r="AZ112" s="2">
        <v>3214.41</v>
      </c>
      <c r="BA112" s="2">
        <v>3930.92</v>
      </c>
      <c r="BB112" s="2">
        <v>4234.3100000000004</v>
      </c>
      <c r="BC112" s="2">
        <v>3258.28</v>
      </c>
      <c r="BD112" s="2">
        <v>4276.1400000000003</v>
      </c>
      <c r="BE112" s="2">
        <v>5314.77</v>
      </c>
      <c r="BF112" s="2">
        <v>4509.95</v>
      </c>
      <c r="BG112" s="2">
        <v>5666.24</v>
      </c>
      <c r="BH112" s="2">
        <v>4474.05</v>
      </c>
      <c r="BI112" s="2">
        <v>5625.87</v>
      </c>
      <c r="BJ112" s="2">
        <v>4390.1400000000003</v>
      </c>
      <c r="BK112" s="2">
        <v>5399.48</v>
      </c>
      <c r="BL112" s="2">
        <v>4064.81</v>
      </c>
      <c r="BM112" s="2">
        <v>5471</v>
      </c>
      <c r="BN112" s="2">
        <v>3709.08</v>
      </c>
      <c r="BO112" s="2">
        <v>3815.96</v>
      </c>
      <c r="BR112" s="1" t="s">
        <v>71</v>
      </c>
      <c r="BS112" s="2">
        <v>12.47</v>
      </c>
      <c r="BT112" s="2">
        <v>7.02</v>
      </c>
      <c r="BU112" s="2">
        <v>10.39</v>
      </c>
      <c r="BV112" s="2">
        <v>10.16</v>
      </c>
      <c r="BW112" s="2">
        <v>2.7</v>
      </c>
      <c r="BX112" s="2">
        <v>2.7</v>
      </c>
      <c r="BY112" s="2">
        <v>5.33</v>
      </c>
      <c r="BZ112" s="2">
        <v>8.64</v>
      </c>
      <c r="CA112" s="2">
        <v>6.56</v>
      </c>
      <c r="CB112" s="2">
        <v>10.8</v>
      </c>
      <c r="CC112" s="2">
        <v>14.16</v>
      </c>
      <c r="CD112" s="2">
        <v>19.440000000000001</v>
      </c>
      <c r="CE112" s="2">
        <v>11.15</v>
      </c>
      <c r="CF112" s="2">
        <v>15.66</v>
      </c>
      <c r="CG112" s="2">
        <v>14.48</v>
      </c>
      <c r="CH112" s="2">
        <v>20.52</v>
      </c>
      <c r="CI112" s="2">
        <v>12.01</v>
      </c>
      <c r="CJ112" s="2">
        <v>17.7</v>
      </c>
      <c r="CK112" s="2">
        <v>13.81</v>
      </c>
      <c r="CL112" s="2">
        <v>11.76</v>
      </c>
    </row>
    <row r="113" spans="2:90" x14ac:dyDescent="0.3">
      <c r="B113" s="1" t="s">
        <v>72</v>
      </c>
      <c r="C113" s="2">
        <v>0.31576202748692389</v>
      </c>
      <c r="D113" s="2">
        <v>0.49668883844623091</v>
      </c>
      <c r="E113" s="2">
        <v>0.24006911377550219</v>
      </c>
      <c r="F113" s="2">
        <v>0.61559495967493005</v>
      </c>
      <c r="G113" s="2">
        <v>0.2259853371044592</v>
      </c>
      <c r="H113" s="2">
        <v>0.39752980277944783</v>
      </c>
      <c r="I113" s="2">
        <v>0.2403776314707784</v>
      </c>
      <c r="J113" s="2">
        <v>0.28899471306419788</v>
      </c>
      <c r="K113" s="2">
        <v>0.15681112907281861</v>
      </c>
      <c r="L113" s="2">
        <v>0.34417007622784351</v>
      </c>
      <c r="M113" s="2">
        <v>0.16849818278992271</v>
      </c>
      <c r="N113" s="2">
        <v>0.36958917602079477</v>
      </c>
      <c r="O113" s="2">
        <v>0.1803551890012513</v>
      </c>
      <c r="P113" s="2">
        <v>0.36278493680131257</v>
      </c>
      <c r="Q113" s="2">
        <v>0.22010801510889691</v>
      </c>
      <c r="R113" s="2">
        <v>0.36927300530862123</v>
      </c>
      <c r="S113" s="2">
        <v>0.25126670392049127</v>
      </c>
      <c r="T113" s="2">
        <v>0.30211662628746022</v>
      </c>
      <c r="U113" s="2">
        <v>0.26180177440861191</v>
      </c>
      <c r="V113" s="2">
        <v>0.30560010542220539</v>
      </c>
      <c r="X113" s="1" t="s">
        <v>72</v>
      </c>
      <c r="Y113" s="2">
        <v>4828.0200000000004</v>
      </c>
      <c r="Z113" s="2">
        <v>4994.45</v>
      </c>
      <c r="AA113" s="2">
        <v>3973.12</v>
      </c>
      <c r="AB113" s="2">
        <v>5498.87</v>
      </c>
      <c r="AC113" s="2">
        <v>4063.03</v>
      </c>
      <c r="AD113" s="2">
        <v>4910.37</v>
      </c>
      <c r="AE113" s="2">
        <v>3896.23</v>
      </c>
      <c r="AF113" s="2">
        <v>5257.31</v>
      </c>
      <c r="AG113" s="2">
        <v>2945.1</v>
      </c>
      <c r="AH113" s="2">
        <v>6552.21</v>
      </c>
      <c r="AI113" s="2">
        <v>3226.34</v>
      </c>
      <c r="AJ113" s="2">
        <v>6601.84</v>
      </c>
      <c r="AK113" s="2">
        <v>3249.52</v>
      </c>
      <c r="AL113" s="2">
        <v>5918.83</v>
      </c>
      <c r="AM113" s="2">
        <v>3562.63</v>
      </c>
      <c r="AN113" s="2">
        <v>3225.79</v>
      </c>
      <c r="AO113" s="2">
        <v>2608.75</v>
      </c>
      <c r="AP113" s="2">
        <v>2813.38</v>
      </c>
      <c r="AQ113" s="2">
        <v>2440.16</v>
      </c>
      <c r="AR113" s="2">
        <v>2456.91</v>
      </c>
      <c r="AU113" s="1" t="s">
        <v>72</v>
      </c>
      <c r="AV113" s="2">
        <v>15497.94</v>
      </c>
      <c r="AW113" s="2">
        <v>16103.95</v>
      </c>
      <c r="AX113" s="2">
        <v>18435.509999999998</v>
      </c>
      <c r="AY113" s="2">
        <v>20783</v>
      </c>
      <c r="AZ113" s="2">
        <v>10282.33</v>
      </c>
      <c r="BA113" s="2">
        <v>15520.48</v>
      </c>
      <c r="BB113" s="2">
        <v>14402.93</v>
      </c>
      <c r="BC113" s="2">
        <v>11081.83</v>
      </c>
      <c r="BD113" s="2">
        <v>13908.64</v>
      </c>
      <c r="BE113" s="2">
        <v>17319.64</v>
      </c>
      <c r="BF113" s="2">
        <v>14261.25</v>
      </c>
      <c r="BG113" s="2">
        <v>17631.419999999998</v>
      </c>
      <c r="BH113" s="2">
        <v>14273.42</v>
      </c>
      <c r="BI113" s="2">
        <v>17084.27</v>
      </c>
      <c r="BJ113" s="2">
        <v>14379.35</v>
      </c>
      <c r="BK113" s="2">
        <v>16342.36</v>
      </c>
      <c r="BL113" s="2">
        <v>12720.27</v>
      </c>
      <c r="BM113" s="2">
        <v>13642.43</v>
      </c>
      <c r="BN113" s="2">
        <v>11908.35</v>
      </c>
      <c r="BO113" s="2">
        <v>12008.3</v>
      </c>
      <c r="BR113" s="1" t="s">
        <v>72</v>
      </c>
      <c r="BS113" s="2">
        <v>14.04</v>
      </c>
      <c r="BT113" s="2">
        <v>14.04</v>
      </c>
      <c r="BU113" s="2">
        <v>12.75</v>
      </c>
      <c r="BV113" s="2">
        <v>14.25</v>
      </c>
      <c r="BW113" s="2">
        <v>2.7</v>
      </c>
      <c r="BX113" s="2">
        <v>5.4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32.020000000000003</v>
      </c>
      <c r="CI113" s="2">
        <v>18.149999999999999</v>
      </c>
      <c r="CJ113" s="2">
        <v>18.36</v>
      </c>
      <c r="CK113" s="2">
        <v>21.53</v>
      </c>
      <c r="CL113" s="2">
        <v>20.75</v>
      </c>
    </row>
    <row r="114" spans="2:90" x14ac:dyDescent="0.3">
      <c r="B114" s="1" t="s">
        <v>73</v>
      </c>
      <c r="C114" s="2">
        <v>3.3877143554877261E-2</v>
      </c>
      <c r="D114" s="2">
        <v>8.4790843121691509E-2</v>
      </c>
      <c r="E114" s="2">
        <v>1.406421194198805E-2</v>
      </c>
      <c r="F114" s="2">
        <v>2.6295935521477139E-2</v>
      </c>
      <c r="G114" s="2">
        <v>1.363445347857524E-2</v>
      </c>
      <c r="H114" s="2">
        <v>2.1866476999058391E-2</v>
      </c>
      <c r="I114" s="2">
        <v>2.019233110699235E-2</v>
      </c>
      <c r="J114" s="2">
        <v>0.1165659034444876</v>
      </c>
      <c r="K114" s="2">
        <v>4.8140711046517362E-2</v>
      </c>
      <c r="L114" s="2">
        <v>0.10671107247996239</v>
      </c>
      <c r="M114" s="2">
        <v>6.7663079340098395E-2</v>
      </c>
      <c r="N114" s="2">
        <v>0.1180329958853493</v>
      </c>
      <c r="O114" s="2">
        <v>7.9856287044391572E-2</v>
      </c>
      <c r="P114" s="2">
        <v>0.10830421328558031</v>
      </c>
      <c r="Q114" s="2">
        <v>7.3450258994929699E-2</v>
      </c>
      <c r="R114" s="2">
        <v>8.5654983279555091E-2</v>
      </c>
      <c r="S114" s="2">
        <v>9.8430671770944778E-2</v>
      </c>
      <c r="T114" s="2">
        <v>9.1747275895403921E-2</v>
      </c>
      <c r="U114" s="2">
        <v>0.1062276832341911</v>
      </c>
      <c r="V114" s="2">
        <v>0.10640724418268591</v>
      </c>
      <c r="X114" s="1" t="s">
        <v>73</v>
      </c>
      <c r="Y114" s="2">
        <v>1766.6</v>
      </c>
      <c r="Z114" s="2">
        <v>2281.39</v>
      </c>
      <c r="AA114" s="2">
        <v>1954.07</v>
      </c>
      <c r="AB114" s="2">
        <v>2072.1999999999998</v>
      </c>
      <c r="AC114" s="2">
        <v>365.33</v>
      </c>
      <c r="AD114" s="2">
        <v>2121.75</v>
      </c>
      <c r="AE114" s="2">
        <v>1135.3499999999999</v>
      </c>
      <c r="AF114" s="2">
        <v>2258.25</v>
      </c>
      <c r="AG114" s="2">
        <v>1548.29</v>
      </c>
      <c r="AH114" s="2">
        <v>2124</v>
      </c>
      <c r="AI114" s="2">
        <v>1561.87</v>
      </c>
      <c r="AJ114" s="2">
        <v>2174.9699999999998</v>
      </c>
      <c r="AK114" s="2">
        <v>1540.22</v>
      </c>
      <c r="AL114" s="2">
        <v>1961.63</v>
      </c>
      <c r="AM114" s="2">
        <v>1518.9</v>
      </c>
      <c r="AN114" s="2">
        <v>1609.71</v>
      </c>
      <c r="AO114" s="2">
        <v>1448.33</v>
      </c>
      <c r="AP114" s="2">
        <v>1466.94</v>
      </c>
      <c r="AQ114" s="2">
        <v>1474.17</v>
      </c>
      <c r="AR114" s="2">
        <v>1451.01</v>
      </c>
      <c r="AU114" s="1" t="s">
        <v>73</v>
      </c>
      <c r="AV114" s="2">
        <v>8335.6</v>
      </c>
      <c r="AW114" s="2">
        <v>10906.61</v>
      </c>
      <c r="AX114" s="2">
        <v>8670.73</v>
      </c>
      <c r="AY114" s="2">
        <v>9200.6</v>
      </c>
      <c r="AZ114" s="2">
        <v>6340.57</v>
      </c>
      <c r="BA114" s="2">
        <v>9395.5499999999993</v>
      </c>
      <c r="BB114" s="2">
        <v>6317.85</v>
      </c>
      <c r="BC114" s="2">
        <v>9361.26</v>
      </c>
      <c r="BD114" s="2">
        <v>6770.71</v>
      </c>
      <c r="BE114" s="2">
        <v>9780</v>
      </c>
      <c r="BF114" s="2">
        <v>6662.03</v>
      </c>
      <c r="BG114" s="2">
        <v>10113.540000000001</v>
      </c>
      <c r="BH114" s="2">
        <v>6554.08</v>
      </c>
      <c r="BI114" s="2">
        <v>9390.67</v>
      </c>
      <c r="BJ114" s="2">
        <v>6270.3</v>
      </c>
      <c r="BK114" s="2">
        <v>7087.89</v>
      </c>
      <c r="BL114" s="2">
        <v>5743.57</v>
      </c>
      <c r="BM114" s="2">
        <v>5983.26</v>
      </c>
      <c r="BN114" s="2">
        <v>5974.53</v>
      </c>
      <c r="BO114" s="2">
        <v>6213.99</v>
      </c>
      <c r="BR114" s="1" t="s">
        <v>73</v>
      </c>
      <c r="BS114" s="2">
        <v>4.05</v>
      </c>
      <c r="BT114" s="2">
        <v>5.45</v>
      </c>
      <c r="BU114" s="2">
        <v>1.52</v>
      </c>
      <c r="BV114" s="2">
        <v>1.61</v>
      </c>
      <c r="BW114" s="2">
        <v>1.29</v>
      </c>
      <c r="BX114" s="2">
        <v>0.71</v>
      </c>
      <c r="BY114" s="2">
        <v>2.27</v>
      </c>
      <c r="BZ114" s="2">
        <v>8.64</v>
      </c>
      <c r="CA114" s="2">
        <v>5.99</v>
      </c>
      <c r="CB114" s="2">
        <v>10.8</v>
      </c>
      <c r="CC114" s="2">
        <v>15.36</v>
      </c>
      <c r="CD114" s="2">
        <v>19.440000000000001</v>
      </c>
      <c r="CE114" s="2">
        <v>13.84</v>
      </c>
      <c r="CF114" s="2">
        <v>14.2</v>
      </c>
      <c r="CG114" s="2">
        <v>15.47</v>
      </c>
      <c r="CH114" s="2">
        <v>14.47</v>
      </c>
      <c r="CI114" s="2">
        <v>12.28</v>
      </c>
      <c r="CJ114" s="2">
        <v>10.08</v>
      </c>
      <c r="CK114" s="2">
        <v>13.89</v>
      </c>
      <c r="CL114" s="2">
        <v>11.35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10" t="s">
        <v>63</v>
      </c>
      <c r="Z118" s="10"/>
      <c r="AA118" s="10"/>
      <c r="AB118" s="10"/>
      <c r="AC118" s="10"/>
      <c r="AD118" s="10"/>
      <c r="AE118" s="10"/>
      <c r="AF118" s="10"/>
      <c r="AG118" s="10"/>
      <c r="AH118" s="10"/>
      <c r="AI118" s="10" t="s">
        <v>64</v>
      </c>
      <c r="AJ118" s="10"/>
      <c r="AK118" s="10"/>
      <c r="AL118" s="10"/>
      <c r="AM118" s="10"/>
      <c r="AN118" s="10"/>
      <c r="AO118" s="10"/>
      <c r="AP118" s="10"/>
      <c r="AQ118" s="10"/>
      <c r="AR118" s="10"/>
      <c r="AU118" s="1" t="s">
        <v>6</v>
      </c>
      <c r="AV118" s="10" t="s">
        <v>63</v>
      </c>
      <c r="AW118" s="10"/>
      <c r="AX118" s="10"/>
      <c r="AY118" s="10"/>
      <c r="AZ118" s="10"/>
      <c r="BA118" s="10"/>
      <c r="BB118" s="10"/>
      <c r="BC118" s="10"/>
      <c r="BD118" s="10"/>
      <c r="BE118" s="10"/>
      <c r="BF118" s="10" t="s">
        <v>64</v>
      </c>
      <c r="BG118" s="10"/>
      <c r="BH118" s="10"/>
      <c r="BI118" s="10"/>
      <c r="BJ118" s="10"/>
      <c r="BK118" s="10"/>
      <c r="BL118" s="10"/>
      <c r="BM118" s="10"/>
      <c r="BN118" s="10"/>
      <c r="BO118" s="10"/>
      <c r="BR118" s="1" t="s">
        <v>6</v>
      </c>
      <c r="BS118" s="1" t="s">
        <v>63</v>
      </c>
      <c r="BT118" s="1" t="s">
        <v>64</v>
      </c>
      <c r="BU118" s="1" t="s">
        <v>63</v>
      </c>
      <c r="BV118" s="1" t="s">
        <v>64</v>
      </c>
      <c r="BW118" s="1" t="s">
        <v>63</v>
      </c>
      <c r="BX118" s="1" t="s">
        <v>64</v>
      </c>
      <c r="BY118" s="1" t="s">
        <v>63</v>
      </c>
      <c r="BZ118" s="1" t="s">
        <v>64</v>
      </c>
      <c r="CA118" s="1" t="s">
        <v>63</v>
      </c>
      <c r="CB118" s="1" t="s">
        <v>64</v>
      </c>
      <c r="CC118" s="1" t="s">
        <v>63</v>
      </c>
      <c r="CD118" s="1" t="s">
        <v>64</v>
      </c>
      <c r="CE118" s="1" t="s">
        <v>63</v>
      </c>
      <c r="CF118" s="1" t="s">
        <v>64</v>
      </c>
      <c r="CG118" s="1" t="s">
        <v>63</v>
      </c>
      <c r="CH118" s="1" t="s">
        <v>64</v>
      </c>
      <c r="CI118" s="1" t="s">
        <v>63</v>
      </c>
      <c r="CJ118" s="1" t="s">
        <v>64</v>
      </c>
      <c r="CK118" s="1" t="s">
        <v>63</v>
      </c>
      <c r="CL118" s="1" t="s">
        <v>64</v>
      </c>
    </row>
    <row r="119" spans="2:90" x14ac:dyDescent="0.3">
      <c r="X119" s="1" t="s">
        <v>65</v>
      </c>
      <c r="Y119" s="1" t="s">
        <v>53</v>
      </c>
      <c r="Z119" s="1" t="s">
        <v>62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 t="s">
        <v>58</v>
      </c>
      <c r="AF119" s="1" t="s">
        <v>59</v>
      </c>
      <c r="AG119" s="1" t="s">
        <v>60</v>
      </c>
      <c r="AH119" s="1" t="s">
        <v>61</v>
      </c>
      <c r="AI119" s="1" t="s">
        <v>53</v>
      </c>
      <c r="AJ119" s="1" t="s">
        <v>62</v>
      </c>
      <c r="AK119" s="1" t="s">
        <v>54</v>
      </c>
      <c r="AL119" s="1" t="s">
        <v>55</v>
      </c>
      <c r="AM119" s="1" t="s">
        <v>56</v>
      </c>
      <c r="AN119" s="1" t="s">
        <v>57</v>
      </c>
      <c r="AO119" s="1" t="s">
        <v>58</v>
      </c>
      <c r="AP119" s="1" t="s">
        <v>59</v>
      </c>
      <c r="AQ119" s="1" t="s">
        <v>60</v>
      </c>
      <c r="AR119" s="1" t="s">
        <v>61</v>
      </c>
      <c r="AU119" s="1" t="s">
        <v>65</v>
      </c>
      <c r="AV119" s="1" t="s">
        <v>53</v>
      </c>
      <c r="AW119" s="1" t="s">
        <v>62</v>
      </c>
      <c r="AX119" s="1" t="s">
        <v>54</v>
      </c>
      <c r="AY119" s="1" t="s">
        <v>55</v>
      </c>
      <c r="AZ119" s="1" t="s">
        <v>56</v>
      </c>
      <c r="BA119" s="1" t="s">
        <v>57</v>
      </c>
      <c r="BB119" s="1" t="s">
        <v>58</v>
      </c>
      <c r="BC119" s="1" t="s">
        <v>59</v>
      </c>
      <c r="BD119" s="1" t="s">
        <v>60</v>
      </c>
      <c r="BE119" s="1" t="s">
        <v>61</v>
      </c>
      <c r="BF119" s="1" t="s">
        <v>53</v>
      </c>
      <c r="BG119" s="1" t="s">
        <v>62</v>
      </c>
      <c r="BH119" s="1" t="s">
        <v>54</v>
      </c>
      <c r="BI119" s="1" t="s">
        <v>55</v>
      </c>
      <c r="BJ119" s="1" t="s">
        <v>56</v>
      </c>
      <c r="BK119" s="1" t="s">
        <v>57</v>
      </c>
      <c r="BL119" s="1" t="s">
        <v>58</v>
      </c>
      <c r="BM119" s="1" t="s">
        <v>59</v>
      </c>
      <c r="BN119" s="1" t="s">
        <v>60</v>
      </c>
      <c r="BO119" s="1" t="s">
        <v>61</v>
      </c>
      <c r="BR119" s="1" t="s">
        <v>65</v>
      </c>
      <c r="BS119" s="1" t="s">
        <v>53</v>
      </c>
      <c r="BT119" s="1" t="s">
        <v>53</v>
      </c>
      <c r="BU119" s="1" t="s">
        <v>54</v>
      </c>
      <c r="BV119" s="1" t="s">
        <v>54</v>
      </c>
      <c r="BW119" s="1" t="s">
        <v>55</v>
      </c>
      <c r="BX119" s="1" t="s">
        <v>55</v>
      </c>
      <c r="BY119" s="1" t="s">
        <v>56</v>
      </c>
      <c r="BZ119" s="1" t="s">
        <v>56</v>
      </c>
      <c r="CA119" s="1" t="s">
        <v>57</v>
      </c>
      <c r="CB119" s="1" t="s">
        <v>57</v>
      </c>
      <c r="CC119" s="1" t="s">
        <v>58</v>
      </c>
      <c r="CD119" s="1" t="s">
        <v>58</v>
      </c>
      <c r="CE119" s="1" t="s">
        <v>59</v>
      </c>
      <c r="CF119" s="1" t="s">
        <v>59</v>
      </c>
      <c r="CG119" s="1" t="s">
        <v>60</v>
      </c>
      <c r="CH119" s="1" t="s">
        <v>60</v>
      </c>
      <c r="CI119" s="1" t="s">
        <v>61</v>
      </c>
      <c r="CJ119" s="1" t="s">
        <v>61</v>
      </c>
      <c r="CK119" s="1" t="s">
        <v>62</v>
      </c>
      <c r="CL119" s="1" t="s">
        <v>62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66</v>
      </c>
      <c r="Y121" s="2">
        <v>50.04</v>
      </c>
      <c r="Z121" s="2">
        <v>25.05</v>
      </c>
      <c r="AA121" s="2">
        <v>10.029999999999999</v>
      </c>
      <c r="AB121" s="2">
        <v>4.0999999999999996</v>
      </c>
      <c r="AC121" s="2">
        <v>35.25</v>
      </c>
      <c r="AD121" s="2">
        <v>59.04</v>
      </c>
      <c r="AE121" s="2">
        <v>97.05</v>
      </c>
      <c r="AF121" s="2">
        <v>96.99</v>
      </c>
      <c r="AG121" s="2">
        <v>82.84</v>
      </c>
      <c r="AH121" s="2">
        <v>10.83</v>
      </c>
      <c r="AI121" s="2">
        <v>46.75</v>
      </c>
      <c r="AJ121" s="2">
        <v>12.87</v>
      </c>
      <c r="AK121" s="2">
        <v>9.9700000000000006</v>
      </c>
      <c r="AL121" s="2">
        <v>8.6300000000000008</v>
      </c>
      <c r="AM121" s="2">
        <v>35.630000000000003</v>
      </c>
      <c r="AN121" s="2">
        <v>34.24</v>
      </c>
      <c r="AO121" s="2">
        <v>46.78</v>
      </c>
      <c r="AP121" s="2">
        <v>15.01</v>
      </c>
      <c r="AQ121" s="2">
        <v>37.840000000000003</v>
      </c>
      <c r="AR121" s="2">
        <v>8.7200000000000006</v>
      </c>
      <c r="AU121" s="1" t="s">
        <v>66</v>
      </c>
      <c r="AV121" s="2">
        <v>365.83</v>
      </c>
      <c r="AW121" s="2">
        <v>1386.15</v>
      </c>
      <c r="AX121" s="2">
        <v>269.33999999999997</v>
      </c>
      <c r="AY121" s="2">
        <v>110.7</v>
      </c>
      <c r="AZ121" s="2">
        <v>401.55</v>
      </c>
      <c r="BA121" s="2">
        <v>579.36</v>
      </c>
      <c r="BB121" s="2">
        <v>991.59</v>
      </c>
      <c r="BC121" s="2">
        <v>938.31</v>
      </c>
      <c r="BD121" s="2">
        <v>973.18</v>
      </c>
      <c r="BE121" s="2">
        <v>1043.51</v>
      </c>
      <c r="BF121" s="2">
        <v>391.87</v>
      </c>
      <c r="BG121" s="2">
        <v>1240.83</v>
      </c>
      <c r="BH121" s="2">
        <v>269.39999999999998</v>
      </c>
      <c r="BI121" s="2">
        <v>172.67</v>
      </c>
      <c r="BJ121" s="2">
        <v>598.29</v>
      </c>
      <c r="BK121" s="2">
        <v>552.36</v>
      </c>
      <c r="BL121" s="2">
        <v>1041.8599999999999</v>
      </c>
      <c r="BM121" s="2">
        <v>792.93</v>
      </c>
      <c r="BN121" s="2">
        <v>986.26</v>
      </c>
      <c r="BO121" s="2">
        <v>840.94</v>
      </c>
      <c r="BR121" s="1" t="s">
        <v>66</v>
      </c>
      <c r="BS121" s="2">
        <v>130.87</v>
      </c>
      <c r="BT121" s="2">
        <v>130.87</v>
      </c>
      <c r="BU121" s="2">
        <v>131.53</v>
      </c>
      <c r="BV121" s="2">
        <v>131.68</v>
      </c>
      <c r="BW121" s="2">
        <v>131.65</v>
      </c>
      <c r="BX121" s="2">
        <v>130.86000000000001</v>
      </c>
      <c r="BY121" s="2">
        <v>180.16</v>
      </c>
      <c r="BZ121" s="2">
        <v>180.16</v>
      </c>
      <c r="CA121" s="2">
        <v>19395.38</v>
      </c>
      <c r="CB121" s="2">
        <v>19204.560000000001</v>
      </c>
      <c r="CC121" s="2">
        <v>19414.759999999998</v>
      </c>
      <c r="CD121" s="2">
        <v>19204.41</v>
      </c>
      <c r="CE121" s="2">
        <v>19340.45</v>
      </c>
      <c r="CF121" s="2">
        <v>19204.39</v>
      </c>
      <c r="CG121" s="2">
        <v>19225.099999999999</v>
      </c>
      <c r="CH121" s="2">
        <v>19204.400000000001</v>
      </c>
      <c r="CI121" s="2">
        <v>20148.560000000001</v>
      </c>
      <c r="CJ121" s="2">
        <v>95742.73</v>
      </c>
      <c r="CK121" s="2">
        <v>19204.39</v>
      </c>
      <c r="CL121" s="2">
        <v>70231.73</v>
      </c>
    </row>
    <row r="122" spans="2:90" x14ac:dyDescent="0.3">
      <c r="X122" s="1" t="s">
        <v>67</v>
      </c>
      <c r="Y122" s="2">
        <v>22.64</v>
      </c>
      <c r="Z122" s="2">
        <v>76.36</v>
      </c>
      <c r="AA122" s="2">
        <v>12.52</v>
      </c>
      <c r="AB122" s="2">
        <v>4.99</v>
      </c>
      <c r="AC122" s="2">
        <v>23.99</v>
      </c>
      <c r="AD122" s="2">
        <v>30.35</v>
      </c>
      <c r="AE122" s="2">
        <v>54.6</v>
      </c>
      <c r="AF122" s="2">
        <v>44.39</v>
      </c>
      <c r="AG122" s="2">
        <v>55.39</v>
      </c>
      <c r="AH122" s="2">
        <v>42.18</v>
      </c>
      <c r="AI122" s="2">
        <v>17.93</v>
      </c>
      <c r="AJ122" s="2">
        <v>61.28</v>
      </c>
      <c r="AK122" s="2">
        <v>13.92</v>
      </c>
      <c r="AL122" s="2">
        <v>9.08</v>
      </c>
      <c r="AM122" s="2">
        <v>32.14</v>
      </c>
      <c r="AN122" s="2">
        <v>37.19</v>
      </c>
      <c r="AO122" s="2">
        <v>74.08</v>
      </c>
      <c r="AP122" s="2">
        <v>49.32</v>
      </c>
      <c r="AQ122" s="2">
        <v>55.51</v>
      </c>
      <c r="AR122" s="2">
        <v>46.36</v>
      </c>
      <c r="AU122" s="1" t="s">
        <v>67</v>
      </c>
      <c r="AV122" s="2">
        <v>219.81</v>
      </c>
      <c r="AW122" s="2">
        <v>752.09</v>
      </c>
      <c r="AX122" s="2">
        <v>113.84</v>
      </c>
      <c r="AY122" s="2">
        <v>44.91</v>
      </c>
      <c r="AZ122" s="2">
        <v>219.37</v>
      </c>
      <c r="BA122" s="2">
        <v>297.25</v>
      </c>
      <c r="BB122" s="2">
        <v>540.12</v>
      </c>
      <c r="BC122" s="2">
        <v>431.79</v>
      </c>
      <c r="BD122" s="2">
        <v>538.92999999999995</v>
      </c>
      <c r="BE122" s="2">
        <v>409.68</v>
      </c>
      <c r="BF122" s="2">
        <v>173.04</v>
      </c>
      <c r="BG122" s="2">
        <v>593.47</v>
      </c>
      <c r="BH122" s="2">
        <v>125.7</v>
      </c>
      <c r="BI122" s="2">
        <v>81.87</v>
      </c>
      <c r="BJ122" s="2">
        <v>289.77999999999997</v>
      </c>
      <c r="BK122" s="2">
        <v>359.21</v>
      </c>
      <c r="BL122" s="2">
        <v>716.12</v>
      </c>
      <c r="BM122" s="2">
        <v>477.32</v>
      </c>
      <c r="BN122" s="2">
        <v>538.80999999999995</v>
      </c>
      <c r="BO122" s="2">
        <v>447.32</v>
      </c>
      <c r="BR122" s="1" t="s">
        <v>67</v>
      </c>
      <c r="BS122" s="2">
        <v>338.91</v>
      </c>
      <c r="BT122" s="2">
        <v>427.04</v>
      </c>
      <c r="BU122" s="2">
        <v>354.53</v>
      </c>
      <c r="BV122" s="2">
        <v>379.49</v>
      </c>
      <c r="BW122" s="2">
        <v>460.59</v>
      </c>
      <c r="BX122" s="2">
        <v>404.87</v>
      </c>
      <c r="BY122" s="2">
        <v>361.58</v>
      </c>
      <c r="BZ122" s="2">
        <v>440.71</v>
      </c>
      <c r="CA122" s="2">
        <v>466.51</v>
      </c>
      <c r="CB122" s="2">
        <v>1018.49</v>
      </c>
      <c r="CC122" s="2">
        <v>380.89</v>
      </c>
      <c r="CD122" s="2">
        <v>945.27</v>
      </c>
      <c r="CE122" s="2">
        <v>482.37</v>
      </c>
      <c r="CF122" s="2">
        <v>727.32</v>
      </c>
      <c r="CG122" s="2">
        <v>534.86</v>
      </c>
      <c r="CH122" s="2">
        <v>925.62</v>
      </c>
      <c r="CI122" s="2">
        <v>594.16</v>
      </c>
      <c r="CJ122" s="2">
        <v>1912.54</v>
      </c>
      <c r="CK122" s="2">
        <v>664.17</v>
      </c>
      <c r="CL122" s="2">
        <v>4366.96</v>
      </c>
    </row>
    <row r="123" spans="2:90" x14ac:dyDescent="0.3">
      <c r="X123" s="1" t="s">
        <v>68</v>
      </c>
      <c r="Y123" s="2">
        <v>166.27</v>
      </c>
      <c r="Z123" s="2">
        <v>244.78</v>
      </c>
      <c r="AA123" s="2">
        <v>126.24</v>
      </c>
      <c r="AB123" s="2">
        <v>82.36</v>
      </c>
      <c r="AC123" s="2">
        <v>245.06</v>
      </c>
      <c r="AD123" s="2">
        <v>385.28</v>
      </c>
      <c r="AE123" s="2">
        <v>668.85</v>
      </c>
      <c r="AF123" s="2">
        <v>576.15</v>
      </c>
      <c r="AG123" s="2">
        <v>708.64</v>
      </c>
      <c r="AH123" s="2">
        <v>269.33</v>
      </c>
      <c r="AI123" s="2">
        <v>50.64</v>
      </c>
      <c r="AJ123" s="2">
        <v>228.54</v>
      </c>
      <c r="AK123" s="2">
        <v>39.79</v>
      </c>
      <c r="AL123" s="2">
        <v>91.14</v>
      </c>
      <c r="AM123" s="2">
        <v>154.35</v>
      </c>
      <c r="AN123" s="2">
        <v>177.92</v>
      </c>
      <c r="AO123" s="2">
        <v>338.18</v>
      </c>
      <c r="AP123" s="2">
        <v>246.22</v>
      </c>
      <c r="AQ123" s="2">
        <v>260.75</v>
      </c>
      <c r="AR123" s="2">
        <v>238.26</v>
      </c>
      <c r="AU123" s="1" t="s">
        <v>68</v>
      </c>
      <c r="AV123" s="2">
        <v>892.08</v>
      </c>
      <c r="AW123" s="2">
        <v>2355.9499999999998</v>
      </c>
      <c r="AX123" s="2">
        <v>737.67</v>
      </c>
      <c r="AY123" s="2">
        <v>269.32</v>
      </c>
      <c r="AZ123" s="2">
        <v>1083.3599999999999</v>
      </c>
      <c r="BA123" s="2">
        <v>1631.92</v>
      </c>
      <c r="BB123" s="2">
        <v>2789.84</v>
      </c>
      <c r="BC123" s="2">
        <v>2263.71</v>
      </c>
      <c r="BD123" s="2">
        <v>2725.21</v>
      </c>
      <c r="BE123" s="2">
        <v>2070</v>
      </c>
      <c r="BF123" s="2">
        <v>488.73</v>
      </c>
      <c r="BG123" s="2">
        <v>2184.62</v>
      </c>
      <c r="BH123" s="2">
        <v>359.18</v>
      </c>
      <c r="BI123" s="2">
        <v>423.84</v>
      </c>
      <c r="BJ123" s="2">
        <v>1132.1600000000001</v>
      </c>
      <c r="BK123" s="2">
        <v>1510.87</v>
      </c>
      <c r="BL123" s="2">
        <v>2839.85</v>
      </c>
      <c r="BM123" s="2">
        <v>2016.98</v>
      </c>
      <c r="BN123" s="2">
        <v>2338.5</v>
      </c>
      <c r="BO123" s="2">
        <v>2262.73</v>
      </c>
      <c r="BR123" s="1" t="s">
        <v>68</v>
      </c>
      <c r="BS123" s="2">
        <v>161.30000000000001</v>
      </c>
      <c r="BT123" s="2">
        <v>577.11</v>
      </c>
      <c r="BU123" s="2">
        <v>173.77</v>
      </c>
      <c r="BV123" s="2">
        <v>454.8</v>
      </c>
      <c r="BW123" s="2">
        <v>150.38</v>
      </c>
      <c r="BX123" s="2">
        <v>198.1</v>
      </c>
      <c r="BY123" s="2">
        <v>177.53</v>
      </c>
      <c r="BZ123" s="2">
        <v>465.26</v>
      </c>
      <c r="CA123" s="2">
        <v>173.06</v>
      </c>
      <c r="CB123" s="2">
        <v>805.94</v>
      </c>
      <c r="CC123" s="2">
        <v>169.53</v>
      </c>
      <c r="CD123" s="2">
        <v>795.03</v>
      </c>
      <c r="CE123" s="2">
        <v>169.71</v>
      </c>
      <c r="CF123" s="2">
        <v>748.18</v>
      </c>
      <c r="CG123" s="2">
        <v>171.74</v>
      </c>
      <c r="CH123" s="2">
        <v>911.18</v>
      </c>
      <c r="CI123" s="2">
        <v>600.99</v>
      </c>
      <c r="CJ123" s="2">
        <v>1548.99</v>
      </c>
      <c r="CK123" s="2">
        <v>1714.5</v>
      </c>
      <c r="CL123" s="2">
        <v>2757.21</v>
      </c>
    </row>
    <row r="124" spans="2:90" x14ac:dyDescent="0.3">
      <c r="X124" s="1" t="s">
        <v>69</v>
      </c>
      <c r="Y124" s="2">
        <v>31.36</v>
      </c>
      <c r="Z124" s="2">
        <v>82.15</v>
      </c>
      <c r="AA124" s="2">
        <v>22.46</v>
      </c>
      <c r="AB124" s="2">
        <v>16.88</v>
      </c>
      <c r="AC124" s="2">
        <v>69.56</v>
      </c>
      <c r="AD124" s="2">
        <v>78.86</v>
      </c>
      <c r="AE124" s="2">
        <v>150.35</v>
      </c>
      <c r="AF124" s="2">
        <v>126.97</v>
      </c>
      <c r="AG124" s="2">
        <v>125.12</v>
      </c>
      <c r="AH124" s="2">
        <v>66.89</v>
      </c>
      <c r="AI124" s="2">
        <v>16.75</v>
      </c>
      <c r="AJ124" s="2">
        <v>71.27</v>
      </c>
      <c r="AK124" s="2">
        <v>17.25</v>
      </c>
      <c r="AL124" s="2">
        <v>12.26</v>
      </c>
      <c r="AM124" s="2">
        <v>32.56</v>
      </c>
      <c r="AN124" s="2">
        <v>46.32</v>
      </c>
      <c r="AO124" s="2">
        <v>85.31</v>
      </c>
      <c r="AP124" s="2">
        <v>58.07</v>
      </c>
      <c r="AQ124" s="2">
        <v>78.14</v>
      </c>
      <c r="AR124" s="2">
        <v>59.69</v>
      </c>
      <c r="AU124" s="1" t="s">
        <v>69</v>
      </c>
      <c r="AV124" s="2">
        <v>290.61</v>
      </c>
      <c r="AW124" s="2">
        <v>780.05</v>
      </c>
      <c r="AX124" s="2">
        <v>205.44</v>
      </c>
      <c r="AY124" s="2">
        <v>81.05</v>
      </c>
      <c r="AZ124" s="2">
        <v>390.77</v>
      </c>
      <c r="BA124" s="2">
        <v>471.72</v>
      </c>
      <c r="BB124" s="2">
        <v>897.59</v>
      </c>
      <c r="BC124" s="2">
        <v>748.66</v>
      </c>
      <c r="BD124" s="2">
        <v>936.22</v>
      </c>
      <c r="BE124" s="2">
        <v>644.39</v>
      </c>
      <c r="BF124" s="2">
        <v>143.80000000000001</v>
      </c>
      <c r="BG124" s="2">
        <v>662.43</v>
      </c>
      <c r="BH124" s="2">
        <v>155.65</v>
      </c>
      <c r="BI124" s="2">
        <v>110.89</v>
      </c>
      <c r="BJ124" s="2">
        <v>293.51</v>
      </c>
      <c r="BK124" s="2">
        <v>446.44</v>
      </c>
      <c r="BL124" s="2">
        <v>820.63</v>
      </c>
      <c r="BM124" s="2">
        <v>558.76</v>
      </c>
      <c r="BN124" s="2">
        <v>751.78</v>
      </c>
      <c r="BO124" s="2">
        <v>555.37</v>
      </c>
      <c r="BR124" s="1" t="s">
        <v>69</v>
      </c>
      <c r="BS124" s="2">
        <v>205.58</v>
      </c>
      <c r="BT124" s="2">
        <v>459.41</v>
      </c>
      <c r="BU124" s="2">
        <v>212.9</v>
      </c>
      <c r="BV124" s="2">
        <v>377.18</v>
      </c>
      <c r="BW124" s="2">
        <v>175.69</v>
      </c>
      <c r="BX124" s="2">
        <v>208.16</v>
      </c>
      <c r="BY124" s="2">
        <v>187.8</v>
      </c>
      <c r="BZ124" s="2">
        <v>338.48</v>
      </c>
      <c r="CA124" s="2">
        <v>209.49</v>
      </c>
      <c r="CB124" s="2">
        <v>517.04999999999995</v>
      </c>
      <c r="CC124" s="2">
        <v>209.25</v>
      </c>
      <c r="CD124" s="2">
        <v>570</v>
      </c>
      <c r="CE124" s="2">
        <v>208.19</v>
      </c>
      <c r="CF124" s="2">
        <v>556.99</v>
      </c>
      <c r="CG124" s="2">
        <v>283.38</v>
      </c>
      <c r="CH124" s="2">
        <v>678.75</v>
      </c>
      <c r="CI124" s="2">
        <v>688.99</v>
      </c>
      <c r="CJ124" s="2">
        <v>894</v>
      </c>
      <c r="CK124" s="2">
        <v>947.9</v>
      </c>
      <c r="CL124" s="2">
        <v>1188.8499999999999</v>
      </c>
    </row>
    <row r="125" spans="2:90" x14ac:dyDescent="0.3">
      <c r="X125" s="1" t="s">
        <v>70</v>
      </c>
      <c r="Y125" s="2">
        <v>146.91999999999999</v>
      </c>
      <c r="Z125" s="2">
        <v>383.95</v>
      </c>
      <c r="AA125" s="2">
        <v>158.6</v>
      </c>
      <c r="AB125" s="2">
        <v>55.02</v>
      </c>
      <c r="AC125" s="2">
        <v>180.18</v>
      </c>
      <c r="AD125" s="2">
        <v>287.14</v>
      </c>
      <c r="AE125" s="2">
        <v>444.38</v>
      </c>
      <c r="AF125" s="2">
        <v>314.32</v>
      </c>
      <c r="AG125" s="2">
        <v>369.42</v>
      </c>
      <c r="AH125" s="2">
        <v>320.58</v>
      </c>
      <c r="AI125" s="2">
        <v>145.02000000000001</v>
      </c>
      <c r="AJ125" s="2">
        <v>370.19</v>
      </c>
      <c r="AK125" s="2">
        <v>126.7</v>
      </c>
      <c r="AL125" s="2">
        <v>54.66</v>
      </c>
      <c r="AM125" s="2">
        <v>230.61</v>
      </c>
      <c r="AN125" s="2">
        <v>270.83999999999997</v>
      </c>
      <c r="AO125" s="2">
        <v>366</v>
      </c>
      <c r="AP125" s="2">
        <v>276.23</v>
      </c>
      <c r="AQ125" s="2">
        <v>344.75</v>
      </c>
      <c r="AR125" s="2">
        <v>236.96</v>
      </c>
      <c r="AU125" s="1" t="s">
        <v>70</v>
      </c>
      <c r="AV125" s="2">
        <v>776.37</v>
      </c>
      <c r="AW125" s="2">
        <v>3675.05</v>
      </c>
      <c r="AX125" s="2">
        <v>952.79</v>
      </c>
      <c r="AY125" s="2">
        <v>287.81</v>
      </c>
      <c r="AZ125" s="2">
        <v>1620.62</v>
      </c>
      <c r="BA125" s="2">
        <v>2273.86</v>
      </c>
      <c r="BB125" s="2">
        <v>3951.22</v>
      </c>
      <c r="BC125" s="2">
        <v>3022.13</v>
      </c>
      <c r="BD125" s="2">
        <v>3544.58</v>
      </c>
      <c r="BE125" s="2">
        <v>3069.22</v>
      </c>
      <c r="BF125" s="2">
        <v>962.58</v>
      </c>
      <c r="BG125" s="2">
        <v>3576.31</v>
      </c>
      <c r="BH125" s="2">
        <v>1144.7</v>
      </c>
      <c r="BI125" s="2">
        <v>297.76</v>
      </c>
      <c r="BJ125" s="2">
        <v>1469.39</v>
      </c>
      <c r="BK125" s="2">
        <v>1982.16</v>
      </c>
      <c r="BL125" s="2">
        <v>3540</v>
      </c>
      <c r="BM125" s="2">
        <v>2664.37</v>
      </c>
      <c r="BN125" s="2">
        <v>3310.85</v>
      </c>
      <c r="BO125" s="2">
        <v>2273.94</v>
      </c>
      <c r="BR125" s="1" t="s">
        <v>70</v>
      </c>
      <c r="BS125" s="2">
        <v>195.6</v>
      </c>
      <c r="BT125" s="2">
        <v>216.59</v>
      </c>
      <c r="BU125" s="2">
        <v>195.45</v>
      </c>
      <c r="BV125" s="2">
        <v>332.62</v>
      </c>
      <c r="BW125" s="2">
        <v>203.64</v>
      </c>
      <c r="BX125" s="2">
        <v>200.24</v>
      </c>
      <c r="BY125" s="2">
        <v>432.15</v>
      </c>
      <c r="BZ125" s="2">
        <v>230.64</v>
      </c>
      <c r="CA125" s="2">
        <v>291.91000000000003</v>
      </c>
      <c r="CB125" s="2">
        <v>267.55</v>
      </c>
      <c r="CC125" s="2">
        <v>342.36</v>
      </c>
      <c r="CD125" s="2">
        <v>385.04</v>
      </c>
      <c r="CE125" s="2">
        <v>421.88</v>
      </c>
      <c r="CF125" s="2">
        <v>434.44</v>
      </c>
      <c r="CG125" s="2">
        <v>578.41</v>
      </c>
      <c r="CH125" s="2">
        <v>554.84</v>
      </c>
      <c r="CI125" s="2">
        <v>713.35</v>
      </c>
      <c r="CJ125" s="2">
        <v>849.41</v>
      </c>
      <c r="CK125" s="2">
        <v>770.54</v>
      </c>
      <c r="CL125" s="2">
        <v>1229.1300000000001</v>
      </c>
    </row>
    <row r="126" spans="2:90" x14ac:dyDescent="0.3">
      <c r="X126" s="1" t="s">
        <v>71</v>
      </c>
      <c r="Y126" s="2">
        <v>17.059999999999999</v>
      </c>
      <c r="Z126" s="2">
        <v>71.239999999999995</v>
      </c>
      <c r="AA126" s="2">
        <v>19.45</v>
      </c>
      <c r="AB126" s="2">
        <v>9.73</v>
      </c>
      <c r="AC126" s="2">
        <v>29.07</v>
      </c>
      <c r="AD126" s="2">
        <v>33.450000000000003</v>
      </c>
      <c r="AE126" s="2">
        <v>70.5</v>
      </c>
      <c r="AF126" s="2">
        <v>52.58</v>
      </c>
      <c r="AG126" s="2">
        <v>69.569999999999993</v>
      </c>
      <c r="AH126" s="2">
        <v>63.37</v>
      </c>
      <c r="AI126" s="2">
        <v>25.06</v>
      </c>
      <c r="AJ126" s="2">
        <v>59.17</v>
      </c>
      <c r="AK126" s="2">
        <v>22.65</v>
      </c>
      <c r="AL126" s="2">
        <v>7.84</v>
      </c>
      <c r="AM126" s="2">
        <v>25.55</v>
      </c>
      <c r="AN126" s="2">
        <v>48.28</v>
      </c>
      <c r="AO126" s="2">
        <v>88.35</v>
      </c>
      <c r="AP126" s="2">
        <v>52.92</v>
      </c>
      <c r="AQ126" s="2">
        <v>83.45</v>
      </c>
      <c r="AR126" s="2">
        <v>48.6</v>
      </c>
      <c r="AU126" s="1" t="s">
        <v>71</v>
      </c>
      <c r="AV126" s="2">
        <v>143.35</v>
      </c>
      <c r="AW126" s="2">
        <v>600.65</v>
      </c>
      <c r="AX126" s="2">
        <v>156.9</v>
      </c>
      <c r="AY126" s="2">
        <v>47.48</v>
      </c>
      <c r="AZ126" s="2">
        <v>228.37</v>
      </c>
      <c r="BA126" s="2">
        <v>281.75</v>
      </c>
      <c r="BB126" s="2">
        <v>599.82000000000005</v>
      </c>
      <c r="BC126" s="2">
        <v>445.44</v>
      </c>
      <c r="BD126" s="2">
        <v>591.08000000000004</v>
      </c>
      <c r="BE126" s="2">
        <v>535.17999999999995</v>
      </c>
      <c r="BF126" s="2">
        <v>130.71</v>
      </c>
      <c r="BG126" s="2">
        <v>500.63</v>
      </c>
      <c r="BH126" s="2">
        <v>183.4</v>
      </c>
      <c r="BI126" s="2">
        <v>40.840000000000003</v>
      </c>
      <c r="BJ126" s="2">
        <v>134.51</v>
      </c>
      <c r="BK126" s="2">
        <v>311.82</v>
      </c>
      <c r="BL126" s="2">
        <v>586.44000000000005</v>
      </c>
      <c r="BM126" s="2">
        <v>401.63</v>
      </c>
      <c r="BN126" s="2">
        <v>628.71</v>
      </c>
      <c r="BO126" s="2">
        <v>419.97</v>
      </c>
      <c r="BR126" s="1" t="s">
        <v>71</v>
      </c>
      <c r="BS126" s="2">
        <v>211.87</v>
      </c>
      <c r="BT126" s="2">
        <v>184.8</v>
      </c>
      <c r="BU126" s="2">
        <v>203.33</v>
      </c>
      <c r="BV126" s="2">
        <v>203.43</v>
      </c>
      <c r="BW126" s="2">
        <v>198.35</v>
      </c>
      <c r="BX126" s="2">
        <v>194.06</v>
      </c>
      <c r="BY126" s="2">
        <v>390.38</v>
      </c>
      <c r="BZ126" s="2">
        <v>226.48</v>
      </c>
      <c r="CA126" s="2">
        <v>609.19000000000005</v>
      </c>
      <c r="CB126" s="2">
        <v>227.14</v>
      </c>
      <c r="CC126" s="2">
        <v>463.58</v>
      </c>
      <c r="CD126" s="2">
        <v>226.9</v>
      </c>
      <c r="CE126" s="2">
        <v>476.69</v>
      </c>
      <c r="CF126" s="2">
        <v>265.06</v>
      </c>
      <c r="CG126" s="2">
        <v>491.61</v>
      </c>
      <c r="CH126" s="2">
        <v>266.95</v>
      </c>
      <c r="CI126" s="2">
        <v>568.54999999999995</v>
      </c>
      <c r="CJ126" s="2">
        <v>322.68</v>
      </c>
      <c r="CK126" s="2">
        <v>772.37</v>
      </c>
      <c r="CL126" s="2">
        <v>1035.8</v>
      </c>
    </row>
    <row r="127" spans="2:90" x14ac:dyDescent="0.3">
      <c r="X127" s="1" t="s">
        <v>72</v>
      </c>
      <c r="Y127" s="2">
        <v>76.73</v>
      </c>
      <c r="Z127" s="2">
        <v>155</v>
      </c>
      <c r="AA127" s="2">
        <v>47.39</v>
      </c>
      <c r="AB127" s="2">
        <v>28.4</v>
      </c>
      <c r="AC127" s="2">
        <v>89.37</v>
      </c>
      <c r="AD127" s="2">
        <v>87.83</v>
      </c>
      <c r="AE127" s="2">
        <v>175.42</v>
      </c>
      <c r="AF127" s="2">
        <v>127.8</v>
      </c>
      <c r="AG127" s="2">
        <v>195.02</v>
      </c>
      <c r="AH127" s="2">
        <v>138.9</v>
      </c>
      <c r="AI127" s="2">
        <v>91.23</v>
      </c>
      <c r="AJ127" s="2">
        <v>149.86000000000001</v>
      </c>
      <c r="AK127" s="2">
        <v>64.47</v>
      </c>
      <c r="AL127" s="2">
        <v>26.67</v>
      </c>
      <c r="AM127" s="2">
        <v>129.5</v>
      </c>
      <c r="AN127" s="2">
        <v>193.56</v>
      </c>
      <c r="AO127" s="2">
        <v>327.24</v>
      </c>
      <c r="AP127" s="2">
        <v>206.47</v>
      </c>
      <c r="AQ127" s="2">
        <v>173.34</v>
      </c>
      <c r="AR127" s="2">
        <v>107.98</v>
      </c>
      <c r="AU127" s="1" t="s">
        <v>72</v>
      </c>
      <c r="AV127" s="2">
        <v>415.18</v>
      </c>
      <c r="AW127" s="2">
        <v>1314.09</v>
      </c>
      <c r="AX127" s="2">
        <v>383.94</v>
      </c>
      <c r="AY127" s="2">
        <v>121.7</v>
      </c>
      <c r="AZ127" s="2">
        <v>571.52</v>
      </c>
      <c r="BA127" s="2">
        <v>722.33</v>
      </c>
      <c r="BB127" s="2">
        <v>1337.55</v>
      </c>
      <c r="BC127" s="2">
        <v>969.39</v>
      </c>
      <c r="BD127" s="2">
        <v>1346.96</v>
      </c>
      <c r="BE127" s="2">
        <v>1177.6300000000001</v>
      </c>
      <c r="BF127" s="2">
        <v>495.85</v>
      </c>
      <c r="BG127" s="2">
        <v>1272.71</v>
      </c>
      <c r="BH127" s="2">
        <v>419.63</v>
      </c>
      <c r="BI127" s="2">
        <v>144.41</v>
      </c>
      <c r="BJ127" s="2">
        <v>456.51</v>
      </c>
      <c r="BK127" s="2">
        <v>851.29</v>
      </c>
      <c r="BL127" s="2">
        <v>1447.88</v>
      </c>
      <c r="BM127" s="2">
        <v>995</v>
      </c>
      <c r="BN127" s="2">
        <v>1513.29</v>
      </c>
      <c r="BO127" s="2">
        <v>909.7</v>
      </c>
      <c r="BR127" s="1" t="s">
        <v>72</v>
      </c>
      <c r="BS127" s="2">
        <v>175.24</v>
      </c>
      <c r="BT127" s="2">
        <v>172.27</v>
      </c>
      <c r="BU127" s="2">
        <v>253.38</v>
      </c>
      <c r="BV127" s="2">
        <v>187.71</v>
      </c>
      <c r="BW127" s="2">
        <v>237.43</v>
      </c>
      <c r="BX127" s="2">
        <v>180.47</v>
      </c>
      <c r="BY127" s="2">
        <v>333.43</v>
      </c>
      <c r="BZ127" s="2">
        <v>186.8</v>
      </c>
      <c r="CA127" s="2">
        <v>627.58000000000004</v>
      </c>
      <c r="CB127" s="2">
        <v>187.21</v>
      </c>
      <c r="CC127" s="2">
        <v>531.16999999999996</v>
      </c>
      <c r="CD127" s="2">
        <v>187.63</v>
      </c>
      <c r="CE127" s="2">
        <v>526.42999999999995</v>
      </c>
      <c r="CF127" s="2">
        <v>211.75</v>
      </c>
      <c r="CG127" s="2">
        <v>437.04</v>
      </c>
      <c r="CH127" s="2">
        <v>360.88</v>
      </c>
      <c r="CI127" s="2">
        <v>739.09</v>
      </c>
      <c r="CJ127" s="2">
        <v>680.47</v>
      </c>
      <c r="CK127" s="2">
        <v>970.07</v>
      </c>
      <c r="CL127" s="2">
        <v>1045.6600000000001</v>
      </c>
    </row>
    <row r="128" spans="2:90" x14ac:dyDescent="0.3">
      <c r="X128" s="1" t="s">
        <v>73</v>
      </c>
      <c r="Y128" s="2">
        <v>26.57</v>
      </c>
      <c r="Z128" s="2">
        <v>69.31</v>
      </c>
      <c r="AA128" s="2">
        <v>12.44</v>
      </c>
      <c r="AB128" s="2">
        <v>2.46</v>
      </c>
      <c r="AC128" s="2">
        <v>16.059999999999999</v>
      </c>
      <c r="AD128" s="2">
        <v>33.520000000000003</v>
      </c>
      <c r="AE128" s="2">
        <v>44.47</v>
      </c>
      <c r="AF128" s="2">
        <v>38.81</v>
      </c>
      <c r="AG128" s="2">
        <v>41.82</v>
      </c>
      <c r="AH128" s="2">
        <v>54.48</v>
      </c>
      <c r="AI128" s="2">
        <v>20.09</v>
      </c>
      <c r="AJ128" s="2">
        <v>51.81</v>
      </c>
      <c r="AK128" s="2">
        <v>14.69</v>
      </c>
      <c r="AL128" s="2">
        <v>6.04</v>
      </c>
      <c r="AM128" s="2">
        <v>21.35</v>
      </c>
      <c r="AN128" s="2">
        <v>18.84</v>
      </c>
      <c r="AO128" s="2">
        <v>38.770000000000003</v>
      </c>
      <c r="AP128" s="2">
        <v>39.36</v>
      </c>
      <c r="AQ128" s="2">
        <v>45.94</v>
      </c>
      <c r="AR128" s="2">
        <v>37.44</v>
      </c>
      <c r="AU128" s="1" t="s">
        <v>73</v>
      </c>
      <c r="AV128" s="2">
        <v>219.13</v>
      </c>
      <c r="AW128" s="2">
        <v>484.19</v>
      </c>
      <c r="AX128" s="2">
        <v>97.15</v>
      </c>
      <c r="AY128" s="2">
        <v>46.74</v>
      </c>
      <c r="AZ128" s="2">
        <v>159.13999999999999</v>
      </c>
      <c r="BA128" s="2">
        <v>254.48</v>
      </c>
      <c r="BB128" s="2">
        <v>328.13</v>
      </c>
      <c r="BC128" s="2">
        <v>285.7</v>
      </c>
      <c r="BD128" s="2">
        <v>297.89999999999998</v>
      </c>
      <c r="BE128" s="2">
        <v>371.88</v>
      </c>
      <c r="BF128" s="2">
        <v>167.89</v>
      </c>
      <c r="BG128" s="2">
        <v>384.24</v>
      </c>
      <c r="BH128" s="2">
        <v>114.79</v>
      </c>
      <c r="BI128" s="2">
        <v>47.06</v>
      </c>
      <c r="BJ128" s="2">
        <v>154.66999999999999</v>
      </c>
      <c r="BK128" s="2">
        <v>150.93</v>
      </c>
      <c r="BL128" s="2">
        <v>313.05</v>
      </c>
      <c r="BM128" s="2">
        <v>328.65</v>
      </c>
      <c r="BN128" s="2">
        <v>350.78</v>
      </c>
      <c r="BO128" s="2">
        <v>263.45999999999998</v>
      </c>
      <c r="BR128" s="1" t="s">
        <v>73</v>
      </c>
      <c r="BS128" s="2">
        <v>444.05</v>
      </c>
      <c r="BT128" s="2">
        <v>350.32</v>
      </c>
      <c r="BU128" s="2">
        <v>254.22</v>
      </c>
      <c r="BV128" s="2">
        <v>266.08999999999997</v>
      </c>
      <c r="BW128" s="2">
        <v>560.72</v>
      </c>
      <c r="BX128" s="2">
        <v>300.39</v>
      </c>
      <c r="BY128" s="2">
        <v>426.44</v>
      </c>
      <c r="BZ128" s="2">
        <v>317.39</v>
      </c>
      <c r="CA128" s="2">
        <v>1187.9100000000001</v>
      </c>
      <c r="CB128" s="2">
        <v>386.27</v>
      </c>
      <c r="CC128" s="2">
        <v>574.57000000000005</v>
      </c>
      <c r="CD128" s="2">
        <v>383.59</v>
      </c>
      <c r="CE128" s="2">
        <v>485.34</v>
      </c>
      <c r="CF128" s="2">
        <v>462.27</v>
      </c>
      <c r="CG128" s="2">
        <v>612.99</v>
      </c>
      <c r="CH128" s="2">
        <v>711.97</v>
      </c>
      <c r="CI128" s="2">
        <v>749.9</v>
      </c>
      <c r="CJ128" s="2">
        <v>1184.1099999999999</v>
      </c>
      <c r="CK128" s="2">
        <v>1051.8399999999999</v>
      </c>
      <c r="CL128" s="2">
        <v>1851.39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63</v>
      </c>
      <c r="Z132" s="1" t="s">
        <v>64</v>
      </c>
      <c r="AA132" s="1" t="s">
        <v>63</v>
      </c>
      <c r="AB132" s="1" t="s">
        <v>64</v>
      </c>
      <c r="AC132" s="1" t="s">
        <v>63</v>
      </c>
      <c r="AD132" s="1" t="s">
        <v>64</v>
      </c>
      <c r="AE132" s="1" t="s">
        <v>63</v>
      </c>
      <c r="AF132" s="1" t="s">
        <v>64</v>
      </c>
      <c r="AG132" s="1" t="s">
        <v>63</v>
      </c>
      <c r="AH132" s="1" t="s">
        <v>64</v>
      </c>
      <c r="AI132" s="1" t="s">
        <v>63</v>
      </c>
      <c r="AJ132" s="1" t="s">
        <v>64</v>
      </c>
      <c r="AK132" s="1" t="s">
        <v>63</v>
      </c>
      <c r="AL132" s="1" t="s">
        <v>64</v>
      </c>
      <c r="AM132" s="1" t="s">
        <v>63</v>
      </c>
      <c r="AN132" s="1" t="s">
        <v>64</v>
      </c>
      <c r="AO132" s="1" t="s">
        <v>63</v>
      </c>
      <c r="AP132" s="1" t="s">
        <v>64</v>
      </c>
      <c r="AQ132" s="1" t="s">
        <v>63</v>
      </c>
      <c r="AR132" s="1" t="s">
        <v>64</v>
      </c>
      <c r="AU132" s="1" t="s">
        <v>6</v>
      </c>
      <c r="AV132" s="1" t="s">
        <v>63</v>
      </c>
      <c r="AW132" s="1" t="s">
        <v>64</v>
      </c>
      <c r="AX132" s="1" t="s">
        <v>63</v>
      </c>
      <c r="AY132" s="1" t="s">
        <v>64</v>
      </c>
      <c r="AZ132" s="1" t="s">
        <v>63</v>
      </c>
      <c r="BA132" s="1" t="s">
        <v>64</v>
      </c>
      <c r="BB132" s="1" t="s">
        <v>63</v>
      </c>
      <c r="BC132" s="1" t="s">
        <v>64</v>
      </c>
      <c r="BD132" s="1" t="s">
        <v>63</v>
      </c>
      <c r="BE132" s="1" t="s">
        <v>64</v>
      </c>
      <c r="BF132" s="1" t="s">
        <v>63</v>
      </c>
      <c r="BG132" s="1" t="s">
        <v>64</v>
      </c>
      <c r="BH132" s="1" t="s">
        <v>63</v>
      </c>
      <c r="BI132" s="1" t="s">
        <v>64</v>
      </c>
      <c r="BJ132" s="1" t="s">
        <v>63</v>
      </c>
      <c r="BK132" s="1" t="s">
        <v>64</v>
      </c>
      <c r="BL132" s="1" t="s">
        <v>63</v>
      </c>
      <c r="BM132" s="1" t="s">
        <v>64</v>
      </c>
      <c r="BN132" s="1" t="s">
        <v>63</v>
      </c>
      <c r="BO132" s="1" t="s">
        <v>64</v>
      </c>
    </row>
    <row r="133" spans="24:67" x14ac:dyDescent="0.3">
      <c r="X133" s="1" t="s">
        <v>65</v>
      </c>
      <c r="Y133" s="1" t="s">
        <v>53</v>
      </c>
      <c r="Z133" s="1" t="s">
        <v>53</v>
      </c>
      <c r="AA133" s="1" t="s">
        <v>54</v>
      </c>
      <c r="AB133" s="1" t="s">
        <v>54</v>
      </c>
      <c r="AC133" s="1" t="s">
        <v>55</v>
      </c>
      <c r="AD133" s="1" t="s">
        <v>55</v>
      </c>
      <c r="AE133" s="1" t="s">
        <v>56</v>
      </c>
      <c r="AF133" s="1" t="s">
        <v>56</v>
      </c>
      <c r="AG133" s="1" t="s">
        <v>57</v>
      </c>
      <c r="AH133" s="1" t="s">
        <v>57</v>
      </c>
      <c r="AI133" s="1" t="s">
        <v>58</v>
      </c>
      <c r="AJ133" s="1" t="s">
        <v>58</v>
      </c>
      <c r="AK133" s="1" t="s">
        <v>59</v>
      </c>
      <c r="AL133" s="1" t="s">
        <v>59</v>
      </c>
      <c r="AM133" s="1" t="s">
        <v>60</v>
      </c>
      <c r="AN133" s="1" t="s">
        <v>60</v>
      </c>
      <c r="AO133" s="1" t="s">
        <v>61</v>
      </c>
      <c r="AP133" s="1" t="s">
        <v>61</v>
      </c>
      <c r="AQ133" s="1" t="s">
        <v>62</v>
      </c>
      <c r="AR133" s="1" t="s">
        <v>62</v>
      </c>
      <c r="AU133" s="1" t="s">
        <v>65</v>
      </c>
      <c r="AV133" s="1" t="s">
        <v>53</v>
      </c>
      <c r="AW133" s="1" t="s">
        <v>53</v>
      </c>
      <c r="AX133" s="1" t="s">
        <v>54</v>
      </c>
      <c r="AY133" s="1" t="s">
        <v>54</v>
      </c>
      <c r="AZ133" s="1" t="s">
        <v>55</v>
      </c>
      <c r="BA133" s="1" t="s">
        <v>55</v>
      </c>
      <c r="BB133" s="1" t="s">
        <v>56</v>
      </c>
      <c r="BC133" s="1" t="s">
        <v>56</v>
      </c>
      <c r="BD133" s="1" t="s">
        <v>57</v>
      </c>
      <c r="BE133" s="1" t="s">
        <v>57</v>
      </c>
      <c r="BF133" s="1" t="s">
        <v>58</v>
      </c>
      <c r="BG133" s="1" t="s">
        <v>58</v>
      </c>
      <c r="BH133" s="1" t="s">
        <v>59</v>
      </c>
      <c r="BI133" s="1" t="s">
        <v>59</v>
      </c>
      <c r="BJ133" s="1" t="s">
        <v>60</v>
      </c>
      <c r="BK133" s="1" t="s">
        <v>60</v>
      </c>
      <c r="BL133" s="1" t="s">
        <v>61</v>
      </c>
      <c r="BM133" s="1" t="s">
        <v>61</v>
      </c>
      <c r="BN133" s="1" t="s">
        <v>62</v>
      </c>
      <c r="BO133" s="1" t="s">
        <v>62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66</v>
      </c>
      <c r="Y135" s="2">
        <v>38.49</v>
      </c>
      <c r="Z135" s="2">
        <v>35.96</v>
      </c>
      <c r="AA135" s="2">
        <v>7.72</v>
      </c>
      <c r="AB135" s="2">
        <v>7.67</v>
      </c>
      <c r="AC135" s="2">
        <v>8.1999999999999993</v>
      </c>
      <c r="AD135" s="2">
        <v>17.260000000000002</v>
      </c>
      <c r="AE135" s="2">
        <v>22.03</v>
      </c>
      <c r="AF135" s="2">
        <v>22.27</v>
      </c>
      <c r="AG135" s="2">
        <v>29.52</v>
      </c>
      <c r="AH135" s="2">
        <v>17.12</v>
      </c>
      <c r="AI135" s="2">
        <v>26.96</v>
      </c>
      <c r="AJ135" s="2">
        <v>12.99</v>
      </c>
      <c r="AK135" s="2">
        <v>33.450000000000003</v>
      </c>
      <c r="AL135" s="2">
        <v>5.17</v>
      </c>
      <c r="AM135" s="2">
        <v>21.8</v>
      </c>
      <c r="AN135" s="2">
        <v>9.9600000000000009</v>
      </c>
      <c r="AO135" s="2">
        <v>3.18</v>
      </c>
      <c r="AP135" s="2">
        <v>2.57</v>
      </c>
      <c r="AQ135" s="2">
        <v>5.57</v>
      </c>
      <c r="AR135" s="2">
        <v>2.86</v>
      </c>
      <c r="AU135" s="1" t="s">
        <v>66</v>
      </c>
      <c r="AV135" s="2">
        <v>281.41000000000003</v>
      </c>
      <c r="AW135" s="2">
        <v>301.44</v>
      </c>
      <c r="AX135" s="2">
        <v>207.18</v>
      </c>
      <c r="AY135" s="2">
        <v>207.23</v>
      </c>
      <c r="AZ135" s="2">
        <v>221.4</v>
      </c>
      <c r="BA135" s="2">
        <v>345.34</v>
      </c>
      <c r="BB135" s="2">
        <v>250.97</v>
      </c>
      <c r="BC135" s="2">
        <v>373.93</v>
      </c>
      <c r="BD135" s="2">
        <v>289.68</v>
      </c>
      <c r="BE135" s="2">
        <v>276.18</v>
      </c>
      <c r="BF135" s="2">
        <v>275.44</v>
      </c>
      <c r="BG135" s="2">
        <v>289.41000000000003</v>
      </c>
      <c r="BH135" s="2">
        <v>323.55</v>
      </c>
      <c r="BI135" s="2">
        <v>273.43</v>
      </c>
      <c r="BJ135" s="2">
        <v>256.10000000000002</v>
      </c>
      <c r="BK135" s="2">
        <v>259.54000000000002</v>
      </c>
      <c r="BL135" s="2">
        <v>306.92</v>
      </c>
      <c r="BM135" s="2">
        <v>247.33</v>
      </c>
      <c r="BN135" s="2">
        <v>308.02999999999997</v>
      </c>
      <c r="BO135" s="2">
        <v>275.74</v>
      </c>
    </row>
    <row r="136" spans="24:67" x14ac:dyDescent="0.3">
      <c r="X136" s="1" t="s">
        <v>67</v>
      </c>
      <c r="Y136" s="2">
        <v>17.41</v>
      </c>
      <c r="Z136" s="2">
        <v>13.79</v>
      </c>
      <c r="AA136" s="2">
        <v>9.6300000000000008</v>
      </c>
      <c r="AB136" s="2">
        <v>10.71</v>
      </c>
      <c r="AC136" s="2">
        <v>9.9700000000000006</v>
      </c>
      <c r="AD136" s="2">
        <v>18.149999999999999</v>
      </c>
      <c r="AE136" s="2">
        <v>14.99</v>
      </c>
      <c r="AF136" s="2">
        <v>20.09</v>
      </c>
      <c r="AG136" s="2">
        <v>15.18</v>
      </c>
      <c r="AH136" s="2">
        <v>18.600000000000001</v>
      </c>
      <c r="AI136" s="2">
        <v>15.17</v>
      </c>
      <c r="AJ136" s="2">
        <v>20.58</v>
      </c>
      <c r="AK136" s="2">
        <v>15.31</v>
      </c>
      <c r="AL136" s="2">
        <v>17.010000000000002</v>
      </c>
      <c r="AM136" s="2">
        <v>14.58</v>
      </c>
      <c r="AN136" s="2">
        <v>14.61</v>
      </c>
      <c r="AO136" s="2">
        <v>12.41</v>
      </c>
      <c r="AP136" s="2">
        <v>13.63</v>
      </c>
      <c r="AQ136" s="2">
        <v>16.97</v>
      </c>
      <c r="AR136" s="2">
        <v>13.62</v>
      </c>
      <c r="AU136" s="1" t="s">
        <v>67</v>
      </c>
      <c r="AV136" s="2">
        <v>169.09</v>
      </c>
      <c r="AW136" s="2">
        <v>133.11000000000001</v>
      </c>
      <c r="AX136" s="2">
        <v>87.57</v>
      </c>
      <c r="AY136" s="2">
        <v>96.69</v>
      </c>
      <c r="AZ136" s="2">
        <v>89.83</v>
      </c>
      <c r="BA136" s="2">
        <v>163.75</v>
      </c>
      <c r="BB136" s="2">
        <v>137.11000000000001</v>
      </c>
      <c r="BC136" s="2">
        <v>181.11</v>
      </c>
      <c r="BD136" s="2">
        <v>148.62</v>
      </c>
      <c r="BE136" s="2">
        <v>179.6</v>
      </c>
      <c r="BF136" s="2">
        <v>150.03</v>
      </c>
      <c r="BG136" s="2">
        <v>198.92</v>
      </c>
      <c r="BH136" s="2">
        <v>148.88999999999999</v>
      </c>
      <c r="BI136" s="2">
        <v>164.59</v>
      </c>
      <c r="BJ136" s="2">
        <v>141.82</v>
      </c>
      <c r="BK136" s="2">
        <v>141.79</v>
      </c>
      <c r="BL136" s="2">
        <v>120.49</v>
      </c>
      <c r="BM136" s="2">
        <v>131.57</v>
      </c>
      <c r="BN136" s="2">
        <v>167.13</v>
      </c>
      <c r="BO136" s="2">
        <v>131.88</v>
      </c>
    </row>
    <row r="137" spans="24:67" x14ac:dyDescent="0.3">
      <c r="X137" s="1" t="s">
        <v>68</v>
      </c>
      <c r="Y137" s="2">
        <v>127.9</v>
      </c>
      <c r="Z137" s="2">
        <v>38.950000000000003</v>
      </c>
      <c r="AA137" s="2">
        <v>97.11</v>
      </c>
      <c r="AB137" s="2">
        <v>30.61</v>
      </c>
      <c r="AC137" s="2">
        <v>164.72</v>
      </c>
      <c r="AD137" s="2">
        <v>182.28</v>
      </c>
      <c r="AE137" s="2">
        <v>153.16</v>
      </c>
      <c r="AF137" s="2">
        <v>96.47</v>
      </c>
      <c r="AG137" s="2">
        <v>192.64</v>
      </c>
      <c r="AH137" s="2">
        <v>88.96</v>
      </c>
      <c r="AI137" s="2">
        <v>185.79</v>
      </c>
      <c r="AJ137" s="2">
        <v>93.94</v>
      </c>
      <c r="AK137" s="2">
        <v>198.67</v>
      </c>
      <c r="AL137" s="2">
        <v>84.9</v>
      </c>
      <c r="AM137" s="2">
        <v>186.48</v>
      </c>
      <c r="AN137" s="2">
        <v>68.62</v>
      </c>
      <c r="AO137" s="2">
        <v>79.22</v>
      </c>
      <c r="AP137" s="2">
        <v>70.08</v>
      </c>
      <c r="AQ137" s="2">
        <v>54.4</v>
      </c>
      <c r="AR137" s="2">
        <v>50.79</v>
      </c>
      <c r="AU137" s="1" t="s">
        <v>68</v>
      </c>
      <c r="AV137" s="2">
        <v>686.22</v>
      </c>
      <c r="AW137" s="2">
        <v>375.95</v>
      </c>
      <c r="AX137" s="2">
        <v>567.44000000000005</v>
      </c>
      <c r="AY137" s="2">
        <v>276.29000000000002</v>
      </c>
      <c r="AZ137" s="2">
        <v>538.64</v>
      </c>
      <c r="BA137" s="2">
        <v>847.68</v>
      </c>
      <c r="BB137" s="2">
        <v>677.1</v>
      </c>
      <c r="BC137" s="2">
        <v>707.6</v>
      </c>
      <c r="BD137" s="2">
        <v>815.96</v>
      </c>
      <c r="BE137" s="2">
        <v>755.44</v>
      </c>
      <c r="BF137" s="2">
        <v>774.95</v>
      </c>
      <c r="BG137" s="2">
        <v>788.85</v>
      </c>
      <c r="BH137" s="2">
        <v>780.59</v>
      </c>
      <c r="BI137" s="2">
        <v>695.51</v>
      </c>
      <c r="BJ137" s="2">
        <v>717.16</v>
      </c>
      <c r="BK137" s="2">
        <v>615.39</v>
      </c>
      <c r="BL137" s="2">
        <v>608.82000000000005</v>
      </c>
      <c r="BM137" s="2">
        <v>665.51</v>
      </c>
      <c r="BN137" s="2">
        <v>523.54</v>
      </c>
      <c r="BO137" s="2">
        <v>485.47</v>
      </c>
    </row>
    <row r="138" spans="24:67" x14ac:dyDescent="0.3">
      <c r="X138" s="1" t="s">
        <v>69</v>
      </c>
      <c r="Y138" s="2">
        <v>24.12</v>
      </c>
      <c r="Z138" s="2">
        <v>12.89</v>
      </c>
      <c r="AA138" s="2">
        <v>17.28</v>
      </c>
      <c r="AB138" s="2">
        <v>13.27</v>
      </c>
      <c r="AC138" s="2">
        <v>33.76</v>
      </c>
      <c r="AD138" s="2">
        <v>24.53</v>
      </c>
      <c r="AE138" s="2">
        <v>43.48</v>
      </c>
      <c r="AF138" s="2">
        <v>20.350000000000001</v>
      </c>
      <c r="AG138" s="2">
        <v>39.43</v>
      </c>
      <c r="AH138" s="2">
        <v>23.16</v>
      </c>
      <c r="AI138" s="2">
        <v>41.76</v>
      </c>
      <c r="AJ138" s="2">
        <v>23.7</v>
      </c>
      <c r="AK138" s="2">
        <v>43.78</v>
      </c>
      <c r="AL138" s="2">
        <v>20.03</v>
      </c>
      <c r="AM138" s="2">
        <v>32.93</v>
      </c>
      <c r="AN138" s="2">
        <v>20.56</v>
      </c>
      <c r="AO138" s="2">
        <v>19.670000000000002</v>
      </c>
      <c r="AP138" s="2">
        <v>17.559999999999999</v>
      </c>
      <c r="AQ138" s="2">
        <v>18.260000000000002</v>
      </c>
      <c r="AR138" s="2">
        <v>15.84</v>
      </c>
      <c r="AU138" s="1" t="s">
        <v>69</v>
      </c>
      <c r="AV138" s="2">
        <v>223.55</v>
      </c>
      <c r="AW138" s="2">
        <v>110.61</v>
      </c>
      <c r="AX138" s="2">
        <v>158.03</v>
      </c>
      <c r="AY138" s="2">
        <v>119.73</v>
      </c>
      <c r="AZ138" s="2">
        <v>162.1</v>
      </c>
      <c r="BA138" s="2">
        <v>221.78</v>
      </c>
      <c r="BB138" s="2">
        <v>244.23</v>
      </c>
      <c r="BC138" s="2">
        <v>183.44</v>
      </c>
      <c r="BD138" s="2">
        <v>235.86</v>
      </c>
      <c r="BE138" s="2">
        <v>223.22</v>
      </c>
      <c r="BF138" s="2">
        <v>249.33</v>
      </c>
      <c r="BG138" s="2">
        <v>227.95</v>
      </c>
      <c r="BH138" s="2">
        <v>258.16000000000003</v>
      </c>
      <c r="BI138" s="2">
        <v>192.67</v>
      </c>
      <c r="BJ138" s="2">
        <v>246.37</v>
      </c>
      <c r="BK138" s="2">
        <v>197.84</v>
      </c>
      <c r="BL138" s="2">
        <v>189.53</v>
      </c>
      <c r="BM138" s="2">
        <v>163.34</v>
      </c>
      <c r="BN138" s="2">
        <v>173.34</v>
      </c>
      <c r="BO138" s="2">
        <v>147.21</v>
      </c>
    </row>
    <row r="139" spans="24:67" x14ac:dyDescent="0.3">
      <c r="X139" s="1" t="s">
        <v>70</v>
      </c>
      <c r="Y139" s="2">
        <v>113.02</v>
      </c>
      <c r="Z139" s="2">
        <v>111.55</v>
      </c>
      <c r="AA139" s="2">
        <v>122</v>
      </c>
      <c r="AB139" s="2">
        <v>97.46</v>
      </c>
      <c r="AC139" s="2">
        <v>110.04</v>
      </c>
      <c r="AD139" s="2">
        <v>109.33</v>
      </c>
      <c r="AE139" s="2">
        <v>112.61</v>
      </c>
      <c r="AF139" s="2">
        <v>144.13</v>
      </c>
      <c r="AG139" s="2">
        <v>143.57</v>
      </c>
      <c r="AH139" s="2">
        <v>135.41999999999999</v>
      </c>
      <c r="AI139" s="2">
        <v>123.44</v>
      </c>
      <c r="AJ139" s="2">
        <v>101.67</v>
      </c>
      <c r="AK139" s="2">
        <v>108.39</v>
      </c>
      <c r="AL139" s="2">
        <v>95.25</v>
      </c>
      <c r="AM139" s="2">
        <v>97.22</v>
      </c>
      <c r="AN139" s="2">
        <v>90.72</v>
      </c>
      <c r="AO139" s="2">
        <v>94.29</v>
      </c>
      <c r="AP139" s="2">
        <v>69.69</v>
      </c>
      <c r="AQ139" s="2">
        <v>85.32</v>
      </c>
      <c r="AR139" s="2">
        <v>82.26</v>
      </c>
      <c r="AU139" s="1" t="s">
        <v>70</v>
      </c>
      <c r="AV139" s="2">
        <v>597.21</v>
      </c>
      <c r="AW139" s="2">
        <v>740.45</v>
      </c>
      <c r="AX139" s="2">
        <v>732.91</v>
      </c>
      <c r="AY139" s="2">
        <v>880.54</v>
      </c>
      <c r="AZ139" s="2">
        <v>575.61</v>
      </c>
      <c r="BA139" s="2">
        <v>595.53</v>
      </c>
      <c r="BB139" s="2">
        <v>1012.89</v>
      </c>
      <c r="BC139" s="2">
        <v>918.37</v>
      </c>
      <c r="BD139" s="2">
        <v>1136.93</v>
      </c>
      <c r="BE139" s="2">
        <v>991.08</v>
      </c>
      <c r="BF139" s="2">
        <v>1097.56</v>
      </c>
      <c r="BG139" s="2">
        <v>983.33</v>
      </c>
      <c r="BH139" s="2">
        <v>1042.1099999999999</v>
      </c>
      <c r="BI139" s="2">
        <v>918.75</v>
      </c>
      <c r="BJ139" s="2">
        <v>932.78</v>
      </c>
      <c r="BK139" s="2">
        <v>871.28</v>
      </c>
      <c r="BL139" s="2">
        <v>902.71</v>
      </c>
      <c r="BM139" s="2">
        <v>668.81</v>
      </c>
      <c r="BN139" s="2">
        <v>816.68</v>
      </c>
      <c r="BO139" s="2">
        <v>794.74</v>
      </c>
    </row>
    <row r="140" spans="24:67" x14ac:dyDescent="0.3">
      <c r="X140" s="1" t="s">
        <v>71</v>
      </c>
      <c r="Y140" s="2">
        <v>13.12</v>
      </c>
      <c r="Z140" s="2">
        <v>19.28</v>
      </c>
      <c r="AA140" s="2">
        <v>14.97</v>
      </c>
      <c r="AB140" s="2">
        <v>17.420000000000002</v>
      </c>
      <c r="AC140" s="2">
        <v>19.45</v>
      </c>
      <c r="AD140" s="2">
        <v>15.68</v>
      </c>
      <c r="AE140" s="2">
        <v>18.170000000000002</v>
      </c>
      <c r="AF140" s="2">
        <v>15.97</v>
      </c>
      <c r="AG140" s="2">
        <v>16.73</v>
      </c>
      <c r="AH140" s="2">
        <v>24.14</v>
      </c>
      <c r="AI140" s="2">
        <v>19.579999999999998</v>
      </c>
      <c r="AJ140" s="2">
        <v>24.54</v>
      </c>
      <c r="AK140" s="2">
        <v>18.13</v>
      </c>
      <c r="AL140" s="2">
        <v>18.25</v>
      </c>
      <c r="AM140" s="2">
        <v>18.309999999999999</v>
      </c>
      <c r="AN140" s="2">
        <v>21.96</v>
      </c>
      <c r="AO140" s="2">
        <v>18.64</v>
      </c>
      <c r="AP140" s="2">
        <v>14.3</v>
      </c>
      <c r="AQ140" s="2">
        <v>15.83</v>
      </c>
      <c r="AR140" s="2">
        <v>13.15</v>
      </c>
      <c r="AU140" s="1" t="s">
        <v>71</v>
      </c>
      <c r="AV140" s="2">
        <v>110.27</v>
      </c>
      <c r="AW140" s="2">
        <v>100.55</v>
      </c>
      <c r="AX140" s="2">
        <v>120.69</v>
      </c>
      <c r="AY140" s="2">
        <v>141.08000000000001</v>
      </c>
      <c r="AZ140" s="2">
        <v>94.96</v>
      </c>
      <c r="BA140" s="2">
        <v>81.680000000000007</v>
      </c>
      <c r="BB140" s="2">
        <v>142.72999999999999</v>
      </c>
      <c r="BC140" s="2">
        <v>84.07</v>
      </c>
      <c r="BD140" s="2">
        <v>140.87</v>
      </c>
      <c r="BE140" s="2">
        <v>155.91</v>
      </c>
      <c r="BF140" s="2">
        <v>166.62</v>
      </c>
      <c r="BG140" s="2">
        <v>162.9</v>
      </c>
      <c r="BH140" s="2">
        <v>153.6</v>
      </c>
      <c r="BI140" s="2">
        <v>138.49</v>
      </c>
      <c r="BJ140" s="2">
        <v>155.55000000000001</v>
      </c>
      <c r="BK140" s="2">
        <v>165.45</v>
      </c>
      <c r="BL140" s="2">
        <v>157.41</v>
      </c>
      <c r="BM140" s="2">
        <v>123.52</v>
      </c>
      <c r="BN140" s="2">
        <v>133.47999999999999</v>
      </c>
      <c r="BO140" s="2">
        <v>111.25</v>
      </c>
    </row>
    <row r="141" spans="24:67" x14ac:dyDescent="0.3">
      <c r="X141" s="1" t="s">
        <v>72</v>
      </c>
      <c r="Y141" s="2">
        <v>59.03</v>
      </c>
      <c r="Z141" s="2">
        <v>70.180000000000007</v>
      </c>
      <c r="AA141" s="2">
        <v>36.450000000000003</v>
      </c>
      <c r="AB141" s="2">
        <v>49.59</v>
      </c>
      <c r="AC141" s="2">
        <v>56.81</v>
      </c>
      <c r="AD141" s="2">
        <v>53.33</v>
      </c>
      <c r="AE141" s="2">
        <v>55.85</v>
      </c>
      <c r="AF141" s="2">
        <v>80.94</v>
      </c>
      <c r="AG141" s="2">
        <v>43.92</v>
      </c>
      <c r="AH141" s="2">
        <v>96.78</v>
      </c>
      <c r="AI141" s="2">
        <v>48.73</v>
      </c>
      <c r="AJ141" s="2">
        <v>90.9</v>
      </c>
      <c r="AK141" s="2">
        <v>44.07</v>
      </c>
      <c r="AL141" s="2">
        <v>71.2</v>
      </c>
      <c r="AM141" s="2">
        <v>51.32</v>
      </c>
      <c r="AN141" s="2">
        <v>45.62</v>
      </c>
      <c r="AO141" s="2">
        <v>40.85</v>
      </c>
      <c r="AP141" s="2">
        <v>31.76</v>
      </c>
      <c r="AQ141" s="2">
        <v>34.450000000000003</v>
      </c>
      <c r="AR141" s="2">
        <v>33.299999999999997</v>
      </c>
      <c r="AU141" s="1" t="s">
        <v>72</v>
      </c>
      <c r="AV141" s="2">
        <v>319.37</v>
      </c>
      <c r="AW141" s="2">
        <v>381.42</v>
      </c>
      <c r="AX141" s="2">
        <v>295.33999999999997</v>
      </c>
      <c r="AY141" s="2">
        <v>322.79000000000002</v>
      </c>
      <c r="AZ141" s="2">
        <v>243.39</v>
      </c>
      <c r="BA141" s="2">
        <v>288.83</v>
      </c>
      <c r="BB141" s="2">
        <v>357.2</v>
      </c>
      <c r="BC141" s="2">
        <v>285.32</v>
      </c>
      <c r="BD141" s="2">
        <v>361.16</v>
      </c>
      <c r="BE141" s="2">
        <v>425.64</v>
      </c>
      <c r="BF141" s="2">
        <v>371.54</v>
      </c>
      <c r="BG141" s="2">
        <v>402.19</v>
      </c>
      <c r="BH141" s="2">
        <v>334.27</v>
      </c>
      <c r="BI141" s="2">
        <v>343.1</v>
      </c>
      <c r="BJ141" s="2">
        <v>354.46</v>
      </c>
      <c r="BK141" s="2">
        <v>398.23</v>
      </c>
      <c r="BL141" s="2">
        <v>346.36</v>
      </c>
      <c r="BM141" s="2">
        <v>267.56</v>
      </c>
      <c r="BN141" s="2">
        <v>292.02</v>
      </c>
      <c r="BO141" s="2">
        <v>282.82</v>
      </c>
    </row>
    <row r="142" spans="24:67" x14ac:dyDescent="0.3">
      <c r="X142" s="1" t="s">
        <v>73</v>
      </c>
      <c r="Y142" s="2">
        <v>20.440000000000001</v>
      </c>
      <c r="Z142" s="2">
        <v>15.46</v>
      </c>
      <c r="AA142" s="2">
        <v>9.57</v>
      </c>
      <c r="AB142" s="2">
        <v>11.3</v>
      </c>
      <c r="AC142" s="2">
        <v>4.92</v>
      </c>
      <c r="AD142" s="2">
        <v>12.07</v>
      </c>
      <c r="AE142" s="2">
        <v>10.039999999999999</v>
      </c>
      <c r="AF142" s="2">
        <v>13.34</v>
      </c>
      <c r="AG142" s="2">
        <v>16.760000000000002</v>
      </c>
      <c r="AH142" s="2">
        <v>9.42</v>
      </c>
      <c r="AI142" s="2">
        <v>12.35</v>
      </c>
      <c r="AJ142" s="2">
        <v>10.77</v>
      </c>
      <c r="AK142" s="2">
        <v>13.38</v>
      </c>
      <c r="AL142" s="2">
        <v>13.57</v>
      </c>
      <c r="AM142" s="2">
        <v>11.01</v>
      </c>
      <c r="AN142" s="2">
        <v>12.09</v>
      </c>
      <c r="AO142" s="2">
        <v>16.02</v>
      </c>
      <c r="AP142" s="2">
        <v>11.01</v>
      </c>
      <c r="AQ142" s="2">
        <v>15.4</v>
      </c>
      <c r="AR142" s="2">
        <v>11.51</v>
      </c>
      <c r="AU142" s="1" t="s">
        <v>73</v>
      </c>
      <c r="AV142" s="2">
        <v>168.56</v>
      </c>
      <c r="AW142" s="2">
        <v>129.13999999999999</v>
      </c>
      <c r="AX142" s="2">
        <v>74.73</v>
      </c>
      <c r="AY142" s="2">
        <v>88.3</v>
      </c>
      <c r="AZ142" s="2">
        <v>93.48</v>
      </c>
      <c r="BA142" s="2">
        <v>94.13</v>
      </c>
      <c r="BB142" s="2">
        <v>99.46</v>
      </c>
      <c r="BC142" s="2">
        <v>96.67</v>
      </c>
      <c r="BD142" s="2">
        <v>127.24</v>
      </c>
      <c r="BE142" s="2">
        <v>75.459999999999994</v>
      </c>
      <c r="BF142" s="2">
        <v>91.15</v>
      </c>
      <c r="BG142" s="2">
        <v>86.96</v>
      </c>
      <c r="BH142" s="2">
        <v>98.52</v>
      </c>
      <c r="BI142" s="2">
        <v>113.33</v>
      </c>
      <c r="BJ142" s="2">
        <v>78.39</v>
      </c>
      <c r="BK142" s="2">
        <v>92.31</v>
      </c>
      <c r="BL142" s="2">
        <v>109.38</v>
      </c>
      <c r="BM142" s="2">
        <v>77.489999999999995</v>
      </c>
      <c r="BN142" s="2">
        <v>107.6</v>
      </c>
      <c r="BO142" s="2">
        <v>85.39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10" t="s">
        <v>63</v>
      </c>
      <c r="Z146" s="10"/>
      <c r="AA146" s="10"/>
      <c r="AB146" s="10"/>
      <c r="AC146" s="10"/>
      <c r="AD146" s="10"/>
      <c r="AE146" s="10"/>
      <c r="AF146" s="10"/>
      <c r="AG146" s="10"/>
      <c r="AH146" s="10"/>
      <c r="AI146" s="10" t="s">
        <v>64</v>
      </c>
      <c r="AJ146" s="10"/>
      <c r="AK146" s="10"/>
      <c r="AL146" s="10"/>
      <c r="AM146" s="10"/>
      <c r="AN146" s="10"/>
      <c r="AO146" s="10"/>
      <c r="AP146" s="10"/>
      <c r="AQ146" s="10"/>
      <c r="AR146" s="10"/>
      <c r="AU146" s="1" t="s">
        <v>6</v>
      </c>
      <c r="AV146" s="10" t="s">
        <v>63</v>
      </c>
      <c r="AW146" s="10"/>
      <c r="AX146" s="10"/>
      <c r="AY146" s="10"/>
      <c r="AZ146" s="10"/>
      <c r="BA146" s="10"/>
      <c r="BB146" s="10"/>
      <c r="BC146" s="10"/>
      <c r="BD146" s="10"/>
      <c r="BE146" s="10"/>
      <c r="BF146" s="10" t="s">
        <v>64</v>
      </c>
      <c r="BG146" s="10"/>
      <c r="BH146" s="10"/>
      <c r="BI146" s="10"/>
      <c r="BJ146" s="10"/>
      <c r="BK146" s="10"/>
      <c r="BL146" s="10"/>
      <c r="BM146" s="10"/>
      <c r="BN146" s="10"/>
      <c r="BO146" s="10"/>
    </row>
    <row r="147" spans="24:67" x14ac:dyDescent="0.3">
      <c r="X147" s="1" t="s">
        <v>65</v>
      </c>
      <c r="Y147" s="1" t="s">
        <v>53</v>
      </c>
      <c r="Z147" s="1" t="s">
        <v>62</v>
      </c>
      <c r="AA147" s="1" t="s">
        <v>54</v>
      </c>
      <c r="AB147" s="1" t="s">
        <v>55</v>
      </c>
      <c r="AC147" s="1" t="s">
        <v>56</v>
      </c>
      <c r="AD147" s="1" t="s">
        <v>57</v>
      </c>
      <c r="AE147" s="1" t="s">
        <v>58</v>
      </c>
      <c r="AF147" s="1" t="s">
        <v>59</v>
      </c>
      <c r="AG147" s="1" t="s">
        <v>60</v>
      </c>
      <c r="AH147" s="1" t="s">
        <v>61</v>
      </c>
      <c r="AI147" s="1" t="s">
        <v>53</v>
      </c>
      <c r="AJ147" s="1" t="s">
        <v>62</v>
      </c>
      <c r="AK147" s="1" t="s">
        <v>54</v>
      </c>
      <c r="AL147" s="1" t="s">
        <v>55</v>
      </c>
      <c r="AM147" s="1" t="s">
        <v>56</v>
      </c>
      <c r="AN147" s="1" t="s">
        <v>57</v>
      </c>
      <c r="AO147" s="1" t="s">
        <v>58</v>
      </c>
      <c r="AP147" s="1" t="s">
        <v>59</v>
      </c>
      <c r="AQ147" s="1" t="s">
        <v>60</v>
      </c>
      <c r="AR147" s="1" t="s">
        <v>61</v>
      </c>
      <c r="AU147" s="1" t="s">
        <v>65</v>
      </c>
      <c r="AV147" s="1" t="s">
        <v>53</v>
      </c>
      <c r="AW147" s="1" t="s">
        <v>62</v>
      </c>
      <c r="AX147" s="1" t="s">
        <v>54</v>
      </c>
      <c r="AY147" s="1" t="s">
        <v>55</v>
      </c>
      <c r="AZ147" s="1" t="s">
        <v>56</v>
      </c>
      <c r="BA147" s="1" t="s">
        <v>57</v>
      </c>
      <c r="BB147" s="1" t="s">
        <v>58</v>
      </c>
      <c r="BC147" s="1" t="s">
        <v>59</v>
      </c>
      <c r="BD147" s="1" t="s">
        <v>60</v>
      </c>
      <c r="BE147" s="1" t="s">
        <v>61</v>
      </c>
      <c r="BF147" s="1" t="s">
        <v>53</v>
      </c>
      <c r="BG147" s="1" t="s">
        <v>62</v>
      </c>
      <c r="BH147" s="1" t="s">
        <v>54</v>
      </c>
      <c r="BI147" s="1" t="s">
        <v>55</v>
      </c>
      <c r="BJ147" s="1" t="s">
        <v>56</v>
      </c>
      <c r="BK147" s="1" t="s">
        <v>57</v>
      </c>
      <c r="BL147" s="1" t="s">
        <v>58</v>
      </c>
      <c r="BM147" s="1" t="s">
        <v>59</v>
      </c>
      <c r="BN147" s="1" t="s">
        <v>60</v>
      </c>
      <c r="BO147" s="1" t="s">
        <v>61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66</v>
      </c>
      <c r="Y149" s="2">
        <v>13.04</v>
      </c>
      <c r="Z149" s="2">
        <v>1.99</v>
      </c>
      <c r="AA149" s="2">
        <v>2.91</v>
      </c>
      <c r="AB149" s="2">
        <v>0.95</v>
      </c>
      <c r="AC149" s="2">
        <v>21.19</v>
      </c>
      <c r="AD149" s="2">
        <v>24.38</v>
      </c>
      <c r="AE149" s="2">
        <v>23.7</v>
      </c>
      <c r="AF149" s="2">
        <v>21.94</v>
      </c>
      <c r="AG149" s="2">
        <v>14.79</v>
      </c>
      <c r="AH149" s="2">
        <v>1.2</v>
      </c>
      <c r="AI149" s="2">
        <v>18.37</v>
      </c>
      <c r="AJ149" s="2">
        <v>1.62</v>
      </c>
      <c r="AK149" s="2">
        <v>2.89</v>
      </c>
      <c r="AL149" s="2">
        <v>2.69</v>
      </c>
      <c r="AM149" s="2">
        <v>6.65</v>
      </c>
      <c r="AN149" s="2">
        <v>18.079999999999998</v>
      </c>
      <c r="AO149" s="2">
        <v>16.71</v>
      </c>
      <c r="AP149" s="2">
        <v>5.0199999999999996</v>
      </c>
      <c r="AQ149" s="2">
        <v>6.99</v>
      </c>
      <c r="AR149" s="2">
        <v>2.1</v>
      </c>
      <c r="AU149" s="1" t="s">
        <v>66</v>
      </c>
      <c r="AV149" s="2">
        <v>98.89</v>
      </c>
      <c r="AW149" s="2">
        <v>114.56</v>
      </c>
      <c r="AX149" s="2">
        <v>78.08</v>
      </c>
      <c r="AY149" s="2">
        <v>25.65</v>
      </c>
      <c r="AZ149" s="2">
        <v>246.49</v>
      </c>
      <c r="BA149" s="2">
        <v>251.42</v>
      </c>
      <c r="BB149" s="2">
        <v>256.02</v>
      </c>
      <c r="BC149" s="2">
        <v>229.78</v>
      </c>
      <c r="BD149" s="2">
        <v>182.05</v>
      </c>
      <c r="BE149" s="2">
        <v>115.42</v>
      </c>
      <c r="BF149" s="2">
        <v>161.81</v>
      </c>
      <c r="BG149" s="2">
        <v>155.88</v>
      </c>
      <c r="BH149" s="2">
        <v>78.099999999999994</v>
      </c>
      <c r="BI149" s="2">
        <v>54.71</v>
      </c>
      <c r="BJ149" s="2">
        <v>119.91</v>
      </c>
      <c r="BK149" s="2">
        <v>344.52</v>
      </c>
      <c r="BL149" s="2">
        <v>386.49</v>
      </c>
      <c r="BM149" s="2">
        <v>273.08999999999997</v>
      </c>
      <c r="BN149" s="2">
        <v>189.85</v>
      </c>
      <c r="BO149" s="2">
        <v>202.58</v>
      </c>
    </row>
    <row r="150" spans="24:67" x14ac:dyDescent="0.3">
      <c r="X150" s="1" t="s">
        <v>67</v>
      </c>
      <c r="Y150" s="2">
        <v>11.85</v>
      </c>
      <c r="Z150" s="2">
        <v>23.74</v>
      </c>
      <c r="AA150" s="2">
        <v>8.4</v>
      </c>
      <c r="AB150" s="2">
        <v>1.95</v>
      </c>
      <c r="AC150" s="2">
        <v>11.5</v>
      </c>
      <c r="AD150" s="2">
        <v>13.01</v>
      </c>
      <c r="AE150" s="2">
        <v>18.36</v>
      </c>
      <c r="AF150" s="2">
        <v>15.47</v>
      </c>
      <c r="AG150" s="2">
        <v>21.12</v>
      </c>
      <c r="AH150" s="2">
        <v>15.24</v>
      </c>
      <c r="AI150" s="2">
        <v>7.98</v>
      </c>
      <c r="AJ150" s="2">
        <v>25.7</v>
      </c>
      <c r="AK150" s="2">
        <v>6.3</v>
      </c>
      <c r="AL150" s="2">
        <v>4.41</v>
      </c>
      <c r="AM150" s="2">
        <v>15.07</v>
      </c>
      <c r="AN150" s="2">
        <v>16.87</v>
      </c>
      <c r="AO150" s="2">
        <v>22.9</v>
      </c>
      <c r="AP150" s="2">
        <v>17.91</v>
      </c>
      <c r="AQ150" s="2">
        <v>19.850000000000001</v>
      </c>
      <c r="AR150" s="2">
        <v>19.260000000000002</v>
      </c>
      <c r="AU150" s="1" t="s">
        <v>67</v>
      </c>
      <c r="AV150" s="2">
        <v>115.03</v>
      </c>
      <c r="AW150" s="2">
        <v>233.66</v>
      </c>
      <c r="AX150" s="2">
        <v>76.36</v>
      </c>
      <c r="AY150" s="2">
        <v>17.600000000000001</v>
      </c>
      <c r="AZ150" s="2">
        <v>105.14</v>
      </c>
      <c r="BA150" s="2">
        <v>127.39</v>
      </c>
      <c r="BB150" s="2">
        <v>181.44</v>
      </c>
      <c r="BC150" s="2">
        <v>150.41</v>
      </c>
      <c r="BD150" s="2">
        <v>205.36</v>
      </c>
      <c r="BE150" s="2">
        <v>147.96</v>
      </c>
      <c r="BF150" s="2">
        <v>77.040000000000006</v>
      </c>
      <c r="BG150" s="2">
        <v>248.8</v>
      </c>
      <c r="BH150" s="2">
        <v>56.88</v>
      </c>
      <c r="BI150" s="2">
        <v>39.79</v>
      </c>
      <c r="BJ150" s="2">
        <v>135.81</v>
      </c>
      <c r="BK150" s="2">
        <v>162.93</v>
      </c>
      <c r="BL150" s="2">
        <v>221.18</v>
      </c>
      <c r="BM150" s="2">
        <v>173.2</v>
      </c>
      <c r="BN150" s="2">
        <v>192.57</v>
      </c>
      <c r="BO150" s="2">
        <v>185.76</v>
      </c>
    </row>
    <row r="151" spans="24:67" x14ac:dyDescent="0.3">
      <c r="X151" s="1" t="s">
        <v>68</v>
      </c>
      <c r="Y151" s="2">
        <v>41.17</v>
      </c>
      <c r="Z151" s="2">
        <v>73.14</v>
      </c>
      <c r="AA151" s="2">
        <v>32.380000000000003</v>
      </c>
      <c r="AB151" s="2">
        <v>15.32</v>
      </c>
      <c r="AC151" s="2">
        <v>82.43</v>
      </c>
      <c r="AD151" s="2">
        <v>101.71</v>
      </c>
      <c r="AE151" s="2">
        <v>173.57</v>
      </c>
      <c r="AF151" s="2">
        <v>156.88</v>
      </c>
      <c r="AG151" s="2">
        <v>200.34</v>
      </c>
      <c r="AH151" s="2">
        <v>68.069999999999993</v>
      </c>
      <c r="AI151" s="2">
        <v>17.649999999999999</v>
      </c>
      <c r="AJ151" s="2">
        <v>68.78</v>
      </c>
      <c r="AK151" s="2">
        <v>11.44</v>
      </c>
      <c r="AL151" s="2">
        <v>25.75</v>
      </c>
      <c r="AM151" s="2">
        <v>58.01</v>
      </c>
      <c r="AN151" s="2">
        <v>54.67</v>
      </c>
      <c r="AO151" s="2">
        <v>89.64</v>
      </c>
      <c r="AP151" s="2">
        <v>75.44</v>
      </c>
      <c r="AQ151" s="2">
        <v>79.88</v>
      </c>
      <c r="AR151" s="2">
        <v>68.260000000000005</v>
      </c>
      <c r="AU151" s="1" t="s">
        <v>68</v>
      </c>
      <c r="AV151" s="2">
        <v>220.71</v>
      </c>
      <c r="AW151" s="2">
        <v>703.28</v>
      </c>
      <c r="AX151" s="2">
        <v>189.08</v>
      </c>
      <c r="AY151" s="2">
        <v>50.09</v>
      </c>
      <c r="AZ151" s="2">
        <v>364.22</v>
      </c>
      <c r="BA151" s="2">
        <v>430.49</v>
      </c>
      <c r="BB151" s="2">
        <v>723.09</v>
      </c>
      <c r="BC151" s="2">
        <v>615.79</v>
      </c>
      <c r="BD151" s="2">
        <v>769.6</v>
      </c>
      <c r="BE151" s="2">
        <v>522.64</v>
      </c>
      <c r="BF151" s="2">
        <v>170.33</v>
      </c>
      <c r="BG151" s="2">
        <v>656.93</v>
      </c>
      <c r="BH151" s="2">
        <v>103.22</v>
      </c>
      <c r="BI151" s="2">
        <v>119.74</v>
      </c>
      <c r="BJ151" s="2">
        <v>425.27</v>
      </c>
      <c r="BK151" s="2">
        <v>463.94</v>
      </c>
      <c r="BL151" s="2">
        <v>751.7</v>
      </c>
      <c r="BM151" s="2">
        <v>617.44000000000005</v>
      </c>
      <c r="BN151" s="2">
        <v>715.58</v>
      </c>
      <c r="BO151" s="2">
        <v>647.62</v>
      </c>
    </row>
    <row r="152" spans="24:67" x14ac:dyDescent="0.3">
      <c r="X152" s="1" t="s">
        <v>69</v>
      </c>
      <c r="Y152" s="2">
        <v>8.7100000000000009</v>
      </c>
      <c r="Z152" s="2">
        <v>32.56</v>
      </c>
      <c r="AA152" s="2">
        <v>7.84</v>
      </c>
      <c r="AB152" s="2">
        <v>4.2699999999999996</v>
      </c>
      <c r="AC152" s="2">
        <v>29.39</v>
      </c>
      <c r="AD152" s="2">
        <v>36.76</v>
      </c>
      <c r="AE152" s="2">
        <v>60.77</v>
      </c>
      <c r="AF152" s="2">
        <v>53.43</v>
      </c>
      <c r="AG152" s="2">
        <v>56.76</v>
      </c>
      <c r="AH152" s="2">
        <v>30.33</v>
      </c>
      <c r="AI152" s="2">
        <v>6.54</v>
      </c>
      <c r="AJ152" s="2">
        <v>31.01</v>
      </c>
      <c r="AK152" s="2">
        <v>5.14</v>
      </c>
      <c r="AL152" s="2">
        <v>3.93</v>
      </c>
      <c r="AM152" s="2">
        <v>14.47</v>
      </c>
      <c r="AN152" s="2">
        <v>15.52</v>
      </c>
      <c r="AO152" s="2">
        <v>23.45</v>
      </c>
      <c r="AP152" s="2">
        <v>19.7</v>
      </c>
      <c r="AQ152" s="2">
        <v>32</v>
      </c>
      <c r="AR152" s="2">
        <v>21.52</v>
      </c>
      <c r="AU152" s="1" t="s">
        <v>69</v>
      </c>
      <c r="AV152" s="2">
        <v>80.66</v>
      </c>
      <c r="AW152" s="2">
        <v>308.99</v>
      </c>
      <c r="AX152" s="2">
        <v>71.650000000000006</v>
      </c>
      <c r="AY152" s="2">
        <v>20.48</v>
      </c>
      <c r="AZ152" s="2">
        <v>165.03</v>
      </c>
      <c r="BA152" s="2">
        <v>219.77</v>
      </c>
      <c r="BB152" s="2">
        <v>362.41</v>
      </c>
      <c r="BC152" s="2">
        <v>314.79000000000002</v>
      </c>
      <c r="BD152" s="2">
        <v>424.32</v>
      </c>
      <c r="BE152" s="2">
        <v>291.99</v>
      </c>
      <c r="BF152" s="2">
        <v>56.12</v>
      </c>
      <c r="BG152" s="2">
        <v>288.12</v>
      </c>
      <c r="BH152" s="2">
        <v>46.34</v>
      </c>
      <c r="BI152" s="2">
        <v>35.5</v>
      </c>
      <c r="BJ152" s="2">
        <v>130.4</v>
      </c>
      <c r="BK152" s="2">
        <v>149.53</v>
      </c>
      <c r="BL152" s="2">
        <v>225.36</v>
      </c>
      <c r="BM152" s="2">
        <v>189.39</v>
      </c>
      <c r="BN152" s="2">
        <v>307.72000000000003</v>
      </c>
      <c r="BO152" s="2">
        <v>200.16</v>
      </c>
    </row>
    <row r="153" spans="24:67" x14ac:dyDescent="0.3">
      <c r="X153" s="1" t="s">
        <v>70</v>
      </c>
      <c r="Y153" s="2">
        <v>40.119999999999997</v>
      </c>
      <c r="Z153" s="2">
        <v>135.02000000000001</v>
      </c>
      <c r="AA153" s="2">
        <v>38.79</v>
      </c>
      <c r="AB153" s="2">
        <v>14.02</v>
      </c>
      <c r="AC153" s="2">
        <v>67.42</v>
      </c>
      <c r="AD153" s="2">
        <v>96.7</v>
      </c>
      <c r="AE153" s="2">
        <v>125.87</v>
      </c>
      <c r="AF153" s="2">
        <v>100.35</v>
      </c>
      <c r="AG153" s="2">
        <v>129.21</v>
      </c>
      <c r="AH153" s="2">
        <v>114.85</v>
      </c>
      <c r="AI153" s="2">
        <v>45.2</v>
      </c>
      <c r="AJ153" s="2">
        <v>128.82</v>
      </c>
      <c r="AK153" s="2">
        <v>23.2</v>
      </c>
      <c r="AL153" s="2">
        <v>20.399999999999999</v>
      </c>
      <c r="AM153" s="2">
        <v>79.14</v>
      </c>
      <c r="AN153" s="2">
        <v>97.77</v>
      </c>
      <c r="AO153" s="2">
        <v>114.47</v>
      </c>
      <c r="AP153" s="2">
        <v>100.04</v>
      </c>
      <c r="AQ153" s="2">
        <v>126.77</v>
      </c>
      <c r="AR153" s="2">
        <v>96.77</v>
      </c>
      <c r="AU153" s="1" t="s">
        <v>70</v>
      </c>
      <c r="AV153" s="2">
        <v>211.95</v>
      </c>
      <c r="AW153" s="2">
        <v>1291.48</v>
      </c>
      <c r="AX153" s="2">
        <v>232.94</v>
      </c>
      <c r="AY153" s="2">
        <v>73.349999999999994</v>
      </c>
      <c r="AZ153" s="2">
        <v>606.17999999999995</v>
      </c>
      <c r="BA153" s="2">
        <v>765.3</v>
      </c>
      <c r="BB153" s="2">
        <v>1117.93</v>
      </c>
      <c r="BC153" s="2">
        <v>963.95</v>
      </c>
      <c r="BD153" s="2">
        <v>1238.79</v>
      </c>
      <c r="BE153" s="2">
        <v>1098.95</v>
      </c>
      <c r="BF153" s="2">
        <v>299.95</v>
      </c>
      <c r="BG153" s="2">
        <v>1243.68</v>
      </c>
      <c r="BH153" s="2">
        <v>209.5</v>
      </c>
      <c r="BI153" s="2">
        <v>111.1</v>
      </c>
      <c r="BJ153" s="2">
        <v>504.06</v>
      </c>
      <c r="BK153" s="2">
        <v>715.23</v>
      </c>
      <c r="BL153" s="2">
        <v>1105.93</v>
      </c>
      <c r="BM153" s="2">
        <v>964.26</v>
      </c>
      <c r="BN153" s="2">
        <v>1216.53</v>
      </c>
      <c r="BO153" s="2">
        <v>928.33</v>
      </c>
    </row>
    <row r="154" spans="24:67" x14ac:dyDescent="0.3">
      <c r="X154" s="1" t="s">
        <v>71</v>
      </c>
      <c r="Y154" s="2">
        <v>5.74</v>
      </c>
      <c r="Z154" s="2">
        <v>19.57</v>
      </c>
      <c r="AA154" s="2">
        <v>6</v>
      </c>
      <c r="AB154" s="2">
        <v>2.4300000000000002</v>
      </c>
      <c r="AC154" s="2">
        <v>6.81</v>
      </c>
      <c r="AD154" s="2">
        <v>7.58</v>
      </c>
      <c r="AE154" s="2">
        <v>15.88</v>
      </c>
      <c r="AF154" s="2">
        <v>14.49</v>
      </c>
      <c r="AG154" s="2">
        <v>18.39</v>
      </c>
      <c r="AH154" s="2">
        <v>18.63</v>
      </c>
      <c r="AI154" s="2">
        <v>3.38</v>
      </c>
      <c r="AJ154" s="2">
        <v>14.8</v>
      </c>
      <c r="AK154" s="2">
        <v>2.19</v>
      </c>
      <c r="AL154" s="2">
        <v>1.83</v>
      </c>
      <c r="AM154" s="2">
        <v>5.91</v>
      </c>
      <c r="AN154" s="2">
        <v>10.99</v>
      </c>
      <c r="AO154" s="2">
        <v>17.34</v>
      </c>
      <c r="AP154" s="2">
        <v>11.76</v>
      </c>
      <c r="AQ154" s="2">
        <v>19.920000000000002</v>
      </c>
      <c r="AR154" s="2">
        <v>9.11</v>
      </c>
      <c r="AU154" s="1" t="s">
        <v>71</v>
      </c>
      <c r="AV154" s="2">
        <v>48.25</v>
      </c>
      <c r="AW154" s="2">
        <v>164.94</v>
      </c>
      <c r="AX154" s="2">
        <v>48.4</v>
      </c>
      <c r="AY154" s="2">
        <v>11.86</v>
      </c>
      <c r="AZ154" s="2">
        <v>53.51</v>
      </c>
      <c r="BA154" s="2">
        <v>63.82</v>
      </c>
      <c r="BB154" s="2">
        <v>134.96</v>
      </c>
      <c r="BC154" s="2">
        <v>122.7</v>
      </c>
      <c r="BD154" s="2">
        <v>156.09</v>
      </c>
      <c r="BE154" s="2">
        <v>157.19999999999999</v>
      </c>
      <c r="BF154" s="2">
        <v>17.64</v>
      </c>
      <c r="BG154" s="2">
        <v>125.15</v>
      </c>
      <c r="BH154" s="2">
        <v>17.71</v>
      </c>
      <c r="BI154" s="2">
        <v>9.52</v>
      </c>
      <c r="BJ154" s="2">
        <v>31.1</v>
      </c>
      <c r="BK154" s="2">
        <v>70.97</v>
      </c>
      <c r="BL154" s="2">
        <v>114.99</v>
      </c>
      <c r="BM154" s="2">
        <v>89.19</v>
      </c>
      <c r="BN154" s="2">
        <v>149.94999999999999</v>
      </c>
      <c r="BO154" s="2">
        <v>78.62</v>
      </c>
    </row>
    <row r="155" spans="24:67" x14ac:dyDescent="0.3">
      <c r="X155" s="1" t="s">
        <v>72</v>
      </c>
      <c r="Y155" s="2">
        <v>16.809999999999999</v>
      </c>
      <c r="Z155" s="2">
        <v>37.42</v>
      </c>
      <c r="AA155" s="2">
        <v>9.5</v>
      </c>
      <c r="AB155" s="2">
        <v>6.14</v>
      </c>
      <c r="AC155" s="2">
        <v>22.1</v>
      </c>
      <c r="AD155" s="2">
        <v>21.93</v>
      </c>
      <c r="AE155" s="2">
        <v>36.1</v>
      </c>
      <c r="AF155" s="2">
        <v>28.44</v>
      </c>
      <c r="AG155" s="2">
        <v>50.17</v>
      </c>
      <c r="AH155" s="2">
        <v>34.78</v>
      </c>
      <c r="AI155" s="2">
        <v>17.36</v>
      </c>
      <c r="AJ155" s="2">
        <v>28.56</v>
      </c>
      <c r="AK155" s="2">
        <v>13.32</v>
      </c>
      <c r="AL155" s="2">
        <v>7.18</v>
      </c>
      <c r="AM155" s="2">
        <v>25.5</v>
      </c>
      <c r="AN155" s="2">
        <v>36.93</v>
      </c>
      <c r="AO155" s="2">
        <v>63.61</v>
      </c>
      <c r="AP155" s="2">
        <v>50.25</v>
      </c>
      <c r="AQ155" s="2">
        <v>39.700000000000003</v>
      </c>
      <c r="AR155" s="2">
        <v>25.36</v>
      </c>
      <c r="AU155" s="1" t="s">
        <v>72</v>
      </c>
      <c r="AV155" s="2">
        <v>90.9</v>
      </c>
      <c r="AW155" s="2">
        <v>316.95999999999998</v>
      </c>
      <c r="AX155" s="2">
        <v>76.930000000000007</v>
      </c>
      <c r="AY155" s="2">
        <v>26.29</v>
      </c>
      <c r="AZ155" s="2">
        <v>141.30000000000001</v>
      </c>
      <c r="BA155" s="2">
        <v>180.3</v>
      </c>
      <c r="BB155" s="2">
        <v>275.04000000000002</v>
      </c>
      <c r="BC155" s="2">
        <v>215.58</v>
      </c>
      <c r="BD155" s="2">
        <v>346.27</v>
      </c>
      <c r="BE155" s="2">
        <v>294.62</v>
      </c>
      <c r="BF155" s="2">
        <v>94.32</v>
      </c>
      <c r="BG155" s="2">
        <v>242.34</v>
      </c>
      <c r="BH155" s="2">
        <v>86.63</v>
      </c>
      <c r="BI155" s="2">
        <v>38.869999999999997</v>
      </c>
      <c r="BJ155" s="2">
        <v>89.87</v>
      </c>
      <c r="BK155" s="2">
        <v>162.33000000000001</v>
      </c>
      <c r="BL155" s="2">
        <v>281.26</v>
      </c>
      <c r="BM155" s="2">
        <v>242.07</v>
      </c>
      <c r="BN155" s="2">
        <v>345.98</v>
      </c>
      <c r="BO155" s="2">
        <v>213.5</v>
      </c>
    </row>
    <row r="156" spans="24:67" x14ac:dyDescent="0.3">
      <c r="X156" s="1" t="s">
        <v>73</v>
      </c>
      <c r="Y156" s="2">
        <v>2.62</v>
      </c>
      <c r="Z156" s="2">
        <v>8.4499999999999993</v>
      </c>
      <c r="AA156" s="2">
        <v>1.68</v>
      </c>
      <c r="AB156" s="2">
        <v>0.28999999999999998</v>
      </c>
      <c r="AC156" s="2">
        <v>5.03</v>
      </c>
      <c r="AD156" s="2">
        <v>5.17</v>
      </c>
      <c r="AE156" s="2">
        <v>11.09</v>
      </c>
      <c r="AF156" s="2">
        <v>9.0500000000000007</v>
      </c>
      <c r="AG156" s="2">
        <v>7.02</v>
      </c>
      <c r="AH156" s="2">
        <v>3.26</v>
      </c>
      <c r="AI156" s="2">
        <v>4.63</v>
      </c>
      <c r="AJ156" s="2">
        <v>9.9499999999999993</v>
      </c>
      <c r="AK156" s="2">
        <v>2.2599999999999998</v>
      </c>
      <c r="AL156" s="2">
        <v>0.87</v>
      </c>
      <c r="AM156" s="2">
        <v>3.35</v>
      </c>
      <c r="AN156" s="2">
        <v>6.79</v>
      </c>
      <c r="AO156" s="2">
        <v>8.32</v>
      </c>
      <c r="AP156" s="2">
        <v>4.6500000000000004</v>
      </c>
      <c r="AQ156" s="2">
        <v>3.3</v>
      </c>
      <c r="AR156" s="2">
        <v>3.17</v>
      </c>
      <c r="AU156" s="1" t="s">
        <v>73</v>
      </c>
      <c r="AV156" s="2">
        <v>21.56</v>
      </c>
      <c r="AW156" s="2">
        <v>59.05</v>
      </c>
      <c r="AX156" s="2">
        <v>13.14</v>
      </c>
      <c r="AY156" s="2">
        <v>5.41</v>
      </c>
      <c r="AZ156" s="2">
        <v>49.21</v>
      </c>
      <c r="BA156" s="2">
        <v>39.229999999999997</v>
      </c>
      <c r="BB156" s="2">
        <v>81.790000000000006</v>
      </c>
      <c r="BC156" s="2">
        <v>66.64</v>
      </c>
      <c r="BD156" s="2">
        <v>49.98</v>
      </c>
      <c r="BE156" s="2">
        <v>22.24</v>
      </c>
      <c r="BF156" s="2">
        <v>38.659999999999997</v>
      </c>
      <c r="BG156" s="2">
        <v>73.75</v>
      </c>
      <c r="BH156" s="2">
        <v>17.63</v>
      </c>
      <c r="BI156" s="2">
        <v>6.78</v>
      </c>
      <c r="BJ156" s="2">
        <v>24.24</v>
      </c>
      <c r="BK156" s="2">
        <v>54.39</v>
      </c>
      <c r="BL156" s="2">
        <v>67.150000000000006</v>
      </c>
      <c r="BM156" s="2">
        <v>38.85</v>
      </c>
      <c r="BN156" s="2">
        <v>25.2</v>
      </c>
      <c r="BO156" s="2">
        <v>22.33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63</v>
      </c>
      <c r="Z160" s="1" t="s">
        <v>64</v>
      </c>
      <c r="AA160" s="1" t="s">
        <v>63</v>
      </c>
      <c r="AB160" s="1" t="s">
        <v>64</v>
      </c>
      <c r="AC160" s="1" t="s">
        <v>63</v>
      </c>
      <c r="AD160" s="1" t="s">
        <v>64</v>
      </c>
      <c r="AE160" s="1" t="s">
        <v>63</v>
      </c>
      <c r="AF160" s="1" t="s">
        <v>64</v>
      </c>
      <c r="AG160" s="1" t="s">
        <v>63</v>
      </c>
      <c r="AH160" s="1" t="s">
        <v>64</v>
      </c>
      <c r="AI160" s="1" t="s">
        <v>63</v>
      </c>
      <c r="AJ160" s="1" t="s">
        <v>64</v>
      </c>
      <c r="AK160" s="1" t="s">
        <v>63</v>
      </c>
      <c r="AL160" s="1" t="s">
        <v>64</v>
      </c>
      <c r="AM160" s="1" t="s">
        <v>63</v>
      </c>
      <c r="AN160" s="1" t="s">
        <v>64</v>
      </c>
      <c r="AO160" s="1" t="s">
        <v>63</v>
      </c>
      <c r="AP160" s="1" t="s">
        <v>64</v>
      </c>
      <c r="AQ160" s="1" t="s">
        <v>63</v>
      </c>
      <c r="AR160" s="1" t="s">
        <v>64</v>
      </c>
      <c r="AU160" s="1" t="s">
        <v>6</v>
      </c>
      <c r="AV160" s="1" t="s">
        <v>63</v>
      </c>
      <c r="AW160" s="1" t="s">
        <v>64</v>
      </c>
      <c r="AX160" s="1" t="s">
        <v>63</v>
      </c>
      <c r="AY160" s="1" t="s">
        <v>64</v>
      </c>
      <c r="AZ160" s="1" t="s">
        <v>63</v>
      </c>
      <c r="BA160" s="1" t="s">
        <v>64</v>
      </c>
      <c r="BB160" s="1" t="s">
        <v>63</v>
      </c>
      <c r="BC160" s="1" t="s">
        <v>64</v>
      </c>
      <c r="BD160" s="1" t="s">
        <v>63</v>
      </c>
      <c r="BE160" s="1" t="s">
        <v>64</v>
      </c>
      <c r="BF160" s="1" t="s">
        <v>63</v>
      </c>
      <c r="BG160" s="1" t="s">
        <v>64</v>
      </c>
      <c r="BH160" s="1" t="s">
        <v>63</v>
      </c>
      <c r="BI160" s="1" t="s">
        <v>64</v>
      </c>
      <c r="BJ160" s="1" t="s">
        <v>63</v>
      </c>
      <c r="BK160" s="1" t="s">
        <v>64</v>
      </c>
      <c r="BL160" s="1" t="s">
        <v>63</v>
      </c>
      <c r="BM160" s="1" t="s">
        <v>64</v>
      </c>
      <c r="BN160" s="1" t="s">
        <v>63</v>
      </c>
      <c r="BO160" s="1" t="s">
        <v>64</v>
      </c>
    </row>
    <row r="161" spans="24:67" x14ac:dyDescent="0.3">
      <c r="X161" s="1" t="s">
        <v>65</v>
      </c>
      <c r="Y161" s="1" t="s">
        <v>53</v>
      </c>
      <c r="Z161" s="1" t="s">
        <v>53</v>
      </c>
      <c r="AA161" s="1" t="s">
        <v>54</v>
      </c>
      <c r="AB161" s="1" t="s">
        <v>54</v>
      </c>
      <c r="AC161" s="1" t="s">
        <v>55</v>
      </c>
      <c r="AD161" s="1" t="s">
        <v>55</v>
      </c>
      <c r="AE161" s="1" t="s">
        <v>56</v>
      </c>
      <c r="AF161" s="1" t="s">
        <v>56</v>
      </c>
      <c r="AG161" s="1" t="s">
        <v>57</v>
      </c>
      <c r="AH161" s="1" t="s">
        <v>57</v>
      </c>
      <c r="AI161" s="1" t="s">
        <v>58</v>
      </c>
      <c r="AJ161" s="1" t="s">
        <v>58</v>
      </c>
      <c r="AK161" s="1" t="s">
        <v>59</v>
      </c>
      <c r="AL161" s="1" t="s">
        <v>59</v>
      </c>
      <c r="AM161" s="1" t="s">
        <v>60</v>
      </c>
      <c r="AN161" s="1" t="s">
        <v>60</v>
      </c>
      <c r="AO161" s="1" t="s">
        <v>61</v>
      </c>
      <c r="AP161" s="1" t="s">
        <v>61</v>
      </c>
      <c r="AQ161" s="1" t="s">
        <v>62</v>
      </c>
      <c r="AR161" s="1" t="s">
        <v>62</v>
      </c>
      <c r="AU161" s="1" t="s">
        <v>65</v>
      </c>
      <c r="AV161" s="1" t="s">
        <v>53</v>
      </c>
      <c r="AW161" s="1" t="s">
        <v>53</v>
      </c>
      <c r="AX161" s="1" t="s">
        <v>54</v>
      </c>
      <c r="AY161" s="1" t="s">
        <v>54</v>
      </c>
      <c r="AZ161" s="1" t="s">
        <v>55</v>
      </c>
      <c r="BA161" s="1" t="s">
        <v>55</v>
      </c>
      <c r="BB161" s="1" t="s">
        <v>56</v>
      </c>
      <c r="BC161" s="1" t="s">
        <v>56</v>
      </c>
      <c r="BD161" s="1" t="s">
        <v>57</v>
      </c>
      <c r="BE161" s="1" t="s">
        <v>57</v>
      </c>
      <c r="BF161" s="1" t="s">
        <v>58</v>
      </c>
      <c r="BG161" s="1" t="s">
        <v>58</v>
      </c>
      <c r="BH161" s="1" t="s">
        <v>59</v>
      </c>
      <c r="BI161" s="1" t="s">
        <v>59</v>
      </c>
      <c r="BJ161" s="1" t="s">
        <v>60</v>
      </c>
      <c r="BK161" s="1" t="s">
        <v>60</v>
      </c>
      <c r="BL161" s="1" t="s">
        <v>61</v>
      </c>
      <c r="BM161" s="1" t="s">
        <v>61</v>
      </c>
      <c r="BN161" s="1" t="s">
        <v>62</v>
      </c>
      <c r="BO161" s="1" t="s">
        <v>62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66</v>
      </c>
      <c r="Y163" s="2">
        <v>10.029999999999999</v>
      </c>
      <c r="Z163" s="2">
        <v>14.13</v>
      </c>
      <c r="AA163" s="2">
        <v>2.2400000000000002</v>
      </c>
      <c r="AB163" s="2">
        <v>2.2200000000000002</v>
      </c>
      <c r="AC163" s="2">
        <v>1.9</v>
      </c>
      <c r="AD163" s="2">
        <v>5.37</v>
      </c>
      <c r="AE163" s="2">
        <v>13.25</v>
      </c>
      <c r="AF163" s="2">
        <v>4.16</v>
      </c>
      <c r="AG163" s="2">
        <v>12.19</v>
      </c>
      <c r="AH163" s="2">
        <v>9.0399999999999991</v>
      </c>
      <c r="AI163" s="2">
        <v>6.58</v>
      </c>
      <c r="AJ163" s="2">
        <v>4.6399999999999997</v>
      </c>
      <c r="AK163" s="2">
        <v>7.57</v>
      </c>
      <c r="AL163" s="2">
        <v>1.73</v>
      </c>
      <c r="AM163" s="2">
        <v>3.89</v>
      </c>
      <c r="AN163" s="2">
        <v>1.84</v>
      </c>
      <c r="AO163" s="2">
        <v>0.35</v>
      </c>
      <c r="AP163" s="2">
        <v>0.62</v>
      </c>
      <c r="AQ163" s="2">
        <v>0.44</v>
      </c>
      <c r="AR163" s="2">
        <v>0.36</v>
      </c>
      <c r="AU163" s="1" t="s">
        <v>66</v>
      </c>
      <c r="AV163" s="2">
        <v>76.069999999999993</v>
      </c>
      <c r="AW163" s="2">
        <v>124.47</v>
      </c>
      <c r="AX163" s="2">
        <v>60.06</v>
      </c>
      <c r="AY163" s="2">
        <v>60.08</v>
      </c>
      <c r="AZ163" s="2">
        <v>51.3</v>
      </c>
      <c r="BA163" s="2">
        <v>109.43</v>
      </c>
      <c r="BB163" s="2">
        <v>154.05000000000001</v>
      </c>
      <c r="BC163" s="2">
        <v>74.94</v>
      </c>
      <c r="BD163" s="2">
        <v>125.71</v>
      </c>
      <c r="BE163" s="2">
        <v>172.26</v>
      </c>
      <c r="BF163" s="2">
        <v>71.12</v>
      </c>
      <c r="BG163" s="2">
        <v>107.36</v>
      </c>
      <c r="BH163" s="2">
        <v>79.23</v>
      </c>
      <c r="BI163" s="2">
        <v>94.17</v>
      </c>
      <c r="BJ163" s="2">
        <v>47.91</v>
      </c>
      <c r="BK163" s="2">
        <v>49.96</v>
      </c>
      <c r="BL163" s="2">
        <v>33.950000000000003</v>
      </c>
      <c r="BM163" s="2">
        <v>59.58</v>
      </c>
      <c r="BN163" s="2">
        <v>25.46</v>
      </c>
      <c r="BO163" s="2">
        <v>34.64</v>
      </c>
    </row>
    <row r="164" spans="24:67" x14ac:dyDescent="0.3">
      <c r="X164" s="1" t="s">
        <v>67</v>
      </c>
      <c r="Y164" s="2">
        <v>9.11</v>
      </c>
      <c r="Z164" s="2">
        <v>6.14</v>
      </c>
      <c r="AA164" s="2">
        <v>6.46</v>
      </c>
      <c r="AB164" s="2">
        <v>4.8499999999999996</v>
      </c>
      <c r="AC164" s="2">
        <v>3.91</v>
      </c>
      <c r="AD164" s="2">
        <v>8.82</v>
      </c>
      <c r="AE164" s="2">
        <v>7.19</v>
      </c>
      <c r="AF164" s="2">
        <v>9.42</v>
      </c>
      <c r="AG164" s="2">
        <v>6.51</v>
      </c>
      <c r="AH164" s="2">
        <v>8.44</v>
      </c>
      <c r="AI164" s="2">
        <v>5.0999999999999996</v>
      </c>
      <c r="AJ164" s="2">
        <v>6.36</v>
      </c>
      <c r="AK164" s="2">
        <v>5.34</v>
      </c>
      <c r="AL164" s="2">
        <v>6.17</v>
      </c>
      <c r="AM164" s="2">
        <v>5.56</v>
      </c>
      <c r="AN164" s="2">
        <v>5.22</v>
      </c>
      <c r="AO164" s="2">
        <v>4.4800000000000004</v>
      </c>
      <c r="AP164" s="2">
        <v>5.66</v>
      </c>
      <c r="AQ164" s="2">
        <v>5.28</v>
      </c>
      <c r="AR164" s="2">
        <v>5.71</v>
      </c>
      <c r="AU164" s="1" t="s">
        <v>67</v>
      </c>
      <c r="AV164" s="2">
        <v>88.49</v>
      </c>
      <c r="AW164" s="2">
        <v>59.26</v>
      </c>
      <c r="AX164" s="2">
        <v>58.74</v>
      </c>
      <c r="AY164" s="2">
        <v>43.75</v>
      </c>
      <c r="AZ164" s="2">
        <v>35.19</v>
      </c>
      <c r="BA164" s="2">
        <v>79.58</v>
      </c>
      <c r="BB164" s="2">
        <v>65.709999999999994</v>
      </c>
      <c r="BC164" s="2">
        <v>84.88</v>
      </c>
      <c r="BD164" s="2">
        <v>63.69</v>
      </c>
      <c r="BE164" s="2">
        <v>81.459999999999994</v>
      </c>
      <c r="BF164" s="2">
        <v>50.4</v>
      </c>
      <c r="BG164" s="2">
        <v>61.44</v>
      </c>
      <c r="BH164" s="2">
        <v>51.86</v>
      </c>
      <c r="BI164" s="2">
        <v>59.73</v>
      </c>
      <c r="BJ164" s="2">
        <v>54.04</v>
      </c>
      <c r="BK164" s="2">
        <v>50.68</v>
      </c>
      <c r="BL164" s="2">
        <v>43.52</v>
      </c>
      <c r="BM164" s="2">
        <v>54.64</v>
      </c>
      <c r="BN164" s="2">
        <v>51.92</v>
      </c>
      <c r="BO164" s="2">
        <v>55.29</v>
      </c>
    </row>
    <row r="165" spans="24:67" x14ac:dyDescent="0.3">
      <c r="X165" s="1" t="s">
        <v>68</v>
      </c>
      <c r="Y165" s="2">
        <v>31.67</v>
      </c>
      <c r="Z165" s="2">
        <v>13.58</v>
      </c>
      <c r="AA165" s="2">
        <v>24.91</v>
      </c>
      <c r="AB165" s="2">
        <v>8.8000000000000007</v>
      </c>
      <c r="AC165" s="2">
        <v>30.64</v>
      </c>
      <c r="AD165" s="2">
        <v>51.51</v>
      </c>
      <c r="AE165" s="2">
        <v>51.52</v>
      </c>
      <c r="AF165" s="2">
        <v>36.25</v>
      </c>
      <c r="AG165" s="2">
        <v>50.85</v>
      </c>
      <c r="AH165" s="2">
        <v>27.34</v>
      </c>
      <c r="AI165" s="2">
        <v>48.21</v>
      </c>
      <c r="AJ165" s="2">
        <v>24.9</v>
      </c>
      <c r="AK165" s="2">
        <v>54.1</v>
      </c>
      <c r="AL165" s="2">
        <v>26.01</v>
      </c>
      <c r="AM165" s="2">
        <v>52.72</v>
      </c>
      <c r="AN165" s="2">
        <v>21.02</v>
      </c>
      <c r="AO165" s="2">
        <v>20.02</v>
      </c>
      <c r="AP165" s="2">
        <v>20.079999999999998</v>
      </c>
      <c r="AQ165" s="2">
        <v>16.25</v>
      </c>
      <c r="AR165" s="2">
        <v>15.28</v>
      </c>
      <c r="AU165" s="1" t="s">
        <v>68</v>
      </c>
      <c r="AV165" s="2">
        <v>169.78</v>
      </c>
      <c r="AW165" s="2">
        <v>131.02000000000001</v>
      </c>
      <c r="AX165" s="2">
        <v>145.44999999999999</v>
      </c>
      <c r="AY165" s="2">
        <v>79.400000000000006</v>
      </c>
      <c r="AZ165" s="2">
        <v>100.19</v>
      </c>
      <c r="BA165" s="2">
        <v>239.48</v>
      </c>
      <c r="BB165" s="2">
        <v>227.64</v>
      </c>
      <c r="BC165" s="2">
        <v>265.8</v>
      </c>
      <c r="BD165" s="2">
        <v>215.25</v>
      </c>
      <c r="BE165" s="2">
        <v>231.97</v>
      </c>
      <c r="BF165" s="2">
        <v>200.86</v>
      </c>
      <c r="BG165" s="2">
        <v>208.81</v>
      </c>
      <c r="BH165" s="2">
        <v>212.34</v>
      </c>
      <c r="BI165" s="2">
        <v>212.91</v>
      </c>
      <c r="BJ165" s="2">
        <v>202.53</v>
      </c>
      <c r="BK165" s="2">
        <v>188.31</v>
      </c>
      <c r="BL165" s="2">
        <v>153.72</v>
      </c>
      <c r="BM165" s="2">
        <v>190.48</v>
      </c>
      <c r="BN165" s="2">
        <v>156.28</v>
      </c>
      <c r="BO165" s="2">
        <v>145.99</v>
      </c>
    </row>
    <row r="166" spans="24:67" x14ac:dyDescent="0.3">
      <c r="X166" s="1" t="s">
        <v>69</v>
      </c>
      <c r="Y166" s="2">
        <v>6.7</v>
      </c>
      <c r="Z166" s="2">
        <v>5.03</v>
      </c>
      <c r="AA166" s="2">
        <v>6.03</v>
      </c>
      <c r="AB166" s="2">
        <v>3.95</v>
      </c>
      <c r="AC166" s="2">
        <v>8.5299999999999994</v>
      </c>
      <c r="AD166" s="2">
        <v>7.86</v>
      </c>
      <c r="AE166" s="2">
        <v>18.37</v>
      </c>
      <c r="AF166" s="2">
        <v>9.0399999999999991</v>
      </c>
      <c r="AG166" s="2">
        <v>18.38</v>
      </c>
      <c r="AH166" s="2">
        <v>7.76</v>
      </c>
      <c r="AI166" s="2">
        <v>16.88</v>
      </c>
      <c r="AJ166" s="2">
        <v>6.51</v>
      </c>
      <c r="AK166" s="2">
        <v>18.420000000000002</v>
      </c>
      <c r="AL166" s="2">
        <v>6.79</v>
      </c>
      <c r="AM166" s="2">
        <v>14.94</v>
      </c>
      <c r="AN166" s="2">
        <v>8.42</v>
      </c>
      <c r="AO166" s="2">
        <v>8.92</v>
      </c>
      <c r="AP166" s="2">
        <v>6.33</v>
      </c>
      <c r="AQ166" s="2">
        <v>7.24</v>
      </c>
      <c r="AR166" s="2">
        <v>6.89</v>
      </c>
      <c r="AU166" s="1" t="s">
        <v>69</v>
      </c>
      <c r="AV166" s="2">
        <v>62.04</v>
      </c>
      <c r="AW166" s="2">
        <v>43.17</v>
      </c>
      <c r="AX166" s="2">
        <v>55.12</v>
      </c>
      <c r="AY166" s="2">
        <v>35.65</v>
      </c>
      <c r="AZ166" s="2">
        <v>40.96</v>
      </c>
      <c r="BA166" s="2">
        <v>71.010000000000005</v>
      </c>
      <c r="BB166" s="2">
        <v>103.14</v>
      </c>
      <c r="BC166" s="2">
        <v>81.5</v>
      </c>
      <c r="BD166" s="2">
        <v>109.89</v>
      </c>
      <c r="BE166" s="2">
        <v>74.77</v>
      </c>
      <c r="BF166" s="2">
        <v>100.67</v>
      </c>
      <c r="BG166" s="2">
        <v>62.6</v>
      </c>
      <c r="BH166" s="2">
        <v>108.55</v>
      </c>
      <c r="BI166" s="2">
        <v>65.31</v>
      </c>
      <c r="BJ166" s="2">
        <v>111.66</v>
      </c>
      <c r="BK166" s="2">
        <v>80.98</v>
      </c>
      <c r="BL166" s="2">
        <v>85.88</v>
      </c>
      <c r="BM166" s="2">
        <v>58.87</v>
      </c>
      <c r="BN166" s="2">
        <v>68.66</v>
      </c>
      <c r="BO166" s="2">
        <v>64.03</v>
      </c>
    </row>
    <row r="167" spans="24:67" x14ac:dyDescent="0.3">
      <c r="X167" s="1" t="s">
        <v>70</v>
      </c>
      <c r="Y167" s="2">
        <v>30.86</v>
      </c>
      <c r="Z167" s="2">
        <v>34.770000000000003</v>
      </c>
      <c r="AA167" s="2">
        <v>29.83</v>
      </c>
      <c r="AB167" s="2">
        <v>17.84</v>
      </c>
      <c r="AC167" s="2">
        <v>28.05</v>
      </c>
      <c r="AD167" s="2">
        <v>40.79</v>
      </c>
      <c r="AE167" s="2">
        <v>42.14</v>
      </c>
      <c r="AF167" s="2">
        <v>49.46</v>
      </c>
      <c r="AG167" s="2">
        <v>48.35</v>
      </c>
      <c r="AH167" s="2">
        <v>48.89</v>
      </c>
      <c r="AI167" s="2">
        <v>34.97</v>
      </c>
      <c r="AJ167" s="2">
        <v>31.8</v>
      </c>
      <c r="AK167" s="2">
        <v>34.6</v>
      </c>
      <c r="AL167" s="2">
        <v>34.5</v>
      </c>
      <c r="AM167" s="2">
        <v>34</v>
      </c>
      <c r="AN167" s="2">
        <v>33.36</v>
      </c>
      <c r="AO167" s="2">
        <v>33.78</v>
      </c>
      <c r="AP167" s="2">
        <v>28.46</v>
      </c>
      <c r="AQ167" s="2">
        <v>30</v>
      </c>
      <c r="AR167" s="2">
        <v>28.63</v>
      </c>
      <c r="AU167" s="1" t="s">
        <v>70</v>
      </c>
      <c r="AV167" s="2">
        <v>163.04</v>
      </c>
      <c r="AW167" s="2">
        <v>230.73</v>
      </c>
      <c r="AX167" s="2">
        <v>179.19</v>
      </c>
      <c r="AY167" s="2">
        <v>161.16</v>
      </c>
      <c r="AZ167" s="2">
        <v>146.69999999999999</v>
      </c>
      <c r="BA167" s="2">
        <v>222.2</v>
      </c>
      <c r="BB167" s="2">
        <v>378.86</v>
      </c>
      <c r="BC167" s="2">
        <v>315.04000000000002</v>
      </c>
      <c r="BD167" s="2">
        <v>382.65</v>
      </c>
      <c r="BE167" s="2">
        <v>357.61</v>
      </c>
      <c r="BF167" s="2">
        <v>310.52999999999997</v>
      </c>
      <c r="BG167" s="2">
        <v>307.2</v>
      </c>
      <c r="BH167" s="2">
        <v>332.4</v>
      </c>
      <c r="BI167" s="2">
        <v>332.5</v>
      </c>
      <c r="BJ167" s="2">
        <v>326</v>
      </c>
      <c r="BK167" s="2">
        <v>320.14</v>
      </c>
      <c r="BL167" s="2">
        <v>323.22000000000003</v>
      </c>
      <c r="BM167" s="2">
        <v>273.04000000000002</v>
      </c>
      <c r="BN167" s="2">
        <v>287</v>
      </c>
      <c r="BO167" s="2">
        <v>276.37</v>
      </c>
    </row>
    <row r="168" spans="24:67" x14ac:dyDescent="0.3">
      <c r="X168" s="1" t="s">
        <v>71</v>
      </c>
      <c r="Y168" s="2">
        <v>4.42</v>
      </c>
      <c r="Z168" s="2">
        <v>2.6</v>
      </c>
      <c r="AA168" s="2">
        <v>4.62</v>
      </c>
      <c r="AB168" s="2">
        <v>1.68</v>
      </c>
      <c r="AC168" s="2">
        <v>4.8600000000000003</v>
      </c>
      <c r="AD168" s="2">
        <v>3.65</v>
      </c>
      <c r="AE168" s="2">
        <v>4.26</v>
      </c>
      <c r="AF168" s="2">
        <v>3.69</v>
      </c>
      <c r="AG168" s="2">
        <v>3.79</v>
      </c>
      <c r="AH168" s="2">
        <v>5.5</v>
      </c>
      <c r="AI168" s="2">
        <v>4.41</v>
      </c>
      <c r="AJ168" s="2">
        <v>4.82</v>
      </c>
      <c r="AK168" s="2">
        <v>5</v>
      </c>
      <c r="AL168" s="2">
        <v>4.05</v>
      </c>
      <c r="AM168" s="2">
        <v>4.84</v>
      </c>
      <c r="AN168" s="2">
        <v>5.24</v>
      </c>
      <c r="AO168" s="2">
        <v>5.48</v>
      </c>
      <c r="AP168" s="2">
        <v>2.68</v>
      </c>
      <c r="AQ168" s="2">
        <v>4.3499999999999996</v>
      </c>
      <c r="AR168" s="2">
        <v>3.29</v>
      </c>
      <c r="AU168" s="1" t="s">
        <v>71</v>
      </c>
      <c r="AV168" s="2">
        <v>37.11</v>
      </c>
      <c r="AW168" s="2">
        <v>13.57</v>
      </c>
      <c r="AX168" s="2">
        <v>37.229999999999997</v>
      </c>
      <c r="AY168" s="2">
        <v>13.62</v>
      </c>
      <c r="AZ168" s="2">
        <v>23.72</v>
      </c>
      <c r="BA168" s="2">
        <v>19.04</v>
      </c>
      <c r="BB168" s="2">
        <v>33.44</v>
      </c>
      <c r="BC168" s="2">
        <v>19.440000000000001</v>
      </c>
      <c r="BD168" s="2">
        <v>31.91</v>
      </c>
      <c r="BE168" s="2">
        <v>35.49</v>
      </c>
      <c r="BF168" s="2">
        <v>37.49</v>
      </c>
      <c r="BG168" s="2">
        <v>31.94</v>
      </c>
      <c r="BH168" s="2">
        <v>42.31</v>
      </c>
      <c r="BI168" s="2">
        <v>30.75</v>
      </c>
      <c r="BJ168" s="2">
        <v>41.08</v>
      </c>
      <c r="BK168" s="2">
        <v>39.46</v>
      </c>
      <c r="BL168" s="2">
        <v>46.23</v>
      </c>
      <c r="BM168" s="2">
        <v>23.12</v>
      </c>
      <c r="BN168" s="2">
        <v>36.65</v>
      </c>
      <c r="BO168" s="2">
        <v>27.81</v>
      </c>
    </row>
    <row r="169" spans="24:67" x14ac:dyDescent="0.3">
      <c r="X169" s="1" t="s">
        <v>72</v>
      </c>
      <c r="Y169" s="2">
        <v>12.93</v>
      </c>
      <c r="Z169" s="2">
        <v>13.36</v>
      </c>
      <c r="AA169" s="2">
        <v>7.31</v>
      </c>
      <c r="AB169" s="2">
        <v>10.24</v>
      </c>
      <c r="AC169" s="2">
        <v>12.27</v>
      </c>
      <c r="AD169" s="2">
        <v>14.36</v>
      </c>
      <c r="AE169" s="2">
        <v>13.81</v>
      </c>
      <c r="AF169" s="2">
        <v>15.94</v>
      </c>
      <c r="AG169" s="2">
        <v>10.97</v>
      </c>
      <c r="AH169" s="2">
        <v>18.46</v>
      </c>
      <c r="AI169" s="2">
        <v>10.029999999999999</v>
      </c>
      <c r="AJ169" s="2">
        <v>17.670000000000002</v>
      </c>
      <c r="AK169" s="2">
        <v>9.81</v>
      </c>
      <c r="AL169" s="2">
        <v>17.329999999999998</v>
      </c>
      <c r="AM169" s="2">
        <v>13.2</v>
      </c>
      <c r="AN169" s="2">
        <v>10.45</v>
      </c>
      <c r="AO169" s="2">
        <v>10.23</v>
      </c>
      <c r="AP169" s="2">
        <v>7.46</v>
      </c>
      <c r="AQ169" s="2">
        <v>8.31</v>
      </c>
      <c r="AR169" s="2">
        <v>6.35</v>
      </c>
      <c r="AU169" s="1" t="s">
        <v>72</v>
      </c>
      <c r="AV169" s="2">
        <v>69.930000000000007</v>
      </c>
      <c r="AW169" s="2">
        <v>72.55</v>
      </c>
      <c r="AX169" s="2">
        <v>59.18</v>
      </c>
      <c r="AY169" s="2">
        <v>66.64</v>
      </c>
      <c r="AZ169" s="2">
        <v>52.58</v>
      </c>
      <c r="BA169" s="2">
        <v>77.739999999999995</v>
      </c>
      <c r="BB169" s="2">
        <v>88.31</v>
      </c>
      <c r="BC169" s="2">
        <v>56.17</v>
      </c>
      <c r="BD169" s="2">
        <v>90.15</v>
      </c>
      <c r="BE169" s="2">
        <v>81.17</v>
      </c>
      <c r="BF169" s="2">
        <v>76.400000000000006</v>
      </c>
      <c r="BG169" s="2">
        <v>78.13</v>
      </c>
      <c r="BH169" s="2">
        <v>74.34</v>
      </c>
      <c r="BI169" s="2">
        <v>83.47</v>
      </c>
      <c r="BJ169" s="2">
        <v>91.12</v>
      </c>
      <c r="BK169" s="2">
        <v>91.05</v>
      </c>
      <c r="BL169" s="2">
        <v>86.65</v>
      </c>
      <c r="BM169" s="2">
        <v>62.79</v>
      </c>
      <c r="BN169" s="2">
        <v>70.44</v>
      </c>
      <c r="BO169" s="2">
        <v>53.85</v>
      </c>
    </row>
    <row r="170" spans="24:67" x14ac:dyDescent="0.3">
      <c r="X170" s="1" t="s">
        <v>73</v>
      </c>
      <c r="Y170" s="2">
        <v>2.0099999999999998</v>
      </c>
      <c r="Z170" s="2">
        <v>3.56</v>
      </c>
      <c r="AA170" s="2">
        <v>1.29</v>
      </c>
      <c r="AB170" s="2">
        <v>1.74</v>
      </c>
      <c r="AC170" s="2">
        <v>0.56999999999999995</v>
      </c>
      <c r="AD170" s="2">
        <v>1.74</v>
      </c>
      <c r="AE170" s="2">
        <v>3.14</v>
      </c>
      <c r="AF170" s="2">
        <v>2.09</v>
      </c>
      <c r="AG170" s="2">
        <v>2.58</v>
      </c>
      <c r="AH170" s="2">
        <v>3.39</v>
      </c>
      <c r="AI170" s="2">
        <v>3.08</v>
      </c>
      <c r="AJ170" s="2">
        <v>2.31</v>
      </c>
      <c r="AK170" s="2">
        <v>3.12</v>
      </c>
      <c r="AL170" s="2">
        <v>1.6</v>
      </c>
      <c r="AM170" s="2">
        <v>1.85</v>
      </c>
      <c r="AN170" s="2">
        <v>0.87</v>
      </c>
      <c r="AO170" s="2">
        <v>0.96</v>
      </c>
      <c r="AP170" s="2">
        <v>0.93</v>
      </c>
      <c r="AQ170" s="2">
        <v>1.88</v>
      </c>
      <c r="AR170" s="2">
        <v>2.21</v>
      </c>
      <c r="AU170" s="1" t="s">
        <v>73</v>
      </c>
      <c r="AV170" s="2">
        <v>16.59</v>
      </c>
      <c r="AW170" s="2">
        <v>29.74</v>
      </c>
      <c r="AX170" s="2">
        <v>10.11</v>
      </c>
      <c r="AY170" s="2">
        <v>13.56</v>
      </c>
      <c r="AZ170" s="2">
        <v>10.83</v>
      </c>
      <c r="BA170" s="2">
        <v>13.56</v>
      </c>
      <c r="BB170" s="2">
        <v>30.76</v>
      </c>
      <c r="BC170" s="2">
        <v>15.15</v>
      </c>
      <c r="BD170" s="2">
        <v>19.62</v>
      </c>
      <c r="BE170" s="2">
        <v>27.2</v>
      </c>
      <c r="BF170" s="2">
        <v>22.72</v>
      </c>
      <c r="BG170" s="2">
        <v>18.649999999999999</v>
      </c>
      <c r="BH170" s="2">
        <v>22.98</v>
      </c>
      <c r="BI170" s="2">
        <v>13.4</v>
      </c>
      <c r="BJ170" s="2">
        <v>13.15</v>
      </c>
      <c r="BK170" s="2">
        <v>6.63</v>
      </c>
      <c r="BL170" s="2">
        <v>6.54</v>
      </c>
      <c r="BM170" s="2">
        <v>6.57</v>
      </c>
      <c r="BN170" s="2">
        <v>13.12</v>
      </c>
      <c r="BO170" s="2">
        <v>16.39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10" t="s">
        <v>63</v>
      </c>
      <c r="Z174" s="10"/>
      <c r="AA174" s="10"/>
      <c r="AB174" s="10"/>
      <c r="AC174" s="10"/>
      <c r="AD174" s="10"/>
      <c r="AE174" s="10"/>
      <c r="AF174" s="10"/>
      <c r="AG174" s="10"/>
      <c r="AH174" s="10"/>
      <c r="AI174" s="10" t="s">
        <v>64</v>
      </c>
      <c r="AJ174" s="10"/>
      <c r="AK174" s="10"/>
      <c r="AL174" s="10"/>
      <c r="AM174" s="10"/>
      <c r="AN174" s="10"/>
      <c r="AO174" s="10"/>
      <c r="AP174" s="10"/>
      <c r="AQ174" s="10"/>
      <c r="AR174" s="10"/>
      <c r="AU174" s="1" t="s">
        <v>6</v>
      </c>
      <c r="AV174" s="10" t="s">
        <v>63</v>
      </c>
      <c r="AW174" s="10"/>
      <c r="AX174" s="10"/>
      <c r="AY174" s="10"/>
      <c r="AZ174" s="10"/>
      <c r="BA174" s="10"/>
      <c r="BB174" s="10"/>
      <c r="BC174" s="10"/>
      <c r="BD174" s="10"/>
      <c r="BE174" s="10"/>
      <c r="BF174" s="10" t="s">
        <v>64</v>
      </c>
      <c r="BG174" s="10"/>
      <c r="BH174" s="10"/>
      <c r="BI174" s="10"/>
      <c r="BJ174" s="10"/>
      <c r="BK174" s="10"/>
      <c r="BL174" s="10"/>
      <c r="BM174" s="10"/>
      <c r="BN174" s="10"/>
      <c r="BO174" s="10"/>
    </row>
    <row r="175" spans="24:67" x14ac:dyDescent="0.3">
      <c r="X175" s="1" t="s">
        <v>65</v>
      </c>
      <c r="Y175" s="1" t="s">
        <v>53</v>
      </c>
      <c r="Z175" s="1" t="s">
        <v>62</v>
      </c>
      <c r="AA175" s="1" t="s">
        <v>54</v>
      </c>
      <c r="AB175" s="1" t="s">
        <v>55</v>
      </c>
      <c r="AC175" s="1" t="s">
        <v>56</v>
      </c>
      <c r="AD175" s="1" t="s">
        <v>57</v>
      </c>
      <c r="AE175" s="1" t="s">
        <v>58</v>
      </c>
      <c r="AF175" s="1" t="s">
        <v>59</v>
      </c>
      <c r="AG175" s="1" t="s">
        <v>60</v>
      </c>
      <c r="AH175" s="1" t="s">
        <v>61</v>
      </c>
      <c r="AI175" s="1" t="s">
        <v>53</v>
      </c>
      <c r="AJ175" s="1" t="s">
        <v>62</v>
      </c>
      <c r="AK175" s="1" t="s">
        <v>54</v>
      </c>
      <c r="AL175" s="1" t="s">
        <v>55</v>
      </c>
      <c r="AM175" s="1" t="s">
        <v>56</v>
      </c>
      <c r="AN175" s="1" t="s">
        <v>57</v>
      </c>
      <c r="AO175" s="1" t="s">
        <v>58</v>
      </c>
      <c r="AP175" s="1" t="s">
        <v>59</v>
      </c>
      <c r="AQ175" s="1" t="s">
        <v>60</v>
      </c>
      <c r="AR175" s="1" t="s">
        <v>61</v>
      </c>
      <c r="AU175" s="1" t="s">
        <v>65</v>
      </c>
      <c r="AV175" s="1" t="s">
        <v>53</v>
      </c>
      <c r="AW175" s="1" t="s">
        <v>62</v>
      </c>
      <c r="AX175" s="1" t="s">
        <v>54</v>
      </c>
      <c r="AY175" s="1" t="s">
        <v>55</v>
      </c>
      <c r="AZ175" s="1" t="s">
        <v>56</v>
      </c>
      <c r="BA175" s="1" t="s">
        <v>57</v>
      </c>
      <c r="BB175" s="1" t="s">
        <v>58</v>
      </c>
      <c r="BC175" s="1" t="s">
        <v>59</v>
      </c>
      <c r="BD175" s="1" t="s">
        <v>60</v>
      </c>
      <c r="BE175" s="1" t="s">
        <v>61</v>
      </c>
      <c r="BF175" s="1" t="s">
        <v>53</v>
      </c>
      <c r="BG175" s="1" t="s">
        <v>62</v>
      </c>
      <c r="BH175" s="1" t="s">
        <v>54</v>
      </c>
      <c r="BI175" s="1" t="s">
        <v>55</v>
      </c>
      <c r="BJ175" s="1" t="s">
        <v>56</v>
      </c>
      <c r="BK175" s="1" t="s">
        <v>57</v>
      </c>
      <c r="BL175" s="1" t="s">
        <v>58</v>
      </c>
      <c r="BM175" s="1" t="s">
        <v>59</v>
      </c>
      <c r="BN175" s="1" t="s">
        <v>60</v>
      </c>
      <c r="BO175" s="1" t="s">
        <v>61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66</v>
      </c>
      <c r="Y177" s="2">
        <v>318.38</v>
      </c>
      <c r="Z177" s="2">
        <v>184.08</v>
      </c>
      <c r="AA177" s="2">
        <v>19.350000000000001</v>
      </c>
      <c r="AB177" s="2">
        <v>11.43</v>
      </c>
      <c r="AC177" s="2">
        <v>268.94</v>
      </c>
      <c r="AD177" s="2">
        <v>462.5</v>
      </c>
      <c r="AE177" s="2">
        <v>841.2</v>
      </c>
      <c r="AF177" s="2">
        <v>678.44</v>
      </c>
      <c r="AG177" s="2">
        <v>704.33</v>
      </c>
      <c r="AH177" s="2">
        <v>55.65</v>
      </c>
      <c r="AI177" s="2">
        <v>364.59</v>
      </c>
      <c r="AJ177" s="2">
        <v>90.12</v>
      </c>
      <c r="AK177" s="2">
        <v>19.75</v>
      </c>
      <c r="AL177" s="2">
        <v>31.3</v>
      </c>
      <c r="AM177" s="2">
        <v>185.57</v>
      </c>
      <c r="AN177" s="2">
        <v>217.74</v>
      </c>
      <c r="AO177" s="2">
        <v>295.04000000000002</v>
      </c>
      <c r="AP177" s="2">
        <v>105.87</v>
      </c>
      <c r="AQ177" s="2">
        <v>308.7</v>
      </c>
      <c r="AR177" s="2">
        <v>58.34</v>
      </c>
      <c r="AU177" s="1" t="s">
        <v>66</v>
      </c>
      <c r="AV177" s="2">
        <v>2468.04</v>
      </c>
      <c r="AW177" s="2">
        <v>8437.4699999999993</v>
      </c>
      <c r="AX177" s="2">
        <v>1260.1099999999999</v>
      </c>
      <c r="AY177" s="2">
        <v>748.77</v>
      </c>
      <c r="AZ177" s="2">
        <v>2603.86</v>
      </c>
      <c r="BA177" s="2">
        <v>3226.5</v>
      </c>
      <c r="BB177" s="2">
        <v>5932.56</v>
      </c>
      <c r="BC177" s="2">
        <v>4674.67</v>
      </c>
      <c r="BD177" s="2">
        <v>6459.05</v>
      </c>
      <c r="BE177" s="2">
        <v>5363.61</v>
      </c>
      <c r="BF177" s="2">
        <v>2444.58</v>
      </c>
      <c r="BG177" s="2">
        <v>8685.7800000000007</v>
      </c>
      <c r="BH177" s="2">
        <v>1295.2</v>
      </c>
      <c r="BI177" s="2">
        <v>790.85</v>
      </c>
      <c r="BJ177" s="2">
        <v>2729.79</v>
      </c>
      <c r="BK177" s="2">
        <v>3350.86</v>
      </c>
      <c r="BL177" s="2">
        <v>6105.76</v>
      </c>
      <c r="BM177" s="2">
        <v>5348.74</v>
      </c>
      <c r="BN177" s="2">
        <v>6657.84</v>
      </c>
      <c r="BO177" s="2">
        <v>5622.72</v>
      </c>
    </row>
    <row r="178" spans="24:67" x14ac:dyDescent="0.3">
      <c r="X178" s="1" t="s">
        <v>67</v>
      </c>
      <c r="Y178" s="2">
        <v>19.39</v>
      </c>
      <c r="Z178" s="2">
        <v>85.51</v>
      </c>
      <c r="AA178" s="2">
        <v>10.56</v>
      </c>
      <c r="AB178" s="2">
        <v>5.08</v>
      </c>
      <c r="AC178" s="2">
        <v>18.41</v>
      </c>
      <c r="AD178" s="2">
        <v>23.5</v>
      </c>
      <c r="AE178" s="2">
        <v>41.32</v>
      </c>
      <c r="AF178" s="2">
        <v>37.31</v>
      </c>
      <c r="AG178" s="2">
        <v>50.99</v>
      </c>
      <c r="AH178" s="2">
        <v>44.44</v>
      </c>
      <c r="AI178" s="2">
        <v>20.22</v>
      </c>
      <c r="AJ178" s="2">
        <v>74.72</v>
      </c>
      <c r="AK178" s="2">
        <v>12.8</v>
      </c>
      <c r="AL178" s="2">
        <v>6.13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51.87</v>
      </c>
      <c r="AR178" s="2">
        <v>48.58</v>
      </c>
      <c r="AU178" s="1" t="s">
        <v>67</v>
      </c>
      <c r="AV178" s="2">
        <v>393.23</v>
      </c>
      <c r="AW178" s="2">
        <v>1733.84</v>
      </c>
      <c r="AX178" s="2">
        <v>200.56</v>
      </c>
      <c r="AY178" s="2">
        <v>96.57</v>
      </c>
      <c r="AZ178" s="2">
        <v>349.75</v>
      </c>
      <c r="BA178" s="2">
        <v>476.5</v>
      </c>
      <c r="BB178" s="2">
        <v>837.8</v>
      </c>
      <c r="BC178" s="2">
        <v>756.42</v>
      </c>
      <c r="BD178" s="2">
        <v>1033.9100000000001</v>
      </c>
      <c r="BE178" s="2">
        <v>901.1</v>
      </c>
      <c r="BF178" s="2">
        <v>409.95</v>
      </c>
      <c r="BG178" s="2">
        <v>1515.13</v>
      </c>
      <c r="BH178" s="2">
        <v>243.17</v>
      </c>
      <c r="BI178" s="2">
        <v>116.37</v>
      </c>
      <c r="BJ178" s="2">
        <v>447.18</v>
      </c>
      <c r="BK178" s="2">
        <v>521.1</v>
      </c>
      <c r="BL178" s="2">
        <v>1023.75</v>
      </c>
      <c r="BM178" s="2">
        <v>818.33</v>
      </c>
      <c r="BN178" s="2">
        <v>1051.6500000000001</v>
      </c>
      <c r="BO178" s="2">
        <v>985.02</v>
      </c>
    </row>
    <row r="179" spans="24:67" x14ac:dyDescent="0.3">
      <c r="X179" s="1" t="s">
        <v>68</v>
      </c>
      <c r="Y179" s="2">
        <v>184.35</v>
      </c>
      <c r="Z179" s="2">
        <v>254.74</v>
      </c>
      <c r="AA179" s="2">
        <v>77.209999999999994</v>
      </c>
      <c r="AB179" s="2">
        <v>96.68</v>
      </c>
      <c r="AC179" s="2">
        <v>234.91</v>
      </c>
      <c r="AD179" s="2">
        <v>327.8</v>
      </c>
      <c r="AE179" s="2">
        <v>611.34</v>
      </c>
      <c r="AF179" s="2">
        <v>566.32000000000005</v>
      </c>
      <c r="AG179" s="2">
        <v>726.49</v>
      </c>
      <c r="AH179" s="2">
        <v>261.45999999999998</v>
      </c>
      <c r="AI179" s="2">
        <v>59.54</v>
      </c>
      <c r="AJ179" s="2">
        <v>251.34</v>
      </c>
      <c r="AK179" s="2">
        <v>29.17</v>
      </c>
      <c r="AL179" s="2">
        <v>59.36</v>
      </c>
      <c r="AM179" s="2">
        <v>126.06</v>
      </c>
      <c r="AN179" s="2">
        <v>136.07</v>
      </c>
      <c r="AO179" s="2">
        <v>260.14</v>
      </c>
      <c r="AP179" s="2">
        <v>228.04</v>
      </c>
      <c r="AQ179" s="2">
        <v>242.24</v>
      </c>
      <c r="AR179" s="2">
        <v>214.91</v>
      </c>
      <c r="AU179" s="1" t="s">
        <v>68</v>
      </c>
      <c r="AV179" s="2">
        <v>1951.97</v>
      </c>
      <c r="AW179" s="2">
        <v>5165.26</v>
      </c>
      <c r="AX179" s="2">
        <v>908.76</v>
      </c>
      <c r="AY179" s="2">
        <v>602.63</v>
      </c>
      <c r="AZ179" s="2">
        <v>2035.33</v>
      </c>
      <c r="BA179" s="2">
        <v>2671.6</v>
      </c>
      <c r="BB179" s="2">
        <v>4904.74</v>
      </c>
      <c r="BC179" s="2">
        <v>4253.76</v>
      </c>
      <c r="BD179" s="2">
        <v>5332.93</v>
      </c>
      <c r="BE179" s="2">
        <v>4127.9799999999996</v>
      </c>
      <c r="BF179" s="2">
        <v>1207.18</v>
      </c>
      <c r="BG179" s="2">
        <v>5063.3100000000004</v>
      </c>
      <c r="BH179" s="2">
        <v>554.27</v>
      </c>
      <c r="BI179" s="2">
        <v>543.16999999999996</v>
      </c>
      <c r="BJ179" s="2">
        <v>1909.39</v>
      </c>
      <c r="BK179" s="2">
        <v>2397.42</v>
      </c>
      <c r="BL179" s="2">
        <v>4533.43</v>
      </c>
      <c r="BM179" s="2">
        <v>3864.86</v>
      </c>
      <c r="BN179" s="2">
        <v>4545.3599999999997</v>
      </c>
      <c r="BO179" s="2">
        <v>4296.87</v>
      </c>
    </row>
    <row r="180" spans="24:67" x14ac:dyDescent="0.3">
      <c r="X180" s="1" t="s">
        <v>69</v>
      </c>
      <c r="Y180" s="2">
        <v>41.48</v>
      </c>
      <c r="Z180" s="2">
        <v>108.73</v>
      </c>
      <c r="AA180" s="2">
        <v>19.68</v>
      </c>
      <c r="AB180" s="2">
        <v>24.52</v>
      </c>
      <c r="AC180" s="2">
        <v>71.09</v>
      </c>
      <c r="AD180" s="2">
        <v>87.62</v>
      </c>
      <c r="AE180" s="2">
        <v>158.86000000000001</v>
      </c>
      <c r="AF180" s="2">
        <v>138.25</v>
      </c>
      <c r="AG180" s="2">
        <v>130.97</v>
      </c>
      <c r="AH180" s="2">
        <v>73.94</v>
      </c>
      <c r="AI180" s="2">
        <v>30.29</v>
      </c>
      <c r="AJ180" s="2">
        <v>111.82</v>
      </c>
      <c r="AK180" s="2">
        <v>15.7</v>
      </c>
      <c r="AL180" s="2">
        <v>14.39</v>
      </c>
      <c r="AM180" s="2">
        <v>44.08</v>
      </c>
      <c r="AN180" s="2">
        <v>48.86</v>
      </c>
      <c r="AO180" s="2">
        <v>92.03</v>
      </c>
      <c r="AP180" s="2">
        <v>76.64</v>
      </c>
      <c r="AQ180" s="2">
        <v>90.21</v>
      </c>
      <c r="AR180" s="2">
        <v>92.05</v>
      </c>
      <c r="AU180" s="1" t="s">
        <v>69</v>
      </c>
      <c r="AV180" s="2">
        <v>808.19</v>
      </c>
      <c r="AW180" s="2">
        <v>2175.02</v>
      </c>
      <c r="AX180" s="2">
        <v>373.84</v>
      </c>
      <c r="AY180" s="2">
        <v>232.42</v>
      </c>
      <c r="AZ180" s="2">
        <v>801.9</v>
      </c>
      <c r="BA180" s="2">
        <v>1046.1199999999999</v>
      </c>
      <c r="BB180" s="2">
        <v>1895.7</v>
      </c>
      <c r="BC180" s="2">
        <v>1626.35</v>
      </c>
      <c r="BD180" s="2">
        <v>2010.33</v>
      </c>
      <c r="BE180" s="2">
        <v>1499.24</v>
      </c>
      <c r="BF180" s="2">
        <v>539.63</v>
      </c>
      <c r="BG180" s="2">
        <v>2183.8000000000002</v>
      </c>
      <c r="BH180" s="2">
        <v>298.38</v>
      </c>
      <c r="BI180" s="2">
        <v>273.32</v>
      </c>
      <c r="BJ180" s="2">
        <v>837.45</v>
      </c>
      <c r="BK180" s="2">
        <v>990.68</v>
      </c>
      <c r="BL180" s="2">
        <v>1866.03</v>
      </c>
      <c r="BM180" s="2">
        <v>1554.03</v>
      </c>
      <c r="BN180" s="2">
        <v>1829.17</v>
      </c>
      <c r="BO180" s="2">
        <v>1799.03</v>
      </c>
    </row>
    <row r="181" spans="24:67" x14ac:dyDescent="0.3">
      <c r="X181" s="1" t="s">
        <v>70</v>
      </c>
      <c r="Y181" s="2">
        <v>231.71</v>
      </c>
      <c r="Z181" s="2">
        <v>509.09</v>
      </c>
      <c r="AA181" s="2">
        <v>119.56</v>
      </c>
      <c r="AB181" s="2">
        <v>75.16</v>
      </c>
      <c r="AC181" s="2">
        <v>159.44</v>
      </c>
      <c r="AD181" s="2">
        <v>255.75</v>
      </c>
      <c r="AE181" s="2">
        <v>401.63</v>
      </c>
      <c r="AF181" s="2">
        <v>301.77</v>
      </c>
      <c r="AG181" s="2">
        <v>386.76</v>
      </c>
      <c r="AH181" s="2">
        <v>342.21</v>
      </c>
      <c r="AI181" s="2">
        <v>233.75</v>
      </c>
      <c r="AJ181" s="2">
        <v>544.62</v>
      </c>
      <c r="AK181" s="2">
        <v>86.42</v>
      </c>
      <c r="AL181" s="2">
        <v>71.56</v>
      </c>
      <c r="AM181" s="2">
        <v>243.99</v>
      </c>
      <c r="AN181" s="2">
        <v>287.73</v>
      </c>
      <c r="AO181" s="2">
        <v>381.8</v>
      </c>
      <c r="AP181" s="2">
        <v>307.77</v>
      </c>
      <c r="AQ181" s="2">
        <v>377.92</v>
      </c>
      <c r="AR181" s="2">
        <v>336.3</v>
      </c>
      <c r="AU181" s="1" t="s">
        <v>70</v>
      </c>
      <c r="AV181" s="2">
        <v>2426.02</v>
      </c>
      <c r="AW181" s="2">
        <v>10322.41</v>
      </c>
      <c r="AX181" s="2">
        <v>1461.23</v>
      </c>
      <c r="AY181" s="2">
        <v>788.21</v>
      </c>
      <c r="AZ181" s="2">
        <v>3029.36</v>
      </c>
      <c r="BA181" s="2">
        <v>4201.25</v>
      </c>
      <c r="BB181" s="2">
        <v>7521.97</v>
      </c>
      <c r="BC181" s="2">
        <v>6118.83</v>
      </c>
      <c r="BD181" s="2">
        <v>7842.14</v>
      </c>
      <c r="BE181" s="2">
        <v>6938.89</v>
      </c>
      <c r="BF181" s="2">
        <v>3153.4</v>
      </c>
      <c r="BG181" s="2">
        <v>11042.88</v>
      </c>
      <c r="BH181" s="2">
        <v>1641.93</v>
      </c>
      <c r="BI181" s="2">
        <v>784.84</v>
      </c>
      <c r="BJ181" s="2">
        <v>3185.61</v>
      </c>
      <c r="BK181" s="2">
        <v>4329.2700000000004</v>
      </c>
      <c r="BL181" s="2">
        <v>7741.6</v>
      </c>
      <c r="BM181" s="2">
        <v>6240.43</v>
      </c>
      <c r="BN181" s="2">
        <v>7662.88</v>
      </c>
      <c r="BO181" s="2">
        <v>6819</v>
      </c>
    </row>
    <row r="182" spans="24:67" x14ac:dyDescent="0.3">
      <c r="X182" s="1" t="s">
        <v>71</v>
      </c>
      <c r="Y182" s="2">
        <v>27.57</v>
      </c>
      <c r="Z182" s="2">
        <v>82.87</v>
      </c>
      <c r="AA182" s="2">
        <v>15.91</v>
      </c>
      <c r="AB182" s="2">
        <v>13.42</v>
      </c>
      <c r="AC182" s="2">
        <v>21.82</v>
      </c>
      <c r="AD182" s="2">
        <v>27.43</v>
      </c>
      <c r="AE182" s="2">
        <v>56.33</v>
      </c>
      <c r="AF182" s="2">
        <v>45.96</v>
      </c>
      <c r="AG182" s="2">
        <v>61.64</v>
      </c>
      <c r="AH182" s="2">
        <v>59.8</v>
      </c>
      <c r="AI182" s="2">
        <v>42.2</v>
      </c>
      <c r="AJ182" s="2">
        <v>53.68</v>
      </c>
      <c r="AK182" s="2">
        <v>10.3</v>
      </c>
      <c r="AL182" s="2">
        <v>12.12</v>
      </c>
      <c r="AM182" s="2">
        <v>34.86</v>
      </c>
      <c r="AN182" s="2">
        <v>49.62</v>
      </c>
      <c r="AO182" s="2">
        <v>74.59</v>
      </c>
      <c r="AP182" s="2">
        <v>47.45</v>
      </c>
      <c r="AQ182" s="2">
        <v>70.349999999999994</v>
      </c>
      <c r="AR182" s="2">
        <v>48.19</v>
      </c>
      <c r="AU182" s="1" t="s">
        <v>71</v>
      </c>
      <c r="AV182" s="2">
        <v>558.96</v>
      </c>
      <c r="AW182" s="2">
        <v>1680.33</v>
      </c>
      <c r="AX182" s="2">
        <v>302.25</v>
      </c>
      <c r="AY182" s="2">
        <v>150.52000000000001</v>
      </c>
      <c r="AZ182" s="2">
        <v>414.66</v>
      </c>
      <c r="BA182" s="2">
        <v>556.16999999999996</v>
      </c>
      <c r="BB182" s="2">
        <v>1142.1099999999999</v>
      </c>
      <c r="BC182" s="2">
        <v>931.81</v>
      </c>
      <c r="BD182" s="2">
        <v>1249.77</v>
      </c>
      <c r="BE182" s="2">
        <v>1212.45</v>
      </c>
      <c r="BF182" s="2">
        <v>502.15</v>
      </c>
      <c r="BG182" s="2">
        <v>1088.42</v>
      </c>
      <c r="BH182" s="2">
        <v>195.75</v>
      </c>
      <c r="BI182" s="2">
        <v>146.28</v>
      </c>
      <c r="BJ182" s="2">
        <v>425.99</v>
      </c>
      <c r="BK182" s="2">
        <v>752.73</v>
      </c>
      <c r="BL182" s="2">
        <v>1168.3</v>
      </c>
      <c r="BM182" s="2">
        <v>865.42</v>
      </c>
      <c r="BN182" s="2">
        <v>1273.78</v>
      </c>
      <c r="BO182" s="2">
        <v>977.03</v>
      </c>
    </row>
    <row r="183" spans="24:67" x14ac:dyDescent="0.3">
      <c r="X183" s="1" t="s">
        <v>72</v>
      </c>
      <c r="Y183" s="2">
        <v>143.35</v>
      </c>
      <c r="Z183" s="2">
        <v>270.7</v>
      </c>
      <c r="AA183" s="2">
        <v>46.08</v>
      </c>
      <c r="AB183" s="2">
        <v>43.24</v>
      </c>
      <c r="AC183" s="2">
        <v>103.63</v>
      </c>
      <c r="AD183" s="2">
        <v>98.32</v>
      </c>
      <c r="AE183" s="2">
        <v>203.76</v>
      </c>
      <c r="AF183" s="2">
        <v>171.58</v>
      </c>
      <c r="AG183" s="2">
        <v>281.60000000000002</v>
      </c>
      <c r="AH183" s="2">
        <v>205.99</v>
      </c>
      <c r="AI183" s="2">
        <v>159.49</v>
      </c>
      <c r="AJ183" s="2">
        <v>241.15</v>
      </c>
      <c r="AK183" s="2">
        <v>56.46</v>
      </c>
      <c r="AL183" s="2">
        <v>49.06</v>
      </c>
      <c r="AM183" s="2">
        <v>205.04</v>
      </c>
      <c r="AN183" s="2">
        <v>274.2</v>
      </c>
      <c r="AO183" s="2">
        <v>463.6</v>
      </c>
      <c r="AP183" s="2">
        <v>334.61</v>
      </c>
      <c r="AQ183" s="2">
        <v>231</v>
      </c>
      <c r="AR183" s="2">
        <v>183.6</v>
      </c>
      <c r="AU183" s="1" t="s">
        <v>72</v>
      </c>
      <c r="AV183" s="2">
        <v>1781.44</v>
      </c>
      <c r="AW183" s="2">
        <v>5488.92</v>
      </c>
      <c r="AX183" s="2">
        <v>875.6</v>
      </c>
      <c r="AY183" s="2">
        <v>419.07</v>
      </c>
      <c r="AZ183" s="2">
        <v>1577.72</v>
      </c>
      <c r="BA183" s="2">
        <v>1964.24</v>
      </c>
      <c r="BB183" s="2">
        <v>3741.35</v>
      </c>
      <c r="BC183" s="2">
        <v>3129.81</v>
      </c>
      <c r="BD183" s="2">
        <v>4623.62</v>
      </c>
      <c r="BE183" s="2">
        <v>4176.72</v>
      </c>
      <c r="BF183" s="2">
        <v>1993.01</v>
      </c>
      <c r="BG183" s="2">
        <v>4889.6099999999997</v>
      </c>
      <c r="BH183" s="2">
        <v>876.99</v>
      </c>
      <c r="BI183" s="2">
        <v>618.92999999999995</v>
      </c>
      <c r="BJ183" s="2">
        <v>1600.73</v>
      </c>
      <c r="BK183" s="2">
        <v>2694.57</v>
      </c>
      <c r="BL183" s="2">
        <v>4593.5200000000004</v>
      </c>
      <c r="BM183" s="2">
        <v>3648.25</v>
      </c>
      <c r="BN183" s="2">
        <v>4683.82</v>
      </c>
      <c r="BO183" s="2">
        <v>3722.77</v>
      </c>
    </row>
    <row r="184" spans="24:67" x14ac:dyDescent="0.3">
      <c r="X184" s="1" t="s">
        <v>73</v>
      </c>
      <c r="Y184" s="2">
        <v>60.73</v>
      </c>
      <c r="Z184" s="2">
        <v>228.2</v>
      </c>
      <c r="AA184" s="2">
        <v>27.19</v>
      </c>
      <c r="AB184" s="2">
        <v>16.86</v>
      </c>
      <c r="AC184" s="2">
        <v>64.27</v>
      </c>
      <c r="AD184" s="2">
        <v>87.64</v>
      </c>
      <c r="AE184" s="2">
        <v>165.61</v>
      </c>
      <c r="AF184" s="2">
        <v>135.47999999999999</v>
      </c>
      <c r="AG184" s="2">
        <v>181.94</v>
      </c>
      <c r="AH184" s="2">
        <v>167.6</v>
      </c>
      <c r="AI184" s="2">
        <v>64.28</v>
      </c>
      <c r="AJ184" s="2">
        <v>247.99</v>
      </c>
      <c r="AK184" s="2">
        <v>29.17</v>
      </c>
      <c r="AL184" s="2">
        <v>18.850000000000001</v>
      </c>
      <c r="AM184" s="2">
        <v>67.430000000000007</v>
      </c>
      <c r="AN184" s="2">
        <v>78.239999999999995</v>
      </c>
      <c r="AO184" s="2">
        <v>147.16999999999999</v>
      </c>
      <c r="AP184" s="2">
        <v>122.06</v>
      </c>
      <c r="AQ184" s="2">
        <v>169.51</v>
      </c>
      <c r="AR184" s="2">
        <v>158.72</v>
      </c>
      <c r="AU184" s="1" t="s">
        <v>73</v>
      </c>
      <c r="AV184" s="2">
        <v>1215.3499999999999</v>
      </c>
      <c r="AW184" s="2">
        <v>3785.35</v>
      </c>
      <c r="AX184" s="2">
        <v>516.47</v>
      </c>
      <c r="AY184" s="2">
        <v>320.33999999999997</v>
      </c>
      <c r="AZ184" s="2">
        <v>1221.17</v>
      </c>
      <c r="BA184" s="2">
        <v>1596.56</v>
      </c>
      <c r="BB184" s="2">
        <v>2924.27</v>
      </c>
      <c r="BC184" s="2">
        <v>2385.7800000000002</v>
      </c>
      <c r="BD184" s="2">
        <v>3086.44</v>
      </c>
      <c r="BE184" s="2">
        <v>2706.76</v>
      </c>
      <c r="BF184" s="2">
        <v>1303.45</v>
      </c>
      <c r="BG184" s="2">
        <v>4404.1099999999997</v>
      </c>
      <c r="BH184" s="2">
        <v>554.27</v>
      </c>
      <c r="BI184" s="2">
        <v>358.1</v>
      </c>
      <c r="BJ184" s="2">
        <v>1182.23</v>
      </c>
      <c r="BK184" s="2">
        <v>1516.86</v>
      </c>
      <c r="BL184" s="2">
        <v>2883.52</v>
      </c>
      <c r="BM184" s="2">
        <v>2474.89</v>
      </c>
      <c r="BN184" s="2">
        <v>3112.55</v>
      </c>
      <c r="BO184" s="2">
        <v>2653.42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63</v>
      </c>
      <c r="Z188" s="1" t="s">
        <v>64</v>
      </c>
      <c r="AA188" s="1" t="s">
        <v>63</v>
      </c>
      <c r="AB188" s="1" t="s">
        <v>64</v>
      </c>
      <c r="AC188" s="1" t="s">
        <v>63</v>
      </c>
      <c r="AD188" s="1" t="s">
        <v>64</v>
      </c>
      <c r="AE188" s="1" t="s">
        <v>63</v>
      </c>
      <c r="AF188" s="1" t="s">
        <v>64</v>
      </c>
      <c r="AG188" s="1" t="s">
        <v>63</v>
      </c>
      <c r="AH188" s="1" t="s">
        <v>64</v>
      </c>
      <c r="AI188" s="1" t="s">
        <v>63</v>
      </c>
      <c r="AJ188" s="1" t="s">
        <v>64</v>
      </c>
      <c r="AK188" s="1" t="s">
        <v>63</v>
      </c>
      <c r="AL188" s="1" t="s">
        <v>64</v>
      </c>
      <c r="AM188" s="1" t="s">
        <v>63</v>
      </c>
      <c r="AN188" s="1" t="s">
        <v>64</v>
      </c>
      <c r="AO188" s="1" t="s">
        <v>63</v>
      </c>
      <c r="AP188" s="1" t="s">
        <v>64</v>
      </c>
      <c r="AQ188" s="1" t="s">
        <v>63</v>
      </c>
      <c r="AR188" s="1" t="s">
        <v>64</v>
      </c>
      <c r="AU188" s="1" t="s">
        <v>6</v>
      </c>
      <c r="AV188" s="1" t="s">
        <v>63</v>
      </c>
      <c r="AW188" s="1" t="s">
        <v>64</v>
      </c>
      <c r="AX188" s="1" t="s">
        <v>63</v>
      </c>
      <c r="AY188" s="1" t="s">
        <v>64</v>
      </c>
      <c r="AZ188" s="1" t="s">
        <v>63</v>
      </c>
      <c r="BA188" s="1" t="s">
        <v>64</v>
      </c>
      <c r="BB188" s="1" t="s">
        <v>63</v>
      </c>
      <c r="BC188" s="1" t="s">
        <v>64</v>
      </c>
      <c r="BD188" s="1" t="s">
        <v>63</v>
      </c>
      <c r="BE188" s="1" t="s">
        <v>64</v>
      </c>
      <c r="BF188" s="1" t="s">
        <v>63</v>
      </c>
      <c r="BG188" s="1" t="s">
        <v>64</v>
      </c>
      <c r="BH188" s="1" t="s">
        <v>63</v>
      </c>
      <c r="BI188" s="1" t="s">
        <v>64</v>
      </c>
      <c r="BJ188" s="1" t="s">
        <v>63</v>
      </c>
      <c r="BK188" s="1" t="s">
        <v>64</v>
      </c>
      <c r="BL188" s="1" t="s">
        <v>63</v>
      </c>
      <c r="BM188" s="1" t="s">
        <v>64</v>
      </c>
      <c r="BN188" s="1" t="s">
        <v>63</v>
      </c>
      <c r="BO188" s="1" t="s">
        <v>64</v>
      </c>
    </row>
    <row r="189" spans="24:67" x14ac:dyDescent="0.3">
      <c r="X189" s="1" t="s">
        <v>65</v>
      </c>
      <c r="Y189" s="1" t="s">
        <v>53</v>
      </c>
      <c r="Z189" s="1" t="s">
        <v>53</v>
      </c>
      <c r="AA189" s="1" t="s">
        <v>54</v>
      </c>
      <c r="AB189" s="1" t="s">
        <v>54</v>
      </c>
      <c r="AC189" s="1" t="s">
        <v>55</v>
      </c>
      <c r="AD189" s="1" t="s">
        <v>55</v>
      </c>
      <c r="AE189" s="1" t="s">
        <v>56</v>
      </c>
      <c r="AF189" s="1" t="s">
        <v>56</v>
      </c>
      <c r="AG189" s="1" t="s">
        <v>57</v>
      </c>
      <c r="AH189" s="1" t="s">
        <v>57</v>
      </c>
      <c r="AI189" s="1" t="s">
        <v>58</v>
      </c>
      <c r="AJ189" s="1" t="s">
        <v>58</v>
      </c>
      <c r="AK189" s="1" t="s">
        <v>59</v>
      </c>
      <c r="AL189" s="1" t="s">
        <v>59</v>
      </c>
      <c r="AM189" s="1" t="s">
        <v>60</v>
      </c>
      <c r="AN189" s="1" t="s">
        <v>60</v>
      </c>
      <c r="AO189" s="1" t="s">
        <v>61</v>
      </c>
      <c r="AP189" s="1" t="s">
        <v>61</v>
      </c>
      <c r="AQ189" s="1" t="s">
        <v>62</v>
      </c>
      <c r="AR189" s="1" t="s">
        <v>62</v>
      </c>
      <c r="AU189" s="1" t="s">
        <v>65</v>
      </c>
      <c r="AV189" s="1" t="s">
        <v>53</v>
      </c>
      <c r="AW189" s="1" t="s">
        <v>53</v>
      </c>
      <c r="AX189" s="1" t="s">
        <v>54</v>
      </c>
      <c r="AY189" s="1" t="s">
        <v>54</v>
      </c>
      <c r="AZ189" s="1" t="s">
        <v>55</v>
      </c>
      <c r="BA189" s="1" t="s">
        <v>55</v>
      </c>
      <c r="BB189" s="1" t="s">
        <v>56</v>
      </c>
      <c r="BC189" s="1" t="s">
        <v>56</v>
      </c>
      <c r="BD189" s="1" t="s">
        <v>57</v>
      </c>
      <c r="BE189" s="1" t="s">
        <v>57</v>
      </c>
      <c r="BF189" s="1" t="s">
        <v>58</v>
      </c>
      <c r="BG189" s="1" t="s">
        <v>58</v>
      </c>
      <c r="BH189" s="1" t="s">
        <v>59</v>
      </c>
      <c r="BI189" s="1" t="s">
        <v>59</v>
      </c>
      <c r="BJ189" s="1" t="s">
        <v>60</v>
      </c>
      <c r="BK189" s="1" t="s">
        <v>60</v>
      </c>
      <c r="BL189" s="1" t="s">
        <v>61</v>
      </c>
      <c r="BM189" s="1" t="s">
        <v>61</v>
      </c>
      <c r="BN189" s="1" t="s">
        <v>62</v>
      </c>
      <c r="BO189" s="1" t="s">
        <v>62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66</v>
      </c>
      <c r="Y191" s="2">
        <v>244.91</v>
      </c>
      <c r="Z191" s="2">
        <v>280.45999999999998</v>
      </c>
      <c r="AA191" s="2">
        <v>14.88</v>
      </c>
      <c r="AB191" s="2">
        <v>15.19</v>
      </c>
      <c r="AC191" s="2">
        <v>22.86</v>
      </c>
      <c r="AD191" s="2">
        <v>62.6</v>
      </c>
      <c r="AE191" s="2">
        <v>168.09</v>
      </c>
      <c r="AF191" s="2">
        <v>115.98</v>
      </c>
      <c r="AG191" s="2">
        <v>231.25</v>
      </c>
      <c r="AH191" s="2">
        <v>108.87</v>
      </c>
      <c r="AI191" s="2">
        <v>233.67</v>
      </c>
      <c r="AJ191" s="2">
        <v>81.95</v>
      </c>
      <c r="AK191" s="2">
        <v>233.94</v>
      </c>
      <c r="AL191" s="2">
        <v>36.51</v>
      </c>
      <c r="AM191" s="2">
        <v>185.35</v>
      </c>
      <c r="AN191" s="2">
        <v>81.239999999999995</v>
      </c>
      <c r="AO191" s="2">
        <v>16.37</v>
      </c>
      <c r="AP191" s="2">
        <v>17.16</v>
      </c>
      <c r="AQ191" s="2">
        <v>40.909999999999997</v>
      </c>
      <c r="AR191" s="2">
        <v>20.03</v>
      </c>
      <c r="AU191" s="1" t="s">
        <v>66</v>
      </c>
      <c r="AV191" s="2">
        <v>1898.49</v>
      </c>
      <c r="AW191" s="2">
        <v>1880.44</v>
      </c>
      <c r="AX191" s="2">
        <v>969.32</v>
      </c>
      <c r="AY191" s="2">
        <v>996.31</v>
      </c>
      <c r="AZ191" s="2">
        <v>1497.54</v>
      </c>
      <c r="BA191" s="2">
        <v>1581.7</v>
      </c>
      <c r="BB191" s="2">
        <v>1627.41</v>
      </c>
      <c r="BC191" s="2">
        <v>1706.12</v>
      </c>
      <c r="BD191" s="2">
        <v>1613.25</v>
      </c>
      <c r="BE191" s="2">
        <v>1675.43</v>
      </c>
      <c r="BF191" s="2">
        <v>1647.93</v>
      </c>
      <c r="BG191" s="2">
        <v>1696.05</v>
      </c>
      <c r="BH191" s="2">
        <v>1611.96</v>
      </c>
      <c r="BI191" s="2">
        <v>1844.39</v>
      </c>
      <c r="BJ191" s="2">
        <v>1699.75</v>
      </c>
      <c r="BK191" s="2">
        <v>1752.06</v>
      </c>
      <c r="BL191" s="2">
        <v>1577.53</v>
      </c>
      <c r="BM191" s="2">
        <v>1653.74</v>
      </c>
      <c r="BN191" s="2">
        <v>1874.99</v>
      </c>
      <c r="BO191" s="2">
        <v>1930.17</v>
      </c>
    </row>
    <row r="192" spans="24:67" x14ac:dyDescent="0.3">
      <c r="X192" s="1" t="s">
        <v>67</v>
      </c>
      <c r="Y192" s="2">
        <v>14.92</v>
      </c>
      <c r="Z192" s="2">
        <v>15.55</v>
      </c>
      <c r="AA192" s="2">
        <v>8.1199999999999992</v>
      </c>
      <c r="AB192" s="2">
        <v>9.85</v>
      </c>
      <c r="AC192" s="2">
        <v>10.17</v>
      </c>
      <c r="AD192" s="2">
        <v>12.25</v>
      </c>
      <c r="AE192" s="2">
        <v>11.51</v>
      </c>
      <c r="AF192" s="2">
        <v>14.71</v>
      </c>
      <c r="AG192" s="2">
        <v>11.75</v>
      </c>
      <c r="AH192" s="2">
        <v>12.85</v>
      </c>
      <c r="AI192" s="2">
        <v>11.48</v>
      </c>
      <c r="AJ192" s="2">
        <v>14.02</v>
      </c>
      <c r="AK192" s="2">
        <v>12.86</v>
      </c>
      <c r="AL192" s="2">
        <v>13.92</v>
      </c>
      <c r="AM192" s="2">
        <v>13.42</v>
      </c>
      <c r="AN192" s="2">
        <v>13.65</v>
      </c>
      <c r="AO192" s="2">
        <v>13.07</v>
      </c>
      <c r="AP192" s="2">
        <v>14.29</v>
      </c>
      <c r="AQ192" s="2">
        <v>19</v>
      </c>
      <c r="AR192" s="2">
        <v>16.61</v>
      </c>
      <c r="AU192" s="1" t="s">
        <v>67</v>
      </c>
      <c r="AV192" s="2">
        <v>302.48</v>
      </c>
      <c r="AW192" s="2">
        <v>315.35000000000002</v>
      </c>
      <c r="AX192" s="2">
        <v>154.28</v>
      </c>
      <c r="AY192" s="2">
        <v>187.05</v>
      </c>
      <c r="AZ192" s="2">
        <v>193.13</v>
      </c>
      <c r="BA192" s="2">
        <v>232.75</v>
      </c>
      <c r="BB192" s="2">
        <v>218.59</v>
      </c>
      <c r="BC192" s="2">
        <v>279.49</v>
      </c>
      <c r="BD192" s="2">
        <v>238.25</v>
      </c>
      <c r="BE192" s="2">
        <v>260.55</v>
      </c>
      <c r="BF192" s="2">
        <v>232.72</v>
      </c>
      <c r="BG192" s="2">
        <v>284.38</v>
      </c>
      <c r="BH192" s="2">
        <v>260.83999999999997</v>
      </c>
      <c r="BI192" s="2">
        <v>282.18</v>
      </c>
      <c r="BJ192" s="2">
        <v>272.08</v>
      </c>
      <c r="BK192" s="2">
        <v>276.75</v>
      </c>
      <c r="BL192" s="2">
        <v>265.02999999999997</v>
      </c>
      <c r="BM192" s="2">
        <v>289.70999999999998</v>
      </c>
      <c r="BN192" s="2">
        <v>385.3</v>
      </c>
      <c r="BO192" s="2">
        <v>336.69</v>
      </c>
    </row>
    <row r="193" spans="24:67" x14ac:dyDescent="0.3">
      <c r="X193" s="1" t="s">
        <v>68</v>
      </c>
      <c r="Y193" s="2">
        <v>141.80000000000001</v>
      </c>
      <c r="Z193" s="2">
        <v>45.8</v>
      </c>
      <c r="AA193" s="2">
        <v>59.39</v>
      </c>
      <c r="AB193" s="2">
        <v>22.44</v>
      </c>
      <c r="AC193" s="2">
        <v>193.35</v>
      </c>
      <c r="AD193" s="2">
        <v>118.73</v>
      </c>
      <c r="AE193" s="2">
        <v>146.82</v>
      </c>
      <c r="AF193" s="2">
        <v>78.790000000000006</v>
      </c>
      <c r="AG193" s="2">
        <v>163.9</v>
      </c>
      <c r="AH193" s="2">
        <v>68.040000000000006</v>
      </c>
      <c r="AI193" s="2">
        <v>169.82</v>
      </c>
      <c r="AJ193" s="2">
        <v>72.260000000000005</v>
      </c>
      <c r="AK193" s="2">
        <v>195.28</v>
      </c>
      <c r="AL193" s="2">
        <v>78.63</v>
      </c>
      <c r="AM193" s="2">
        <v>191.18</v>
      </c>
      <c r="AN193" s="2">
        <v>63.75</v>
      </c>
      <c r="AO193" s="2">
        <v>76.900000000000006</v>
      </c>
      <c r="AP193" s="2">
        <v>63.21</v>
      </c>
      <c r="AQ193" s="2">
        <v>56.61</v>
      </c>
      <c r="AR193" s="2">
        <v>55.85</v>
      </c>
      <c r="AU193" s="1" t="s">
        <v>68</v>
      </c>
      <c r="AV193" s="2">
        <v>1501.52</v>
      </c>
      <c r="AW193" s="2">
        <v>928.6</v>
      </c>
      <c r="AX193" s="2">
        <v>699.05</v>
      </c>
      <c r="AY193" s="2">
        <v>426.36</v>
      </c>
      <c r="AZ193" s="2">
        <v>1205.27</v>
      </c>
      <c r="BA193" s="2">
        <v>1086.3399999999999</v>
      </c>
      <c r="BB193" s="2">
        <v>1272.08</v>
      </c>
      <c r="BC193" s="2">
        <v>1193.3699999999999</v>
      </c>
      <c r="BD193" s="2">
        <v>1335.8</v>
      </c>
      <c r="BE193" s="2">
        <v>1198.71</v>
      </c>
      <c r="BF193" s="2">
        <v>1362.43</v>
      </c>
      <c r="BG193" s="2">
        <v>1259.29</v>
      </c>
      <c r="BH193" s="2">
        <v>1466.82</v>
      </c>
      <c r="BI193" s="2">
        <v>1332.71</v>
      </c>
      <c r="BJ193" s="2">
        <v>1403.4</v>
      </c>
      <c r="BK193" s="2">
        <v>1196.1500000000001</v>
      </c>
      <c r="BL193" s="2">
        <v>1214.1099999999999</v>
      </c>
      <c r="BM193" s="2">
        <v>1263.79</v>
      </c>
      <c r="BN193" s="2">
        <v>1147.8399999999999</v>
      </c>
      <c r="BO193" s="2">
        <v>1125.18</v>
      </c>
    </row>
    <row r="194" spans="24:67" x14ac:dyDescent="0.3">
      <c r="X194" s="1" t="s">
        <v>69</v>
      </c>
      <c r="Y194" s="2">
        <v>31.91</v>
      </c>
      <c r="Z194" s="2">
        <v>23.3</v>
      </c>
      <c r="AA194" s="2">
        <v>15.14</v>
      </c>
      <c r="AB194" s="2">
        <v>12.08</v>
      </c>
      <c r="AC194" s="2">
        <v>49.04</v>
      </c>
      <c r="AD194" s="2">
        <v>28.77</v>
      </c>
      <c r="AE194" s="2">
        <v>44.43</v>
      </c>
      <c r="AF194" s="2">
        <v>27.55</v>
      </c>
      <c r="AG194" s="2">
        <v>43.81</v>
      </c>
      <c r="AH194" s="2">
        <v>24.43</v>
      </c>
      <c r="AI194" s="2">
        <v>44.13</v>
      </c>
      <c r="AJ194" s="2">
        <v>25.56</v>
      </c>
      <c r="AK194" s="2">
        <v>47.67</v>
      </c>
      <c r="AL194" s="2">
        <v>26.43</v>
      </c>
      <c r="AM194" s="2">
        <v>34.47</v>
      </c>
      <c r="AN194" s="2">
        <v>23.74</v>
      </c>
      <c r="AO194" s="2">
        <v>21.75</v>
      </c>
      <c r="AP194" s="2">
        <v>27.07</v>
      </c>
      <c r="AQ194" s="2">
        <v>24.16</v>
      </c>
      <c r="AR194" s="2">
        <v>24.85</v>
      </c>
      <c r="AU194" s="1" t="s">
        <v>69</v>
      </c>
      <c r="AV194" s="2">
        <v>621.69000000000005</v>
      </c>
      <c r="AW194" s="2">
        <v>415.1</v>
      </c>
      <c r="AX194" s="2">
        <v>287.57</v>
      </c>
      <c r="AY194" s="2">
        <v>229.52</v>
      </c>
      <c r="AZ194" s="2">
        <v>464.84</v>
      </c>
      <c r="BA194" s="2">
        <v>546.64</v>
      </c>
      <c r="BB194" s="2">
        <v>501.19</v>
      </c>
      <c r="BC194" s="2">
        <v>523.41</v>
      </c>
      <c r="BD194" s="2">
        <v>523.05999999999995</v>
      </c>
      <c r="BE194" s="2">
        <v>495.34</v>
      </c>
      <c r="BF194" s="2">
        <v>526.58000000000004</v>
      </c>
      <c r="BG194" s="2">
        <v>518.34</v>
      </c>
      <c r="BH194" s="2">
        <v>560.80999999999995</v>
      </c>
      <c r="BI194" s="2">
        <v>535.87</v>
      </c>
      <c r="BJ194" s="2">
        <v>529.03</v>
      </c>
      <c r="BK194" s="2">
        <v>481.36</v>
      </c>
      <c r="BL194" s="2">
        <v>440.95</v>
      </c>
      <c r="BM194" s="2">
        <v>529.13</v>
      </c>
      <c r="BN194" s="2">
        <v>483.34</v>
      </c>
      <c r="BO194" s="2">
        <v>485.29</v>
      </c>
    </row>
    <row r="195" spans="24:67" x14ac:dyDescent="0.3">
      <c r="X195" s="1" t="s">
        <v>70</v>
      </c>
      <c r="Y195" s="2">
        <v>178.24</v>
      </c>
      <c r="Z195" s="2">
        <v>179.81</v>
      </c>
      <c r="AA195" s="2">
        <v>91.97</v>
      </c>
      <c r="AB195" s="2">
        <v>66.48</v>
      </c>
      <c r="AC195" s="2">
        <v>150.31</v>
      </c>
      <c r="AD195" s="2">
        <v>143.13</v>
      </c>
      <c r="AE195" s="2">
        <v>99.65</v>
      </c>
      <c r="AF195" s="2">
        <v>152.5</v>
      </c>
      <c r="AG195" s="2">
        <v>127.88</v>
      </c>
      <c r="AH195" s="2">
        <v>143.86000000000001</v>
      </c>
      <c r="AI195" s="2">
        <v>111.57</v>
      </c>
      <c r="AJ195" s="2">
        <v>106.06</v>
      </c>
      <c r="AK195" s="2">
        <v>104.06</v>
      </c>
      <c r="AL195" s="2">
        <v>106.13</v>
      </c>
      <c r="AM195" s="2">
        <v>101.78</v>
      </c>
      <c r="AN195" s="2">
        <v>99.45</v>
      </c>
      <c r="AO195" s="2">
        <v>100.65</v>
      </c>
      <c r="AP195" s="2">
        <v>98.91</v>
      </c>
      <c r="AQ195" s="2">
        <v>113.13</v>
      </c>
      <c r="AR195" s="2">
        <v>121.03</v>
      </c>
      <c r="AU195" s="1" t="s">
        <v>70</v>
      </c>
      <c r="AV195" s="2">
        <v>1866.17</v>
      </c>
      <c r="AW195" s="2">
        <v>2425.69</v>
      </c>
      <c r="AX195" s="2">
        <v>1124.02</v>
      </c>
      <c r="AY195" s="2">
        <v>1263.02</v>
      </c>
      <c r="AZ195" s="2">
        <v>1576.42</v>
      </c>
      <c r="BA195" s="2">
        <v>1569.68</v>
      </c>
      <c r="BB195" s="2">
        <v>1893.35</v>
      </c>
      <c r="BC195" s="2">
        <v>1991</v>
      </c>
      <c r="BD195" s="2">
        <v>2100.62</v>
      </c>
      <c r="BE195" s="2">
        <v>2164.64</v>
      </c>
      <c r="BF195" s="2">
        <v>2089.4299999999998</v>
      </c>
      <c r="BG195" s="2">
        <v>2150.44</v>
      </c>
      <c r="BH195" s="2">
        <v>2109.94</v>
      </c>
      <c r="BI195" s="2">
        <v>2151.87</v>
      </c>
      <c r="BJ195" s="2">
        <v>2063.7199999999998</v>
      </c>
      <c r="BK195" s="2">
        <v>2016.55</v>
      </c>
      <c r="BL195" s="2">
        <v>2040.85</v>
      </c>
      <c r="BM195" s="2">
        <v>2005.59</v>
      </c>
      <c r="BN195" s="2">
        <v>2293.87</v>
      </c>
      <c r="BO195" s="2">
        <v>2453.9699999999998</v>
      </c>
    </row>
    <row r="196" spans="24:67" x14ac:dyDescent="0.3">
      <c r="X196" s="1" t="s">
        <v>71</v>
      </c>
      <c r="Y196" s="2">
        <v>21.21</v>
      </c>
      <c r="Z196" s="2">
        <v>32.46</v>
      </c>
      <c r="AA196" s="2">
        <v>12.24</v>
      </c>
      <c r="AB196" s="2">
        <v>7.93</v>
      </c>
      <c r="AC196" s="2">
        <v>26.84</v>
      </c>
      <c r="AD196" s="2">
        <v>24.25</v>
      </c>
      <c r="AE196" s="2">
        <v>13.64</v>
      </c>
      <c r="AF196" s="2">
        <v>21.79</v>
      </c>
      <c r="AG196" s="2">
        <v>13.71</v>
      </c>
      <c r="AH196" s="2">
        <v>24.81</v>
      </c>
      <c r="AI196" s="2">
        <v>15.65</v>
      </c>
      <c r="AJ196" s="2">
        <v>20.72</v>
      </c>
      <c r="AK196" s="2">
        <v>15.85</v>
      </c>
      <c r="AL196" s="2">
        <v>16.36</v>
      </c>
      <c r="AM196" s="2">
        <v>16.22</v>
      </c>
      <c r="AN196" s="2">
        <v>18.510000000000002</v>
      </c>
      <c r="AO196" s="2">
        <v>17.59</v>
      </c>
      <c r="AP196" s="2">
        <v>14.17</v>
      </c>
      <c r="AQ196" s="2">
        <v>18.420000000000002</v>
      </c>
      <c r="AR196" s="2">
        <v>11.93</v>
      </c>
      <c r="AU196" s="1" t="s">
        <v>71</v>
      </c>
      <c r="AV196" s="2">
        <v>429.97</v>
      </c>
      <c r="AW196" s="2">
        <v>386.27</v>
      </c>
      <c r="AX196" s="2">
        <v>232.5</v>
      </c>
      <c r="AY196" s="2">
        <v>150.58000000000001</v>
      </c>
      <c r="AZ196" s="2">
        <v>301.04000000000002</v>
      </c>
      <c r="BA196" s="2">
        <v>292.57</v>
      </c>
      <c r="BB196" s="2">
        <v>259.16000000000003</v>
      </c>
      <c r="BC196" s="2">
        <v>266.24</v>
      </c>
      <c r="BD196" s="2">
        <v>278.08999999999997</v>
      </c>
      <c r="BE196" s="2">
        <v>376.37</v>
      </c>
      <c r="BF196" s="2">
        <v>317.25</v>
      </c>
      <c r="BG196" s="2">
        <v>324.52999999999997</v>
      </c>
      <c r="BH196" s="2">
        <v>321.31</v>
      </c>
      <c r="BI196" s="2">
        <v>298.42</v>
      </c>
      <c r="BJ196" s="2">
        <v>328.89</v>
      </c>
      <c r="BK196" s="2">
        <v>335.21</v>
      </c>
      <c r="BL196" s="2">
        <v>356.6</v>
      </c>
      <c r="BM196" s="2">
        <v>287.36</v>
      </c>
      <c r="BN196" s="2">
        <v>373.41</v>
      </c>
      <c r="BO196" s="2">
        <v>241.87</v>
      </c>
    </row>
    <row r="197" spans="24:67" x14ac:dyDescent="0.3">
      <c r="X197" s="1" t="s">
        <v>72</v>
      </c>
      <c r="Y197" s="2">
        <v>110.27</v>
      </c>
      <c r="Z197" s="2">
        <v>122.69</v>
      </c>
      <c r="AA197" s="2">
        <v>35.450000000000003</v>
      </c>
      <c r="AB197" s="2">
        <v>43.43</v>
      </c>
      <c r="AC197" s="2">
        <v>86.49</v>
      </c>
      <c r="AD197" s="2">
        <v>98.12</v>
      </c>
      <c r="AE197" s="2">
        <v>64.77</v>
      </c>
      <c r="AF197" s="2">
        <v>128.15</v>
      </c>
      <c r="AG197" s="2">
        <v>49.16</v>
      </c>
      <c r="AH197" s="2">
        <v>137.1</v>
      </c>
      <c r="AI197" s="2">
        <v>56.6</v>
      </c>
      <c r="AJ197" s="2">
        <v>128.78</v>
      </c>
      <c r="AK197" s="2">
        <v>59.16</v>
      </c>
      <c r="AL197" s="2">
        <v>115.38</v>
      </c>
      <c r="AM197" s="2">
        <v>74.099999999999994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72</v>
      </c>
      <c r="AV197" s="2">
        <v>1370.34</v>
      </c>
      <c r="AW197" s="2">
        <v>1533.08</v>
      </c>
      <c r="AX197" s="2">
        <v>673.54</v>
      </c>
      <c r="AY197" s="2">
        <v>674.61</v>
      </c>
      <c r="AZ197" s="2">
        <v>838.15</v>
      </c>
      <c r="BA197" s="2">
        <v>1237.8599999999999</v>
      </c>
      <c r="BB197" s="2">
        <v>986.07</v>
      </c>
      <c r="BC197" s="2">
        <v>1000.45</v>
      </c>
      <c r="BD197" s="2">
        <v>982.12</v>
      </c>
      <c r="BE197" s="2">
        <v>1347.29</v>
      </c>
      <c r="BF197" s="2">
        <v>1039.26</v>
      </c>
      <c r="BG197" s="2">
        <v>1275.98</v>
      </c>
      <c r="BH197" s="2">
        <v>1079.24</v>
      </c>
      <c r="BI197" s="2">
        <v>1258.02</v>
      </c>
      <c r="BJ197" s="2">
        <v>1216.74</v>
      </c>
      <c r="BK197" s="2">
        <v>1232.5899999999999</v>
      </c>
      <c r="BL197" s="2">
        <v>1228.45</v>
      </c>
      <c r="BM197" s="2">
        <v>1094.93</v>
      </c>
      <c r="BN197" s="2">
        <v>1219.76</v>
      </c>
      <c r="BO197" s="2">
        <v>1086.58</v>
      </c>
    </row>
    <row r="198" spans="24:67" x14ac:dyDescent="0.3">
      <c r="X198" s="1" t="s">
        <v>73</v>
      </c>
      <c r="Y198" s="2">
        <v>46.71</v>
      </c>
      <c r="Z198" s="2">
        <v>49.45</v>
      </c>
      <c r="AA198" s="2">
        <v>20.91</v>
      </c>
      <c r="AB198" s="2">
        <v>22.44</v>
      </c>
      <c r="AC198" s="2">
        <v>33.72</v>
      </c>
      <c r="AD198" s="2">
        <v>37.700000000000003</v>
      </c>
      <c r="AE198" s="2">
        <v>40.17</v>
      </c>
      <c r="AF198" s="2">
        <v>42.15</v>
      </c>
      <c r="AG198" s="2">
        <v>43.82</v>
      </c>
      <c r="AH198" s="2">
        <v>39.119999999999997</v>
      </c>
      <c r="AI198" s="2">
        <v>46</v>
      </c>
      <c r="AJ198" s="2">
        <v>40.880000000000003</v>
      </c>
      <c r="AK198" s="2">
        <v>46.72</v>
      </c>
      <c r="AL198" s="2">
        <v>42.09</v>
      </c>
      <c r="AM198" s="2">
        <v>47.88</v>
      </c>
      <c r="AN198" s="2">
        <v>44.61</v>
      </c>
      <c r="AO198" s="2">
        <v>49.29</v>
      </c>
      <c r="AP198" s="2">
        <v>46.68</v>
      </c>
      <c r="AQ198" s="2">
        <v>50.71</v>
      </c>
      <c r="AR198" s="2">
        <v>55.11</v>
      </c>
      <c r="AU198" s="1" t="s">
        <v>73</v>
      </c>
      <c r="AV198" s="2">
        <v>934.89</v>
      </c>
      <c r="AW198" s="2">
        <v>1002.65</v>
      </c>
      <c r="AX198" s="2">
        <v>397.29</v>
      </c>
      <c r="AY198" s="2">
        <v>426.36</v>
      </c>
      <c r="AZ198" s="2">
        <v>640.67999999999995</v>
      </c>
      <c r="BA198" s="2">
        <v>716.2</v>
      </c>
      <c r="BB198" s="2">
        <v>763.23</v>
      </c>
      <c r="BC198" s="2">
        <v>738.89</v>
      </c>
      <c r="BD198" s="2">
        <v>798.28</v>
      </c>
      <c r="BE198" s="2">
        <v>758.43</v>
      </c>
      <c r="BF198" s="2">
        <v>812.3</v>
      </c>
      <c r="BG198" s="2">
        <v>800.98</v>
      </c>
      <c r="BH198" s="2">
        <v>822.68</v>
      </c>
      <c r="BI198" s="2">
        <v>853.41</v>
      </c>
      <c r="BJ198" s="2">
        <v>812.22</v>
      </c>
      <c r="BK198" s="2">
        <v>819.09</v>
      </c>
      <c r="BL198" s="2">
        <v>796.11</v>
      </c>
      <c r="BM198" s="2">
        <v>780.42</v>
      </c>
      <c r="BN198" s="2">
        <v>841.19</v>
      </c>
      <c r="BO198" s="2">
        <v>978.69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63</v>
      </c>
      <c r="Z202" s="1" t="s">
        <v>64</v>
      </c>
      <c r="AA202" s="1" t="s">
        <v>63</v>
      </c>
      <c r="AB202" s="1" t="s">
        <v>64</v>
      </c>
      <c r="AC202" s="1" t="s">
        <v>63</v>
      </c>
      <c r="AD202" s="1" t="s">
        <v>64</v>
      </c>
      <c r="AE202" s="1" t="s">
        <v>63</v>
      </c>
      <c r="AF202" s="1" t="s">
        <v>64</v>
      </c>
      <c r="AG202" s="1" t="s">
        <v>63</v>
      </c>
      <c r="AH202" s="1" t="s">
        <v>64</v>
      </c>
      <c r="AI202" s="1" t="s">
        <v>63</v>
      </c>
      <c r="AJ202" s="1" t="s">
        <v>64</v>
      </c>
      <c r="AK202" s="1" t="s">
        <v>63</v>
      </c>
      <c r="AL202" s="1" t="s">
        <v>64</v>
      </c>
      <c r="AM202" s="1" t="s">
        <v>63</v>
      </c>
      <c r="AN202" s="1" t="s">
        <v>64</v>
      </c>
      <c r="AO202" s="1" t="s">
        <v>63</v>
      </c>
      <c r="AP202" s="1" t="s">
        <v>64</v>
      </c>
      <c r="AQ202" s="1" t="s">
        <v>63</v>
      </c>
      <c r="AR202" s="1" t="s">
        <v>64</v>
      </c>
      <c r="AU202" s="1" t="s">
        <v>6</v>
      </c>
      <c r="AV202" s="10" t="s">
        <v>63</v>
      </c>
      <c r="AW202" s="10"/>
      <c r="AX202" s="10"/>
      <c r="AY202" s="10"/>
      <c r="AZ202" s="10"/>
      <c r="BA202" s="10"/>
      <c r="BB202" s="10"/>
      <c r="BC202" s="10"/>
      <c r="BD202" s="10"/>
      <c r="BE202" s="10"/>
      <c r="BF202" s="10" t="s">
        <v>64</v>
      </c>
      <c r="BG202" s="10"/>
      <c r="BH202" s="10"/>
      <c r="BI202" s="10"/>
      <c r="BJ202" s="10"/>
      <c r="BK202" s="10"/>
      <c r="BL202" s="10"/>
      <c r="BM202" s="10"/>
      <c r="BN202" s="10"/>
      <c r="BO202" s="10"/>
    </row>
    <row r="203" spans="24:67" x14ac:dyDescent="0.3">
      <c r="X203" s="1" t="s">
        <v>65</v>
      </c>
      <c r="Y203" s="1" t="s">
        <v>53</v>
      </c>
      <c r="Z203" s="1" t="s">
        <v>53</v>
      </c>
      <c r="AA203" s="1" t="s">
        <v>54</v>
      </c>
      <c r="AB203" s="1" t="s">
        <v>54</v>
      </c>
      <c r="AC203" s="1" t="s">
        <v>55</v>
      </c>
      <c r="AD203" s="1" t="s">
        <v>55</v>
      </c>
      <c r="AE203" s="1" t="s">
        <v>56</v>
      </c>
      <c r="AF203" s="1" t="s">
        <v>56</v>
      </c>
      <c r="AG203" s="1" t="s">
        <v>57</v>
      </c>
      <c r="AH203" s="1" t="s">
        <v>57</v>
      </c>
      <c r="AI203" s="1" t="s">
        <v>58</v>
      </c>
      <c r="AJ203" s="1" t="s">
        <v>58</v>
      </c>
      <c r="AK203" s="1" t="s">
        <v>59</v>
      </c>
      <c r="AL203" s="1" t="s">
        <v>59</v>
      </c>
      <c r="AM203" s="1" t="s">
        <v>60</v>
      </c>
      <c r="AN203" s="1" t="s">
        <v>60</v>
      </c>
      <c r="AO203" s="1" t="s">
        <v>61</v>
      </c>
      <c r="AP203" s="1" t="s">
        <v>61</v>
      </c>
      <c r="AQ203" s="1" t="s">
        <v>62</v>
      </c>
      <c r="AR203" s="1" t="s">
        <v>62</v>
      </c>
      <c r="AU203" s="1" t="s">
        <v>65</v>
      </c>
      <c r="AV203" s="1" t="s">
        <v>53</v>
      </c>
      <c r="AW203" s="1" t="s">
        <v>62</v>
      </c>
      <c r="AX203" s="1" t="s">
        <v>54</v>
      </c>
      <c r="AY203" s="1" t="s">
        <v>55</v>
      </c>
      <c r="AZ203" s="1" t="s">
        <v>56</v>
      </c>
      <c r="BA203" s="1" t="s">
        <v>57</v>
      </c>
      <c r="BB203" s="1" t="s">
        <v>58</v>
      </c>
      <c r="BC203" s="1" t="s">
        <v>59</v>
      </c>
      <c r="BD203" s="1" t="s">
        <v>60</v>
      </c>
      <c r="BE203" s="1" t="s">
        <v>61</v>
      </c>
      <c r="BF203" s="1" t="s">
        <v>53</v>
      </c>
      <c r="BG203" s="1" t="s">
        <v>62</v>
      </c>
      <c r="BH203" s="1" t="s">
        <v>54</v>
      </c>
      <c r="BI203" s="1" t="s">
        <v>55</v>
      </c>
      <c r="BJ203" s="1" t="s">
        <v>56</v>
      </c>
      <c r="BK203" s="1" t="s">
        <v>57</v>
      </c>
      <c r="BL203" s="1" t="s">
        <v>58</v>
      </c>
      <c r="BM203" s="1" t="s">
        <v>59</v>
      </c>
      <c r="BN203" s="1" t="s">
        <v>60</v>
      </c>
      <c r="BO203" s="1" t="s">
        <v>61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66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66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67</v>
      </c>
      <c r="Y206" s="2">
        <v>0.23</v>
      </c>
      <c r="Z206" s="2">
        <v>0.18</v>
      </c>
      <c r="AA206" s="2">
        <v>0.22</v>
      </c>
      <c r="AB206" s="2">
        <v>0.2</v>
      </c>
      <c r="AC206" s="2">
        <v>0.17</v>
      </c>
      <c r="AD206" s="2">
        <v>0.19</v>
      </c>
      <c r="AE206" s="2">
        <v>0.21</v>
      </c>
      <c r="AF206" s="2">
        <v>0.18</v>
      </c>
      <c r="AG206" s="2">
        <v>0.17</v>
      </c>
      <c r="AH206" s="2">
        <v>0.08</v>
      </c>
      <c r="AI206" s="2">
        <v>0.2</v>
      </c>
      <c r="AJ206" s="2">
        <v>0.08</v>
      </c>
      <c r="AK206" s="2">
        <v>0.16</v>
      </c>
      <c r="AL206" s="2">
        <v>0.11</v>
      </c>
      <c r="AM206" s="2">
        <v>0.14000000000000001</v>
      </c>
      <c r="AN206" s="2">
        <v>0.08</v>
      </c>
      <c r="AO206" s="2">
        <v>0.13</v>
      </c>
      <c r="AP206" s="2">
        <v>0.04</v>
      </c>
      <c r="AQ206" s="2">
        <v>0.12</v>
      </c>
      <c r="AR206" s="2">
        <v>0.02</v>
      </c>
      <c r="AU206" s="1" t="s">
        <v>67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68</v>
      </c>
      <c r="Y207" s="2">
        <v>0.38</v>
      </c>
      <c r="Z207" s="2">
        <v>0.13</v>
      </c>
      <c r="AA207" s="2">
        <v>0.38</v>
      </c>
      <c r="AB207" s="2">
        <v>0.17</v>
      </c>
      <c r="AC207" s="2">
        <v>0.34</v>
      </c>
      <c r="AD207" s="2">
        <v>0.3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0.1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68</v>
      </c>
      <c r="AV207" s="2">
        <v>49.25</v>
      </c>
      <c r="AW207" s="2">
        <v>236.18</v>
      </c>
      <c r="AX207" s="2">
        <v>18.04</v>
      </c>
      <c r="AY207" s="2">
        <v>16.350000000000001</v>
      </c>
      <c r="AZ207" s="2">
        <v>54.27</v>
      </c>
      <c r="BA207" s="2">
        <v>140.4</v>
      </c>
      <c r="BB207" s="2">
        <v>252.82</v>
      </c>
      <c r="BC207" s="2">
        <v>241.51</v>
      </c>
      <c r="BD207" s="2">
        <v>256.05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20.8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69</v>
      </c>
      <c r="Y208" s="2">
        <v>0.37</v>
      </c>
      <c r="Z208" s="2">
        <v>0.16</v>
      </c>
      <c r="AA208" s="2">
        <v>0.36</v>
      </c>
      <c r="AB208" s="2">
        <v>0.2</v>
      </c>
      <c r="AC208" s="2">
        <v>0.35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0.14000000000000001</v>
      </c>
      <c r="AK208" s="2">
        <v>0.31</v>
      </c>
      <c r="AL208" s="2">
        <v>0.14000000000000001</v>
      </c>
      <c r="AM208" s="2">
        <v>0.25</v>
      </c>
      <c r="AN208" s="2">
        <v>0.11</v>
      </c>
      <c r="AO208" s="2">
        <v>0.11</v>
      </c>
      <c r="AP208" s="2">
        <v>0.09</v>
      </c>
      <c r="AQ208" s="2">
        <v>0.08</v>
      </c>
      <c r="AR208" s="2">
        <v>0.06</v>
      </c>
      <c r="AU208" s="1" t="s">
        <v>69</v>
      </c>
      <c r="AV208" s="2">
        <v>25.5</v>
      </c>
      <c r="AW208" s="2">
        <v>72.900000000000006</v>
      </c>
      <c r="AX208" s="2">
        <v>5.29</v>
      </c>
      <c r="AY208" s="2">
        <v>11.02</v>
      </c>
      <c r="AZ208" s="2">
        <v>39.61</v>
      </c>
      <c r="BA208" s="2">
        <v>67.64</v>
      </c>
      <c r="BB208" s="2">
        <v>110.96</v>
      </c>
      <c r="BC208" s="2">
        <v>106.12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6.82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70</v>
      </c>
      <c r="Y209" s="2">
        <v>0.31</v>
      </c>
      <c r="Z209" s="2">
        <v>0.31</v>
      </c>
      <c r="AA209" s="2">
        <v>0.34</v>
      </c>
      <c r="AB209" s="2">
        <v>0.23</v>
      </c>
      <c r="AC209" s="2">
        <v>0.31</v>
      </c>
      <c r="AD209" s="2">
        <v>0.32</v>
      </c>
      <c r="AE209" s="2">
        <v>0.18</v>
      </c>
      <c r="AF209" s="2">
        <v>0.28999999999999998</v>
      </c>
      <c r="AG209" s="2">
        <v>0.24</v>
      </c>
      <c r="AH209" s="2">
        <v>0.26</v>
      </c>
      <c r="AI209" s="2">
        <v>0.22</v>
      </c>
      <c r="AJ209" s="2">
        <v>0.2</v>
      </c>
      <c r="AK209" s="2">
        <v>0.18</v>
      </c>
      <c r="AL209" s="2">
        <v>0.18</v>
      </c>
      <c r="AM209" s="2">
        <v>0.13</v>
      </c>
      <c r="AN209" s="2">
        <v>0.14000000000000001</v>
      </c>
      <c r="AO209" s="2">
        <v>0.11</v>
      </c>
      <c r="AP209" s="2">
        <v>0.09</v>
      </c>
      <c r="AQ209" s="2">
        <v>0.1</v>
      </c>
      <c r="AR209" s="2">
        <v>0.06</v>
      </c>
      <c r="AU209" s="1" t="s">
        <v>70</v>
      </c>
      <c r="AV209" s="2">
        <v>77.040000000000006</v>
      </c>
      <c r="AW209" s="2">
        <v>391.5</v>
      </c>
      <c r="AX209" s="2">
        <v>74.05</v>
      </c>
      <c r="AY209" s="2">
        <v>24.93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22.41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71</v>
      </c>
      <c r="Y210" s="2">
        <v>0.35</v>
      </c>
      <c r="Z210" s="2">
        <v>0.35</v>
      </c>
      <c r="AA210" s="2">
        <v>0.37</v>
      </c>
      <c r="AB210" s="2">
        <v>0.37</v>
      </c>
      <c r="AC210" s="2">
        <v>0.32</v>
      </c>
      <c r="AD210" s="2">
        <v>0.34</v>
      </c>
      <c r="AE210" s="2">
        <v>0.19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0.31</v>
      </c>
      <c r="AK210" s="2">
        <v>0.16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0.1</v>
      </c>
      <c r="AR210" s="2">
        <v>7.0000000000000007E-2</v>
      </c>
      <c r="AU210" s="1" t="s">
        <v>71</v>
      </c>
      <c r="AV210" s="2">
        <v>15.23</v>
      </c>
      <c r="AW210" s="2">
        <v>67.05</v>
      </c>
      <c r="AX210" s="2">
        <v>6.57</v>
      </c>
      <c r="AY210" s="2">
        <v>4.4000000000000004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8.41</v>
      </c>
      <c r="BG210" s="2">
        <v>50.4</v>
      </c>
      <c r="BH210" s="2">
        <v>2.89</v>
      </c>
      <c r="BI210" s="2">
        <v>3.77</v>
      </c>
      <c r="BJ210" s="2">
        <v>10.37</v>
      </c>
      <c r="BK210" s="2">
        <v>47.46</v>
      </c>
      <c r="BL210" s="2">
        <v>59.93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72</v>
      </c>
      <c r="Y211" s="2">
        <v>0.37</v>
      </c>
      <c r="Z211" s="2">
        <v>0.38</v>
      </c>
      <c r="AA211" s="2">
        <v>0.3</v>
      </c>
      <c r="AB211" s="2">
        <v>0.38</v>
      </c>
      <c r="AC211" s="2">
        <v>0.26</v>
      </c>
      <c r="AD211" s="2">
        <v>0.37</v>
      </c>
      <c r="AE211" s="2">
        <v>0.21</v>
      </c>
      <c r="AF211" s="2">
        <v>0.31</v>
      </c>
      <c r="AG211" s="2">
        <v>0.12</v>
      </c>
      <c r="AH211" s="2">
        <v>0.32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72</v>
      </c>
      <c r="AV211" s="2">
        <v>65.61</v>
      </c>
      <c r="AW211" s="2">
        <v>135.78</v>
      </c>
      <c r="AX211" s="2">
        <v>26.98</v>
      </c>
      <c r="AY211" s="2">
        <v>15.4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93.19</v>
      </c>
      <c r="BG211" s="2">
        <v>236.87</v>
      </c>
      <c r="BH211" s="2">
        <v>39.82</v>
      </c>
      <c r="BI211" s="2">
        <v>34.97</v>
      </c>
      <c r="BJ211" s="2">
        <v>115.37</v>
      </c>
      <c r="BK211" s="2">
        <v>192.56</v>
      </c>
      <c r="BL211" s="2">
        <v>318.98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73</v>
      </c>
      <c r="Y212" s="2">
        <v>0.17</v>
      </c>
      <c r="Z212" s="2">
        <v>0.21</v>
      </c>
      <c r="AA212" s="2">
        <v>0.28999999999999998</v>
      </c>
      <c r="AB212" s="2">
        <v>0.28000000000000003</v>
      </c>
      <c r="AC212" s="2">
        <v>0.18</v>
      </c>
      <c r="AD212" s="2">
        <v>0.25</v>
      </c>
      <c r="AE212" s="2">
        <v>0.19</v>
      </c>
      <c r="AF212" s="2">
        <v>0.23</v>
      </c>
      <c r="AG212" s="2">
        <v>0.06</v>
      </c>
      <c r="AH212" s="2">
        <v>0.19</v>
      </c>
      <c r="AI212" s="2">
        <v>0.12</v>
      </c>
      <c r="AJ212" s="2">
        <v>0.19</v>
      </c>
      <c r="AK212" s="2">
        <v>0.15</v>
      </c>
      <c r="AL212" s="2">
        <v>0.16</v>
      </c>
      <c r="AM212" s="2">
        <v>0.12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73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143.18</v>
      </c>
      <c r="BK212" s="2">
        <v>149.37</v>
      </c>
      <c r="BL212" s="2">
        <v>200.89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63</v>
      </c>
      <c r="Z216" s="1" t="s">
        <v>64</v>
      </c>
      <c r="AA216" s="1" t="s">
        <v>63</v>
      </c>
      <c r="AB216" s="1" t="s">
        <v>64</v>
      </c>
      <c r="AC216" s="1" t="s">
        <v>63</v>
      </c>
      <c r="AD216" s="1" t="s">
        <v>64</v>
      </c>
      <c r="AE216" s="1" t="s">
        <v>63</v>
      </c>
      <c r="AF216" s="1" t="s">
        <v>64</v>
      </c>
      <c r="AG216" s="1" t="s">
        <v>63</v>
      </c>
      <c r="AH216" s="1" t="s">
        <v>64</v>
      </c>
      <c r="AI216" s="1" t="s">
        <v>63</v>
      </c>
      <c r="AJ216" s="1" t="s">
        <v>64</v>
      </c>
      <c r="AK216" s="1" t="s">
        <v>63</v>
      </c>
      <c r="AL216" s="1" t="s">
        <v>64</v>
      </c>
      <c r="AM216" s="1" t="s">
        <v>63</v>
      </c>
      <c r="AN216" s="1" t="s">
        <v>64</v>
      </c>
      <c r="AO216" s="1" t="s">
        <v>63</v>
      </c>
      <c r="AP216" s="1" t="s">
        <v>64</v>
      </c>
      <c r="AQ216" s="1" t="s">
        <v>63</v>
      </c>
      <c r="AR216" s="1" t="s">
        <v>64</v>
      </c>
      <c r="AU216" s="1" t="s">
        <v>6</v>
      </c>
      <c r="AV216" s="1" t="s">
        <v>63</v>
      </c>
      <c r="AW216" s="1" t="s">
        <v>64</v>
      </c>
      <c r="AX216" s="1" t="s">
        <v>63</v>
      </c>
      <c r="AY216" s="1" t="s">
        <v>64</v>
      </c>
      <c r="AZ216" s="1" t="s">
        <v>63</v>
      </c>
      <c r="BA216" s="1" t="s">
        <v>64</v>
      </c>
      <c r="BB216" s="1" t="s">
        <v>63</v>
      </c>
      <c r="BC216" s="1" t="s">
        <v>64</v>
      </c>
      <c r="BD216" s="1" t="s">
        <v>63</v>
      </c>
      <c r="BE216" s="1" t="s">
        <v>64</v>
      </c>
      <c r="BF216" s="1" t="s">
        <v>63</v>
      </c>
      <c r="BG216" s="1" t="s">
        <v>64</v>
      </c>
      <c r="BH216" s="1" t="s">
        <v>63</v>
      </c>
      <c r="BI216" s="1" t="s">
        <v>64</v>
      </c>
      <c r="BJ216" s="1" t="s">
        <v>63</v>
      </c>
      <c r="BK216" s="1" t="s">
        <v>64</v>
      </c>
      <c r="BL216" s="1" t="s">
        <v>63</v>
      </c>
      <c r="BM216" s="1" t="s">
        <v>64</v>
      </c>
      <c r="BN216" s="1" t="s">
        <v>63</v>
      </c>
      <c r="BO216" s="1" t="s">
        <v>64</v>
      </c>
    </row>
    <row r="217" spans="24:67" x14ac:dyDescent="0.3">
      <c r="X217" s="1" t="s">
        <v>65</v>
      </c>
      <c r="Y217" s="1" t="s">
        <v>53</v>
      </c>
      <c r="Z217" s="1" t="s">
        <v>53</v>
      </c>
      <c r="AA217" s="1" t="s">
        <v>54</v>
      </c>
      <c r="AB217" s="1" t="s">
        <v>54</v>
      </c>
      <c r="AC217" s="1" t="s">
        <v>55</v>
      </c>
      <c r="AD217" s="1" t="s">
        <v>55</v>
      </c>
      <c r="AE217" s="1" t="s">
        <v>56</v>
      </c>
      <c r="AF217" s="1" t="s">
        <v>56</v>
      </c>
      <c r="AG217" s="1" t="s">
        <v>57</v>
      </c>
      <c r="AH217" s="1" t="s">
        <v>57</v>
      </c>
      <c r="AI217" s="1" t="s">
        <v>58</v>
      </c>
      <c r="AJ217" s="1" t="s">
        <v>58</v>
      </c>
      <c r="AK217" s="1" t="s">
        <v>59</v>
      </c>
      <c r="AL217" s="1" t="s">
        <v>59</v>
      </c>
      <c r="AM217" s="1" t="s">
        <v>60</v>
      </c>
      <c r="AN217" s="1" t="s">
        <v>60</v>
      </c>
      <c r="AO217" s="1" t="s">
        <v>61</v>
      </c>
      <c r="AP217" s="1" t="s">
        <v>61</v>
      </c>
      <c r="AQ217" s="1" t="s">
        <v>62</v>
      </c>
      <c r="AR217" s="1" t="s">
        <v>62</v>
      </c>
      <c r="AU217" s="1" t="s">
        <v>65</v>
      </c>
      <c r="AV217" s="1" t="s">
        <v>53</v>
      </c>
      <c r="AW217" s="1" t="s">
        <v>53</v>
      </c>
      <c r="AX217" s="1" t="s">
        <v>54</v>
      </c>
      <c r="AY217" s="1" t="s">
        <v>54</v>
      </c>
      <c r="AZ217" s="1" t="s">
        <v>55</v>
      </c>
      <c r="BA217" s="1" t="s">
        <v>55</v>
      </c>
      <c r="BB217" s="1" t="s">
        <v>56</v>
      </c>
      <c r="BC217" s="1" t="s">
        <v>56</v>
      </c>
      <c r="BD217" s="1" t="s">
        <v>57</v>
      </c>
      <c r="BE217" s="1" t="s">
        <v>57</v>
      </c>
      <c r="BF217" s="1" t="s">
        <v>58</v>
      </c>
      <c r="BG217" s="1" t="s">
        <v>58</v>
      </c>
      <c r="BH217" s="1" t="s">
        <v>59</v>
      </c>
      <c r="BI217" s="1" t="s">
        <v>59</v>
      </c>
      <c r="BJ217" s="1" t="s">
        <v>60</v>
      </c>
      <c r="BK217" s="1" t="s">
        <v>60</v>
      </c>
      <c r="BL217" s="1" t="s">
        <v>61</v>
      </c>
      <c r="BM217" s="1" t="s">
        <v>61</v>
      </c>
      <c r="BN217" s="1" t="s">
        <v>62</v>
      </c>
      <c r="BO217" s="1" t="s">
        <v>62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66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66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67</v>
      </c>
      <c r="Y220" s="2">
        <v>0.12</v>
      </c>
      <c r="Z220" s="2">
        <v>0.01</v>
      </c>
      <c r="AA220" s="2">
        <v>7.0000000000000007E-2</v>
      </c>
      <c r="AB220" s="2">
        <v>0.01</v>
      </c>
      <c r="AC220" s="2">
        <v>0.01</v>
      </c>
      <c r="AD220" s="2">
        <v>0.01</v>
      </c>
      <c r="AE220" s="2">
        <v>0.15</v>
      </c>
      <c r="AF220" s="2">
        <v>0.14000000000000001</v>
      </c>
      <c r="AG220" s="2">
        <v>0.24</v>
      </c>
      <c r="AH220" s="2">
        <v>0.09</v>
      </c>
      <c r="AI220" s="2">
        <v>0.66</v>
      </c>
      <c r="AJ220" s="2">
        <v>0.18</v>
      </c>
      <c r="AK220" s="2">
        <v>0.38</v>
      </c>
      <c r="AL220" s="2">
        <v>0.2</v>
      </c>
      <c r="AM220" s="2">
        <v>0.42</v>
      </c>
      <c r="AN220" s="2">
        <v>0.18</v>
      </c>
      <c r="AO220" s="2">
        <v>0.32</v>
      </c>
      <c r="AP220" s="2">
        <v>7.0000000000000007E-2</v>
      </c>
      <c r="AQ220" s="2">
        <v>0.31</v>
      </c>
      <c r="AR220" s="2">
        <v>0.03</v>
      </c>
      <c r="AU220" s="1" t="s">
        <v>67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68</v>
      </c>
      <c r="Y221" s="2">
        <v>1.1599999999999999</v>
      </c>
      <c r="Z221" s="2">
        <v>0</v>
      </c>
      <c r="AA221" s="2">
        <v>1.1399999999999999</v>
      </c>
      <c r="AB221" s="2">
        <v>0</v>
      </c>
      <c r="AC221" s="2">
        <v>0.23</v>
      </c>
      <c r="AD221" s="2">
        <v>0.17</v>
      </c>
      <c r="AE221" s="2">
        <v>0.67</v>
      </c>
      <c r="AF221" s="2">
        <v>0.19</v>
      </c>
      <c r="AG221" s="2">
        <v>0.99</v>
      </c>
      <c r="AH221" s="2">
        <v>0.19</v>
      </c>
      <c r="AI221" s="2">
        <v>1.85</v>
      </c>
      <c r="AJ221" s="2">
        <v>0.34</v>
      </c>
      <c r="AK221" s="2">
        <v>1.43</v>
      </c>
      <c r="AL221" s="2">
        <v>0.28999999999999998</v>
      </c>
      <c r="AM221" s="2">
        <v>1.82</v>
      </c>
      <c r="AN221" s="2">
        <v>0.32</v>
      </c>
      <c r="AO221" s="2">
        <v>0.43</v>
      </c>
      <c r="AP221" s="2">
        <v>0.15</v>
      </c>
      <c r="AQ221" s="2">
        <v>0.17</v>
      </c>
      <c r="AR221" s="2">
        <v>0.09</v>
      </c>
      <c r="AU221" s="1" t="s">
        <v>68</v>
      </c>
      <c r="AV221" s="2">
        <v>37.89</v>
      </c>
      <c r="AW221" s="2">
        <v>36.9</v>
      </c>
      <c r="AX221" s="2">
        <v>13.88</v>
      </c>
      <c r="AY221" s="2">
        <v>19.2</v>
      </c>
      <c r="AZ221" s="2">
        <v>32.71</v>
      </c>
      <c r="BA221" s="2">
        <v>41.6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70.23</v>
      </c>
      <c r="BG221" s="2">
        <v>96.55</v>
      </c>
      <c r="BH221" s="2">
        <v>83.28</v>
      </c>
      <c r="BI221" s="2">
        <v>100.85</v>
      </c>
      <c r="BJ221" s="2">
        <v>67.38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69</v>
      </c>
      <c r="Y222" s="2">
        <v>0.87</v>
      </c>
      <c r="Z222" s="2">
        <v>0.02</v>
      </c>
      <c r="AA222" s="2">
        <v>0.79</v>
      </c>
      <c r="AB222" s="2">
        <v>0</v>
      </c>
      <c r="AC222" s="2">
        <v>0.18</v>
      </c>
      <c r="AD222" s="2">
        <v>0.32</v>
      </c>
      <c r="AE222" s="2">
        <v>0.57999999999999996</v>
      </c>
      <c r="AF222" s="2">
        <v>0.28000000000000003</v>
      </c>
      <c r="AG222" s="2">
        <v>0.73</v>
      </c>
      <c r="AH222" s="2">
        <v>0.25</v>
      </c>
      <c r="AI222" s="2">
        <v>1.32</v>
      </c>
      <c r="AJ222" s="2">
        <v>0.38</v>
      </c>
      <c r="AK222" s="2">
        <v>1.06</v>
      </c>
      <c r="AL222" s="2">
        <v>0.32</v>
      </c>
      <c r="AM222" s="2">
        <v>1.02</v>
      </c>
      <c r="AN222" s="2">
        <v>0.31</v>
      </c>
      <c r="AO222" s="2">
        <v>0.27</v>
      </c>
      <c r="AP222" s="2">
        <v>0.18</v>
      </c>
      <c r="AQ222" s="2">
        <v>0.23</v>
      </c>
      <c r="AR222" s="2">
        <v>0.16</v>
      </c>
      <c r="AU222" s="1" t="s">
        <v>69</v>
      </c>
      <c r="AV222" s="2">
        <v>19.62</v>
      </c>
      <c r="AW222" s="2">
        <v>13.6</v>
      </c>
      <c r="AX222" s="2">
        <v>4.07</v>
      </c>
      <c r="AY222" s="2">
        <v>8.9</v>
      </c>
      <c r="AZ222" s="2">
        <v>22.04</v>
      </c>
      <c r="BA222" s="2">
        <v>13.65</v>
      </c>
      <c r="BB222" s="2">
        <v>24.76</v>
      </c>
      <c r="BC222" s="2">
        <v>18.91</v>
      </c>
      <c r="BD222" s="2">
        <v>33.82</v>
      </c>
      <c r="BE222" s="2">
        <v>16.010000000000002</v>
      </c>
      <c r="BF222" s="2">
        <v>30.82</v>
      </c>
      <c r="BG222" s="2">
        <v>17.3</v>
      </c>
      <c r="BH222" s="2">
        <v>36.590000000000003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70</v>
      </c>
      <c r="Y223" s="2">
        <v>0.42</v>
      </c>
      <c r="Z223" s="2">
        <v>0.37</v>
      </c>
      <c r="AA223" s="2">
        <v>0.42</v>
      </c>
      <c r="AB223" s="2">
        <v>0.1</v>
      </c>
      <c r="AC223" s="2">
        <v>0.15</v>
      </c>
      <c r="AD223" s="2">
        <v>0.16</v>
      </c>
      <c r="AE223" s="2">
        <v>0.1</v>
      </c>
      <c r="AF223" s="2">
        <v>0.45</v>
      </c>
      <c r="AG223" s="2">
        <v>0.52</v>
      </c>
      <c r="AH223" s="2">
        <v>0.56999999999999995</v>
      </c>
      <c r="AI223" s="2">
        <v>0.8</v>
      </c>
      <c r="AJ223" s="2">
        <v>0.68</v>
      </c>
      <c r="AK223" s="2">
        <v>0.48</v>
      </c>
      <c r="AL223" s="2">
        <v>0.44</v>
      </c>
      <c r="AM223" s="2">
        <v>0.38</v>
      </c>
      <c r="AN223" s="2">
        <v>0.4</v>
      </c>
      <c r="AO223" s="2">
        <v>0.25</v>
      </c>
      <c r="AP223" s="2">
        <v>0.19</v>
      </c>
      <c r="AQ223" s="2">
        <v>0.28999999999999998</v>
      </c>
      <c r="AR223" s="2">
        <v>0.13</v>
      </c>
      <c r="AU223" s="1" t="s">
        <v>70</v>
      </c>
      <c r="AV223" s="2">
        <v>59.26</v>
      </c>
      <c r="AW223" s="2">
        <v>61.5</v>
      </c>
      <c r="AX223" s="2">
        <v>56.96</v>
      </c>
      <c r="AY223" s="2">
        <v>57.5</v>
      </c>
      <c r="AZ223" s="2">
        <v>49.86</v>
      </c>
      <c r="BA223" s="2">
        <v>44.82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71</v>
      </c>
      <c r="Y224" s="2">
        <v>0.74</v>
      </c>
      <c r="Z224" s="2">
        <v>0.45</v>
      </c>
      <c r="AA224" s="2">
        <v>0.64</v>
      </c>
      <c r="AB224" s="2">
        <v>0.62</v>
      </c>
      <c r="AC224" s="2">
        <v>0.16</v>
      </c>
      <c r="AD224" s="2">
        <v>0.16</v>
      </c>
      <c r="AE224" s="2">
        <v>0.12</v>
      </c>
      <c r="AF224" s="2">
        <v>0.46</v>
      </c>
      <c r="AG224" s="2">
        <v>0.15</v>
      </c>
      <c r="AH224" s="2">
        <v>0.68</v>
      </c>
      <c r="AI224" s="2">
        <v>0.43</v>
      </c>
      <c r="AJ224" s="2">
        <v>1.22</v>
      </c>
      <c r="AK224" s="2">
        <v>0.33</v>
      </c>
      <c r="AL224" s="2">
        <v>0.83</v>
      </c>
      <c r="AM224" s="2">
        <v>0.41</v>
      </c>
      <c r="AN224" s="2">
        <v>1.08</v>
      </c>
      <c r="AO224" s="2">
        <v>0.3</v>
      </c>
      <c r="AP224" s="2">
        <v>0.77</v>
      </c>
      <c r="AQ224" s="2">
        <v>0.25</v>
      </c>
      <c r="AR224" s="2">
        <v>0.16</v>
      </c>
      <c r="AU224" s="1" t="s">
        <v>71</v>
      </c>
      <c r="AV224" s="2">
        <v>11.72</v>
      </c>
      <c r="AW224" s="2">
        <v>6.47</v>
      </c>
      <c r="AX224" s="2">
        <v>5.0599999999999996</v>
      </c>
      <c r="AY224" s="2">
        <v>2.2200000000000002</v>
      </c>
      <c r="AZ224" s="2">
        <v>8.8000000000000007</v>
      </c>
      <c r="BA224" s="2">
        <v>7.54</v>
      </c>
      <c r="BB224" s="2">
        <v>10.1</v>
      </c>
      <c r="BC224" s="2">
        <v>6.48</v>
      </c>
      <c r="BD224" s="2">
        <v>12.3</v>
      </c>
      <c r="BE224" s="2">
        <v>23.73</v>
      </c>
      <c r="BF224" s="2">
        <v>12.3</v>
      </c>
      <c r="BG224" s="2">
        <v>16.649999999999999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72</v>
      </c>
      <c r="Y225" s="2">
        <v>1.06</v>
      </c>
      <c r="Z225" s="2">
        <v>1.08</v>
      </c>
      <c r="AA225" s="2">
        <v>0.63</v>
      </c>
      <c r="AB225" s="2">
        <v>1.01</v>
      </c>
      <c r="AC225" s="2">
        <v>0.13</v>
      </c>
      <c r="AD225" s="2">
        <v>0.39</v>
      </c>
      <c r="AE225" s="2">
        <v>0.28999999999999998</v>
      </c>
      <c r="AF225" s="2">
        <v>0.61</v>
      </c>
      <c r="AG225" s="2">
        <v>0.24</v>
      </c>
      <c r="AH225" s="2">
        <v>0.97</v>
      </c>
      <c r="AI225" s="2">
        <v>0.52</v>
      </c>
      <c r="AJ225" s="2">
        <v>1.75</v>
      </c>
      <c r="AK225" s="2">
        <v>0.42</v>
      </c>
      <c r="AL225" s="2">
        <v>1.1499999999999999</v>
      </c>
      <c r="AM225" s="2">
        <v>0.66</v>
      </c>
      <c r="AN225" s="2">
        <v>1.25</v>
      </c>
      <c r="AO225" s="2">
        <v>0.34</v>
      </c>
      <c r="AP225" s="2">
        <v>0.38</v>
      </c>
      <c r="AQ225" s="2">
        <v>0.31</v>
      </c>
      <c r="AR225" s="2">
        <v>0.28000000000000003</v>
      </c>
      <c r="AU225" s="1" t="s">
        <v>72</v>
      </c>
      <c r="AV225" s="2">
        <v>50.47</v>
      </c>
      <c r="AW225" s="2">
        <v>71.69</v>
      </c>
      <c r="AX225" s="2">
        <v>20.76</v>
      </c>
      <c r="AY225" s="2">
        <v>30.63</v>
      </c>
      <c r="AZ225" s="2">
        <v>30.8</v>
      </c>
      <c r="BA225" s="2">
        <v>69.95</v>
      </c>
      <c r="BB225" s="2">
        <v>49.11</v>
      </c>
      <c r="BC225" s="2">
        <v>72.099999999999994</v>
      </c>
      <c r="BD225" s="2">
        <v>56.35</v>
      </c>
      <c r="BE225" s="2">
        <v>96.28</v>
      </c>
      <c r="BF225" s="2">
        <v>59.95</v>
      </c>
      <c r="BG225" s="2">
        <v>88.61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73</v>
      </c>
      <c r="Y226" s="2">
        <v>0.05</v>
      </c>
      <c r="Z226" s="2">
        <v>0.14000000000000001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0.31</v>
      </c>
      <c r="AG226" s="2">
        <v>7.0000000000000007E-2</v>
      </c>
      <c r="AH226" s="2">
        <v>0.39</v>
      </c>
      <c r="AI226" s="2">
        <v>0.37</v>
      </c>
      <c r="AJ226" s="2">
        <v>0.71</v>
      </c>
      <c r="AK226" s="2">
        <v>0.4</v>
      </c>
      <c r="AL226" s="2">
        <v>0.43</v>
      </c>
      <c r="AM226" s="2">
        <v>0.35</v>
      </c>
      <c r="AN226" s="2">
        <v>0.28000000000000003</v>
      </c>
      <c r="AO226" s="2">
        <v>0.23</v>
      </c>
      <c r="AP226" s="2">
        <v>0.12</v>
      </c>
      <c r="AQ226" s="2">
        <v>0.18</v>
      </c>
      <c r="AR226" s="2">
        <v>0.09</v>
      </c>
      <c r="AU226" s="1" t="s">
        <v>73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89.49</v>
      </c>
      <c r="BD226" s="2">
        <v>140.4</v>
      </c>
      <c r="BE226" s="2">
        <v>74.680000000000007</v>
      </c>
      <c r="BF226" s="2">
        <v>99.9</v>
      </c>
      <c r="BG226" s="2">
        <v>55.8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7" spans="24:67" x14ac:dyDescent="0.3"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24:67" x14ac:dyDescent="0.3">
      <c r="Y228" s="1"/>
    </row>
    <row r="229" spans="24:67" x14ac:dyDescent="0.3">
      <c r="X229" t="s">
        <v>74</v>
      </c>
    </row>
    <row r="230" spans="24:67" x14ac:dyDescent="0.3">
      <c r="X230" s="1" t="s">
        <v>6</v>
      </c>
      <c r="Y230" s="1" t="s">
        <v>63</v>
      </c>
      <c r="Z230" s="1" t="s">
        <v>64</v>
      </c>
      <c r="AA230" s="1" t="s">
        <v>63</v>
      </c>
      <c r="AB230" s="1" t="s">
        <v>64</v>
      </c>
      <c r="AC230" s="1" t="s">
        <v>63</v>
      </c>
      <c r="AD230" s="1" t="s">
        <v>64</v>
      </c>
      <c r="AE230" s="1" t="s">
        <v>63</v>
      </c>
      <c r="AF230" s="1" t="s">
        <v>64</v>
      </c>
      <c r="AG230" s="1" t="s">
        <v>63</v>
      </c>
      <c r="AH230" s="1" t="s">
        <v>64</v>
      </c>
      <c r="AI230" s="1" t="s">
        <v>63</v>
      </c>
      <c r="AJ230" s="1" t="s">
        <v>64</v>
      </c>
      <c r="AK230" s="1" t="s">
        <v>63</v>
      </c>
      <c r="AL230" s="1" t="s">
        <v>64</v>
      </c>
      <c r="AM230" s="1" t="s">
        <v>63</v>
      </c>
      <c r="AN230" s="1" t="s">
        <v>64</v>
      </c>
      <c r="AO230" s="1" t="s">
        <v>63</v>
      </c>
      <c r="AP230" s="1" t="s">
        <v>64</v>
      </c>
      <c r="AQ230" s="1" t="s">
        <v>63</v>
      </c>
      <c r="AR230" s="1" t="s">
        <v>64</v>
      </c>
    </row>
    <row r="231" spans="24:67" x14ac:dyDescent="0.3">
      <c r="X231" s="1" t="s">
        <v>65</v>
      </c>
      <c r="Y231" s="1" t="s">
        <v>53</v>
      </c>
      <c r="Z231" s="1" t="s">
        <v>53</v>
      </c>
      <c r="AA231" s="1" t="s">
        <v>54</v>
      </c>
      <c r="AB231" s="1" t="s">
        <v>54</v>
      </c>
      <c r="AC231" s="1" t="s">
        <v>55</v>
      </c>
      <c r="AD231" s="1" t="s">
        <v>55</v>
      </c>
      <c r="AE231" s="1" t="s">
        <v>56</v>
      </c>
      <c r="AF231" s="1" t="s">
        <v>56</v>
      </c>
      <c r="AG231" s="1" t="s">
        <v>57</v>
      </c>
      <c r="AH231" s="1" t="s">
        <v>57</v>
      </c>
      <c r="AI231" s="1" t="s">
        <v>58</v>
      </c>
      <c r="AJ231" s="1" t="s">
        <v>58</v>
      </c>
      <c r="AK231" s="1" t="s">
        <v>59</v>
      </c>
      <c r="AL231" s="1" t="s">
        <v>59</v>
      </c>
      <c r="AM231" s="1" t="s">
        <v>60</v>
      </c>
      <c r="AN231" s="1" t="s">
        <v>60</v>
      </c>
      <c r="AO231" s="1" t="s">
        <v>61</v>
      </c>
      <c r="AP231" s="1" t="s">
        <v>61</v>
      </c>
      <c r="AQ231" s="1" t="s">
        <v>62</v>
      </c>
      <c r="AR231" s="1" t="s">
        <v>62</v>
      </c>
    </row>
    <row r="232" spans="24:67" x14ac:dyDescent="0.3">
      <c r="X232" s="1" t="s">
        <v>7</v>
      </c>
      <c r="Y232">
        <v>1.3</v>
      </c>
      <c r="Z232">
        <v>1.3</v>
      </c>
      <c r="AA232">
        <v>1.3</v>
      </c>
      <c r="AB232">
        <v>1.3</v>
      </c>
      <c r="AC232">
        <v>0.5</v>
      </c>
      <c r="AD232">
        <v>0.5</v>
      </c>
      <c r="AE232">
        <v>1.6</v>
      </c>
      <c r="AF232">
        <v>1.6</v>
      </c>
      <c r="AG232">
        <v>2</v>
      </c>
      <c r="AH232">
        <v>2</v>
      </c>
      <c r="AI232">
        <v>3.6</v>
      </c>
      <c r="AJ232">
        <v>3.6</v>
      </c>
      <c r="AK232">
        <v>2.9</v>
      </c>
      <c r="AL232">
        <v>2.9</v>
      </c>
      <c r="AM232">
        <v>3.8</v>
      </c>
      <c r="AN232">
        <v>3.8</v>
      </c>
      <c r="AO232">
        <v>3.4</v>
      </c>
      <c r="AP232">
        <v>3.4</v>
      </c>
      <c r="AQ232">
        <v>4.5</v>
      </c>
      <c r="AR232">
        <v>4.5</v>
      </c>
    </row>
    <row r="233" spans="24:67" x14ac:dyDescent="0.3">
      <c r="X233" s="1" t="s">
        <v>66</v>
      </c>
      <c r="Y233" s="3">
        <f>Y191/(AV191+AV219)</f>
        <v>0.11351616925223293</v>
      </c>
      <c r="Z233" s="3">
        <f t="shared" ref="Z233:AF240" si="0">Z191/(AW191+AW219)</f>
        <v>0.13212791617985151</v>
      </c>
      <c r="AA233" s="3">
        <f t="shared" si="0"/>
        <v>1.3823600453354639E-2</v>
      </c>
      <c r="AB233" s="3">
        <f t="shared" si="0"/>
        <v>1.3872019433612479E-2</v>
      </c>
      <c r="AC233" s="3">
        <f t="shared" si="0"/>
        <v>1.3235753905300093E-2</v>
      </c>
      <c r="AD233" s="3">
        <f t="shared" si="0"/>
        <v>3.5075923124334621E-2</v>
      </c>
      <c r="AE233" s="3">
        <f t="shared" si="0"/>
        <v>8.5672346216380132E-2</v>
      </c>
      <c r="AF233" s="3">
        <f t="shared" si="0"/>
        <v>5.80881690056195E-2</v>
      </c>
      <c r="AG233" s="3">
        <f t="shared" ref="AG233:AG240" si="1">AG191/(BD191+BD219)</f>
        <v>0.11914882654507046</v>
      </c>
      <c r="AH233" s="3">
        <f t="shared" ref="AH233:AH240" si="2">AH191/(BE191+BE219)</f>
        <v>5.5064664437846779E-2</v>
      </c>
      <c r="AI233" s="3">
        <f t="shared" ref="AI233:AI240" si="3">AI191/(BF191+BF219)</f>
        <v>0.12199986425315741</v>
      </c>
      <c r="AJ233" s="3">
        <f t="shared" ref="AJ233:AJ240" si="4">AJ191/(BG191+BG219)</f>
        <v>4.1545207979518897E-2</v>
      </c>
      <c r="AK233" s="3">
        <f t="shared" ref="AK233:AK240" si="5">AK191/(BH191+BH219)</f>
        <v>0.11987947485472415</v>
      </c>
      <c r="AL233" s="3">
        <f t="shared" ref="AL233:AL240" si="6">AL191/(BI191+BI219)</f>
        <v>1.7633507044226244E-2</v>
      </c>
      <c r="AM233" s="3">
        <f t="shared" ref="AM233:AM240" si="7">AM191/(BJ191+BJ219)</f>
        <v>9.4966056103496857E-2</v>
      </c>
      <c r="AN233" s="3">
        <f t="shared" ref="AN233:AO240" si="8">AN191/(BK191+BK219)</f>
        <v>4.1068467666922799E-2</v>
      </c>
      <c r="AO233" s="3">
        <f t="shared" si="8"/>
        <v>9.2192630221386226E-3</v>
      </c>
      <c r="AP233" s="3">
        <f t="shared" ref="AP233:AP240" si="9">AP191/(BM191+BM219)</f>
        <v>9.2664593053395552E-3</v>
      </c>
      <c r="AQ233" s="3">
        <f t="shared" ref="AQ233:AQ240" si="10">AQ191/(BN191+BN219)</f>
        <v>1.938687985442069E-2</v>
      </c>
      <c r="AR233" s="3">
        <f t="shared" ref="AR233:AR240" si="11">AR191/(BO191+BO219)</f>
        <v>9.4799964029968729E-3</v>
      </c>
    </row>
    <row r="234" spans="24:67" x14ac:dyDescent="0.3">
      <c r="X234" s="1" t="s">
        <v>67</v>
      </c>
      <c r="Y234" s="3">
        <f t="shared" ref="Y234:Y240" si="12">Y192/(AV192+AV220)</f>
        <v>4.7024710035300045E-2</v>
      </c>
      <c r="Z234" s="3">
        <f t="shared" si="0"/>
        <v>4.674582894934616E-2</v>
      </c>
      <c r="AA234" s="3">
        <f t="shared" si="0"/>
        <v>5.0947421257372318E-2</v>
      </c>
      <c r="AB234" s="3">
        <f t="shared" si="0"/>
        <v>5.1262034868592245E-2</v>
      </c>
      <c r="AC234" s="3">
        <f t="shared" si="0"/>
        <v>4.9723756906077346E-2</v>
      </c>
      <c r="AD234" s="3">
        <f t="shared" si="0"/>
        <v>4.9665517940401374E-2</v>
      </c>
      <c r="AE234" s="3">
        <f t="shared" si="0"/>
        <v>4.8731953088615096E-2</v>
      </c>
      <c r="AF234" s="3">
        <f t="shared" si="0"/>
        <v>4.9100437264261151E-2</v>
      </c>
      <c r="AG234" s="3">
        <f t="shared" si="1"/>
        <v>4.5997259737717754E-2</v>
      </c>
      <c r="AH234" s="3">
        <f t="shared" si="2"/>
        <v>4.3924115535805844E-2</v>
      </c>
      <c r="AI234" s="3">
        <f t="shared" si="3"/>
        <v>4.6853318096481918E-2</v>
      </c>
      <c r="AJ234" s="3">
        <f t="shared" si="4"/>
        <v>4.5184994198788193E-2</v>
      </c>
      <c r="AK234" s="3">
        <f t="shared" si="5"/>
        <v>4.7272459932362891E-2</v>
      </c>
      <c r="AL234" s="3">
        <f t="shared" si="6"/>
        <v>4.4790527060943428E-2</v>
      </c>
      <c r="AM234" s="3">
        <f t="shared" si="7"/>
        <v>4.7373623270262642E-2</v>
      </c>
      <c r="AN234" s="3">
        <f t="shared" si="8"/>
        <v>4.6610892948608498E-2</v>
      </c>
      <c r="AO234" s="3">
        <f t="shared" si="8"/>
        <v>4.6309747369167001E-2</v>
      </c>
      <c r="AP234" s="3">
        <f t="shared" si="9"/>
        <v>4.7903187958834768E-2</v>
      </c>
      <c r="AQ234" s="3">
        <f t="shared" si="10"/>
        <v>4.7322540473225407E-2</v>
      </c>
      <c r="AR234" s="3">
        <f t="shared" si="11"/>
        <v>4.8258229466283158E-2</v>
      </c>
    </row>
    <row r="235" spans="24:67" x14ac:dyDescent="0.3">
      <c r="X235" s="1" t="s">
        <v>68</v>
      </c>
      <c r="Y235" s="3">
        <f t="shared" si="12"/>
        <v>9.2113212204675818E-2</v>
      </c>
      <c r="Z235" s="3">
        <f t="shared" si="0"/>
        <v>4.7436561367167271E-2</v>
      </c>
      <c r="AA235" s="3">
        <f t="shared" si="0"/>
        <v>8.3304111203063427E-2</v>
      </c>
      <c r="AB235" s="3">
        <f t="shared" si="0"/>
        <v>5.0363587395636955E-2</v>
      </c>
      <c r="AC235" s="3">
        <f t="shared" si="0"/>
        <v>0.15618184461784521</v>
      </c>
      <c r="AD235" s="3">
        <f t="shared" si="0"/>
        <v>0.10526269127790487</v>
      </c>
      <c r="AE235" s="3">
        <f t="shared" si="0"/>
        <v>0.11241960183767227</v>
      </c>
      <c r="AF235" s="3">
        <f t="shared" si="0"/>
        <v>6.3025949508847157E-2</v>
      </c>
      <c r="AG235" s="3">
        <f t="shared" si="1"/>
        <v>0.11657183499288763</v>
      </c>
      <c r="AH235" s="3">
        <f t="shared" si="2"/>
        <v>5.268863833477884E-2</v>
      </c>
      <c r="AI235" s="3">
        <f t="shared" si="3"/>
        <v>0.11853475353538173</v>
      </c>
      <c r="AJ235" s="3">
        <f t="shared" si="4"/>
        <v>5.3295374085437816E-2</v>
      </c>
      <c r="AK235" s="3">
        <f t="shared" si="5"/>
        <v>0.12597896909876782</v>
      </c>
      <c r="AL235" s="3">
        <f t="shared" si="6"/>
        <v>5.4849465665894694E-2</v>
      </c>
      <c r="AM235" s="3">
        <f t="shared" si="7"/>
        <v>0.12998544989733338</v>
      </c>
      <c r="AN235" s="3">
        <f t="shared" si="8"/>
        <v>5.0607287449392711E-2</v>
      </c>
      <c r="AO235" s="3">
        <f t="shared" si="8"/>
        <v>5.9869983261318087E-2</v>
      </c>
      <c r="AP235" s="3">
        <f t="shared" si="9"/>
        <v>4.7381321819694622E-2</v>
      </c>
      <c r="AQ235" s="3">
        <f t="shared" si="10"/>
        <v>4.7162030441628554E-2</v>
      </c>
      <c r="AR235" s="3">
        <f t="shared" si="11"/>
        <v>4.7425761911636083E-2</v>
      </c>
    </row>
    <row r="236" spans="24:67" x14ac:dyDescent="0.3">
      <c r="X236" s="1" t="s">
        <v>69</v>
      </c>
      <c r="Y236" s="3">
        <f t="shared" si="12"/>
        <v>4.9757527560774034E-2</v>
      </c>
      <c r="Z236" s="3">
        <f t="shared" si="0"/>
        <v>5.4350361558199202E-2</v>
      </c>
      <c r="AA236" s="3">
        <f t="shared" si="0"/>
        <v>5.1913317789055002E-2</v>
      </c>
      <c r="AB236" s="3">
        <f t="shared" si="0"/>
        <v>5.0666890361546847E-2</v>
      </c>
      <c r="AC236" s="3">
        <f t="shared" si="0"/>
        <v>0.10072297075254683</v>
      </c>
      <c r="AD236" s="3">
        <f t="shared" si="0"/>
        <v>5.1348408859697658E-2</v>
      </c>
      <c r="AE236" s="3">
        <f t="shared" si="0"/>
        <v>8.4475710618880109E-2</v>
      </c>
      <c r="AF236" s="3">
        <f t="shared" si="0"/>
        <v>5.0800265525888781E-2</v>
      </c>
      <c r="AG236" s="3">
        <f t="shared" si="1"/>
        <v>7.8670449648039084E-2</v>
      </c>
      <c r="AH236" s="3">
        <f t="shared" si="2"/>
        <v>4.777549623545517E-2</v>
      </c>
      <c r="AI236" s="3">
        <f t="shared" si="3"/>
        <v>7.917115177610333E-2</v>
      </c>
      <c r="AJ236" s="3">
        <f t="shared" si="4"/>
        <v>4.7718616981554773E-2</v>
      </c>
      <c r="AK236" s="3">
        <f t="shared" si="5"/>
        <v>7.979578172079009E-2</v>
      </c>
      <c r="AL236" s="3">
        <f t="shared" si="6"/>
        <v>4.7658546261067129E-2</v>
      </c>
      <c r="AM236" s="3">
        <f t="shared" si="7"/>
        <v>6.2093563669771042E-2</v>
      </c>
      <c r="AN236" s="3">
        <f t="shared" si="8"/>
        <v>4.7598043147004568E-2</v>
      </c>
      <c r="AO236" s="3">
        <f t="shared" si="8"/>
        <v>4.6839668353612578E-2</v>
      </c>
      <c r="AP236" s="3">
        <f t="shared" si="9"/>
        <v>4.9099450419893706E-2</v>
      </c>
      <c r="AQ236" s="3">
        <f t="shared" si="10"/>
        <v>4.8364495335708857E-2</v>
      </c>
      <c r="AR236" s="3">
        <f t="shared" si="11"/>
        <v>4.9305555555555561E-2</v>
      </c>
    </row>
    <row r="237" spans="24:67" x14ac:dyDescent="0.3">
      <c r="X237" s="1" t="s">
        <v>70</v>
      </c>
      <c r="Y237" s="3">
        <f t="shared" si="12"/>
        <v>9.2571529476532521E-2</v>
      </c>
      <c r="Z237" s="3">
        <f t="shared" si="0"/>
        <v>7.2294436693618097E-2</v>
      </c>
      <c r="AA237" s="3">
        <f t="shared" si="0"/>
        <v>7.7876001287066676E-2</v>
      </c>
      <c r="AB237" s="3">
        <f t="shared" si="0"/>
        <v>5.0343803956017327E-2</v>
      </c>
      <c r="AC237" s="3">
        <f t="shared" si="0"/>
        <v>9.242565855818187E-2</v>
      </c>
      <c r="AD237" s="3">
        <f t="shared" si="0"/>
        <v>8.8652833694642302E-2</v>
      </c>
      <c r="AE237" s="3">
        <f t="shared" si="0"/>
        <v>5.0936693331970255E-2</v>
      </c>
      <c r="AF237" s="3">
        <f t="shared" si="0"/>
        <v>7.4029126213592228E-2</v>
      </c>
      <c r="AG237" s="3">
        <f t="shared" si="1"/>
        <v>5.8309622820456701E-2</v>
      </c>
      <c r="AH237" s="3">
        <f t="shared" si="2"/>
        <v>6.3566549130853606E-2</v>
      </c>
      <c r="AI237" s="3">
        <f t="shared" si="3"/>
        <v>5.1274627400697631E-2</v>
      </c>
      <c r="AJ237" s="3">
        <f t="shared" si="4"/>
        <v>4.7286151212248211E-2</v>
      </c>
      <c r="AK237" s="3">
        <f t="shared" si="5"/>
        <v>4.736588163536555E-2</v>
      </c>
      <c r="AL237" s="3">
        <f t="shared" si="6"/>
        <v>4.726615212637561E-2</v>
      </c>
      <c r="AM237" s="3">
        <f t="shared" si="7"/>
        <v>4.7467144229603311E-2</v>
      </c>
      <c r="AN237" s="3">
        <f t="shared" si="8"/>
        <v>4.7559838358719304E-2</v>
      </c>
      <c r="AO237" s="3">
        <f t="shared" si="8"/>
        <v>4.7323506594259122E-2</v>
      </c>
      <c r="AP237" s="3">
        <f t="shared" si="9"/>
        <v>4.7425428775550317E-2</v>
      </c>
      <c r="AQ237" s="3">
        <f t="shared" si="10"/>
        <v>4.7516244062044549E-2</v>
      </c>
      <c r="AR237" s="3">
        <f t="shared" si="11"/>
        <v>4.7744154763172744E-2</v>
      </c>
    </row>
    <row r="238" spans="24:67" x14ac:dyDescent="0.3">
      <c r="X238" s="1" t="s">
        <v>71</v>
      </c>
      <c r="Y238" s="3">
        <f t="shared" si="12"/>
        <v>4.8020104598247633E-2</v>
      </c>
      <c r="Z238" s="3">
        <f t="shared" si="0"/>
        <v>8.2650099302337424E-2</v>
      </c>
      <c r="AA238" s="3">
        <f t="shared" si="0"/>
        <v>5.1523825559858565E-2</v>
      </c>
      <c r="AB238" s="3">
        <f t="shared" si="0"/>
        <v>5.1897905759162297E-2</v>
      </c>
      <c r="AC238" s="3">
        <f t="shared" si="0"/>
        <v>8.6625355021946807E-2</v>
      </c>
      <c r="AD238" s="3">
        <f t="shared" si="0"/>
        <v>8.0803705308053711E-2</v>
      </c>
      <c r="AE238" s="3">
        <f t="shared" si="0"/>
        <v>5.0657357201218146E-2</v>
      </c>
      <c r="AF238" s="3">
        <f t="shared" si="0"/>
        <v>7.9898797301261357E-2</v>
      </c>
      <c r="AG238" s="3">
        <f t="shared" si="1"/>
        <v>4.721236957195496E-2</v>
      </c>
      <c r="AH238" s="3">
        <f t="shared" si="2"/>
        <v>6.2009497625593595E-2</v>
      </c>
      <c r="AI238" s="3">
        <f t="shared" si="3"/>
        <v>4.7489000151722048E-2</v>
      </c>
      <c r="AJ238" s="3">
        <f t="shared" si="4"/>
        <v>6.0730406237176862E-2</v>
      </c>
      <c r="AK238" s="3">
        <f t="shared" si="5"/>
        <v>4.7667739316110791E-2</v>
      </c>
      <c r="AL238" s="3">
        <f t="shared" si="6"/>
        <v>5.1999237175004764E-2</v>
      </c>
      <c r="AM238" s="3">
        <f t="shared" si="7"/>
        <v>4.6838001732601789E-2</v>
      </c>
      <c r="AN238" s="3">
        <f t="shared" si="8"/>
        <v>5.2688508724488346E-2</v>
      </c>
      <c r="AO238" s="3">
        <f t="shared" si="8"/>
        <v>4.6894161556918154E-2</v>
      </c>
      <c r="AP238" s="3">
        <f t="shared" si="9"/>
        <v>4.7684748956790951E-2</v>
      </c>
      <c r="AQ238" s="3">
        <f t="shared" si="10"/>
        <v>4.743632664623626E-2</v>
      </c>
      <c r="AR238" s="3">
        <f t="shared" si="11"/>
        <v>4.7141107203540519E-2</v>
      </c>
    </row>
    <row r="239" spans="24:67" x14ac:dyDescent="0.3">
      <c r="X239" s="1" t="s">
        <v>72</v>
      </c>
      <c r="Y239" s="3">
        <f t="shared" si="12"/>
        <v>7.7610658708764713E-2</v>
      </c>
      <c r="Z239" s="3">
        <f t="shared" si="0"/>
        <v>7.6453323529228484E-2</v>
      </c>
      <c r="AA239" s="3">
        <f t="shared" si="0"/>
        <v>5.105862019300015E-2</v>
      </c>
      <c r="AB239" s="3">
        <f t="shared" si="0"/>
        <v>6.1581872837615563E-2</v>
      </c>
      <c r="AC239" s="3">
        <f t="shared" si="0"/>
        <v>9.9533920248575866E-2</v>
      </c>
      <c r="AD239" s="3">
        <f t="shared" si="0"/>
        <v>7.5026188819476841E-2</v>
      </c>
      <c r="AE239" s="3">
        <f t="shared" si="0"/>
        <v>6.256882860951718E-2</v>
      </c>
      <c r="AF239" s="3">
        <f t="shared" si="0"/>
        <v>0.11948160924898607</v>
      </c>
      <c r="AG239" s="3">
        <f t="shared" si="1"/>
        <v>4.7338873535104527E-2</v>
      </c>
      <c r="AH239" s="3">
        <f t="shared" si="2"/>
        <v>9.4972879735655352E-2</v>
      </c>
      <c r="AI239" s="3">
        <f t="shared" si="3"/>
        <v>5.1491525732116704E-2</v>
      </c>
      <c r="AJ239" s="3">
        <f t="shared" si="4"/>
        <v>9.4372668713679567E-2</v>
      </c>
      <c r="AK239" s="3">
        <f t="shared" si="5"/>
        <v>5.171147861962868E-2</v>
      </c>
      <c r="AL239" s="3">
        <f t="shared" si="6"/>
        <v>8.5611254563262393E-2</v>
      </c>
      <c r="AM239" s="3">
        <f t="shared" si="7"/>
        <v>5.8133149231952043E-2</v>
      </c>
      <c r="AN239" s="3">
        <f t="shared" si="8"/>
        <v>4.6887051491685434E-2</v>
      </c>
      <c r="AO239" s="3">
        <f t="shared" si="8"/>
        <v>4.7513725490196078E-2</v>
      </c>
      <c r="AP239" s="3">
        <f t="shared" si="9"/>
        <v>4.634477076503201E-2</v>
      </c>
      <c r="AQ239" s="3">
        <f t="shared" si="10"/>
        <v>4.8130695318937856E-2</v>
      </c>
      <c r="AR239" s="3">
        <f t="shared" si="11"/>
        <v>4.7040957848352383E-2</v>
      </c>
    </row>
    <row r="240" spans="24:67" x14ac:dyDescent="0.3">
      <c r="X240" s="1" t="s">
        <v>73</v>
      </c>
      <c r="Y240" s="3">
        <f t="shared" si="12"/>
        <v>4.4814782833952169E-2</v>
      </c>
      <c r="Z240" s="3">
        <f t="shared" si="0"/>
        <v>4.5456634646320729E-2</v>
      </c>
      <c r="AA240" s="3">
        <f t="shared" si="0"/>
        <v>4.8426318349197528E-2</v>
      </c>
      <c r="AB240" s="3">
        <f t="shared" si="0"/>
        <v>4.8282984766331014E-2</v>
      </c>
      <c r="AC240" s="3">
        <f t="shared" si="0"/>
        <v>4.6339050131926122E-2</v>
      </c>
      <c r="AD240" s="3">
        <f t="shared" si="0"/>
        <v>4.7595000631233432E-2</v>
      </c>
      <c r="AE240" s="3">
        <f t="shared" si="0"/>
        <v>4.5449916839211159E-2</v>
      </c>
      <c r="AF240" s="3">
        <f t="shared" si="0"/>
        <v>5.0882445254593303E-2</v>
      </c>
      <c r="AG240" s="3">
        <f t="shared" si="1"/>
        <v>4.6682575531597569E-2</v>
      </c>
      <c r="AH240" s="3">
        <f t="shared" si="2"/>
        <v>4.695658436460972E-2</v>
      </c>
      <c r="AI240" s="3">
        <f t="shared" si="3"/>
        <v>5.0427537820653366E-2</v>
      </c>
      <c r="AJ240" s="3">
        <f t="shared" si="4"/>
        <v>4.7713532061906212E-2</v>
      </c>
      <c r="AK240" s="3">
        <f t="shared" si="5"/>
        <v>4.9592391304347831E-2</v>
      </c>
      <c r="AL240" s="3">
        <f t="shared" si="6"/>
        <v>4.5175000804971513E-2</v>
      </c>
      <c r="AM240" s="3">
        <f t="shared" si="7"/>
        <v>5.3104412058295074E-2</v>
      </c>
      <c r="AN240" s="3">
        <f t="shared" si="8"/>
        <v>5.0350455422747437E-2</v>
      </c>
      <c r="AO240" s="3">
        <f t="shared" si="8"/>
        <v>5.8144884453409769E-2</v>
      </c>
      <c r="AP240" s="3">
        <f t="shared" si="9"/>
        <v>5.3945361253640273E-2</v>
      </c>
      <c r="AQ240" s="3">
        <f t="shared" si="10"/>
        <v>5.5366910873576515E-2</v>
      </c>
      <c r="AR240" s="3">
        <f t="shared" si="11"/>
        <v>5.2316805741463274E-2</v>
      </c>
    </row>
    <row r="241" spans="24:45" x14ac:dyDescent="0.3">
      <c r="AS241" s="6">
        <f>AVERAGE(Y233:AR240)</f>
        <v>5.9591556881831556E-2</v>
      </c>
    </row>
    <row r="242" spans="24:45" x14ac:dyDescent="0.3">
      <c r="AS242" s="6"/>
    </row>
    <row r="243" spans="24:45" x14ac:dyDescent="0.3">
      <c r="AS243" s="6"/>
    </row>
    <row r="244" spans="24:45" x14ac:dyDescent="0.3">
      <c r="X244" t="s">
        <v>75</v>
      </c>
      <c r="AS244" s="6"/>
    </row>
    <row r="245" spans="24:45" x14ac:dyDescent="0.3">
      <c r="X245" s="1" t="s">
        <v>6</v>
      </c>
      <c r="Y245" s="1" t="s">
        <v>63</v>
      </c>
      <c r="Z245" s="1" t="s">
        <v>64</v>
      </c>
      <c r="AA245" s="1" t="s">
        <v>63</v>
      </c>
      <c r="AB245" s="1" t="s">
        <v>64</v>
      </c>
      <c r="AC245" s="1" t="s">
        <v>63</v>
      </c>
      <c r="AD245" s="1" t="s">
        <v>64</v>
      </c>
      <c r="AE245" s="1" t="s">
        <v>63</v>
      </c>
      <c r="AF245" s="1" t="s">
        <v>64</v>
      </c>
      <c r="AG245" s="1" t="s">
        <v>63</v>
      </c>
      <c r="AH245" s="1" t="s">
        <v>64</v>
      </c>
      <c r="AI245" s="1" t="s">
        <v>63</v>
      </c>
      <c r="AJ245" s="1" t="s">
        <v>64</v>
      </c>
      <c r="AK245" s="1" t="s">
        <v>63</v>
      </c>
      <c r="AL245" s="1" t="s">
        <v>64</v>
      </c>
      <c r="AM245" s="1" t="s">
        <v>63</v>
      </c>
      <c r="AN245" s="1" t="s">
        <v>64</v>
      </c>
      <c r="AO245" s="1" t="s">
        <v>63</v>
      </c>
      <c r="AP245" s="1" t="s">
        <v>64</v>
      </c>
      <c r="AQ245" s="1" t="s">
        <v>63</v>
      </c>
      <c r="AR245" s="1" t="s">
        <v>64</v>
      </c>
      <c r="AS245" s="6"/>
    </row>
    <row r="246" spans="24:45" x14ac:dyDescent="0.3">
      <c r="X246" s="1" t="s">
        <v>65</v>
      </c>
      <c r="Y246" s="1" t="s">
        <v>53</v>
      </c>
      <c r="Z246" s="1" t="s">
        <v>53</v>
      </c>
      <c r="AA246" s="1" t="s">
        <v>54</v>
      </c>
      <c r="AB246" s="1" t="s">
        <v>54</v>
      </c>
      <c r="AC246" s="1" t="s">
        <v>55</v>
      </c>
      <c r="AD246" s="1" t="s">
        <v>55</v>
      </c>
      <c r="AE246" s="1" t="s">
        <v>56</v>
      </c>
      <c r="AF246" s="1" t="s">
        <v>56</v>
      </c>
      <c r="AG246" s="1" t="s">
        <v>57</v>
      </c>
      <c r="AH246" s="1" t="s">
        <v>57</v>
      </c>
      <c r="AI246" s="1" t="s">
        <v>58</v>
      </c>
      <c r="AJ246" s="1" t="s">
        <v>58</v>
      </c>
      <c r="AK246" s="1" t="s">
        <v>59</v>
      </c>
      <c r="AL246" s="1" t="s">
        <v>59</v>
      </c>
      <c r="AM246" s="1" t="s">
        <v>60</v>
      </c>
      <c r="AN246" s="1" t="s">
        <v>60</v>
      </c>
      <c r="AO246" s="1" t="s">
        <v>61</v>
      </c>
      <c r="AP246" s="1" t="s">
        <v>61</v>
      </c>
      <c r="AQ246" s="1" t="s">
        <v>62</v>
      </c>
      <c r="AR246" s="1" t="s">
        <v>62</v>
      </c>
      <c r="AS246" s="6"/>
    </row>
    <row r="247" spans="24:45" x14ac:dyDescent="0.3">
      <c r="X247" s="1" t="s">
        <v>7</v>
      </c>
      <c r="Y247">
        <v>1.3</v>
      </c>
      <c r="Z247">
        <v>1.3</v>
      </c>
      <c r="AA247">
        <v>1.3</v>
      </c>
      <c r="AB247">
        <v>1.3</v>
      </c>
      <c r="AC247">
        <v>0.5</v>
      </c>
      <c r="AD247">
        <v>0.5</v>
      </c>
      <c r="AE247">
        <v>1.6</v>
      </c>
      <c r="AF247">
        <v>1.6</v>
      </c>
      <c r="AG247">
        <v>2</v>
      </c>
      <c r="AH247">
        <v>2</v>
      </c>
      <c r="AI247">
        <v>3.6</v>
      </c>
      <c r="AJ247">
        <v>3.6</v>
      </c>
      <c r="AK247">
        <v>2.9</v>
      </c>
      <c r="AL247">
        <v>2.9</v>
      </c>
      <c r="AM247">
        <v>3.8</v>
      </c>
      <c r="AN247">
        <v>3.8</v>
      </c>
      <c r="AO247">
        <v>3.4</v>
      </c>
      <c r="AP247">
        <v>3.4</v>
      </c>
      <c r="AQ247">
        <v>4.5</v>
      </c>
      <c r="AR247">
        <v>4.5</v>
      </c>
      <c r="AS247" s="6"/>
    </row>
    <row r="248" spans="24:45" x14ac:dyDescent="0.3">
      <c r="X248" s="1" t="s">
        <v>66</v>
      </c>
      <c r="Y248" s="3">
        <f>(Y163+Y135)/(Y163+Y135+AV135+AV163)</f>
        <v>0.11950738916256158</v>
      </c>
      <c r="Z248" s="3">
        <f t="shared" ref="Z248:AE255" si="13">(Z163+Z135)/(Z163+Z135+AW135+AW163)</f>
        <v>0.1052310924369748</v>
      </c>
      <c r="AA248" s="3">
        <f t="shared" si="13"/>
        <v>3.5930735930735931E-2</v>
      </c>
      <c r="AB248" s="3">
        <f t="shared" si="13"/>
        <v>3.5678210678210684E-2</v>
      </c>
      <c r="AC248" s="3">
        <f t="shared" si="13"/>
        <v>3.5714285714285712E-2</v>
      </c>
      <c r="AD248" s="3">
        <f t="shared" si="13"/>
        <v>4.7402597402597411E-2</v>
      </c>
      <c r="AE248" s="3">
        <f t="shared" si="13"/>
        <v>8.0127186009538956E-2</v>
      </c>
      <c r="AF248" s="3">
        <f t="shared" ref="AF248:AF255" si="14">(AF163+AF135)/(AF163+AF135+BC135+BC163)</f>
        <v>5.5606985062066058E-2</v>
      </c>
      <c r="AG248" s="3">
        <f t="shared" ref="AG248:AG255" si="15">(AG163+AG135)/(AG163+AG135+BD135+BD163)</f>
        <v>9.1249179610588496E-2</v>
      </c>
      <c r="AH248" s="3">
        <f t="shared" ref="AH248:AH255" si="16">(AH163+AH135)/(AH163+AH135+BE135+BE163)</f>
        <v>5.5120101137800248E-2</v>
      </c>
      <c r="AI248" s="3">
        <f t="shared" ref="AI248:AI255" si="17">(AI163+AI135)/(AI163+AI135+BF135+BF163)</f>
        <v>8.8239936858721377E-2</v>
      </c>
      <c r="AJ248" s="3">
        <f t="shared" ref="AJ248:AJ255" si="18">(AJ163+AJ135)/(AJ163+AJ135+BG135+BG163)</f>
        <v>4.2543436293436286E-2</v>
      </c>
      <c r="AK248" s="3">
        <f t="shared" ref="AK248:AK255" si="19">(AK163+AK135)/(AK163+AK135+BH135+BH163)</f>
        <v>9.2429022082018933E-2</v>
      </c>
      <c r="AL248" s="3">
        <f t="shared" ref="AL248:AM255" si="20">(AL163+AL135)/(AL163+AL135+BI135+BI163)</f>
        <v>1.8424566088117492E-2</v>
      </c>
      <c r="AM248" s="3">
        <f t="shared" si="20"/>
        <v>7.7919320594479827E-2</v>
      </c>
      <c r="AN248" s="3">
        <f t="shared" ref="AN248:AN255" si="21">(AN163+AN135)/(AN163+AN135+BK135+BK163)</f>
        <v>3.6725801431683788E-2</v>
      </c>
      <c r="AO248" s="3">
        <f>(AO163+AO135)/(AO163+AO135+BL135+BL163)</f>
        <v>1.0249709639953544E-2</v>
      </c>
      <c r="AP248" s="3">
        <f t="shared" ref="AP248:AP255" si="22">(AP163+AP135)/(AP163+AP135+BM135+BM163)</f>
        <v>1.0287004192196065E-2</v>
      </c>
      <c r="AQ248" s="3">
        <f t="shared" ref="AQ248:AQ255" si="23">(AQ163+AQ135)/(AQ163+AQ135+BN135+BN163)</f>
        <v>1.770250368188513E-2</v>
      </c>
      <c r="AR248" s="3">
        <f t="shared" ref="AR248:AR255" si="24">(AR163+AR135)/(AR163+AR135+BO135+BO163)</f>
        <v>1.0267857142857141E-2</v>
      </c>
      <c r="AS248" s="6"/>
    </row>
    <row r="249" spans="24:45" x14ac:dyDescent="0.3">
      <c r="X249" s="1" t="s">
        <v>67</v>
      </c>
      <c r="Y249" s="3">
        <f t="shared" ref="Y249:Y255" si="25">(Y164+Y136)/(Y164+Y136+AV136+AV164)</f>
        <v>9.3347412882787736E-2</v>
      </c>
      <c r="Z249" s="3">
        <f t="shared" si="13"/>
        <v>9.3876589731512E-2</v>
      </c>
      <c r="AA249" s="3">
        <f t="shared" si="13"/>
        <v>9.9076354679802955E-2</v>
      </c>
      <c r="AB249" s="3">
        <f t="shared" si="13"/>
        <v>9.9743589743589753E-2</v>
      </c>
      <c r="AC249" s="3">
        <f t="shared" si="13"/>
        <v>9.9928005759539265E-2</v>
      </c>
      <c r="AD249" s="3">
        <f t="shared" si="13"/>
        <v>9.9778024417314093E-2</v>
      </c>
      <c r="AE249" s="3">
        <f t="shared" si="13"/>
        <v>9.8577777777777778E-2</v>
      </c>
      <c r="AF249" s="3">
        <f t="shared" si="14"/>
        <v>9.9864636209813867E-2</v>
      </c>
      <c r="AG249" s="3">
        <f t="shared" si="15"/>
        <v>9.2692307692307685E-2</v>
      </c>
      <c r="AH249" s="3">
        <f t="shared" si="16"/>
        <v>9.3856299895869494E-2</v>
      </c>
      <c r="AI249" s="3">
        <f t="shared" si="17"/>
        <v>9.1844132306298135E-2</v>
      </c>
      <c r="AJ249" s="3">
        <f t="shared" si="18"/>
        <v>9.3769578837452142E-2</v>
      </c>
      <c r="AK249" s="3">
        <f t="shared" si="19"/>
        <v>9.3270099367660342E-2</v>
      </c>
      <c r="AL249" s="3">
        <f t="shared" si="20"/>
        <v>9.365656565656566E-2</v>
      </c>
      <c r="AM249" s="3">
        <f t="shared" si="20"/>
        <v>9.3240740740740749E-2</v>
      </c>
      <c r="AN249" s="3">
        <f t="shared" si="21"/>
        <v>9.340555817239754E-2</v>
      </c>
      <c r="AO249" s="3">
        <f t="shared" ref="AO249:AO255" si="26">(AO164+AO136)/(AO164+AO136+BL136+BL164)</f>
        <v>9.336650082918739E-2</v>
      </c>
      <c r="AP249" s="3">
        <f t="shared" si="22"/>
        <v>9.3868613138686122E-2</v>
      </c>
      <c r="AQ249" s="3">
        <f t="shared" si="23"/>
        <v>9.2208868628263566E-2</v>
      </c>
      <c r="AR249" s="3">
        <f t="shared" si="24"/>
        <v>9.3607748184019374E-2</v>
      </c>
      <c r="AS249" s="6"/>
    </row>
    <row r="250" spans="24:45" x14ac:dyDescent="0.3">
      <c r="X250" s="1" t="s">
        <v>68</v>
      </c>
      <c r="Y250" s="3">
        <f t="shared" si="25"/>
        <v>0.15712358576956784</v>
      </c>
      <c r="Z250" s="3">
        <f t="shared" si="13"/>
        <v>9.3887399463806975E-2</v>
      </c>
      <c r="AA250" s="3">
        <f t="shared" si="13"/>
        <v>0.14614748895090487</v>
      </c>
      <c r="AB250" s="3">
        <f t="shared" si="13"/>
        <v>9.9746899519109075E-2</v>
      </c>
      <c r="AC250" s="3">
        <f t="shared" si="13"/>
        <v>0.23419125139356742</v>
      </c>
      <c r="AD250" s="3">
        <f t="shared" si="13"/>
        <v>0.17698625988871644</v>
      </c>
      <c r="AE250" s="3">
        <f t="shared" si="13"/>
        <v>0.18449279803861476</v>
      </c>
      <c r="AF250" s="3">
        <f t="shared" si="14"/>
        <v>0.11998698152099228</v>
      </c>
      <c r="AG250" s="3">
        <f t="shared" si="15"/>
        <v>0.19101749431238721</v>
      </c>
      <c r="AH250" s="3">
        <f t="shared" si="16"/>
        <v>0.10537188210671281</v>
      </c>
      <c r="AI250" s="3">
        <f t="shared" si="17"/>
        <v>0.19341880129937761</v>
      </c>
      <c r="AJ250" s="3">
        <f t="shared" si="18"/>
        <v>0.10643976712942231</v>
      </c>
      <c r="AK250" s="3">
        <f t="shared" si="19"/>
        <v>0.20291402424339727</v>
      </c>
      <c r="AL250" s="3">
        <f t="shared" si="20"/>
        <v>0.10880676522814008</v>
      </c>
      <c r="AM250" s="3">
        <f t="shared" si="20"/>
        <v>0.20640440421437756</v>
      </c>
      <c r="AN250" s="3">
        <f t="shared" si="21"/>
        <v>0.10034253475720331</v>
      </c>
      <c r="AO250" s="3">
        <f t="shared" si="26"/>
        <v>0.11515700062661002</v>
      </c>
      <c r="AP250" s="3">
        <f t="shared" si="22"/>
        <v>9.5291444274163709E-2</v>
      </c>
      <c r="AQ250" s="3">
        <f t="shared" si="23"/>
        <v>9.4141004970218684E-2</v>
      </c>
      <c r="AR250" s="3">
        <f t="shared" si="24"/>
        <v>9.4719940360988047E-2</v>
      </c>
      <c r="AS250" s="6"/>
    </row>
    <row r="251" spans="24:45" x14ac:dyDescent="0.3">
      <c r="X251" s="1" t="s">
        <v>69</v>
      </c>
      <c r="Y251" s="3">
        <f t="shared" si="25"/>
        <v>9.740526532031224E-2</v>
      </c>
      <c r="Z251" s="3">
        <f t="shared" si="13"/>
        <v>0.10436808386721026</v>
      </c>
      <c r="AA251" s="3">
        <f t="shared" si="13"/>
        <v>9.8579040852575489E-2</v>
      </c>
      <c r="AB251" s="3">
        <f t="shared" si="13"/>
        <v>9.9768250289687138E-2</v>
      </c>
      <c r="AC251" s="3">
        <f t="shared" si="13"/>
        <v>0.17236600774403912</v>
      </c>
      <c r="AD251" s="3">
        <f t="shared" si="13"/>
        <v>9.9606371855587669E-2</v>
      </c>
      <c r="AE251" s="3">
        <f t="shared" si="13"/>
        <v>0.15114119544499291</v>
      </c>
      <c r="AF251" s="3">
        <f t="shared" si="14"/>
        <v>9.9853905480243269E-2</v>
      </c>
      <c r="AG251" s="3">
        <f t="shared" si="15"/>
        <v>0.14325007433838835</v>
      </c>
      <c r="AH251" s="3">
        <f t="shared" si="16"/>
        <v>9.400747924964277E-2</v>
      </c>
      <c r="AI251" s="3">
        <f t="shared" si="17"/>
        <v>0.14350039154267813</v>
      </c>
      <c r="AJ251" s="3">
        <f t="shared" si="18"/>
        <v>9.4182566404788629E-2</v>
      </c>
      <c r="AK251" s="3">
        <f t="shared" si="19"/>
        <v>0.14501876850621342</v>
      </c>
      <c r="AL251" s="3">
        <f t="shared" si="20"/>
        <v>9.4171348314606759E-2</v>
      </c>
      <c r="AM251" s="3">
        <f t="shared" si="20"/>
        <v>0.11793545208179354</v>
      </c>
      <c r="AN251" s="3">
        <f t="shared" si="21"/>
        <v>9.4152046783625723E-2</v>
      </c>
      <c r="AO251" s="3">
        <f t="shared" si="26"/>
        <v>9.4046052631578961E-2</v>
      </c>
      <c r="AP251" s="3">
        <f t="shared" si="22"/>
        <v>9.7074360016253552E-2</v>
      </c>
      <c r="AQ251" s="3">
        <f t="shared" si="23"/>
        <v>9.5327102803738323E-2</v>
      </c>
      <c r="AR251" s="3">
        <f t="shared" si="24"/>
        <v>9.7149207163311532E-2</v>
      </c>
      <c r="AS251" s="6"/>
    </row>
    <row r="252" spans="24:45" x14ac:dyDescent="0.3">
      <c r="X252" s="1" t="s">
        <v>70</v>
      </c>
      <c r="Y252" s="3">
        <f t="shared" si="25"/>
        <v>0.15913640737504561</v>
      </c>
      <c r="Z252" s="3">
        <f t="shared" si="13"/>
        <v>0.1309351230425056</v>
      </c>
      <c r="AA252" s="3">
        <f t="shared" si="13"/>
        <v>0.14270675702348837</v>
      </c>
      <c r="AB252" s="3">
        <f t="shared" si="13"/>
        <v>9.9654278305963698E-2</v>
      </c>
      <c r="AC252" s="3">
        <f t="shared" si="13"/>
        <v>0.16049511854951184</v>
      </c>
      <c r="AD252" s="3">
        <f t="shared" si="13"/>
        <v>0.15510667975409415</v>
      </c>
      <c r="AE252" s="3">
        <f t="shared" si="13"/>
        <v>0.10006466214031684</v>
      </c>
      <c r="AF252" s="3">
        <f t="shared" si="14"/>
        <v>0.13566222845129644</v>
      </c>
      <c r="AG252" s="3">
        <f t="shared" si="15"/>
        <v>0.11213555360794623</v>
      </c>
      <c r="AH252" s="3">
        <f t="shared" si="16"/>
        <v>0.12022831050228311</v>
      </c>
      <c r="AI252" s="3">
        <f t="shared" si="17"/>
        <v>0.10112352377912544</v>
      </c>
      <c r="AJ252" s="3">
        <f t="shared" si="18"/>
        <v>9.3728932584269661E-2</v>
      </c>
      <c r="AK252" s="3">
        <f t="shared" si="19"/>
        <v>9.4227347611202647E-2</v>
      </c>
      <c r="AL252" s="3">
        <f t="shared" si="20"/>
        <v>9.3953656770456195E-2</v>
      </c>
      <c r="AM252" s="3">
        <f t="shared" si="20"/>
        <v>9.4402877697841725E-2</v>
      </c>
      <c r="AN252" s="3">
        <f t="shared" si="21"/>
        <v>9.4321550741163052E-2</v>
      </c>
      <c r="AO252" s="3">
        <f t="shared" si="26"/>
        <v>9.4586410635155091E-2</v>
      </c>
      <c r="AP252" s="3">
        <f t="shared" si="22"/>
        <v>9.4375000000000001E-2</v>
      </c>
      <c r="AQ252" s="3">
        <f t="shared" si="23"/>
        <v>9.4602132895816232E-2</v>
      </c>
      <c r="AR252" s="3">
        <f t="shared" si="24"/>
        <v>9.3815566835871403E-2</v>
      </c>
      <c r="AS252" s="6"/>
    </row>
    <row r="253" spans="24:45" x14ac:dyDescent="0.3">
      <c r="X253" s="1" t="s">
        <v>71</v>
      </c>
      <c r="Y253" s="3">
        <f t="shared" si="25"/>
        <v>0.10635459616783893</v>
      </c>
      <c r="Z253" s="3">
        <f t="shared" si="13"/>
        <v>0.16088235294117648</v>
      </c>
      <c r="AA253" s="3">
        <f t="shared" si="13"/>
        <v>0.11035997971945243</v>
      </c>
      <c r="AB253" s="3">
        <f t="shared" si="13"/>
        <v>0.10989643268124281</v>
      </c>
      <c r="AC253" s="3">
        <f t="shared" si="13"/>
        <v>0.17001188894328273</v>
      </c>
      <c r="AD253" s="3">
        <f t="shared" si="13"/>
        <v>0.16101624323198666</v>
      </c>
      <c r="AE253" s="3">
        <f t="shared" si="13"/>
        <v>0.11294058408862034</v>
      </c>
      <c r="AF253" s="3">
        <f t="shared" si="14"/>
        <v>0.15961678980271171</v>
      </c>
      <c r="AG253" s="3">
        <f t="shared" si="15"/>
        <v>0.10615623383341954</v>
      </c>
      <c r="AH253" s="3">
        <f t="shared" si="16"/>
        <v>0.13409337676438654</v>
      </c>
      <c r="AI253" s="3">
        <f t="shared" si="17"/>
        <v>0.10517316966242875</v>
      </c>
      <c r="AJ253" s="3">
        <f t="shared" si="18"/>
        <v>0.13095450490633365</v>
      </c>
      <c r="AK253" s="3">
        <f t="shared" si="19"/>
        <v>0.10559715120525931</v>
      </c>
      <c r="AL253" s="3">
        <f t="shared" si="20"/>
        <v>0.11642476767254881</v>
      </c>
      <c r="AM253" s="3">
        <f t="shared" si="20"/>
        <v>0.10533260533260531</v>
      </c>
      <c r="AN253" s="3">
        <f t="shared" si="21"/>
        <v>0.11718581706949294</v>
      </c>
      <c r="AO253" s="3">
        <f t="shared" si="26"/>
        <v>0.1059009483667018</v>
      </c>
      <c r="AP253" s="3">
        <f t="shared" si="22"/>
        <v>0.10377704437110377</v>
      </c>
      <c r="AQ253" s="3">
        <f t="shared" si="23"/>
        <v>0.10603751773422311</v>
      </c>
      <c r="AR253" s="3">
        <f t="shared" si="24"/>
        <v>0.1057234726688103</v>
      </c>
      <c r="AS253" s="6"/>
    </row>
    <row r="254" spans="24:45" x14ac:dyDescent="0.3">
      <c r="X254" s="1" t="s">
        <v>72</v>
      </c>
      <c r="Y254" s="3">
        <f t="shared" si="25"/>
        <v>0.15600745783289252</v>
      </c>
      <c r="Z254" s="3">
        <f t="shared" si="13"/>
        <v>0.15542036427229261</v>
      </c>
      <c r="AA254" s="3">
        <f t="shared" si="13"/>
        <v>0.10987245154162903</v>
      </c>
      <c r="AB254" s="3">
        <f t="shared" si="13"/>
        <v>0.13317455371054623</v>
      </c>
      <c r="AC254" s="3">
        <f t="shared" si="13"/>
        <v>0.18923435145870432</v>
      </c>
      <c r="AD254" s="3">
        <f t="shared" si="13"/>
        <v>0.15587436098190025</v>
      </c>
      <c r="AE254" s="3">
        <f t="shared" si="13"/>
        <v>0.13521750101908106</v>
      </c>
      <c r="AF254" s="3">
        <f t="shared" si="14"/>
        <v>0.22100052467094006</v>
      </c>
      <c r="AG254" s="3">
        <f t="shared" si="15"/>
        <v>0.10843540102726194</v>
      </c>
      <c r="AH254" s="3">
        <f t="shared" si="16"/>
        <v>0.18525841974117838</v>
      </c>
      <c r="AI254" s="3">
        <f t="shared" si="17"/>
        <v>0.11596605486481151</v>
      </c>
      <c r="AJ254" s="3">
        <f t="shared" si="18"/>
        <v>0.18436380308716399</v>
      </c>
      <c r="AK254" s="3">
        <f t="shared" si="19"/>
        <v>0.11649981621224242</v>
      </c>
      <c r="AL254" s="3">
        <f t="shared" si="20"/>
        <v>0.17186953989516598</v>
      </c>
      <c r="AM254" s="3">
        <f t="shared" si="20"/>
        <v>0.12648500294059989</v>
      </c>
      <c r="AN254" s="3">
        <f t="shared" si="21"/>
        <v>0.10281470615201245</v>
      </c>
      <c r="AO254" s="3">
        <f t="shared" si="26"/>
        <v>0.10551756904707801</v>
      </c>
      <c r="AP254" s="3">
        <f t="shared" si="22"/>
        <v>0.10612333252157913</v>
      </c>
      <c r="AQ254" s="3">
        <f t="shared" si="23"/>
        <v>0.10552292581807415</v>
      </c>
      <c r="AR254" s="3">
        <f t="shared" si="24"/>
        <v>0.10536245748299319</v>
      </c>
      <c r="AS254" s="6"/>
    </row>
    <row r="255" spans="24:45" x14ac:dyDescent="0.3">
      <c r="X255" s="1" t="s">
        <v>73</v>
      </c>
      <c r="Y255" s="3">
        <f t="shared" si="25"/>
        <v>0.10814065510597304</v>
      </c>
      <c r="Z255" s="3">
        <f t="shared" si="13"/>
        <v>0.10691399662731871</v>
      </c>
      <c r="AA255" s="3">
        <f t="shared" si="13"/>
        <v>0.1134796238244514</v>
      </c>
      <c r="AB255" s="3">
        <f t="shared" si="13"/>
        <v>0.11348999129677981</v>
      </c>
      <c r="AC255" s="3">
        <f t="shared" si="13"/>
        <v>0.05</v>
      </c>
      <c r="AD255" s="3">
        <f t="shared" si="13"/>
        <v>0.11366255144032922</v>
      </c>
      <c r="AE255" s="3">
        <f t="shared" si="13"/>
        <v>9.1910739191073926E-2</v>
      </c>
      <c r="AF255" s="3">
        <f t="shared" si="14"/>
        <v>0.1212573673870334</v>
      </c>
      <c r="AG255" s="3">
        <f t="shared" si="15"/>
        <v>0.11636582430806261</v>
      </c>
      <c r="AH255" s="3">
        <f t="shared" si="16"/>
        <v>0.11093790594959731</v>
      </c>
      <c r="AI255" s="3">
        <f t="shared" si="17"/>
        <v>0.11933488012374321</v>
      </c>
      <c r="AJ255" s="3">
        <f t="shared" si="18"/>
        <v>0.1102030499620861</v>
      </c>
      <c r="AK255" s="3">
        <f t="shared" si="19"/>
        <v>0.11956521739130435</v>
      </c>
      <c r="AL255" s="3">
        <f t="shared" si="20"/>
        <v>0.10690627202255108</v>
      </c>
      <c r="AM255" s="3">
        <f t="shared" si="20"/>
        <v>0.12318007662835248</v>
      </c>
      <c r="AN255" s="3">
        <f t="shared" si="21"/>
        <v>0.11581769436997319</v>
      </c>
      <c r="AO255" s="3">
        <f t="shared" si="26"/>
        <v>0.12776523702031603</v>
      </c>
      <c r="AP255" s="3">
        <f t="shared" si="22"/>
        <v>0.124375</v>
      </c>
      <c r="AQ255" s="3">
        <f t="shared" si="23"/>
        <v>0.12521739130434784</v>
      </c>
      <c r="AR255" s="3">
        <f t="shared" si="24"/>
        <v>0.11878787878787878</v>
      </c>
      <c r="AS255" s="6"/>
    </row>
    <row r="256" spans="24:45" x14ac:dyDescent="0.3">
      <c r="AS256" s="6">
        <f>AVERAGE(Y248:AR255)</f>
        <v>0.11096785354405085</v>
      </c>
    </row>
    <row r="258" spans="24:45" x14ac:dyDescent="0.3">
      <c r="X258" s="7" t="s">
        <v>76</v>
      </c>
    </row>
    <row r="259" spans="24:45" x14ac:dyDescent="0.3">
      <c r="X259" s="1" t="s">
        <v>6</v>
      </c>
      <c r="Y259" s="1" t="s">
        <v>63</v>
      </c>
      <c r="Z259" s="1" t="s">
        <v>64</v>
      </c>
      <c r="AA259" s="1" t="s">
        <v>63</v>
      </c>
      <c r="AB259" s="1" t="s">
        <v>64</v>
      </c>
      <c r="AC259" s="1" t="s">
        <v>63</v>
      </c>
      <c r="AD259" s="1" t="s">
        <v>64</v>
      </c>
      <c r="AE259" s="1" t="s">
        <v>63</v>
      </c>
      <c r="AF259" s="1" t="s">
        <v>64</v>
      </c>
      <c r="AG259" s="1" t="s">
        <v>63</v>
      </c>
      <c r="AH259" s="1" t="s">
        <v>64</v>
      </c>
      <c r="AI259" s="1" t="s">
        <v>63</v>
      </c>
      <c r="AJ259" s="1" t="s">
        <v>64</v>
      </c>
      <c r="AK259" s="1" t="s">
        <v>63</v>
      </c>
      <c r="AL259" s="1" t="s">
        <v>64</v>
      </c>
      <c r="AM259" s="1" t="s">
        <v>63</v>
      </c>
      <c r="AN259" s="1" t="s">
        <v>64</v>
      </c>
      <c r="AO259" s="1" t="s">
        <v>63</v>
      </c>
      <c r="AP259" s="1" t="s">
        <v>64</v>
      </c>
      <c r="AQ259" s="1" t="s">
        <v>63</v>
      </c>
      <c r="AR259" s="1" t="s">
        <v>64</v>
      </c>
    </row>
    <row r="260" spans="24:45" x14ac:dyDescent="0.3">
      <c r="X260" s="1" t="s">
        <v>65</v>
      </c>
      <c r="Y260" s="1" t="s">
        <v>53</v>
      </c>
      <c r="Z260" s="1" t="s">
        <v>53</v>
      </c>
      <c r="AA260" s="1" t="s">
        <v>54</v>
      </c>
      <c r="AB260" s="1" t="s">
        <v>54</v>
      </c>
      <c r="AC260" s="1" t="s">
        <v>55</v>
      </c>
      <c r="AD260" s="1" t="s">
        <v>55</v>
      </c>
      <c r="AE260" s="1" t="s">
        <v>56</v>
      </c>
      <c r="AF260" s="1" t="s">
        <v>56</v>
      </c>
      <c r="AG260" s="1" t="s">
        <v>57</v>
      </c>
      <c r="AH260" s="1" t="s">
        <v>57</v>
      </c>
      <c r="AI260" s="1" t="s">
        <v>58</v>
      </c>
      <c r="AJ260" s="1" t="s">
        <v>58</v>
      </c>
      <c r="AK260" s="1" t="s">
        <v>59</v>
      </c>
      <c r="AL260" s="1" t="s">
        <v>59</v>
      </c>
      <c r="AM260" s="1" t="s">
        <v>60</v>
      </c>
      <c r="AN260" s="1" t="s">
        <v>60</v>
      </c>
      <c r="AO260" s="1" t="s">
        <v>61</v>
      </c>
      <c r="AP260" s="1" t="s">
        <v>61</v>
      </c>
      <c r="AQ260" s="1" t="s">
        <v>62</v>
      </c>
      <c r="AR260" s="1" t="s">
        <v>62</v>
      </c>
    </row>
    <row r="261" spans="24:45" x14ac:dyDescent="0.3">
      <c r="X261" s="1" t="s">
        <v>7</v>
      </c>
      <c r="Y261">
        <v>1.3</v>
      </c>
      <c r="Z261">
        <v>1.3</v>
      </c>
      <c r="AA261">
        <v>1.3</v>
      </c>
      <c r="AB261">
        <v>1.3</v>
      </c>
      <c r="AC261">
        <v>0.5</v>
      </c>
      <c r="AD261">
        <v>0.5</v>
      </c>
      <c r="AE261">
        <v>1.6</v>
      </c>
      <c r="AF261">
        <v>1.6</v>
      </c>
      <c r="AG261">
        <v>2</v>
      </c>
      <c r="AH261">
        <v>2</v>
      </c>
      <c r="AI261">
        <v>3.6</v>
      </c>
      <c r="AJ261">
        <v>3.6</v>
      </c>
      <c r="AK261">
        <v>2.9</v>
      </c>
      <c r="AL261">
        <v>2.9</v>
      </c>
      <c r="AM261">
        <v>3.8</v>
      </c>
      <c r="AN261">
        <v>3.8</v>
      </c>
      <c r="AO261">
        <v>3.4</v>
      </c>
      <c r="AP261">
        <v>3.4</v>
      </c>
      <c r="AQ261">
        <v>4.5</v>
      </c>
      <c r="AR261">
        <v>4.5</v>
      </c>
    </row>
    <row r="262" spans="24:45" x14ac:dyDescent="0.3">
      <c r="X262" s="1" t="s">
        <v>66</v>
      </c>
      <c r="Y262" s="8">
        <f>Y135/(Y135+Y163+Y191+Y107)</f>
        <v>1.2360189208196454E-2</v>
      </c>
      <c r="Z262" s="8">
        <f t="shared" ref="Z262:AP269" si="27">Z135/(Z135+Z163+Z191+Z107)</f>
        <v>1.2373929410793124E-2</v>
      </c>
      <c r="AA262" s="8">
        <f t="shared" si="27"/>
        <v>1.0881975670608798E-2</v>
      </c>
      <c r="AB262" s="8">
        <f t="shared" si="27"/>
        <v>1.193811480513012E-2</v>
      </c>
      <c r="AC262" s="8">
        <f t="shared" si="27"/>
        <v>1.5244185830343366E-2</v>
      </c>
      <c r="AD262" s="8">
        <f t="shared" si="27"/>
        <v>1.6378197828892434E-2</v>
      </c>
      <c r="AE262" s="8">
        <f t="shared" si="27"/>
        <v>1.0829969963179085E-2</v>
      </c>
      <c r="AF262" s="8">
        <f t="shared" si="27"/>
        <v>2.0262401281071443E-2</v>
      </c>
      <c r="AG262" s="8">
        <f t="shared" si="27"/>
        <v>9.7661677716463537E-3</v>
      </c>
      <c r="AH262" s="8">
        <f t="shared" si="27"/>
        <v>1.8956086542507255E-2</v>
      </c>
      <c r="AI262" s="8">
        <f t="shared" si="27"/>
        <v>8.7283652445302017E-3</v>
      </c>
      <c r="AJ262" s="8">
        <f t="shared" si="27"/>
        <v>1.9880320166511072E-2</v>
      </c>
      <c r="AK262" s="8">
        <f t="shared" si="27"/>
        <v>1.1806479621910285E-2</v>
      </c>
      <c r="AL262" s="8">
        <f t="shared" si="27"/>
        <v>1.9387257659279261E-2</v>
      </c>
      <c r="AM262" s="8">
        <f t="shared" si="27"/>
        <v>1.0433068039875378E-2</v>
      </c>
      <c r="AN262" s="8">
        <f t="shared" si="27"/>
        <v>1.6637712147534414E-2</v>
      </c>
      <c r="AO262" s="8">
        <f t="shared" si="27"/>
        <v>2.5051205293839609E-2</v>
      </c>
      <c r="AP262" s="8">
        <f t="shared" si="27"/>
        <v>2.9704114655570962E-2</v>
      </c>
      <c r="AQ262" s="8">
        <f>AQ135/(AQ135+AQ163+AQ191+AQ107)</f>
        <v>1.5634210009262638E-2</v>
      </c>
      <c r="AR262" s="8">
        <f t="shared" ref="AR262" si="28">AR135/(AR135+AR163+AR191+AR107)</f>
        <v>3.2407932011331443E-2</v>
      </c>
    </row>
    <row r="263" spans="24:45" x14ac:dyDescent="0.3">
      <c r="X263" s="1" t="s">
        <v>67</v>
      </c>
      <c r="Y263" s="8">
        <f t="shared" ref="Y263:AN269" si="29">Y136/(Y136+Y164+Y192+Y108)</f>
        <v>1.80104690377175E-2</v>
      </c>
      <c r="Z263" s="8">
        <f t="shared" si="29"/>
        <v>2.4110499169507821E-2</v>
      </c>
      <c r="AA263" s="8">
        <f t="shared" si="29"/>
        <v>9.2164575497430314E-3</v>
      </c>
      <c r="AB263" s="8">
        <f t="shared" si="29"/>
        <v>1.6586393272521725E-2</v>
      </c>
      <c r="AC263" s="8">
        <f t="shared" si="29"/>
        <v>1.5834696567825549E-2</v>
      </c>
      <c r="AD263" s="8">
        <f t="shared" si="29"/>
        <v>2.2994476258044898E-2</v>
      </c>
      <c r="AE263" s="8">
        <f t="shared" si="29"/>
        <v>1.3313438668478502E-2</v>
      </c>
      <c r="AF263" s="8">
        <f t="shared" si="29"/>
        <v>2.9753265602322203E-2</v>
      </c>
      <c r="AG263" s="8">
        <f t="shared" si="29"/>
        <v>1.4502168637866136E-2</v>
      </c>
      <c r="AH263" s="8">
        <f t="shared" si="29"/>
        <v>2.9754287176862043E-2</v>
      </c>
      <c r="AI263" s="8">
        <f t="shared" si="29"/>
        <v>1.5060510091633823E-2</v>
      </c>
      <c r="AJ263" s="8">
        <f t="shared" si="29"/>
        <v>3.2598365329785203E-2</v>
      </c>
      <c r="AK263" s="8">
        <f t="shared" si="29"/>
        <v>1.8618961910784649E-2</v>
      </c>
      <c r="AL263" s="8">
        <f t="shared" si="29"/>
        <v>2.4316326676482786E-2</v>
      </c>
      <c r="AM263" s="8">
        <f t="shared" si="29"/>
        <v>1.843679265563157E-2</v>
      </c>
      <c r="AN263" s="8">
        <f t="shared" si="29"/>
        <v>2.0287721831866026E-2</v>
      </c>
      <c r="AO263" s="8">
        <f t="shared" si="27"/>
        <v>1.5949721747400617E-2</v>
      </c>
      <c r="AP263" s="8">
        <f t="shared" si="27"/>
        <v>2.5153170443640661E-2</v>
      </c>
      <c r="AQ263" s="8">
        <f t="shared" ref="AQ263:AR263" si="30">AQ136/(AQ136+AQ164+AQ192+AQ108)</f>
        <v>1.8523774178055275E-2</v>
      </c>
      <c r="AR263" s="8">
        <f t="shared" si="30"/>
        <v>2.5199822380106568E-2</v>
      </c>
    </row>
    <row r="264" spans="24:45" x14ac:dyDescent="0.3">
      <c r="X264" s="1" t="s">
        <v>68</v>
      </c>
      <c r="Y264" s="8">
        <f t="shared" si="29"/>
        <v>2.5813769496560855E-2</v>
      </c>
      <c r="Z264" s="8">
        <f t="shared" si="27"/>
        <v>2.7692067058171118E-2</v>
      </c>
      <c r="AA264" s="8">
        <f t="shared" si="27"/>
        <v>1.9293888579829929E-2</v>
      </c>
      <c r="AB264" s="8">
        <f t="shared" si="27"/>
        <v>2.1122872876326651E-2</v>
      </c>
      <c r="AC264" s="8">
        <f t="shared" si="27"/>
        <v>3.0990134029695745E-2</v>
      </c>
      <c r="AD264" s="8">
        <f t="shared" si="27"/>
        <v>3.8793956587715249E-2</v>
      </c>
      <c r="AE264" s="8">
        <f t="shared" si="27"/>
        <v>2.618746366651848E-2</v>
      </c>
      <c r="AF264" s="8">
        <f t="shared" si="27"/>
        <v>3.5986332132172463E-2</v>
      </c>
      <c r="AG264" s="8">
        <f t="shared" si="27"/>
        <v>3.1327448595273553E-2</v>
      </c>
      <c r="AH264" s="8">
        <f t="shared" si="27"/>
        <v>4.031322505800463E-2</v>
      </c>
      <c r="AI264" s="8">
        <f t="shared" si="27"/>
        <v>2.9562223237030824E-2</v>
      </c>
      <c r="AJ264" s="8">
        <f t="shared" si="27"/>
        <v>4.2779725852725534E-2</v>
      </c>
      <c r="AK264" s="8">
        <f t="shared" si="27"/>
        <v>3.4096896490767387E-2</v>
      </c>
      <c r="AL264" s="8">
        <f t="shared" si="27"/>
        <v>3.7170001313427611E-2</v>
      </c>
      <c r="AM264" s="8">
        <f t="shared" si="27"/>
        <v>3.3096809231894189E-2</v>
      </c>
      <c r="AN264" s="8">
        <f t="shared" si="27"/>
        <v>3.2353273989136996E-2</v>
      </c>
      <c r="AO264" s="8">
        <f t="shared" si="27"/>
        <v>2.9188205341714228E-2</v>
      </c>
      <c r="AP264" s="8">
        <f t="shared" si="27"/>
        <v>4.2073159749530215E-2</v>
      </c>
      <c r="AQ264" s="8">
        <f t="shared" ref="AQ264:AR264" si="31">AQ137/(AQ137+AQ165+AQ193+AQ109)</f>
        <v>3.171919186029562E-2</v>
      </c>
      <c r="AR264" s="8">
        <f t="shared" si="31"/>
        <v>3.3548668357641087E-2</v>
      </c>
    </row>
    <row r="265" spans="24:45" x14ac:dyDescent="0.3">
      <c r="X265" s="1" t="s">
        <v>69</v>
      </c>
      <c r="Y265" s="8">
        <f t="shared" si="29"/>
        <v>2.7256393161040986E-2</v>
      </c>
      <c r="Z265" s="8">
        <f t="shared" si="27"/>
        <v>2.4738034007599895E-2</v>
      </c>
      <c r="AA265" s="8">
        <f t="shared" si="27"/>
        <v>1.7155621742367833E-2</v>
      </c>
      <c r="AB265" s="8">
        <f t="shared" si="27"/>
        <v>2.3128137200223088E-2</v>
      </c>
      <c r="AC265" s="8">
        <f t="shared" si="27"/>
        <v>2.7737610095964243E-2</v>
      </c>
      <c r="AD265" s="8">
        <f t="shared" si="27"/>
        <v>2.4772523000171683E-2</v>
      </c>
      <c r="AE265" s="8">
        <f t="shared" si="27"/>
        <v>3.1012175203098364E-2</v>
      </c>
      <c r="AF265" s="8">
        <f t="shared" si="27"/>
        <v>2.6283160695373651E-2</v>
      </c>
      <c r="AG265" s="8">
        <f t="shared" si="27"/>
        <v>3.0036641198113855E-2</v>
      </c>
      <c r="AH265" s="8">
        <f t="shared" si="27"/>
        <v>3.4316194991850645E-2</v>
      </c>
      <c r="AI265" s="8">
        <f t="shared" si="27"/>
        <v>3.1899534798450854E-2</v>
      </c>
      <c r="AJ265" s="8">
        <f t="shared" si="27"/>
        <v>3.6905540502662808E-2</v>
      </c>
      <c r="AK265" s="8">
        <f t="shared" si="27"/>
        <v>3.3962732533784311E-2</v>
      </c>
      <c r="AL265" s="8">
        <f t="shared" si="27"/>
        <v>3.0690262774841034E-2</v>
      </c>
      <c r="AM265" s="8">
        <f t="shared" si="27"/>
        <v>3.3718334664454959E-2</v>
      </c>
      <c r="AN265" s="8">
        <f t="shared" si="27"/>
        <v>3.3174667204517949E-2</v>
      </c>
      <c r="AO265" s="8">
        <f t="shared" si="27"/>
        <v>3.1157928084904165E-2</v>
      </c>
      <c r="AP265" s="8">
        <f t="shared" si="27"/>
        <v>3.0646793954413762E-2</v>
      </c>
      <c r="AQ265" s="8">
        <f t="shared" ref="AQ265:AR265" si="32">AQ138/(AQ138+AQ166+AQ194+AQ110)</f>
        <v>3.2202313769751696E-2</v>
      </c>
      <c r="AR265" s="8">
        <f t="shared" si="32"/>
        <v>2.9267211115627655E-2</v>
      </c>
    </row>
    <row r="266" spans="24:45" x14ac:dyDescent="0.3">
      <c r="X266" s="1" t="s">
        <v>70</v>
      </c>
      <c r="Y266" s="8">
        <f t="shared" si="29"/>
        <v>2.3117154597761098E-2</v>
      </c>
      <c r="Z266" s="8">
        <f t="shared" si="27"/>
        <v>2.1234878120746595E-2</v>
      </c>
      <c r="AA266" s="8">
        <f t="shared" si="27"/>
        <v>1.8449124271486424E-2</v>
      </c>
      <c r="AB266" s="8">
        <f t="shared" si="27"/>
        <v>1.8440591249328297E-2</v>
      </c>
      <c r="AC266" s="8">
        <f t="shared" si="27"/>
        <v>2.2420263810955861E-2</v>
      </c>
      <c r="AD266" s="8">
        <f t="shared" si="27"/>
        <v>2.0105187664355727E-2</v>
      </c>
      <c r="AE266" s="8">
        <f t="shared" si="27"/>
        <v>2.6190321140177872E-2</v>
      </c>
      <c r="AF266" s="8">
        <f t="shared" si="27"/>
        <v>2.650330348884463E-2</v>
      </c>
      <c r="AG266" s="8">
        <f t="shared" si="27"/>
        <v>2.8320123719311811E-2</v>
      </c>
      <c r="AH266" s="8">
        <f t="shared" si="27"/>
        <v>2.4999261578449904E-2</v>
      </c>
      <c r="AI266" s="8">
        <f t="shared" si="27"/>
        <v>2.7901593989313123E-2</v>
      </c>
      <c r="AJ266" s="8">
        <f t="shared" si="27"/>
        <v>2.3773002548694088E-2</v>
      </c>
      <c r="AK266" s="8">
        <f t="shared" si="27"/>
        <v>2.8067367897705201E-2</v>
      </c>
      <c r="AL266" s="8">
        <f t="shared" si="27"/>
        <v>2.2708525054476618E-2</v>
      </c>
      <c r="AM266" s="8">
        <f t="shared" si="27"/>
        <v>2.7801210762460074E-2</v>
      </c>
      <c r="AN266" s="8">
        <f t="shared" si="27"/>
        <v>2.5240103720355674E-2</v>
      </c>
      <c r="AO266" s="8">
        <f t="shared" si="27"/>
        <v>2.9545767895416322E-2</v>
      </c>
      <c r="AP266" s="8">
        <f t="shared" si="27"/>
        <v>2.0497782274668516E-2</v>
      </c>
      <c r="AQ266" s="8">
        <f t="shared" ref="AQ266:AR266" si="33">AQ139/(AQ139+AQ167+AQ195+AQ111)</f>
        <v>2.6419522949870409E-2</v>
      </c>
      <c r="AR266" s="8">
        <f t="shared" si="33"/>
        <v>2.2394520339103021E-2</v>
      </c>
    </row>
    <row r="267" spans="24:45" x14ac:dyDescent="0.3">
      <c r="X267" s="1" t="s">
        <v>71</v>
      </c>
      <c r="Y267" s="8">
        <f t="shared" si="29"/>
        <v>1.4550455256241056E-2</v>
      </c>
      <c r="Z267" s="8">
        <f t="shared" si="27"/>
        <v>1.4140080674734141E-2</v>
      </c>
      <c r="AA267" s="8">
        <f t="shared" si="27"/>
        <v>1.0802346642036066E-2</v>
      </c>
      <c r="AB267" s="8">
        <f t="shared" si="27"/>
        <v>1.2216074446524871E-2</v>
      </c>
      <c r="AC267" s="8">
        <f t="shared" si="27"/>
        <v>1.6560802411320946E-2</v>
      </c>
      <c r="AD267" s="8">
        <f t="shared" si="27"/>
        <v>1.1741360590063275E-2</v>
      </c>
      <c r="AE267" s="8">
        <f t="shared" si="27"/>
        <v>1.8483103777999308E-2</v>
      </c>
      <c r="AF267" s="8">
        <f t="shared" si="27"/>
        <v>1.4517521930821328E-2</v>
      </c>
      <c r="AG267" s="8">
        <f t="shared" si="27"/>
        <v>1.8163263090468902E-2</v>
      </c>
      <c r="AH267" s="8">
        <f t="shared" si="27"/>
        <v>1.6524626073861109E-2</v>
      </c>
      <c r="AI267" s="8">
        <f t="shared" si="27"/>
        <v>2.0334617661415113E-2</v>
      </c>
      <c r="AJ267" s="8">
        <f t="shared" si="27"/>
        <v>1.6299582879460133E-2</v>
      </c>
      <c r="AK267" s="8">
        <f t="shared" si="27"/>
        <v>1.8891123360181721E-2</v>
      </c>
      <c r="AL267" s="8">
        <f t="shared" si="27"/>
        <v>1.3854200669556435E-2</v>
      </c>
      <c r="AM267" s="8">
        <f t="shared" si="27"/>
        <v>1.9494069799629494E-2</v>
      </c>
      <c r="AN267" s="8">
        <f t="shared" si="27"/>
        <v>1.7168321476037838E-2</v>
      </c>
      <c r="AO267" s="8">
        <f t="shared" si="27"/>
        <v>2.1158015414476896E-2</v>
      </c>
      <c r="AP267" s="8">
        <f t="shared" si="27"/>
        <v>1.2655315232397607E-2</v>
      </c>
      <c r="AQ267" s="8">
        <f t="shared" ref="AQ267:AR267" si="34">AQ140/(AQ140+AQ168+AQ196+AQ112)</f>
        <v>1.9653121779830408E-2</v>
      </c>
      <c r="AR267" s="8">
        <f t="shared" si="34"/>
        <v>1.6136751297689315E-2</v>
      </c>
    </row>
    <row r="268" spans="24:45" x14ac:dyDescent="0.3">
      <c r="X268" s="1" t="s">
        <v>72</v>
      </c>
      <c r="Y268" s="8">
        <f t="shared" si="29"/>
        <v>1.1781847213212914E-2</v>
      </c>
      <c r="Z268" s="8">
        <f t="shared" si="27"/>
        <v>1.3494389195259082E-2</v>
      </c>
      <c r="AA268" s="8">
        <f t="shared" si="27"/>
        <v>8.9948251993297694E-3</v>
      </c>
      <c r="AB268" s="8">
        <f t="shared" si="27"/>
        <v>8.8519902251465079E-3</v>
      </c>
      <c r="AC268" s="8">
        <f t="shared" si="27"/>
        <v>1.3466552884843313E-2</v>
      </c>
      <c r="AD268" s="8">
        <f t="shared" si="27"/>
        <v>1.0505931625750071E-2</v>
      </c>
      <c r="AE268" s="8">
        <f t="shared" si="27"/>
        <v>1.385629152545737E-2</v>
      </c>
      <c r="AF268" s="8">
        <f t="shared" si="27"/>
        <v>1.4763768755677319E-2</v>
      </c>
      <c r="AG268" s="8">
        <f t="shared" si="27"/>
        <v>1.4404014233474902E-2</v>
      </c>
      <c r="AH268" s="8">
        <f t="shared" si="27"/>
        <v>1.4222836190490187E-2</v>
      </c>
      <c r="AI268" s="8">
        <f t="shared" si="27"/>
        <v>1.4582398180566775E-2</v>
      </c>
      <c r="AJ268" s="8">
        <f t="shared" si="27"/>
        <v>1.3291047624060744E-2</v>
      </c>
      <c r="AK268" s="8">
        <f t="shared" si="27"/>
        <v>1.3106085839360487E-2</v>
      </c>
      <c r="AL268" s="8">
        <f t="shared" si="27"/>
        <v>1.162878057862983E-2</v>
      </c>
      <c r="AM268" s="8">
        <f t="shared" si="27"/>
        <v>1.3865585950692334E-2</v>
      </c>
      <c r="AN268" s="8">
        <f t="shared" si="27"/>
        <v>1.3647854247378575E-2</v>
      </c>
      <c r="AO268" s="8">
        <f t="shared" si="27"/>
        <v>1.5016118893843208E-2</v>
      </c>
      <c r="AP268" s="8">
        <f t="shared" si="27"/>
        <v>1.0926856120553224E-2</v>
      </c>
      <c r="AQ268" s="8">
        <f t="shared" ref="AQ268:AR268" si="35">AQ141/(AQ141+AQ169+AQ197+AQ113)</f>
        <v>1.3546565581892824E-2</v>
      </c>
      <c r="AR268" s="8">
        <f t="shared" si="35"/>
        <v>1.3058055408505383E-2</v>
      </c>
    </row>
    <row r="269" spans="24:45" x14ac:dyDescent="0.3">
      <c r="X269" s="1" t="s">
        <v>73</v>
      </c>
      <c r="Y269" s="8">
        <f t="shared" si="29"/>
        <v>1.1134353074475967E-2</v>
      </c>
      <c r="Z269" s="8">
        <f t="shared" si="27"/>
        <v>6.5791153515528597E-3</v>
      </c>
      <c r="AA269" s="8">
        <f t="shared" si="27"/>
        <v>4.819119365104943E-3</v>
      </c>
      <c r="AB269" s="8">
        <f t="shared" si="27"/>
        <v>5.3613451757382529E-3</v>
      </c>
      <c r="AC269" s="8">
        <f t="shared" si="27"/>
        <v>1.216196173431552E-2</v>
      </c>
      <c r="AD269" s="8">
        <f t="shared" si="27"/>
        <v>5.5538683820619706E-3</v>
      </c>
      <c r="AE269" s="8">
        <f t="shared" si="27"/>
        <v>8.4462017329856153E-3</v>
      </c>
      <c r="AF269" s="8">
        <f t="shared" si="27"/>
        <v>5.7603537392641084E-3</v>
      </c>
      <c r="AG269" s="8">
        <f t="shared" si="27"/>
        <v>1.0400570914393869E-2</v>
      </c>
      <c r="AH269" s="8">
        <f t="shared" si="27"/>
        <v>4.3291833836566432E-3</v>
      </c>
      <c r="AI269" s="8">
        <f t="shared" si="27"/>
        <v>7.6079590956693154E-3</v>
      </c>
      <c r="AJ269" s="8">
        <f t="shared" si="27"/>
        <v>4.8319148649800577E-3</v>
      </c>
      <c r="AK269" s="8">
        <f t="shared" si="27"/>
        <v>8.3445591977248917E-3</v>
      </c>
      <c r="AL269" s="8">
        <f t="shared" si="27"/>
        <v>6.7215152881038584E-3</v>
      </c>
      <c r="AM269" s="8">
        <f t="shared" si="27"/>
        <v>6.9699425185485294E-3</v>
      </c>
      <c r="AN269" s="8">
        <f t="shared" si="27"/>
        <v>7.251331510004318E-3</v>
      </c>
      <c r="AO269" s="8">
        <f t="shared" si="27"/>
        <v>1.0577050046216823E-2</v>
      </c>
      <c r="AP269" s="8">
        <f t="shared" si="27"/>
        <v>7.2170219460394869E-3</v>
      </c>
      <c r="AQ269" s="8">
        <f t="shared" ref="AQ269:AR269" si="36">AQ142/(AQ142+AQ170+AQ198+AQ114)</f>
        <v>9.9859936712144003E-3</v>
      </c>
      <c r="AR269" s="8">
        <f t="shared" si="36"/>
        <v>7.5731655963785661E-3</v>
      </c>
    </row>
    <row r="270" spans="24:45" x14ac:dyDescent="0.3">
      <c r="AS270" s="9">
        <f>AVERAGE(Y262:AR269)</f>
        <v>1.9913543813454487E-2</v>
      </c>
    </row>
    <row r="272" spans="24:45" x14ac:dyDescent="0.3">
      <c r="X272" s="7" t="s">
        <v>77</v>
      </c>
    </row>
    <row r="273" spans="24:45" x14ac:dyDescent="0.3">
      <c r="X273" s="1" t="s">
        <v>6</v>
      </c>
      <c r="Y273" s="1" t="s">
        <v>63</v>
      </c>
      <c r="Z273" s="1" t="s">
        <v>64</v>
      </c>
      <c r="AA273" s="1" t="s">
        <v>63</v>
      </c>
      <c r="AB273" s="1" t="s">
        <v>64</v>
      </c>
      <c r="AC273" s="1" t="s">
        <v>63</v>
      </c>
      <c r="AD273" s="1" t="s">
        <v>64</v>
      </c>
      <c r="AE273" s="1" t="s">
        <v>63</v>
      </c>
      <c r="AF273" s="1" t="s">
        <v>64</v>
      </c>
      <c r="AG273" s="1" t="s">
        <v>63</v>
      </c>
      <c r="AH273" s="1" t="s">
        <v>64</v>
      </c>
      <c r="AI273" s="1" t="s">
        <v>63</v>
      </c>
      <c r="AJ273" s="1" t="s">
        <v>64</v>
      </c>
      <c r="AK273" s="1" t="s">
        <v>63</v>
      </c>
      <c r="AL273" s="1" t="s">
        <v>64</v>
      </c>
      <c r="AM273" s="1" t="s">
        <v>63</v>
      </c>
      <c r="AN273" s="1" t="s">
        <v>64</v>
      </c>
      <c r="AO273" s="1" t="s">
        <v>63</v>
      </c>
      <c r="AP273" s="1" t="s">
        <v>64</v>
      </c>
      <c r="AQ273" s="1" t="s">
        <v>63</v>
      </c>
      <c r="AR273" s="1" t="s">
        <v>64</v>
      </c>
    </row>
    <row r="274" spans="24:45" x14ac:dyDescent="0.3">
      <c r="X274" s="1" t="s">
        <v>65</v>
      </c>
      <c r="Y274" s="1" t="s">
        <v>53</v>
      </c>
      <c r="Z274" s="1" t="s">
        <v>53</v>
      </c>
      <c r="AA274" s="1" t="s">
        <v>54</v>
      </c>
      <c r="AB274" s="1" t="s">
        <v>54</v>
      </c>
      <c r="AC274" s="1" t="s">
        <v>55</v>
      </c>
      <c r="AD274" s="1" t="s">
        <v>55</v>
      </c>
      <c r="AE274" s="1" t="s">
        <v>56</v>
      </c>
      <c r="AF274" s="1" t="s">
        <v>56</v>
      </c>
      <c r="AG274" s="1" t="s">
        <v>57</v>
      </c>
      <c r="AH274" s="1" t="s">
        <v>57</v>
      </c>
      <c r="AI274" s="1" t="s">
        <v>58</v>
      </c>
      <c r="AJ274" s="1" t="s">
        <v>58</v>
      </c>
      <c r="AK274" s="1" t="s">
        <v>59</v>
      </c>
      <c r="AL274" s="1" t="s">
        <v>59</v>
      </c>
      <c r="AM274" s="1" t="s">
        <v>60</v>
      </c>
      <c r="AN274" s="1" t="s">
        <v>60</v>
      </c>
      <c r="AO274" s="1" t="s">
        <v>61</v>
      </c>
      <c r="AP274" s="1" t="s">
        <v>61</v>
      </c>
      <c r="AQ274" s="1" t="s">
        <v>62</v>
      </c>
      <c r="AR274" s="1" t="s">
        <v>62</v>
      </c>
    </row>
    <row r="275" spans="24:45" x14ac:dyDescent="0.3">
      <c r="X275" s="1" t="s">
        <v>7</v>
      </c>
      <c r="Y275">
        <v>1.3</v>
      </c>
      <c r="Z275">
        <v>1.3</v>
      </c>
      <c r="AA275">
        <v>1.3</v>
      </c>
      <c r="AB275">
        <v>1.3</v>
      </c>
      <c r="AC275">
        <v>0.5</v>
      </c>
      <c r="AD275">
        <v>0.5</v>
      </c>
      <c r="AE275">
        <v>1.6</v>
      </c>
      <c r="AF275">
        <v>1.6</v>
      </c>
      <c r="AG275">
        <v>2</v>
      </c>
      <c r="AH275">
        <v>2</v>
      </c>
      <c r="AI275">
        <v>3.6</v>
      </c>
      <c r="AJ275">
        <v>3.6</v>
      </c>
      <c r="AK275">
        <v>2.9</v>
      </c>
      <c r="AL275">
        <v>2.9</v>
      </c>
      <c r="AM275">
        <v>3.8</v>
      </c>
      <c r="AN275">
        <v>3.8</v>
      </c>
      <c r="AO275">
        <v>3.4</v>
      </c>
      <c r="AP275">
        <v>3.4</v>
      </c>
      <c r="AQ275">
        <v>4.5</v>
      </c>
      <c r="AR275">
        <v>4.5</v>
      </c>
    </row>
    <row r="276" spans="24:45" x14ac:dyDescent="0.3">
      <c r="X276" s="1" t="s">
        <v>66</v>
      </c>
      <c r="Y276" s="8">
        <f>Y163/(Y135+Y163+Y191+Y107)</f>
        <v>3.2209066707770961E-3</v>
      </c>
      <c r="Z276" s="8">
        <f t="shared" ref="Z276:AR283" si="37">Z163/(Z135+Z163+Z191+Z107)</f>
        <v>4.8621697045191006E-3</v>
      </c>
      <c r="AA276" s="8">
        <f t="shared" si="37"/>
        <v>3.1574644432854544E-3</v>
      </c>
      <c r="AB276" s="8">
        <f t="shared" si="37"/>
        <v>3.45536047814718E-3</v>
      </c>
      <c r="AC276" s="8">
        <f t="shared" si="37"/>
        <v>3.5321893997137068E-3</v>
      </c>
      <c r="AD276" s="8">
        <f t="shared" si="37"/>
        <v>5.0956501935777729E-3</v>
      </c>
      <c r="AE276" s="8">
        <f t="shared" si="37"/>
        <v>6.5137132098103895E-3</v>
      </c>
      <c r="AF276" s="8">
        <f t="shared" si="37"/>
        <v>3.7849838046366056E-3</v>
      </c>
      <c r="AG276" s="8">
        <f t="shared" si="37"/>
        <v>4.0328450249447513E-3</v>
      </c>
      <c r="AH276" s="8">
        <f t="shared" si="37"/>
        <v>1.0009522333193081E-2</v>
      </c>
      <c r="AI276" s="8">
        <f t="shared" si="37"/>
        <v>2.1302909239246564E-3</v>
      </c>
      <c r="AJ276" s="8">
        <f t="shared" si="37"/>
        <v>7.1012075113634611E-3</v>
      </c>
      <c r="AK276" s="8">
        <f t="shared" si="37"/>
        <v>2.6718998725817895E-3</v>
      </c>
      <c r="AL276" s="8">
        <f t="shared" si="37"/>
        <v>6.48741890726366E-3</v>
      </c>
      <c r="AM276" s="8">
        <f t="shared" si="37"/>
        <v>1.8616804896841841E-3</v>
      </c>
      <c r="AN276" s="8">
        <f t="shared" si="37"/>
        <v>3.073633569424028E-3</v>
      </c>
      <c r="AO276" s="8">
        <f t="shared" si="37"/>
        <v>2.7572081298251139E-3</v>
      </c>
      <c r="AP276" s="8">
        <f t="shared" si="37"/>
        <v>7.1659731853906602E-3</v>
      </c>
      <c r="AQ276" s="8">
        <f t="shared" si="37"/>
        <v>1.2350183849327756E-3</v>
      </c>
      <c r="AR276" s="8">
        <f t="shared" si="37"/>
        <v>4.0793201133144472E-3</v>
      </c>
    </row>
    <row r="277" spans="24:45" x14ac:dyDescent="0.3">
      <c r="X277" s="1" t="s">
        <v>67</v>
      </c>
      <c r="Y277" s="8">
        <f t="shared" ref="Y277:AN283" si="38">Y164/(Y136+Y164+Y192+Y108)</f>
        <v>9.4242029255374154E-3</v>
      </c>
      <c r="Z277" s="8">
        <f t="shared" si="38"/>
        <v>1.0735204126234809E-2</v>
      </c>
      <c r="AA277" s="8">
        <f t="shared" si="38"/>
        <v>6.1825873075119402E-3</v>
      </c>
      <c r="AB277" s="8">
        <f t="shared" si="38"/>
        <v>7.5111117994145979E-3</v>
      </c>
      <c r="AC277" s="8">
        <f t="shared" si="38"/>
        <v>6.2099963470609726E-3</v>
      </c>
      <c r="AD277" s="8">
        <f t="shared" si="38"/>
        <v>1.1174175239446612E-2</v>
      </c>
      <c r="AE277" s="8">
        <f t="shared" si="38"/>
        <v>6.3858321565283807E-3</v>
      </c>
      <c r="AF277" s="8">
        <f t="shared" si="38"/>
        <v>1.395100856017298E-2</v>
      </c>
      <c r="AG277" s="8">
        <f t="shared" si="38"/>
        <v>6.2193094751323156E-3</v>
      </c>
      <c r="AH277" s="8">
        <f t="shared" si="38"/>
        <v>1.3501407729715894E-2</v>
      </c>
      <c r="AI277" s="8">
        <f t="shared" si="38"/>
        <v>5.0631906043066902E-3</v>
      </c>
      <c r="AJ277" s="8">
        <f t="shared" si="38"/>
        <v>1.007413039346132E-2</v>
      </c>
      <c r="AK277" s="8">
        <f t="shared" si="38"/>
        <v>6.494138249744613E-3</v>
      </c>
      <c r="AL277" s="8">
        <f t="shared" si="38"/>
        <v>8.8202078538447241E-3</v>
      </c>
      <c r="AM277" s="8">
        <f t="shared" si="38"/>
        <v>7.030765923546743E-3</v>
      </c>
      <c r="AN277" s="8">
        <f t="shared" si="38"/>
        <v>7.2485905518371429E-3</v>
      </c>
      <c r="AO277" s="8">
        <f t="shared" si="37"/>
        <v>5.757836698497565E-3</v>
      </c>
      <c r="AP277" s="8">
        <f t="shared" si="37"/>
        <v>1.0445117000073818E-2</v>
      </c>
      <c r="AQ277" s="8">
        <f t="shared" si="37"/>
        <v>5.7634371043094792E-3</v>
      </c>
      <c r="AR277" s="8">
        <f t="shared" si="37"/>
        <v>1.0564683244523386E-2</v>
      </c>
    </row>
    <row r="278" spans="24:45" x14ac:dyDescent="0.3">
      <c r="X278" s="1" t="s">
        <v>68</v>
      </c>
      <c r="Y278" s="8">
        <f t="shared" si="38"/>
        <v>6.3918849097426289E-3</v>
      </c>
      <c r="Z278" s="8">
        <f t="shared" si="37"/>
        <v>9.6548978344021506E-3</v>
      </c>
      <c r="AA278" s="8">
        <f t="shared" si="37"/>
        <v>4.9491377255026624E-3</v>
      </c>
      <c r="AB278" s="8">
        <f t="shared" si="37"/>
        <v>6.0725671777744055E-3</v>
      </c>
      <c r="AC278" s="8">
        <f t="shared" si="37"/>
        <v>5.7645562571022194E-3</v>
      </c>
      <c r="AD278" s="8">
        <f t="shared" si="37"/>
        <v>1.0962676672334937E-2</v>
      </c>
      <c r="AE278" s="8">
        <f t="shared" si="37"/>
        <v>8.8089457306021954E-3</v>
      </c>
      <c r="AF278" s="8">
        <f t="shared" si="37"/>
        <v>1.3522385609943524E-2</v>
      </c>
      <c r="AG278" s="8">
        <f t="shared" si="37"/>
        <v>8.2693145819645996E-3</v>
      </c>
      <c r="AH278" s="8">
        <f t="shared" si="37"/>
        <v>1.2389428654292342E-2</v>
      </c>
      <c r="AI278" s="8">
        <f t="shared" si="37"/>
        <v>7.6709983435989887E-3</v>
      </c>
      <c r="AJ278" s="8">
        <f t="shared" si="37"/>
        <v>1.1339314176419689E-2</v>
      </c>
      <c r="AK278" s="8">
        <f t="shared" si="37"/>
        <v>9.284955454525172E-3</v>
      </c>
      <c r="AL278" s="8">
        <f t="shared" si="37"/>
        <v>1.1387417363512982E-2</v>
      </c>
      <c r="AM278" s="8">
        <f t="shared" si="37"/>
        <v>9.3568413915994294E-3</v>
      </c>
      <c r="AN278" s="8">
        <f t="shared" si="37"/>
        <v>9.9106065178032592E-3</v>
      </c>
      <c r="AO278" s="8">
        <f t="shared" si="37"/>
        <v>7.3762669899156636E-3</v>
      </c>
      <c r="AP278" s="8">
        <f t="shared" si="37"/>
        <v>1.2055209014990962E-2</v>
      </c>
      <c r="AQ278" s="8">
        <f t="shared" si="37"/>
        <v>9.4749424215037469E-3</v>
      </c>
      <c r="AR278" s="8">
        <f t="shared" si="37"/>
        <v>1.0093003593320649E-2</v>
      </c>
    </row>
    <row r="279" spans="24:45" x14ac:dyDescent="0.3">
      <c r="X279" s="1" t="s">
        <v>69</v>
      </c>
      <c r="Y279" s="8">
        <f t="shared" si="38"/>
        <v>7.5712203225113848E-3</v>
      </c>
      <c r="Z279" s="8">
        <f t="shared" si="37"/>
        <v>9.6533988408244748E-3</v>
      </c>
      <c r="AA279" s="8">
        <f t="shared" si="37"/>
        <v>5.9865971705137756E-3</v>
      </c>
      <c r="AB279" s="8">
        <f t="shared" si="37"/>
        <v>6.8844116006692695E-3</v>
      </c>
      <c r="AC279" s="8">
        <f t="shared" si="37"/>
        <v>7.0083475746023404E-3</v>
      </c>
      <c r="AD279" s="8">
        <f t="shared" si="37"/>
        <v>7.9377101826885212E-3</v>
      </c>
      <c r="AE279" s="8">
        <f t="shared" si="37"/>
        <v>1.3102430047859177E-2</v>
      </c>
      <c r="AF279" s="8">
        <f t="shared" si="37"/>
        <v>1.1675664505463279E-2</v>
      </c>
      <c r="AG279" s="8">
        <f t="shared" si="37"/>
        <v>1.4001355952861593E-2</v>
      </c>
      <c r="AH279" s="8">
        <f t="shared" si="37"/>
        <v>1.1497999703659802E-2</v>
      </c>
      <c r="AI279" s="8">
        <f t="shared" si="37"/>
        <v>1.2894256403205231E-2</v>
      </c>
      <c r="AJ279" s="8">
        <f t="shared" si="37"/>
        <v>1.0137344669718771E-2</v>
      </c>
      <c r="AK279" s="8">
        <f t="shared" si="37"/>
        <v>1.4289482258389836E-2</v>
      </c>
      <c r="AL279" s="8">
        <f t="shared" si="37"/>
        <v>1.0403738604152302E-2</v>
      </c>
      <c r="AM279" s="8">
        <f t="shared" si="37"/>
        <v>1.5297659273821956E-2</v>
      </c>
      <c r="AN279" s="8">
        <f t="shared" si="37"/>
        <v>1.3586123436869706E-2</v>
      </c>
      <c r="AO279" s="8">
        <f t="shared" si="37"/>
        <v>1.4129573895137018E-2</v>
      </c>
      <c r="AP279" s="8">
        <f t="shared" si="37"/>
        <v>1.1047506021152571E-2</v>
      </c>
      <c r="AQ279" s="8">
        <f t="shared" si="37"/>
        <v>1.2768058690744922E-2</v>
      </c>
      <c r="AR279" s="8">
        <f t="shared" si="37"/>
        <v>1.2730497764310261E-2</v>
      </c>
    </row>
    <row r="280" spans="24:45" x14ac:dyDescent="0.3">
      <c r="X280" s="1" t="s">
        <v>70</v>
      </c>
      <c r="Y280" s="8">
        <f t="shared" si="38"/>
        <v>6.3121163589356533E-3</v>
      </c>
      <c r="Z280" s="8">
        <f t="shared" si="37"/>
        <v>6.6188858113703205E-3</v>
      </c>
      <c r="AA280" s="8">
        <f t="shared" si="37"/>
        <v>4.5109621067085251E-3</v>
      </c>
      <c r="AB280" s="8">
        <f t="shared" si="37"/>
        <v>3.3755401999591302E-3</v>
      </c>
      <c r="AC280" s="8">
        <f t="shared" si="37"/>
        <v>5.7150890575909837E-3</v>
      </c>
      <c r="AD280" s="8">
        <f t="shared" si="37"/>
        <v>7.5010573934791011E-3</v>
      </c>
      <c r="AE280" s="8">
        <f t="shared" si="37"/>
        <v>9.800729356603281E-3</v>
      </c>
      <c r="AF280" s="8">
        <f t="shared" si="37"/>
        <v>9.0949378377732284E-3</v>
      </c>
      <c r="AG280" s="8">
        <f t="shared" si="37"/>
        <v>9.5373544739759432E-3</v>
      </c>
      <c r="AH280" s="8">
        <f t="shared" si="37"/>
        <v>9.0253573960302463E-3</v>
      </c>
      <c r="AI280" s="8">
        <f t="shared" si="37"/>
        <v>7.9043968065965649E-3</v>
      </c>
      <c r="AJ280" s="8">
        <f t="shared" si="37"/>
        <v>7.4356396286856695E-3</v>
      </c>
      <c r="AK280" s="8">
        <f t="shared" si="37"/>
        <v>8.9595989414207947E-3</v>
      </c>
      <c r="AL280" s="8">
        <f t="shared" si="37"/>
        <v>8.2251350591017684E-3</v>
      </c>
      <c r="AM280" s="8">
        <f t="shared" si="37"/>
        <v>9.7227027969928256E-3</v>
      </c>
      <c r="AN280" s="8">
        <f t="shared" si="37"/>
        <v>9.2814138019297315E-3</v>
      </c>
      <c r="AO280" s="8">
        <f t="shared" si="37"/>
        <v>1.0584961708634672E-2</v>
      </c>
      <c r="AP280" s="8">
        <f t="shared" si="37"/>
        <v>8.3708836782474677E-3</v>
      </c>
      <c r="AQ280" s="8">
        <f t="shared" si="37"/>
        <v>9.2895650316000035E-3</v>
      </c>
      <c r="AR280" s="8">
        <f t="shared" si="37"/>
        <v>7.7942513652871316E-3</v>
      </c>
    </row>
    <row r="281" spans="24:45" x14ac:dyDescent="0.3">
      <c r="X281" s="1" t="s">
        <v>71</v>
      </c>
      <c r="Y281" s="8">
        <f t="shared" si="38"/>
        <v>4.9019064201665753E-3</v>
      </c>
      <c r="Z281" s="8">
        <f t="shared" si="37"/>
        <v>1.906857352401907E-3</v>
      </c>
      <c r="AA281" s="8">
        <f t="shared" si="37"/>
        <v>3.3337903464399883E-3</v>
      </c>
      <c r="AB281" s="8">
        <f t="shared" si="37"/>
        <v>1.1781288788841435E-3</v>
      </c>
      <c r="AC281" s="8">
        <f t="shared" si="37"/>
        <v>4.138071964988165E-3</v>
      </c>
      <c r="AD281" s="8">
        <f t="shared" si="37"/>
        <v>2.7331611067430458E-3</v>
      </c>
      <c r="AE281" s="8">
        <f t="shared" si="37"/>
        <v>4.3334079303399588E-3</v>
      </c>
      <c r="AF281" s="8">
        <f t="shared" si="37"/>
        <v>3.3543929821371757E-3</v>
      </c>
      <c r="AG281" s="8">
        <f t="shared" si="37"/>
        <v>4.1146902039974377E-3</v>
      </c>
      <c r="AH281" s="8">
        <f t="shared" si="37"/>
        <v>3.7649313755690177E-3</v>
      </c>
      <c r="AI281" s="8">
        <f t="shared" si="37"/>
        <v>4.5799624048437522E-3</v>
      </c>
      <c r="AJ281" s="8">
        <f t="shared" si="37"/>
        <v>3.201466563936343E-3</v>
      </c>
      <c r="AK281" s="8">
        <f t="shared" si="37"/>
        <v>5.2099071594544182E-3</v>
      </c>
      <c r="AL281" s="8">
        <f t="shared" si="37"/>
        <v>3.0744938472166334E-3</v>
      </c>
      <c r="AM281" s="8">
        <f t="shared" si="37"/>
        <v>5.1529927815514341E-3</v>
      </c>
      <c r="AN281" s="8">
        <f t="shared" si="37"/>
        <v>4.096630443280431E-3</v>
      </c>
      <c r="AO281" s="8">
        <f t="shared" si="37"/>
        <v>6.2202749179899892E-3</v>
      </c>
      <c r="AP281" s="8">
        <f t="shared" si="37"/>
        <v>2.3717653722255655E-3</v>
      </c>
      <c r="AQ281" s="8">
        <f t="shared" si="37"/>
        <v>5.4005735781593352E-3</v>
      </c>
      <c r="AR281" s="8">
        <f t="shared" si="37"/>
        <v>4.0372556478629543E-3</v>
      </c>
    </row>
    <row r="282" spans="24:45" x14ac:dyDescent="0.3">
      <c r="X282" s="1" t="s">
        <v>72</v>
      </c>
      <c r="Y282" s="8">
        <f t="shared" si="38"/>
        <v>2.5807095454318646E-3</v>
      </c>
      <c r="Z282" s="8">
        <f t="shared" si="37"/>
        <v>2.5688948368290296E-3</v>
      </c>
      <c r="AA282" s="8">
        <f t="shared" si="37"/>
        <v>1.8039004720740907E-3</v>
      </c>
      <c r="AB282" s="8">
        <f t="shared" si="37"/>
        <v>1.8278761828090387E-3</v>
      </c>
      <c r="AC282" s="8">
        <f t="shared" si="37"/>
        <v>2.9085478594794477E-3</v>
      </c>
      <c r="AD282" s="8">
        <f t="shared" si="37"/>
        <v>2.8288988964142326E-3</v>
      </c>
      <c r="AE282" s="8">
        <f t="shared" si="37"/>
        <v>3.4262378865992172E-3</v>
      </c>
      <c r="AF282" s="8">
        <f t="shared" si="37"/>
        <v>2.9075175928526867E-3</v>
      </c>
      <c r="AG282" s="8">
        <f t="shared" si="37"/>
        <v>3.5977239558565503E-3</v>
      </c>
      <c r="AH282" s="8">
        <f t="shared" si="37"/>
        <v>2.7128906393516102E-3</v>
      </c>
      <c r="AI282" s="8">
        <f t="shared" si="37"/>
        <v>3.0014663195379594E-3</v>
      </c>
      <c r="AJ282" s="8">
        <f t="shared" si="37"/>
        <v>2.5836392906177486E-3</v>
      </c>
      <c r="AK282" s="8">
        <f t="shared" si="37"/>
        <v>2.9174200609059764E-3</v>
      </c>
      <c r="AL282" s="8">
        <f t="shared" si="37"/>
        <v>2.8304321267929064E-3</v>
      </c>
      <c r="AM282" s="8">
        <f t="shared" si="37"/>
        <v>3.5663627152988852E-3</v>
      </c>
      <c r="AN282" s="8">
        <f t="shared" si="37"/>
        <v>3.1262620974376615E-3</v>
      </c>
      <c r="AO282" s="8">
        <f t="shared" si="37"/>
        <v>3.7604625773320936E-3</v>
      </c>
      <c r="AP282" s="8">
        <f t="shared" si="37"/>
        <v>2.5665726278125646E-3</v>
      </c>
      <c r="AQ282" s="8">
        <f t="shared" si="37"/>
        <v>3.2676911461692122E-3</v>
      </c>
      <c r="AR282" s="8">
        <f t="shared" si="37"/>
        <v>2.4900496049252009E-3</v>
      </c>
    </row>
    <row r="283" spans="24:45" x14ac:dyDescent="0.3">
      <c r="X283" s="1" t="s">
        <v>73</v>
      </c>
      <c r="Y283" s="8">
        <f t="shared" si="38"/>
        <v>1.0949143678912275E-3</v>
      </c>
      <c r="Z283" s="8">
        <f t="shared" si="37"/>
        <v>1.5149838713795717E-3</v>
      </c>
      <c r="AA283" s="8">
        <f t="shared" si="37"/>
        <v>6.4959916206743754E-4</v>
      </c>
      <c r="AB283" s="8">
        <f t="shared" si="37"/>
        <v>8.2555226599863361E-4</v>
      </c>
      <c r="AC283" s="8">
        <f t="shared" si="37"/>
        <v>1.4090077619024076E-3</v>
      </c>
      <c r="AD283" s="8">
        <f t="shared" si="37"/>
        <v>8.0064051240992789E-4</v>
      </c>
      <c r="AE283" s="8">
        <f t="shared" si="37"/>
        <v>2.6415411794397247E-3</v>
      </c>
      <c r="AF283" s="8">
        <f t="shared" si="37"/>
        <v>9.0248420652638578E-4</v>
      </c>
      <c r="AG283" s="8">
        <f t="shared" si="37"/>
        <v>1.6010425393279345E-3</v>
      </c>
      <c r="AH283" s="8">
        <f t="shared" si="37"/>
        <v>1.5579545297872636E-3</v>
      </c>
      <c r="AI283" s="8">
        <f t="shared" si="37"/>
        <v>1.897369555843036E-3</v>
      </c>
      <c r="AJ283" s="8">
        <f t="shared" si="37"/>
        <v>1.0363717119873663E-3</v>
      </c>
      <c r="AK283" s="8">
        <f t="shared" si="37"/>
        <v>1.9458164945367459E-3</v>
      </c>
      <c r="AL283" s="8">
        <f t="shared" si="37"/>
        <v>7.9251469867105192E-4</v>
      </c>
      <c r="AM283" s="8">
        <f t="shared" si="37"/>
        <v>1.1711529209186902E-3</v>
      </c>
      <c r="AN283" s="8">
        <f t="shared" si="37"/>
        <v>5.2180797466532317E-4</v>
      </c>
      <c r="AO283" s="8">
        <f t="shared" si="37"/>
        <v>6.3383071438003434E-4</v>
      </c>
      <c r="AP283" s="8">
        <f t="shared" si="37"/>
        <v>6.0961220797608757E-4</v>
      </c>
      <c r="AQ283" s="8">
        <f t="shared" si="37"/>
        <v>1.2190693572651345E-3</v>
      </c>
      <c r="AR283" s="8">
        <f t="shared" si="37"/>
        <v>1.4541004316243815E-3</v>
      </c>
    </row>
    <row r="284" spans="24:45" x14ac:dyDescent="0.3">
      <c r="AS284" s="9">
        <f>AVERAGE(Y276:AR283)</f>
        <v>6.1240142498091097E-3</v>
      </c>
    </row>
    <row r="286" spans="24:45" x14ac:dyDescent="0.3">
      <c r="X286" s="7" t="s">
        <v>78</v>
      </c>
    </row>
    <row r="287" spans="24:45" x14ac:dyDescent="0.3">
      <c r="X287" s="1" t="s">
        <v>6</v>
      </c>
      <c r="Y287" s="1" t="s">
        <v>63</v>
      </c>
      <c r="Z287" s="1" t="s">
        <v>64</v>
      </c>
      <c r="AA287" s="1" t="s">
        <v>63</v>
      </c>
      <c r="AB287" s="1" t="s">
        <v>64</v>
      </c>
      <c r="AC287" s="1" t="s">
        <v>63</v>
      </c>
      <c r="AD287" s="1" t="s">
        <v>64</v>
      </c>
      <c r="AE287" s="1" t="s">
        <v>63</v>
      </c>
      <c r="AF287" s="1" t="s">
        <v>64</v>
      </c>
      <c r="AG287" s="1" t="s">
        <v>63</v>
      </c>
      <c r="AH287" s="1" t="s">
        <v>64</v>
      </c>
      <c r="AI287" s="1" t="s">
        <v>63</v>
      </c>
      <c r="AJ287" s="1" t="s">
        <v>64</v>
      </c>
      <c r="AK287" s="1" t="s">
        <v>63</v>
      </c>
      <c r="AL287" s="1" t="s">
        <v>64</v>
      </c>
      <c r="AM287" s="1" t="s">
        <v>63</v>
      </c>
      <c r="AN287" s="1" t="s">
        <v>64</v>
      </c>
      <c r="AO287" s="1" t="s">
        <v>63</v>
      </c>
      <c r="AP287" s="1" t="s">
        <v>64</v>
      </c>
      <c r="AQ287" s="1" t="s">
        <v>63</v>
      </c>
      <c r="AR287" s="1" t="s">
        <v>64</v>
      </c>
    </row>
    <row r="288" spans="24:45" x14ac:dyDescent="0.3">
      <c r="X288" s="1" t="s">
        <v>65</v>
      </c>
      <c r="Y288" s="1" t="s">
        <v>53</v>
      </c>
      <c r="Z288" s="1" t="s">
        <v>53</v>
      </c>
      <c r="AA288" s="1" t="s">
        <v>54</v>
      </c>
      <c r="AB288" s="1" t="s">
        <v>54</v>
      </c>
      <c r="AC288" s="1" t="s">
        <v>55</v>
      </c>
      <c r="AD288" s="1" t="s">
        <v>55</v>
      </c>
      <c r="AE288" s="1" t="s">
        <v>56</v>
      </c>
      <c r="AF288" s="1" t="s">
        <v>56</v>
      </c>
      <c r="AG288" s="1" t="s">
        <v>57</v>
      </c>
      <c r="AH288" s="1" t="s">
        <v>57</v>
      </c>
      <c r="AI288" s="1" t="s">
        <v>58</v>
      </c>
      <c r="AJ288" s="1" t="s">
        <v>58</v>
      </c>
      <c r="AK288" s="1" t="s">
        <v>59</v>
      </c>
      <c r="AL288" s="1" t="s">
        <v>59</v>
      </c>
      <c r="AM288" s="1" t="s">
        <v>60</v>
      </c>
      <c r="AN288" s="1" t="s">
        <v>60</v>
      </c>
      <c r="AO288" s="1" t="s">
        <v>61</v>
      </c>
      <c r="AP288" s="1" t="s">
        <v>61</v>
      </c>
      <c r="AQ288" s="1" t="s">
        <v>62</v>
      </c>
      <c r="AR288" s="1" t="s">
        <v>62</v>
      </c>
    </row>
    <row r="289" spans="24:45" x14ac:dyDescent="0.3">
      <c r="X289" s="1" t="s">
        <v>7</v>
      </c>
      <c r="Y289">
        <v>1.3</v>
      </c>
      <c r="Z289">
        <v>1.3</v>
      </c>
      <c r="AA289">
        <v>1.3</v>
      </c>
      <c r="AB289">
        <v>1.3</v>
      </c>
      <c r="AC289">
        <v>0.5</v>
      </c>
      <c r="AD289">
        <v>0.5</v>
      </c>
      <c r="AE289">
        <v>1.6</v>
      </c>
      <c r="AF289">
        <v>1.6</v>
      </c>
      <c r="AG289">
        <v>2</v>
      </c>
      <c r="AH289">
        <v>2</v>
      </c>
      <c r="AI289">
        <v>3.6</v>
      </c>
      <c r="AJ289">
        <v>3.6</v>
      </c>
      <c r="AK289">
        <v>2.9</v>
      </c>
      <c r="AL289">
        <v>2.9</v>
      </c>
      <c r="AM289">
        <v>3.8</v>
      </c>
      <c r="AN289">
        <v>3.8</v>
      </c>
      <c r="AO289">
        <v>3.4</v>
      </c>
      <c r="AP289">
        <v>3.4</v>
      </c>
      <c r="AQ289">
        <v>4.5</v>
      </c>
      <c r="AR289">
        <v>4.5</v>
      </c>
    </row>
    <row r="290" spans="24:45" x14ac:dyDescent="0.3">
      <c r="X290" s="1" t="s">
        <v>66</v>
      </c>
      <c r="Y290" s="8">
        <f>Y191/(Y135+Y163+Y191+Y107)</f>
        <v>7.8647283423730674E-2</v>
      </c>
      <c r="Z290" s="8">
        <f t="shared" ref="Z290:AR297" si="39">Z191/(Z135+Z163+Z191+Z107)</f>
        <v>9.6507014531452703E-2</v>
      </c>
      <c r="AA290" s="8">
        <f t="shared" si="39"/>
        <v>2.0974585230396234E-2</v>
      </c>
      <c r="AB290" s="8">
        <f t="shared" si="39"/>
        <v>2.3642759307682729E-2</v>
      </c>
      <c r="AC290" s="8">
        <f t="shared" si="39"/>
        <v>4.2497815619713337E-2</v>
      </c>
      <c r="AD290" s="8">
        <f t="shared" si="39"/>
        <v>5.9401806725878699E-2</v>
      </c>
      <c r="AE290" s="8">
        <f t="shared" si="39"/>
        <v>8.2633211580153076E-2</v>
      </c>
      <c r="AF290" s="8">
        <f t="shared" si="39"/>
        <v>0.10552462059176768</v>
      </c>
      <c r="AG290" s="8">
        <f t="shared" si="39"/>
        <v>7.6504955866978974E-2</v>
      </c>
      <c r="AH290" s="8">
        <f t="shared" si="39"/>
        <v>0.12054609473614279</v>
      </c>
      <c r="AI290" s="8">
        <f t="shared" si="39"/>
        <v>7.565122799292924E-2</v>
      </c>
      <c r="AJ290" s="8">
        <f t="shared" si="39"/>
        <v>0.12541895593884389</v>
      </c>
      <c r="AK290" s="8">
        <f t="shared" si="39"/>
        <v>8.2571235956642508E-2</v>
      </c>
      <c r="AL290" s="8">
        <f t="shared" si="39"/>
        <v>0.13691078861514233</v>
      </c>
      <c r="AM290" s="8">
        <f t="shared" si="39"/>
        <v>8.8705007394078023E-2</v>
      </c>
      <c r="AN290" s="8">
        <f t="shared" si="39"/>
        <v>0.13570760390217826</v>
      </c>
      <c r="AO290" s="8">
        <f t="shared" si="39"/>
        <v>0.12895856310067749</v>
      </c>
      <c r="AP290" s="8">
        <f t="shared" si="39"/>
        <v>0.19833564493758665</v>
      </c>
      <c r="AQ290" s="8">
        <f t="shared" si="39"/>
        <v>0.11482864119909056</v>
      </c>
      <c r="AR290" s="8">
        <f t="shared" si="39"/>
        <v>0.22696883852691219</v>
      </c>
    </row>
    <row r="291" spans="24:45" x14ac:dyDescent="0.3">
      <c r="X291" s="1" t="s">
        <v>67</v>
      </c>
      <c r="Y291" s="8">
        <f t="shared" ref="Y291:AN297" si="40">Y192/(Y136+Y164+Y192+Y108)</f>
        <v>1.5434589204063475E-2</v>
      </c>
      <c r="Z291" s="8">
        <f t="shared" si="40"/>
        <v>2.7187691231751025E-2</v>
      </c>
      <c r="AA291" s="8">
        <f t="shared" si="40"/>
        <v>7.7713016930335832E-3</v>
      </c>
      <c r="AB291" s="8">
        <f t="shared" si="40"/>
        <v>1.5254526025615216E-2</v>
      </c>
      <c r="AC291" s="8">
        <f t="shared" si="40"/>
        <v>1.6152343439797975E-2</v>
      </c>
      <c r="AD291" s="8">
        <f t="shared" si="40"/>
        <v>1.5519687832564738E-2</v>
      </c>
      <c r="AE291" s="8">
        <f t="shared" si="40"/>
        <v>1.0222660378531524E-2</v>
      </c>
      <c r="AF291" s="8">
        <f t="shared" si="40"/>
        <v>2.178549213589645E-2</v>
      </c>
      <c r="AG291" s="8">
        <f t="shared" si="40"/>
        <v>1.1225328161721154E-2</v>
      </c>
      <c r="AH291" s="8">
        <f t="shared" si="40"/>
        <v>2.0556053237778347E-2</v>
      </c>
      <c r="AI291" s="8">
        <f t="shared" si="40"/>
        <v>1.1397142772047217E-2</v>
      </c>
      <c r="AJ291" s="8">
        <f t="shared" si="40"/>
        <v>2.2207438383070391E-2</v>
      </c>
      <c r="AK291" s="8">
        <f t="shared" si="40"/>
        <v>1.5639441552755751E-2</v>
      </c>
      <c r="AL291" s="8">
        <f t="shared" si="40"/>
        <v>1.9899075093276916E-2</v>
      </c>
      <c r="AM291" s="8">
        <f t="shared" si="40"/>
        <v>1.6969942211150592E-2</v>
      </c>
      <c r="AN291" s="8">
        <f t="shared" si="40"/>
        <v>1.8954647707390231E-2</v>
      </c>
      <c r="AO291" s="8">
        <f t="shared" si="39"/>
        <v>1.6797974475304279E-2</v>
      </c>
      <c r="AP291" s="8">
        <f t="shared" si="39"/>
        <v>2.6371152284638665E-2</v>
      </c>
      <c r="AQ291" s="8">
        <f t="shared" si="39"/>
        <v>2.0739641095053048E-2</v>
      </c>
      <c r="AR291" s="8">
        <f t="shared" si="39"/>
        <v>3.0731941977501478E-2</v>
      </c>
    </row>
    <row r="292" spans="24:45" x14ac:dyDescent="0.3">
      <c r="X292" s="1" t="s">
        <v>68</v>
      </c>
      <c r="Y292" s="8">
        <f t="shared" si="40"/>
        <v>2.8619175251073724E-2</v>
      </c>
      <c r="Z292" s="8">
        <f t="shared" si="39"/>
        <v>3.2562173845038178E-2</v>
      </c>
      <c r="AA292" s="8">
        <f t="shared" si="39"/>
        <v>1.1799650321862832E-2</v>
      </c>
      <c r="AB292" s="8">
        <f t="shared" si="39"/>
        <v>1.5485046303324732E-2</v>
      </c>
      <c r="AC292" s="8">
        <f t="shared" si="39"/>
        <v>3.637653238611991E-2</v>
      </c>
      <c r="AD292" s="8">
        <f t="shared" si="39"/>
        <v>2.5268852675331532E-2</v>
      </c>
      <c r="AE292" s="8">
        <f t="shared" si="39"/>
        <v>2.5103443559142357E-2</v>
      </c>
      <c r="AF292" s="8">
        <f t="shared" si="39"/>
        <v>2.9391138267791734E-2</v>
      </c>
      <c r="AG292" s="8">
        <f t="shared" si="39"/>
        <v>2.6653700294670558E-2</v>
      </c>
      <c r="AH292" s="8">
        <f t="shared" si="39"/>
        <v>3.0833091647331785E-2</v>
      </c>
      <c r="AI292" s="8">
        <f t="shared" si="39"/>
        <v>2.7021135422318609E-2</v>
      </c>
      <c r="AJ292" s="8">
        <f t="shared" si="39"/>
        <v>3.2906780818798671E-2</v>
      </c>
      <c r="AK292" s="8">
        <f t="shared" si="39"/>
        <v>3.3515085049162209E-2</v>
      </c>
      <c r="AL292" s="8">
        <f t="shared" si="39"/>
        <v>3.4424937612188608E-2</v>
      </c>
      <c r="AM292" s="8">
        <f t="shared" si="39"/>
        <v>3.3930973771737087E-2</v>
      </c>
      <c r="AN292" s="8">
        <f t="shared" si="39"/>
        <v>3.0057143934821968E-2</v>
      </c>
      <c r="AO292" s="8">
        <f t="shared" si="39"/>
        <v>2.8333413163062666E-2</v>
      </c>
      <c r="AP292" s="8">
        <f t="shared" si="39"/>
        <v>3.7948693318604523E-2</v>
      </c>
      <c r="AQ292" s="8">
        <f t="shared" si="39"/>
        <v>3.3007784029620131E-2</v>
      </c>
      <c r="AR292" s="8">
        <f t="shared" si="39"/>
        <v>3.6890984992601988E-2</v>
      </c>
    </row>
    <row r="293" spans="24:45" x14ac:dyDescent="0.3">
      <c r="X293" s="1" t="s">
        <v>69</v>
      </c>
      <c r="Y293" s="8">
        <f t="shared" si="40"/>
        <v>3.6059349327065414E-2</v>
      </c>
      <c r="Z293" s="8">
        <f t="shared" si="39"/>
        <v>4.4716539362069631E-2</v>
      </c>
      <c r="AA293" s="8">
        <f t="shared" si="39"/>
        <v>1.5031025068255151E-2</v>
      </c>
      <c r="AB293" s="8">
        <f t="shared" si="39"/>
        <v>2.1054099274958171E-2</v>
      </c>
      <c r="AC293" s="8">
        <f t="shared" si="39"/>
        <v>4.0291836466412517E-2</v>
      </c>
      <c r="AD293" s="8">
        <f t="shared" si="39"/>
        <v>2.9054442996940044E-2</v>
      </c>
      <c r="AE293" s="8">
        <f t="shared" si="39"/>
        <v>3.168976412772908E-2</v>
      </c>
      <c r="AF293" s="8">
        <f t="shared" si="39"/>
        <v>3.5582362513884226E-2</v>
      </c>
      <c r="AG293" s="8">
        <f t="shared" si="39"/>
        <v>3.3373199363159217E-2</v>
      </c>
      <c r="AH293" s="8">
        <f t="shared" si="39"/>
        <v>3.6197955252630018E-2</v>
      </c>
      <c r="AI293" s="8">
        <f t="shared" si="39"/>
        <v>3.3709925063592827E-2</v>
      </c>
      <c r="AJ293" s="8">
        <f t="shared" si="39"/>
        <v>3.9801924694011025E-2</v>
      </c>
      <c r="AK293" s="8">
        <f t="shared" si="39"/>
        <v>3.6980435355995843E-2</v>
      </c>
      <c r="AL293" s="8">
        <f t="shared" si="39"/>
        <v>4.0496437600551598E-2</v>
      </c>
      <c r="AM293" s="8">
        <f t="shared" si="39"/>
        <v>3.5295201818516926E-2</v>
      </c>
      <c r="AN293" s="8">
        <f t="shared" si="39"/>
        <v>3.8305768455022184E-2</v>
      </c>
      <c r="AO293" s="8">
        <f t="shared" si="39"/>
        <v>3.4452716616505619E-2</v>
      </c>
      <c r="AP293" s="8">
        <f t="shared" si="39"/>
        <v>4.7244231910363366E-2</v>
      </c>
      <c r="AQ293" s="8">
        <f t="shared" si="39"/>
        <v>4.2607223476297973E-2</v>
      </c>
      <c r="AR293" s="8">
        <f t="shared" si="39"/>
        <v>4.591478511511031E-2</v>
      </c>
    </row>
    <row r="294" spans="24:45" x14ac:dyDescent="0.3">
      <c r="X294" s="1" t="s">
        <v>70</v>
      </c>
      <c r="Y294" s="8">
        <f t="shared" si="40"/>
        <v>3.6457278671960171E-2</v>
      </c>
      <c r="Z294" s="8">
        <f t="shared" si="39"/>
        <v>3.4228986417673204E-2</v>
      </c>
      <c r="AA294" s="8">
        <f t="shared" si="39"/>
        <v>1.390791769875907E-2</v>
      </c>
      <c r="AB294" s="8">
        <f t="shared" si="39"/>
        <v>1.2578806754107792E-2</v>
      </c>
      <c r="AC294" s="8">
        <f t="shared" si="39"/>
        <v>3.0625134982049936E-2</v>
      </c>
      <c r="AD294" s="8">
        <f t="shared" si="39"/>
        <v>2.6320822376284962E-2</v>
      </c>
      <c r="AE294" s="8">
        <f t="shared" si="39"/>
        <v>2.3176143340899787E-2</v>
      </c>
      <c r="AF294" s="8">
        <f t="shared" si="39"/>
        <v>2.8042418525281387E-2</v>
      </c>
      <c r="AG294" s="8">
        <f t="shared" si="39"/>
        <v>2.5225168358470391E-2</v>
      </c>
      <c r="AH294" s="8">
        <f t="shared" si="39"/>
        <v>2.6557331049149341E-2</v>
      </c>
      <c r="AI294" s="8">
        <f t="shared" si="39"/>
        <v>2.5218574541377714E-2</v>
      </c>
      <c r="AJ294" s="8">
        <f t="shared" si="39"/>
        <v>2.4799494937685601E-2</v>
      </c>
      <c r="AK294" s="8">
        <f t="shared" si="39"/>
        <v>2.6946123290296185E-2</v>
      </c>
      <c r="AL294" s="8">
        <f t="shared" si="39"/>
        <v>2.5302422719491902E-2</v>
      </c>
      <c r="AM294" s="8">
        <f t="shared" si="39"/>
        <v>2.9105196784644995E-2</v>
      </c>
      <c r="AN294" s="8">
        <f t="shared" si="39"/>
        <v>2.7668962907731173E-2</v>
      </c>
      <c r="AO294" s="8">
        <f t="shared" si="39"/>
        <v>3.1538673652281822E-2</v>
      </c>
      <c r="AP294" s="8">
        <f t="shared" si="39"/>
        <v>2.90922032542325E-2</v>
      </c>
      <c r="AQ294" s="8">
        <f t="shared" si="39"/>
        <v>3.5030949734163618E-2</v>
      </c>
      <c r="AR294" s="8">
        <f t="shared" si="39"/>
        <v>3.2949292446409414E-2</v>
      </c>
    </row>
    <row r="295" spans="24:45" x14ac:dyDescent="0.3">
      <c r="X295" s="1" t="s">
        <v>71</v>
      </c>
      <c r="Y295" s="8">
        <f t="shared" si="40"/>
        <v>2.3522496645188479E-2</v>
      </c>
      <c r="Z295" s="8">
        <f t="shared" si="39"/>
        <v>2.3806380638063809E-2</v>
      </c>
      <c r="AA295" s="8">
        <f t="shared" si="39"/>
        <v>8.8323796191397096E-3</v>
      </c>
      <c r="AB295" s="8">
        <f t="shared" si="39"/>
        <v>5.5610488152090824E-3</v>
      </c>
      <c r="AC295" s="8">
        <f t="shared" si="39"/>
        <v>2.2853055872486077E-2</v>
      </c>
      <c r="AD295" s="8">
        <f t="shared" si="39"/>
        <v>1.8158673106443524E-2</v>
      </c>
      <c r="AE295" s="8">
        <f t="shared" si="39"/>
        <v>1.3875043232356112E-2</v>
      </c>
      <c r="AF295" s="8">
        <f t="shared" si="39"/>
        <v>1.9808190536793783E-2</v>
      </c>
      <c r="AG295" s="8">
        <f t="shared" si="39"/>
        <v>1.4884538970133213E-2</v>
      </c>
      <c r="AH295" s="8">
        <f t="shared" si="39"/>
        <v>1.6983263168703151E-2</v>
      </c>
      <c r="AI295" s="8">
        <f t="shared" si="39"/>
        <v>1.6253154565942111E-2</v>
      </c>
      <c r="AJ295" s="8">
        <f t="shared" si="39"/>
        <v>1.3762320996838386E-2</v>
      </c>
      <c r="AK295" s="8">
        <f t="shared" si="39"/>
        <v>1.6515405695470504E-2</v>
      </c>
      <c r="AL295" s="8">
        <f t="shared" si="39"/>
        <v>1.2419436874188674E-2</v>
      </c>
      <c r="AM295" s="8">
        <f t="shared" si="39"/>
        <v>1.7268913825777738E-2</v>
      </c>
      <c r="AN295" s="8">
        <f t="shared" si="39"/>
        <v>1.4471112500977249E-2</v>
      </c>
      <c r="AO295" s="8">
        <f t="shared" si="39"/>
        <v>1.9966174417416771E-2</v>
      </c>
      <c r="AP295" s="8">
        <f t="shared" si="39"/>
        <v>1.2540266912103084E-2</v>
      </c>
      <c r="AQ295" s="8">
        <f t="shared" si="39"/>
        <v>2.2868635703378153E-2</v>
      </c>
      <c r="AR295" s="8">
        <f t="shared" si="39"/>
        <v>1.4639653458664147E-2</v>
      </c>
    </row>
    <row r="296" spans="24:45" x14ac:dyDescent="0.3">
      <c r="X296" s="1" t="s">
        <v>72</v>
      </c>
      <c r="Y296" s="8">
        <f t="shared" si="40"/>
        <v>2.200888179232573E-2</v>
      </c>
      <c r="Z296" s="8">
        <f t="shared" si="39"/>
        <v>2.3591145773245035E-2</v>
      </c>
      <c r="AA296" s="8">
        <f t="shared" si="39"/>
        <v>8.7480535889229161E-3</v>
      </c>
      <c r="AB296" s="8">
        <f t="shared" si="39"/>
        <v>7.7524084589254442E-3</v>
      </c>
      <c r="AC296" s="8">
        <f t="shared" si="39"/>
        <v>2.0502062295548282E-2</v>
      </c>
      <c r="AD296" s="8">
        <f t="shared" si="39"/>
        <v>1.9329495801961319E-2</v>
      </c>
      <c r="AE296" s="8">
        <f t="shared" si="39"/>
        <v>1.6069328596309287E-2</v>
      </c>
      <c r="AF296" s="8">
        <f t="shared" si="39"/>
        <v>2.3375055177168872E-2</v>
      </c>
      <c r="AG296" s="8">
        <f t="shared" si="39"/>
        <v>1.6122525949854877E-2</v>
      </c>
      <c r="AH296" s="8">
        <f t="shared" si="39"/>
        <v>2.01482831340794E-2</v>
      </c>
      <c r="AI296" s="8">
        <f t="shared" si="39"/>
        <v>1.6937486907861267E-2</v>
      </c>
      <c r="AJ296" s="8">
        <f t="shared" si="39"/>
        <v>1.8829715214813449E-2</v>
      </c>
      <c r="AK296" s="8">
        <f t="shared" si="39"/>
        <v>1.7593738104301485E-2</v>
      </c>
      <c r="AL296" s="8">
        <f t="shared" si="39"/>
        <v>1.8844504257897608E-2</v>
      </c>
      <c r="AM296" s="8">
        <f t="shared" si="39"/>
        <v>2.0020263424518743E-2</v>
      </c>
      <c r="AN296" s="8">
        <f t="shared" si="39"/>
        <v>1.8186169655812004E-2</v>
      </c>
      <c r="AO296" s="8">
        <f t="shared" si="39"/>
        <v>2.2268702144162093E-2</v>
      </c>
      <c r="AP296" s="8">
        <f t="shared" si="39"/>
        <v>1.8578407761645911E-2</v>
      </c>
      <c r="AQ296" s="8">
        <f t="shared" si="39"/>
        <v>2.3656353712820672E-2</v>
      </c>
      <c r="AR296" s="8">
        <f t="shared" si="39"/>
        <v>2.1014450130384492E-2</v>
      </c>
    </row>
    <row r="297" spans="24:45" x14ac:dyDescent="0.3">
      <c r="X297" s="1" t="s">
        <v>73</v>
      </c>
      <c r="Y297" s="8">
        <f t="shared" si="40"/>
        <v>2.5444502549352856E-2</v>
      </c>
      <c r="Z297" s="8">
        <f t="shared" si="39"/>
        <v>2.1043806865089838E-2</v>
      </c>
      <c r="AA297" s="8">
        <f t="shared" si="39"/>
        <v>1.0529549208395441E-2</v>
      </c>
      <c r="AB297" s="8">
        <f t="shared" si="39"/>
        <v>1.0646777499430654E-2</v>
      </c>
      <c r="AC297" s="8">
        <f t="shared" si="39"/>
        <v>8.3353932862016117E-2</v>
      </c>
      <c r="AD297" s="8">
        <f t="shared" si="39"/>
        <v>1.7347211102215106E-2</v>
      </c>
      <c r="AE297" s="8">
        <f t="shared" si="39"/>
        <v>3.379321948346934E-2</v>
      </c>
      <c r="AF297" s="8">
        <f t="shared" si="39"/>
        <v>1.8200817849324001E-2</v>
      </c>
      <c r="AG297" s="8">
        <f t="shared" si="39"/>
        <v>2.7192900803624066E-2</v>
      </c>
      <c r="AH297" s="8">
        <f t="shared" si="39"/>
        <v>1.7978519529580454E-2</v>
      </c>
      <c r="AI297" s="8">
        <f t="shared" si="39"/>
        <v>2.8337337522331054E-2</v>
      </c>
      <c r="AJ297" s="8">
        <f t="shared" si="39"/>
        <v>1.8340638781837029E-2</v>
      </c>
      <c r="AK297" s="8">
        <f t="shared" si="39"/>
        <v>2.913735468742204E-2</v>
      </c>
      <c r="AL297" s="8">
        <f t="shared" si="39"/>
        <v>2.084808979191536E-2</v>
      </c>
      <c r="AM297" s="8">
        <f t="shared" si="39"/>
        <v>3.0310703704641565E-2</v>
      </c>
      <c r="AN297" s="8">
        <f t="shared" si="39"/>
        <v>2.6756153735425364E-2</v>
      </c>
      <c r="AO297" s="8">
        <f t="shared" si="39"/>
        <v>3.2543245741449886E-2</v>
      </c>
      <c r="AP297" s="8">
        <f t="shared" si="39"/>
        <v>3.0598599858412651E-2</v>
      </c>
      <c r="AQ297" s="8">
        <f t="shared" si="39"/>
        <v>3.2882450588784563E-2</v>
      </c>
      <c r="AR297" s="8">
        <f t="shared" si="39"/>
        <v>3.6260395831140123E-2</v>
      </c>
    </row>
    <row r="298" spans="24:45" x14ac:dyDescent="0.3">
      <c r="AS298" s="9">
        <f>AVERAGE(Y290:AR297)</f>
        <v>3.430393109044521E-2</v>
      </c>
    </row>
    <row r="300" spans="24:45" x14ac:dyDescent="0.3">
      <c r="X300" s="7" t="s">
        <v>79</v>
      </c>
    </row>
    <row r="301" spans="24:45" x14ac:dyDescent="0.3">
      <c r="X301" s="1" t="s">
        <v>6</v>
      </c>
      <c r="Y301" s="1" t="s">
        <v>63</v>
      </c>
      <c r="Z301" s="1" t="s">
        <v>64</v>
      </c>
      <c r="AA301" s="1" t="s">
        <v>63</v>
      </c>
      <c r="AB301" s="1" t="s">
        <v>64</v>
      </c>
      <c r="AC301" s="1" t="s">
        <v>63</v>
      </c>
      <c r="AD301" s="1" t="s">
        <v>64</v>
      </c>
      <c r="AE301" s="1" t="s">
        <v>63</v>
      </c>
      <c r="AF301" s="1" t="s">
        <v>64</v>
      </c>
      <c r="AG301" s="1" t="s">
        <v>63</v>
      </c>
      <c r="AH301" s="1" t="s">
        <v>64</v>
      </c>
      <c r="AI301" s="1" t="s">
        <v>63</v>
      </c>
      <c r="AJ301" s="1" t="s">
        <v>64</v>
      </c>
      <c r="AK301" s="1" t="s">
        <v>63</v>
      </c>
      <c r="AL301" s="1" t="s">
        <v>64</v>
      </c>
      <c r="AM301" s="1" t="s">
        <v>63</v>
      </c>
      <c r="AN301" s="1" t="s">
        <v>64</v>
      </c>
      <c r="AO301" s="1" t="s">
        <v>63</v>
      </c>
      <c r="AP301" s="1" t="s">
        <v>64</v>
      </c>
      <c r="AQ301" s="1" t="s">
        <v>63</v>
      </c>
      <c r="AR301" s="1" t="s">
        <v>64</v>
      </c>
    </row>
    <row r="302" spans="24:45" x14ac:dyDescent="0.3">
      <c r="X302" s="1" t="s">
        <v>65</v>
      </c>
      <c r="Y302" s="1" t="s">
        <v>53</v>
      </c>
      <c r="Z302" s="1" t="s">
        <v>53</v>
      </c>
      <c r="AA302" s="1" t="s">
        <v>54</v>
      </c>
      <c r="AB302" s="1" t="s">
        <v>54</v>
      </c>
      <c r="AC302" s="1" t="s">
        <v>55</v>
      </c>
      <c r="AD302" s="1" t="s">
        <v>55</v>
      </c>
      <c r="AE302" s="1" t="s">
        <v>56</v>
      </c>
      <c r="AF302" s="1" t="s">
        <v>56</v>
      </c>
      <c r="AG302" s="1" t="s">
        <v>57</v>
      </c>
      <c r="AH302" s="1" t="s">
        <v>57</v>
      </c>
      <c r="AI302" s="1" t="s">
        <v>58</v>
      </c>
      <c r="AJ302" s="1" t="s">
        <v>58</v>
      </c>
      <c r="AK302" s="1" t="s">
        <v>59</v>
      </c>
      <c r="AL302" s="1" t="s">
        <v>59</v>
      </c>
      <c r="AM302" s="1" t="s">
        <v>60</v>
      </c>
      <c r="AN302" s="1" t="s">
        <v>60</v>
      </c>
      <c r="AO302" s="1" t="s">
        <v>61</v>
      </c>
      <c r="AP302" s="1" t="s">
        <v>61</v>
      </c>
      <c r="AQ302" s="1" t="s">
        <v>62</v>
      </c>
      <c r="AR302" s="1" t="s">
        <v>62</v>
      </c>
    </row>
    <row r="303" spans="24:45" x14ac:dyDescent="0.3">
      <c r="X303" s="1" t="s">
        <v>7</v>
      </c>
      <c r="Y303">
        <v>1.3</v>
      </c>
      <c r="Z303">
        <v>1.3</v>
      </c>
      <c r="AA303">
        <v>1.3</v>
      </c>
      <c r="AB303">
        <v>1.3</v>
      </c>
      <c r="AC303">
        <v>0.5</v>
      </c>
      <c r="AD303">
        <v>0.5</v>
      </c>
      <c r="AE303">
        <v>1.6</v>
      </c>
      <c r="AF303">
        <v>1.6</v>
      </c>
      <c r="AG303">
        <v>2</v>
      </c>
      <c r="AH303">
        <v>2</v>
      </c>
      <c r="AI303">
        <v>3.6</v>
      </c>
      <c r="AJ303">
        <v>3.6</v>
      </c>
      <c r="AK303">
        <v>2.9</v>
      </c>
      <c r="AL303">
        <v>2.9</v>
      </c>
      <c r="AM303">
        <v>3.8</v>
      </c>
      <c r="AN303">
        <v>3.8</v>
      </c>
      <c r="AO303">
        <v>3.4</v>
      </c>
      <c r="AP303">
        <v>3.4</v>
      </c>
      <c r="AQ303">
        <v>4.5</v>
      </c>
      <c r="AR303">
        <v>4.5</v>
      </c>
    </row>
    <row r="304" spans="24:45" x14ac:dyDescent="0.3">
      <c r="X304" s="1" t="s">
        <v>66</v>
      </c>
      <c r="Y304" s="8">
        <f>Y107/(Y135+Y163+Y191+Y107)</f>
        <v>0.90577162069729589</v>
      </c>
      <c r="Z304" s="8">
        <f t="shared" ref="Z304:AR311" si="41">Z107/(Z135+Z163+Z191+Z107)</f>
        <v>0.88625688635323518</v>
      </c>
      <c r="AA304" s="8">
        <f t="shared" si="41"/>
        <v>0.96498597465570946</v>
      </c>
      <c r="AB304" s="8">
        <f t="shared" si="41"/>
        <v>0.96096376540903994</v>
      </c>
      <c r="AC304" s="8">
        <f t="shared" si="41"/>
        <v>0.93872580915022963</v>
      </c>
      <c r="AD304" s="8">
        <f t="shared" si="41"/>
        <v>0.91912434525165121</v>
      </c>
      <c r="AE304" s="8">
        <f t="shared" si="41"/>
        <v>0.90002310524685736</v>
      </c>
      <c r="AF304" s="8">
        <f t="shared" si="41"/>
        <v>0.87042799432252427</v>
      </c>
      <c r="AG304" s="8">
        <f t="shared" si="41"/>
        <v>0.90969603133642996</v>
      </c>
      <c r="AH304" s="8">
        <f t="shared" si="41"/>
        <v>0.85048829638815693</v>
      </c>
      <c r="AI304" s="8">
        <f t="shared" si="41"/>
        <v>0.91349011583861583</v>
      </c>
      <c r="AJ304" s="8">
        <f t="shared" si="41"/>
        <v>0.84759951638328146</v>
      </c>
      <c r="AK304" s="8">
        <f t="shared" si="41"/>
        <v>0.90295038454886545</v>
      </c>
      <c r="AL304" s="8">
        <f t="shared" si="41"/>
        <v>0.83721453481831487</v>
      </c>
      <c r="AM304" s="8">
        <f t="shared" si="41"/>
        <v>0.89900024407636236</v>
      </c>
      <c r="AN304" s="8">
        <f t="shared" si="41"/>
        <v>0.8445810503808634</v>
      </c>
      <c r="AO304" s="8">
        <f t="shared" si="41"/>
        <v>0.84323302347565776</v>
      </c>
      <c r="AP304" s="8">
        <f t="shared" si="41"/>
        <v>0.76479426722145161</v>
      </c>
      <c r="AQ304" s="8">
        <f t="shared" si="41"/>
        <v>0.868302130406714</v>
      </c>
      <c r="AR304" s="8">
        <f t="shared" si="41"/>
        <v>0.73654390934844194</v>
      </c>
    </row>
    <row r="305" spans="24:45" x14ac:dyDescent="0.3">
      <c r="X305" s="1" t="s">
        <v>67</v>
      </c>
      <c r="Y305" s="8">
        <f t="shared" ref="Y305:AN311" si="42">Y108/(Y136+Y164+Y192+Y108)</f>
        <v>0.95713073883268152</v>
      </c>
      <c r="Z305" s="8">
        <f t="shared" si="42"/>
        <v>0.93796660547250632</v>
      </c>
      <c r="AA305" s="8">
        <f t="shared" si="42"/>
        <v>0.97682965344971151</v>
      </c>
      <c r="AB305" s="8">
        <f t="shared" si="42"/>
        <v>0.96064796890244852</v>
      </c>
      <c r="AC305" s="8">
        <f t="shared" si="42"/>
        <v>0.96180296364531559</v>
      </c>
      <c r="AD305" s="8">
        <f t="shared" si="42"/>
        <v>0.95031166066994377</v>
      </c>
      <c r="AE305" s="8">
        <f t="shared" si="42"/>
        <v>0.97007806879646152</v>
      </c>
      <c r="AF305" s="8">
        <f t="shared" si="42"/>
        <v>0.93451023370160835</v>
      </c>
      <c r="AG305" s="8">
        <f t="shared" si="42"/>
        <v>0.96805319372528031</v>
      </c>
      <c r="AH305" s="8">
        <f t="shared" si="42"/>
        <v>0.93618825185564369</v>
      </c>
      <c r="AI305" s="8">
        <f t="shared" si="42"/>
        <v>0.96847915653201222</v>
      </c>
      <c r="AJ305" s="8">
        <f t="shared" si="42"/>
        <v>0.93512006589368302</v>
      </c>
      <c r="AK305" s="8">
        <f t="shared" si="42"/>
        <v>0.95924745828671498</v>
      </c>
      <c r="AL305" s="8">
        <f t="shared" si="42"/>
        <v>0.94696439037639557</v>
      </c>
      <c r="AM305" s="8">
        <f t="shared" si="42"/>
        <v>0.95756249920967118</v>
      </c>
      <c r="AN305" s="8">
        <f t="shared" si="42"/>
        <v>0.95350903990890656</v>
      </c>
      <c r="AO305" s="8">
        <f t="shared" si="41"/>
        <v>0.96149446707879749</v>
      </c>
      <c r="AP305" s="8">
        <f t="shared" si="41"/>
        <v>0.93803056027164688</v>
      </c>
      <c r="AQ305" s="8">
        <f t="shared" si="41"/>
        <v>0.95497314762258223</v>
      </c>
      <c r="AR305" s="8">
        <f t="shared" si="41"/>
        <v>0.93350355239786853</v>
      </c>
    </row>
    <row r="306" spans="24:45" x14ac:dyDescent="0.3">
      <c r="X306" s="1" t="s">
        <v>68</v>
      </c>
      <c r="Y306" s="8">
        <f t="shared" si="42"/>
        <v>0.93917517034262277</v>
      </c>
      <c r="Z306" s="8">
        <f t="shared" si="41"/>
        <v>0.9300908612623886</v>
      </c>
      <c r="AA306" s="8">
        <f t="shared" si="41"/>
        <v>0.9639573233728046</v>
      </c>
      <c r="AB306" s="8">
        <f t="shared" si="41"/>
        <v>0.95731951364257428</v>
      </c>
      <c r="AC306" s="8">
        <f t="shared" si="41"/>
        <v>0.92686877732708217</v>
      </c>
      <c r="AD306" s="8">
        <f t="shared" si="41"/>
        <v>0.92497451406461817</v>
      </c>
      <c r="AE306" s="8">
        <f t="shared" si="41"/>
        <v>0.93990014704373692</v>
      </c>
      <c r="AF306" s="8">
        <f t="shared" si="41"/>
        <v>0.92110014399009232</v>
      </c>
      <c r="AG306" s="8">
        <f t="shared" si="41"/>
        <v>0.93374953652809123</v>
      </c>
      <c r="AH306" s="8">
        <f t="shared" si="41"/>
        <v>0.91646425464037118</v>
      </c>
      <c r="AI306" s="8">
        <f t="shared" si="41"/>
        <v>0.93574564299705165</v>
      </c>
      <c r="AJ306" s="8">
        <f t="shared" si="41"/>
        <v>0.91297417915205603</v>
      </c>
      <c r="AK306" s="8">
        <f t="shared" si="41"/>
        <v>0.92310306300554523</v>
      </c>
      <c r="AL306" s="8">
        <f t="shared" si="41"/>
        <v>0.9170176437108708</v>
      </c>
      <c r="AM306" s="8">
        <f t="shared" si="41"/>
        <v>0.92361537560476925</v>
      </c>
      <c r="AN306" s="8">
        <f t="shared" si="41"/>
        <v>0.92767897555823775</v>
      </c>
      <c r="AO306" s="8">
        <f t="shared" si="41"/>
        <v>0.93510211450530745</v>
      </c>
      <c r="AP306" s="8">
        <f t="shared" si="41"/>
        <v>0.90792293791687417</v>
      </c>
      <c r="AQ306" s="8">
        <f t="shared" si="41"/>
        <v>0.92579808168858047</v>
      </c>
      <c r="AR306" s="8">
        <f t="shared" si="41"/>
        <v>0.91946734305643618</v>
      </c>
    </row>
    <row r="307" spans="24:45" x14ac:dyDescent="0.3">
      <c r="X307" s="1" t="s">
        <v>69</v>
      </c>
      <c r="Y307" s="8">
        <f t="shared" si="42"/>
        <v>0.92911303718938221</v>
      </c>
      <c r="Z307" s="8">
        <f t="shared" si="41"/>
        <v>0.92089202778950607</v>
      </c>
      <c r="AA307" s="8">
        <f t="shared" si="41"/>
        <v>0.96182675601886325</v>
      </c>
      <c r="AB307" s="8">
        <f t="shared" si="41"/>
        <v>0.94893335192414952</v>
      </c>
      <c r="AC307" s="8">
        <f t="shared" si="41"/>
        <v>0.92496220586302091</v>
      </c>
      <c r="AD307" s="8">
        <f t="shared" si="41"/>
        <v>0.93823532382019981</v>
      </c>
      <c r="AE307" s="8">
        <f t="shared" si="41"/>
        <v>0.92419563062131338</v>
      </c>
      <c r="AF307" s="8">
        <f t="shared" si="41"/>
        <v>0.92645881228527893</v>
      </c>
      <c r="AG307" s="8">
        <f t="shared" si="41"/>
        <v>0.92258880348586525</v>
      </c>
      <c r="AH307" s="8">
        <f t="shared" si="41"/>
        <v>0.91798785005185946</v>
      </c>
      <c r="AI307" s="8">
        <f t="shared" si="41"/>
        <v>0.92149628373475112</v>
      </c>
      <c r="AJ307" s="8">
        <f t="shared" si="41"/>
        <v>0.91315519013360746</v>
      </c>
      <c r="AK307" s="8">
        <f t="shared" si="41"/>
        <v>0.91476734985183006</v>
      </c>
      <c r="AL307" s="8">
        <f t="shared" si="41"/>
        <v>0.91840956102045501</v>
      </c>
      <c r="AM307" s="8">
        <f t="shared" si="41"/>
        <v>0.91568880424320609</v>
      </c>
      <c r="AN307" s="8">
        <f t="shared" si="41"/>
        <v>0.91493344090359008</v>
      </c>
      <c r="AO307" s="8">
        <f t="shared" si="41"/>
        <v>0.9202597814034531</v>
      </c>
      <c r="AP307" s="8">
        <f t="shared" si="41"/>
        <v>0.91106146811407018</v>
      </c>
      <c r="AQ307" s="8">
        <f t="shared" si="41"/>
        <v>0.91242240406320552</v>
      </c>
      <c r="AR307" s="8">
        <f t="shared" si="41"/>
        <v>0.9120875060049517</v>
      </c>
    </row>
    <row r="308" spans="24:45" x14ac:dyDescent="0.3">
      <c r="X308" s="1" t="s">
        <v>70</v>
      </c>
      <c r="Y308" s="8">
        <f t="shared" si="42"/>
        <v>0.93411345037134308</v>
      </c>
      <c r="Z308" s="8">
        <f t="shared" si="41"/>
        <v>0.93791724965020984</v>
      </c>
      <c r="AA308" s="8">
        <f t="shared" si="41"/>
        <v>0.96313199592304599</v>
      </c>
      <c r="AB308" s="8">
        <f t="shared" si="41"/>
        <v>0.96560506179660488</v>
      </c>
      <c r="AC308" s="8">
        <f t="shared" si="41"/>
        <v>0.94123951214940327</v>
      </c>
      <c r="AD308" s="8">
        <f t="shared" si="41"/>
        <v>0.94607293256588021</v>
      </c>
      <c r="AE308" s="8">
        <f t="shared" si="41"/>
        <v>0.94083280616231901</v>
      </c>
      <c r="AF308" s="8">
        <f t="shared" si="41"/>
        <v>0.93635934014810074</v>
      </c>
      <c r="AG308" s="8">
        <f t="shared" si="41"/>
        <v>0.93691735344824179</v>
      </c>
      <c r="AH308" s="8">
        <f t="shared" si="41"/>
        <v>0.93941804997637046</v>
      </c>
      <c r="AI308" s="8">
        <f t="shared" si="41"/>
        <v>0.93897543466271249</v>
      </c>
      <c r="AJ308" s="8">
        <f t="shared" si="41"/>
        <v>0.94399186288493475</v>
      </c>
      <c r="AK308" s="8">
        <f t="shared" si="41"/>
        <v>0.93602690987057779</v>
      </c>
      <c r="AL308" s="8">
        <f t="shared" si="41"/>
        <v>0.94376391716692964</v>
      </c>
      <c r="AM308" s="8">
        <f t="shared" si="41"/>
        <v>0.93337088965590209</v>
      </c>
      <c r="AN308" s="8">
        <f t="shared" si="41"/>
        <v>0.93780951956998337</v>
      </c>
      <c r="AO308" s="8">
        <f t="shared" si="41"/>
        <v>0.92833059674366725</v>
      </c>
      <c r="AP308" s="8">
        <f t="shared" si="41"/>
        <v>0.94203913079285151</v>
      </c>
      <c r="AQ308" s="8">
        <f t="shared" si="41"/>
        <v>0.92925996228436603</v>
      </c>
      <c r="AR308" s="8">
        <f t="shared" si="41"/>
        <v>0.93686193584920041</v>
      </c>
    </row>
    <row r="309" spans="24:45" x14ac:dyDescent="0.3">
      <c r="X309" s="1" t="s">
        <v>71</v>
      </c>
      <c r="Y309" s="8">
        <f t="shared" si="42"/>
        <v>0.95702514167840391</v>
      </c>
      <c r="Z309" s="8">
        <f t="shared" si="41"/>
        <v>0.96014668133480019</v>
      </c>
      <c r="AA309" s="8">
        <f t="shared" si="41"/>
        <v>0.97703148339238433</v>
      </c>
      <c r="AB309" s="8">
        <f t="shared" si="41"/>
        <v>0.98104474785938189</v>
      </c>
      <c r="AC309" s="8">
        <f t="shared" si="41"/>
        <v>0.95644806975120478</v>
      </c>
      <c r="AD309" s="8">
        <f t="shared" si="41"/>
        <v>0.96736680519675022</v>
      </c>
      <c r="AE309" s="8">
        <f t="shared" si="41"/>
        <v>0.96330844505930457</v>
      </c>
      <c r="AF309" s="8">
        <f t="shared" si="41"/>
        <v>0.96231989455024769</v>
      </c>
      <c r="AG309" s="8">
        <f t="shared" si="41"/>
        <v>0.96283750773540044</v>
      </c>
      <c r="AH309" s="8">
        <f t="shared" si="41"/>
        <v>0.96272717938186669</v>
      </c>
      <c r="AI309" s="8">
        <f t="shared" si="41"/>
        <v>0.95883226536779909</v>
      </c>
      <c r="AJ309" s="8">
        <f t="shared" si="41"/>
        <v>0.96673662955976514</v>
      </c>
      <c r="AK309" s="8">
        <f t="shared" si="41"/>
        <v>0.95938356378489331</v>
      </c>
      <c r="AL309" s="8">
        <f t="shared" si="41"/>
        <v>0.97065186860903818</v>
      </c>
      <c r="AM309" s="8">
        <f t="shared" si="41"/>
        <v>0.95808402359304135</v>
      </c>
      <c r="AN309" s="8">
        <f t="shared" si="41"/>
        <v>0.96426393557970447</v>
      </c>
      <c r="AO309" s="8">
        <f t="shared" si="41"/>
        <v>0.95265553525011626</v>
      </c>
      <c r="AP309" s="8">
        <f t="shared" si="41"/>
        <v>0.97243265248327371</v>
      </c>
      <c r="AQ309" s="8">
        <f t="shared" si="41"/>
        <v>0.9520776689386321</v>
      </c>
      <c r="AR309" s="8">
        <f t="shared" si="41"/>
        <v>0.96518633959578359</v>
      </c>
    </row>
    <row r="310" spans="24:45" x14ac:dyDescent="0.3">
      <c r="X310" s="1" t="s">
        <v>72</v>
      </c>
      <c r="Y310" s="8">
        <f t="shared" si="42"/>
        <v>0.96362856144902953</v>
      </c>
      <c r="Z310" s="8">
        <f t="shared" si="41"/>
        <v>0.96034557019466671</v>
      </c>
      <c r="AA310" s="8">
        <f t="shared" si="41"/>
        <v>0.98045322073967323</v>
      </c>
      <c r="AB310" s="8">
        <f t="shared" si="41"/>
        <v>0.98156772513311896</v>
      </c>
      <c r="AC310" s="8">
        <f t="shared" si="41"/>
        <v>0.9631228369601289</v>
      </c>
      <c r="AD310" s="8">
        <f t="shared" si="41"/>
        <v>0.96733567367587425</v>
      </c>
      <c r="AE310" s="8">
        <f t="shared" si="41"/>
        <v>0.96664814199163418</v>
      </c>
      <c r="AF310" s="8">
        <f t="shared" si="41"/>
        <v>0.95895365847430114</v>
      </c>
      <c r="AG310" s="8">
        <f t="shared" si="41"/>
        <v>0.96587573586081366</v>
      </c>
      <c r="AH310" s="8">
        <f t="shared" si="41"/>
        <v>0.96291599003607875</v>
      </c>
      <c r="AI310" s="8">
        <f t="shared" si="41"/>
        <v>0.96547864859203392</v>
      </c>
      <c r="AJ310" s="8">
        <f t="shared" si="41"/>
        <v>0.965295597870508</v>
      </c>
      <c r="AK310" s="8">
        <f t="shared" si="41"/>
        <v>0.96638275599543211</v>
      </c>
      <c r="AL310" s="8">
        <f t="shared" si="41"/>
        <v>0.96669628303667965</v>
      </c>
      <c r="AM310" s="8">
        <f t="shared" si="41"/>
        <v>0.96254778790949003</v>
      </c>
      <c r="AN310" s="8">
        <f t="shared" si="41"/>
        <v>0.96503971399937172</v>
      </c>
      <c r="AO310" s="8">
        <f t="shared" si="41"/>
        <v>0.95895471638466268</v>
      </c>
      <c r="AP310" s="8">
        <f t="shared" si="41"/>
        <v>0.96792816348998834</v>
      </c>
      <c r="AQ310" s="8">
        <f t="shared" si="41"/>
        <v>0.95952938955911726</v>
      </c>
      <c r="AR310" s="8">
        <f t="shared" si="41"/>
        <v>0.96343744485618499</v>
      </c>
    </row>
    <row r="311" spans="24:45" x14ac:dyDescent="0.3">
      <c r="X311" s="1" t="s">
        <v>73</v>
      </c>
      <c r="Y311" s="8">
        <f t="shared" si="42"/>
        <v>0.96232623000827988</v>
      </c>
      <c r="Z311" s="8">
        <f t="shared" si="41"/>
        <v>0.97086209391197786</v>
      </c>
      <c r="AA311" s="8">
        <f t="shared" si="41"/>
        <v>0.98400173226443222</v>
      </c>
      <c r="AB311" s="8">
        <f t="shared" si="41"/>
        <v>0.9831663250588325</v>
      </c>
      <c r="AC311" s="8">
        <f t="shared" si="41"/>
        <v>0.90307509764176597</v>
      </c>
      <c r="AD311" s="8">
        <f t="shared" si="41"/>
        <v>0.97629828000331287</v>
      </c>
      <c r="AE311" s="8">
        <f t="shared" si="41"/>
        <v>0.95511903760410544</v>
      </c>
      <c r="AF311" s="8">
        <f t="shared" si="41"/>
        <v>0.97513634420488549</v>
      </c>
      <c r="AG311" s="8">
        <f t="shared" si="41"/>
        <v>0.96080548574265412</v>
      </c>
      <c r="AH311" s="8">
        <f t="shared" si="41"/>
        <v>0.97613434255697573</v>
      </c>
      <c r="AI311" s="8">
        <f t="shared" si="41"/>
        <v>0.96215733382615654</v>
      </c>
      <c r="AJ311" s="8">
        <f t="shared" si="41"/>
        <v>0.97579107464119552</v>
      </c>
      <c r="AK311" s="8">
        <f t="shared" si="41"/>
        <v>0.96057226962031628</v>
      </c>
      <c r="AL311" s="8">
        <f t="shared" si="41"/>
        <v>0.9716378802213097</v>
      </c>
      <c r="AM311" s="8">
        <f t="shared" si="41"/>
        <v>0.96154820085589121</v>
      </c>
      <c r="AN311" s="8">
        <f t="shared" si="41"/>
        <v>0.96547070677990499</v>
      </c>
      <c r="AO311" s="8">
        <f t="shared" si="41"/>
        <v>0.95624587349795331</v>
      </c>
      <c r="AP311" s="8">
        <f t="shared" si="41"/>
        <v>0.96157476598757186</v>
      </c>
      <c r="AQ311" s="8">
        <f t="shared" si="41"/>
        <v>0.95591248638273585</v>
      </c>
      <c r="AR311" s="8">
        <f t="shared" si="41"/>
        <v>0.95471233814085699</v>
      </c>
    </row>
    <row r="312" spans="24:45" x14ac:dyDescent="0.3">
      <c r="AS312" s="9">
        <f>AVERAGE(Y304:AR311)</f>
        <v>0.93965851084629182</v>
      </c>
    </row>
  </sheetData>
  <mergeCells count="18">
    <mergeCell ref="AI90:AR90"/>
    <mergeCell ref="Y146:AH146"/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</mergeCells>
  <conditionalFormatting sqref="Y262:AR26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135:CL1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2026-01-26T10:06:00Z</dcterms:created>
  <dcterms:modified xsi:type="dcterms:W3CDTF">2026-01-30T09:10:52Z</dcterms:modified>
</cp:coreProperties>
</file>