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I24_python_model_rafa\outputs\2026-01-26\18-26-50_1\"/>
    </mc:Choice>
  </mc:AlternateContent>
  <xr:revisionPtr revIDLastSave="0" documentId="13_ncr:1_{8D9BACC6-1D59-4FC0-B5C2-867FAFDD79DC}" xr6:coauthVersionLast="47" xr6:coauthVersionMax="47" xr10:uidLastSave="{00000000-0000-0000-0000-000000000000}"/>
  <bookViews>
    <workbookView xWindow="11424" yWindow="0" windowWidth="11712" windowHeight="12336" activeTab="1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311" i="2" l="1"/>
  <c r="AQ311" i="2"/>
  <c r="AP311" i="2"/>
  <c r="AO311" i="2"/>
  <c r="AN311" i="2"/>
  <c r="AM311" i="2"/>
  <c r="AL311" i="2"/>
  <c r="AK311" i="2"/>
  <c r="AJ311" i="2"/>
  <c r="AI311" i="2"/>
  <c r="AH311" i="2"/>
  <c r="AG311" i="2"/>
  <c r="AF311" i="2"/>
  <c r="AE311" i="2"/>
  <c r="AD311" i="2"/>
  <c r="AC311" i="2"/>
  <c r="AB311" i="2"/>
  <c r="AA311" i="2"/>
  <c r="Z311" i="2"/>
  <c r="Y311" i="2"/>
  <c r="AR310" i="2"/>
  <c r="AQ310" i="2"/>
  <c r="AP310" i="2"/>
  <c r="AO310" i="2"/>
  <c r="AN310" i="2"/>
  <c r="AM310" i="2"/>
  <c r="AL310" i="2"/>
  <c r="AK310" i="2"/>
  <c r="AJ310" i="2"/>
  <c r="AI310" i="2"/>
  <c r="AH310" i="2"/>
  <c r="AG310" i="2"/>
  <c r="AF310" i="2"/>
  <c r="AE310" i="2"/>
  <c r="AD310" i="2"/>
  <c r="AC310" i="2"/>
  <c r="AB310" i="2"/>
  <c r="AA310" i="2"/>
  <c r="Z310" i="2"/>
  <c r="Y310" i="2"/>
  <c r="AR309" i="2"/>
  <c r="AQ309" i="2"/>
  <c r="AP309" i="2"/>
  <c r="AO309" i="2"/>
  <c r="AN309" i="2"/>
  <c r="AM309" i="2"/>
  <c r="AL309" i="2"/>
  <c r="AK309" i="2"/>
  <c r="AJ309" i="2"/>
  <c r="AI309" i="2"/>
  <c r="AH309" i="2"/>
  <c r="AG309" i="2"/>
  <c r="AF309" i="2"/>
  <c r="AE309" i="2"/>
  <c r="AD309" i="2"/>
  <c r="AC309" i="2"/>
  <c r="AB309" i="2"/>
  <c r="AA309" i="2"/>
  <c r="Z309" i="2"/>
  <c r="Y309" i="2"/>
  <c r="AR308" i="2"/>
  <c r="AQ308" i="2"/>
  <c r="AP308" i="2"/>
  <c r="AO308" i="2"/>
  <c r="AN308" i="2"/>
  <c r="AM308" i="2"/>
  <c r="AL308" i="2"/>
  <c r="AK308" i="2"/>
  <c r="AJ308" i="2"/>
  <c r="AI308" i="2"/>
  <c r="AH308" i="2"/>
  <c r="AG308" i="2"/>
  <c r="AF308" i="2"/>
  <c r="AE308" i="2"/>
  <c r="AD308" i="2"/>
  <c r="AC308" i="2"/>
  <c r="AB308" i="2"/>
  <c r="AA308" i="2"/>
  <c r="Z308" i="2"/>
  <c r="Y308" i="2"/>
  <c r="AR307" i="2"/>
  <c r="AQ307" i="2"/>
  <c r="AP307" i="2"/>
  <c r="AO307" i="2"/>
  <c r="AN307" i="2"/>
  <c r="AM307" i="2"/>
  <c r="AL307" i="2"/>
  <c r="AK307" i="2"/>
  <c r="AJ307" i="2"/>
  <c r="AI307" i="2"/>
  <c r="AH307" i="2"/>
  <c r="AG307" i="2"/>
  <c r="AF307" i="2"/>
  <c r="AE307" i="2"/>
  <c r="AD307" i="2"/>
  <c r="AC307" i="2"/>
  <c r="AB307" i="2"/>
  <c r="AA307" i="2"/>
  <c r="Z307" i="2"/>
  <c r="Y307" i="2"/>
  <c r="AR306" i="2"/>
  <c r="AQ306" i="2"/>
  <c r="AP306" i="2"/>
  <c r="AO306" i="2"/>
  <c r="AN306" i="2"/>
  <c r="AM306" i="2"/>
  <c r="AL306" i="2"/>
  <c r="AK306" i="2"/>
  <c r="AJ306" i="2"/>
  <c r="AI306" i="2"/>
  <c r="AH306" i="2"/>
  <c r="AG306" i="2"/>
  <c r="AF306" i="2"/>
  <c r="AE306" i="2"/>
  <c r="AD306" i="2"/>
  <c r="AC306" i="2"/>
  <c r="AB306" i="2"/>
  <c r="AA306" i="2"/>
  <c r="Z306" i="2"/>
  <c r="Y306" i="2"/>
  <c r="AR305" i="2"/>
  <c r="AQ305" i="2"/>
  <c r="AP305" i="2"/>
  <c r="AO305" i="2"/>
  <c r="AN305" i="2"/>
  <c r="AM305" i="2"/>
  <c r="AL305" i="2"/>
  <c r="AK305" i="2"/>
  <c r="AJ305" i="2"/>
  <c r="AI305" i="2"/>
  <c r="AH305" i="2"/>
  <c r="AG305" i="2"/>
  <c r="AF305" i="2"/>
  <c r="AE305" i="2"/>
  <c r="AD305" i="2"/>
  <c r="AC305" i="2"/>
  <c r="AB305" i="2"/>
  <c r="AA305" i="2"/>
  <c r="Z305" i="2"/>
  <c r="Y305" i="2"/>
  <c r="AR304" i="2"/>
  <c r="AQ304" i="2"/>
  <c r="AP304" i="2"/>
  <c r="AO304" i="2"/>
  <c r="AN304" i="2"/>
  <c r="AM304" i="2"/>
  <c r="AL304" i="2"/>
  <c r="AK304" i="2"/>
  <c r="AJ304" i="2"/>
  <c r="AI304" i="2"/>
  <c r="AH304" i="2"/>
  <c r="AG304" i="2"/>
  <c r="AF304" i="2"/>
  <c r="AE304" i="2"/>
  <c r="AD304" i="2"/>
  <c r="AC304" i="2"/>
  <c r="AB304" i="2"/>
  <c r="AA304" i="2"/>
  <c r="Z304" i="2"/>
  <c r="Y304" i="2"/>
  <c r="AS312" i="2" s="1"/>
  <c r="AR297" i="2"/>
  <c r="AQ297" i="2"/>
  <c r="AP297" i="2"/>
  <c r="AO297" i="2"/>
  <c r="AN297" i="2"/>
  <c r="AM297" i="2"/>
  <c r="AL297" i="2"/>
  <c r="AK297" i="2"/>
  <c r="AJ297" i="2"/>
  <c r="AI297" i="2"/>
  <c r="AH297" i="2"/>
  <c r="AG297" i="2"/>
  <c r="AF297" i="2"/>
  <c r="AE297" i="2"/>
  <c r="AD297" i="2"/>
  <c r="AC297" i="2"/>
  <c r="AB297" i="2"/>
  <c r="AA297" i="2"/>
  <c r="Z297" i="2"/>
  <c r="Y297" i="2"/>
  <c r="AR296" i="2"/>
  <c r="AQ296" i="2"/>
  <c r="AP296" i="2"/>
  <c r="AO296" i="2"/>
  <c r="AN296" i="2"/>
  <c r="AM296" i="2"/>
  <c r="AL296" i="2"/>
  <c r="AK296" i="2"/>
  <c r="AJ296" i="2"/>
  <c r="AI296" i="2"/>
  <c r="AH296" i="2"/>
  <c r="AG296" i="2"/>
  <c r="AF296" i="2"/>
  <c r="AE296" i="2"/>
  <c r="AD296" i="2"/>
  <c r="AC296" i="2"/>
  <c r="AB296" i="2"/>
  <c r="AA296" i="2"/>
  <c r="Z296" i="2"/>
  <c r="Y296" i="2"/>
  <c r="AR295" i="2"/>
  <c r="AQ295" i="2"/>
  <c r="AP295" i="2"/>
  <c r="AO295" i="2"/>
  <c r="AN295" i="2"/>
  <c r="AM295" i="2"/>
  <c r="AL295" i="2"/>
  <c r="AK295" i="2"/>
  <c r="AJ295" i="2"/>
  <c r="AI295" i="2"/>
  <c r="AH295" i="2"/>
  <c r="AG295" i="2"/>
  <c r="AF295" i="2"/>
  <c r="AE295" i="2"/>
  <c r="AD295" i="2"/>
  <c r="AC295" i="2"/>
  <c r="AB295" i="2"/>
  <c r="AA295" i="2"/>
  <c r="Z295" i="2"/>
  <c r="Y295" i="2"/>
  <c r="AR294" i="2"/>
  <c r="AQ294" i="2"/>
  <c r="AP294" i="2"/>
  <c r="AO294" i="2"/>
  <c r="AN294" i="2"/>
  <c r="AM294" i="2"/>
  <c r="AL294" i="2"/>
  <c r="AK294" i="2"/>
  <c r="AJ294" i="2"/>
  <c r="AI294" i="2"/>
  <c r="AH294" i="2"/>
  <c r="AG294" i="2"/>
  <c r="AF294" i="2"/>
  <c r="AE294" i="2"/>
  <c r="AD294" i="2"/>
  <c r="AC294" i="2"/>
  <c r="AB294" i="2"/>
  <c r="AA294" i="2"/>
  <c r="Z294" i="2"/>
  <c r="Y294" i="2"/>
  <c r="AR293" i="2"/>
  <c r="AQ293" i="2"/>
  <c r="AP293" i="2"/>
  <c r="AO293" i="2"/>
  <c r="AN293" i="2"/>
  <c r="AM293" i="2"/>
  <c r="AL293" i="2"/>
  <c r="AK293" i="2"/>
  <c r="AJ293" i="2"/>
  <c r="AI293" i="2"/>
  <c r="AH293" i="2"/>
  <c r="AG293" i="2"/>
  <c r="AF293" i="2"/>
  <c r="AE293" i="2"/>
  <c r="AD293" i="2"/>
  <c r="AC293" i="2"/>
  <c r="AB293" i="2"/>
  <c r="AA293" i="2"/>
  <c r="Z293" i="2"/>
  <c r="Y293" i="2"/>
  <c r="AR292" i="2"/>
  <c r="AQ292" i="2"/>
  <c r="AP292" i="2"/>
  <c r="AO292" i="2"/>
  <c r="AN292" i="2"/>
  <c r="AM292" i="2"/>
  <c r="AL292" i="2"/>
  <c r="AK292" i="2"/>
  <c r="AJ292" i="2"/>
  <c r="AI292" i="2"/>
  <c r="AH292" i="2"/>
  <c r="AG292" i="2"/>
  <c r="AF292" i="2"/>
  <c r="AE292" i="2"/>
  <c r="AD292" i="2"/>
  <c r="AC292" i="2"/>
  <c r="AB292" i="2"/>
  <c r="AA292" i="2"/>
  <c r="Z292" i="2"/>
  <c r="Y292" i="2"/>
  <c r="AR291" i="2"/>
  <c r="AQ291" i="2"/>
  <c r="AP291" i="2"/>
  <c r="AO291" i="2"/>
  <c r="AN291" i="2"/>
  <c r="AM291" i="2"/>
  <c r="AL291" i="2"/>
  <c r="AK291" i="2"/>
  <c r="AJ291" i="2"/>
  <c r="AI291" i="2"/>
  <c r="AH291" i="2"/>
  <c r="AG291" i="2"/>
  <c r="AF291" i="2"/>
  <c r="AE291" i="2"/>
  <c r="AD291" i="2"/>
  <c r="AC291" i="2"/>
  <c r="AB291" i="2"/>
  <c r="AA291" i="2"/>
  <c r="Z291" i="2"/>
  <c r="Y291" i="2"/>
  <c r="AR290" i="2"/>
  <c r="AQ290" i="2"/>
  <c r="AP290" i="2"/>
  <c r="AO290" i="2"/>
  <c r="AN290" i="2"/>
  <c r="AM290" i="2"/>
  <c r="AL290" i="2"/>
  <c r="AK290" i="2"/>
  <c r="AJ290" i="2"/>
  <c r="AI290" i="2"/>
  <c r="AH290" i="2"/>
  <c r="AG290" i="2"/>
  <c r="AF290" i="2"/>
  <c r="AE290" i="2"/>
  <c r="AD290" i="2"/>
  <c r="AC290" i="2"/>
  <c r="AB290" i="2"/>
  <c r="AA290" i="2"/>
  <c r="Z290" i="2"/>
  <c r="Y290" i="2"/>
  <c r="AS298" i="2" s="1"/>
  <c r="AR283" i="2"/>
  <c r="AQ283" i="2"/>
  <c r="AP283" i="2"/>
  <c r="AO283" i="2"/>
  <c r="AN283" i="2"/>
  <c r="AM283" i="2"/>
  <c r="AL283" i="2"/>
  <c r="AK283" i="2"/>
  <c r="AJ283" i="2"/>
  <c r="AI283" i="2"/>
  <c r="AH283" i="2"/>
  <c r="AG283" i="2"/>
  <c r="AF283" i="2"/>
  <c r="AE283" i="2"/>
  <c r="AD283" i="2"/>
  <c r="AC283" i="2"/>
  <c r="AB283" i="2"/>
  <c r="AA283" i="2"/>
  <c r="Z283" i="2"/>
  <c r="Y283" i="2"/>
  <c r="AR282" i="2"/>
  <c r="AQ282" i="2"/>
  <c r="AP282" i="2"/>
  <c r="AO282" i="2"/>
  <c r="AN282" i="2"/>
  <c r="AM282" i="2"/>
  <c r="AL282" i="2"/>
  <c r="AK282" i="2"/>
  <c r="AJ282" i="2"/>
  <c r="AI282" i="2"/>
  <c r="AH282" i="2"/>
  <c r="AG282" i="2"/>
  <c r="AF282" i="2"/>
  <c r="AE282" i="2"/>
  <c r="AD282" i="2"/>
  <c r="AC282" i="2"/>
  <c r="AB282" i="2"/>
  <c r="AA282" i="2"/>
  <c r="Z282" i="2"/>
  <c r="Y282" i="2"/>
  <c r="AR281" i="2"/>
  <c r="AQ281" i="2"/>
  <c r="AP281" i="2"/>
  <c r="AO281" i="2"/>
  <c r="AN281" i="2"/>
  <c r="AM281" i="2"/>
  <c r="AL281" i="2"/>
  <c r="AK281" i="2"/>
  <c r="AJ281" i="2"/>
  <c r="AI281" i="2"/>
  <c r="AH281" i="2"/>
  <c r="AG281" i="2"/>
  <c r="AF281" i="2"/>
  <c r="AE281" i="2"/>
  <c r="AD281" i="2"/>
  <c r="AC281" i="2"/>
  <c r="AB281" i="2"/>
  <c r="AA281" i="2"/>
  <c r="Z281" i="2"/>
  <c r="Y281" i="2"/>
  <c r="AR280" i="2"/>
  <c r="AQ280" i="2"/>
  <c r="AP280" i="2"/>
  <c r="AO280" i="2"/>
  <c r="AN280" i="2"/>
  <c r="AM280" i="2"/>
  <c r="AL280" i="2"/>
  <c r="AK280" i="2"/>
  <c r="AJ280" i="2"/>
  <c r="AI280" i="2"/>
  <c r="AH280" i="2"/>
  <c r="AG280" i="2"/>
  <c r="AF280" i="2"/>
  <c r="AE280" i="2"/>
  <c r="AD280" i="2"/>
  <c r="AC280" i="2"/>
  <c r="AB280" i="2"/>
  <c r="AA280" i="2"/>
  <c r="Z280" i="2"/>
  <c r="Y280" i="2"/>
  <c r="AR279" i="2"/>
  <c r="AQ279" i="2"/>
  <c r="AP279" i="2"/>
  <c r="AO279" i="2"/>
  <c r="AN279" i="2"/>
  <c r="AM279" i="2"/>
  <c r="AL279" i="2"/>
  <c r="AK279" i="2"/>
  <c r="AJ279" i="2"/>
  <c r="AI279" i="2"/>
  <c r="AH279" i="2"/>
  <c r="AG279" i="2"/>
  <c r="AF279" i="2"/>
  <c r="AE279" i="2"/>
  <c r="AD279" i="2"/>
  <c r="AC279" i="2"/>
  <c r="AB279" i="2"/>
  <c r="AA279" i="2"/>
  <c r="Z279" i="2"/>
  <c r="Y279" i="2"/>
  <c r="AR278" i="2"/>
  <c r="AQ278" i="2"/>
  <c r="AP278" i="2"/>
  <c r="AO278" i="2"/>
  <c r="AN278" i="2"/>
  <c r="AM278" i="2"/>
  <c r="AL278" i="2"/>
  <c r="AK278" i="2"/>
  <c r="AJ278" i="2"/>
  <c r="AI278" i="2"/>
  <c r="AH278" i="2"/>
  <c r="AG278" i="2"/>
  <c r="AF278" i="2"/>
  <c r="AE278" i="2"/>
  <c r="AD278" i="2"/>
  <c r="AC278" i="2"/>
  <c r="AB278" i="2"/>
  <c r="AA278" i="2"/>
  <c r="Z278" i="2"/>
  <c r="Y278" i="2"/>
  <c r="AR277" i="2"/>
  <c r="AQ277" i="2"/>
  <c r="AP277" i="2"/>
  <c r="AO277" i="2"/>
  <c r="AN277" i="2"/>
  <c r="AM277" i="2"/>
  <c r="AL277" i="2"/>
  <c r="AK277" i="2"/>
  <c r="AJ277" i="2"/>
  <c r="AI277" i="2"/>
  <c r="AH277" i="2"/>
  <c r="AG277" i="2"/>
  <c r="AF277" i="2"/>
  <c r="AE277" i="2"/>
  <c r="AD277" i="2"/>
  <c r="AC277" i="2"/>
  <c r="AB277" i="2"/>
  <c r="AA277" i="2"/>
  <c r="Z277" i="2"/>
  <c r="Y277" i="2"/>
  <c r="AR276" i="2"/>
  <c r="AQ276" i="2"/>
  <c r="AP276" i="2"/>
  <c r="AO276" i="2"/>
  <c r="AN276" i="2"/>
  <c r="AM276" i="2"/>
  <c r="AL276" i="2"/>
  <c r="AK276" i="2"/>
  <c r="AJ276" i="2"/>
  <c r="AI276" i="2"/>
  <c r="AH276" i="2"/>
  <c r="AG276" i="2"/>
  <c r="AF276" i="2"/>
  <c r="AE276" i="2"/>
  <c r="AD276" i="2"/>
  <c r="AC276" i="2"/>
  <c r="AB276" i="2"/>
  <c r="AS284" i="2" s="1"/>
  <c r="AA276" i="2"/>
  <c r="Z276" i="2"/>
  <c r="Y276" i="2"/>
  <c r="AR269" i="2"/>
  <c r="AQ269" i="2"/>
  <c r="AP269" i="2"/>
  <c r="AO269" i="2"/>
  <c r="AN269" i="2"/>
  <c r="AM269" i="2"/>
  <c r="AL269" i="2"/>
  <c r="AK269" i="2"/>
  <c r="AJ269" i="2"/>
  <c r="AI269" i="2"/>
  <c r="AH269" i="2"/>
  <c r="AG269" i="2"/>
  <c r="AF269" i="2"/>
  <c r="AE269" i="2"/>
  <c r="AD269" i="2"/>
  <c r="AC269" i="2"/>
  <c r="AB269" i="2"/>
  <c r="AA269" i="2"/>
  <c r="Z269" i="2"/>
  <c r="Y269" i="2"/>
  <c r="AR268" i="2"/>
  <c r="AQ268" i="2"/>
  <c r="AP268" i="2"/>
  <c r="AO268" i="2"/>
  <c r="AN268" i="2"/>
  <c r="AM268" i="2"/>
  <c r="AL268" i="2"/>
  <c r="AK268" i="2"/>
  <c r="AJ268" i="2"/>
  <c r="AI268" i="2"/>
  <c r="AH268" i="2"/>
  <c r="AG268" i="2"/>
  <c r="AF268" i="2"/>
  <c r="AE268" i="2"/>
  <c r="AD268" i="2"/>
  <c r="AC268" i="2"/>
  <c r="AB268" i="2"/>
  <c r="AA268" i="2"/>
  <c r="Z268" i="2"/>
  <c r="Y268" i="2"/>
  <c r="AR267" i="2"/>
  <c r="AQ267" i="2"/>
  <c r="AP267" i="2"/>
  <c r="AO267" i="2"/>
  <c r="AN267" i="2"/>
  <c r="AM267" i="2"/>
  <c r="AL267" i="2"/>
  <c r="AK267" i="2"/>
  <c r="AJ267" i="2"/>
  <c r="AI267" i="2"/>
  <c r="AH267" i="2"/>
  <c r="AG267" i="2"/>
  <c r="AF267" i="2"/>
  <c r="AE267" i="2"/>
  <c r="AD267" i="2"/>
  <c r="AC267" i="2"/>
  <c r="AB267" i="2"/>
  <c r="AA267" i="2"/>
  <c r="Z267" i="2"/>
  <c r="Y267" i="2"/>
  <c r="AR266" i="2"/>
  <c r="AQ266" i="2"/>
  <c r="AP266" i="2"/>
  <c r="AO266" i="2"/>
  <c r="AN266" i="2"/>
  <c r="AM266" i="2"/>
  <c r="AL266" i="2"/>
  <c r="AK266" i="2"/>
  <c r="AJ266" i="2"/>
  <c r="AI266" i="2"/>
  <c r="AH266" i="2"/>
  <c r="AG266" i="2"/>
  <c r="AF266" i="2"/>
  <c r="AE266" i="2"/>
  <c r="AD266" i="2"/>
  <c r="AC266" i="2"/>
  <c r="AB266" i="2"/>
  <c r="AA266" i="2"/>
  <c r="Z266" i="2"/>
  <c r="Y266" i="2"/>
  <c r="AR265" i="2"/>
  <c r="AQ265" i="2"/>
  <c r="AP265" i="2"/>
  <c r="AO265" i="2"/>
  <c r="AN265" i="2"/>
  <c r="AM265" i="2"/>
  <c r="AL265" i="2"/>
  <c r="AK265" i="2"/>
  <c r="AJ265" i="2"/>
  <c r="AI265" i="2"/>
  <c r="AH265" i="2"/>
  <c r="AG265" i="2"/>
  <c r="AF265" i="2"/>
  <c r="AE265" i="2"/>
  <c r="AD265" i="2"/>
  <c r="AC265" i="2"/>
  <c r="AB265" i="2"/>
  <c r="AA265" i="2"/>
  <c r="Z265" i="2"/>
  <c r="Y265" i="2"/>
  <c r="AR264" i="2"/>
  <c r="AQ264" i="2"/>
  <c r="AP264" i="2"/>
  <c r="AO264" i="2"/>
  <c r="AN264" i="2"/>
  <c r="AM264" i="2"/>
  <c r="AL264" i="2"/>
  <c r="AK264" i="2"/>
  <c r="AJ264" i="2"/>
  <c r="AI264" i="2"/>
  <c r="AH264" i="2"/>
  <c r="AG264" i="2"/>
  <c r="AF264" i="2"/>
  <c r="AE264" i="2"/>
  <c r="AD264" i="2"/>
  <c r="AC264" i="2"/>
  <c r="AB264" i="2"/>
  <c r="AA264" i="2"/>
  <c r="Z264" i="2"/>
  <c r="Y264" i="2"/>
  <c r="AR263" i="2"/>
  <c r="AQ263" i="2"/>
  <c r="AP263" i="2"/>
  <c r="AO263" i="2"/>
  <c r="AN263" i="2"/>
  <c r="AM263" i="2"/>
  <c r="AL263" i="2"/>
  <c r="AK263" i="2"/>
  <c r="AJ263" i="2"/>
  <c r="AI263" i="2"/>
  <c r="AH263" i="2"/>
  <c r="AG263" i="2"/>
  <c r="AF263" i="2"/>
  <c r="AE263" i="2"/>
  <c r="AD263" i="2"/>
  <c r="AC263" i="2"/>
  <c r="AB263" i="2"/>
  <c r="AA263" i="2"/>
  <c r="Z263" i="2"/>
  <c r="Y263" i="2"/>
  <c r="AR262" i="2"/>
  <c r="AQ262" i="2"/>
  <c r="AP262" i="2"/>
  <c r="AO262" i="2"/>
  <c r="AN262" i="2"/>
  <c r="AM262" i="2"/>
  <c r="AL262" i="2"/>
  <c r="AK262" i="2"/>
  <c r="AJ262" i="2"/>
  <c r="AI262" i="2"/>
  <c r="AH262" i="2"/>
  <c r="AG262" i="2"/>
  <c r="AF262" i="2"/>
  <c r="AE262" i="2"/>
  <c r="AD262" i="2"/>
  <c r="AC262" i="2"/>
  <c r="AB262" i="2"/>
  <c r="AA262" i="2"/>
  <c r="Z262" i="2"/>
  <c r="Y262" i="2"/>
  <c r="AS270" i="2" s="1"/>
  <c r="AR255" i="2"/>
  <c r="AQ255" i="2"/>
  <c r="AP255" i="2"/>
  <c r="AO255" i="2"/>
  <c r="AN255" i="2"/>
  <c r="AM255" i="2"/>
  <c r="AL255" i="2"/>
  <c r="AK255" i="2"/>
  <c r="AJ255" i="2"/>
  <c r="AI255" i="2"/>
  <c r="AH255" i="2"/>
  <c r="AG255" i="2"/>
  <c r="AF255" i="2"/>
  <c r="AE255" i="2"/>
  <c r="AD255" i="2"/>
  <c r="AC255" i="2"/>
  <c r="AB255" i="2"/>
  <c r="AA255" i="2"/>
  <c r="Z255" i="2"/>
  <c r="Y255" i="2"/>
  <c r="AR254" i="2"/>
  <c r="AQ254" i="2"/>
  <c r="AP254" i="2"/>
  <c r="AO254" i="2"/>
  <c r="AN254" i="2"/>
  <c r="AM254" i="2"/>
  <c r="AL254" i="2"/>
  <c r="AK254" i="2"/>
  <c r="AJ254" i="2"/>
  <c r="AI254" i="2"/>
  <c r="AH254" i="2"/>
  <c r="AG254" i="2"/>
  <c r="AF254" i="2"/>
  <c r="AE254" i="2"/>
  <c r="AD254" i="2"/>
  <c r="AC254" i="2"/>
  <c r="AB254" i="2"/>
  <c r="AA254" i="2"/>
  <c r="Z254" i="2"/>
  <c r="Y254" i="2"/>
  <c r="AR253" i="2"/>
  <c r="AQ253" i="2"/>
  <c r="AP253" i="2"/>
  <c r="AO253" i="2"/>
  <c r="AN253" i="2"/>
  <c r="AM253" i="2"/>
  <c r="AL253" i="2"/>
  <c r="AK253" i="2"/>
  <c r="AJ253" i="2"/>
  <c r="AI253" i="2"/>
  <c r="AH253" i="2"/>
  <c r="AG253" i="2"/>
  <c r="AF253" i="2"/>
  <c r="AE253" i="2"/>
  <c r="AD253" i="2"/>
  <c r="AC253" i="2"/>
  <c r="AB253" i="2"/>
  <c r="AA253" i="2"/>
  <c r="Z253" i="2"/>
  <c r="Y253" i="2"/>
  <c r="AR252" i="2"/>
  <c r="AQ252" i="2"/>
  <c r="AP252" i="2"/>
  <c r="AO252" i="2"/>
  <c r="AN252" i="2"/>
  <c r="AM252" i="2"/>
  <c r="AL252" i="2"/>
  <c r="AK252" i="2"/>
  <c r="AJ252" i="2"/>
  <c r="AI252" i="2"/>
  <c r="AH252" i="2"/>
  <c r="AG252" i="2"/>
  <c r="AF252" i="2"/>
  <c r="AE252" i="2"/>
  <c r="AD252" i="2"/>
  <c r="AC252" i="2"/>
  <c r="AB252" i="2"/>
  <c r="AA252" i="2"/>
  <c r="Z252" i="2"/>
  <c r="Y252" i="2"/>
  <c r="AR251" i="2"/>
  <c r="AQ251" i="2"/>
  <c r="AP251" i="2"/>
  <c r="AO251" i="2"/>
  <c r="AN251" i="2"/>
  <c r="AM251" i="2"/>
  <c r="AL251" i="2"/>
  <c r="AK251" i="2"/>
  <c r="AJ251" i="2"/>
  <c r="AI251" i="2"/>
  <c r="AH251" i="2"/>
  <c r="AG251" i="2"/>
  <c r="AF251" i="2"/>
  <c r="AE251" i="2"/>
  <c r="AD251" i="2"/>
  <c r="AC251" i="2"/>
  <c r="AB251" i="2"/>
  <c r="AA251" i="2"/>
  <c r="Z251" i="2"/>
  <c r="Y251" i="2"/>
  <c r="AR250" i="2"/>
  <c r="AQ250" i="2"/>
  <c r="AP250" i="2"/>
  <c r="AO250" i="2"/>
  <c r="AN250" i="2"/>
  <c r="AM250" i="2"/>
  <c r="AL250" i="2"/>
  <c r="AK250" i="2"/>
  <c r="AJ250" i="2"/>
  <c r="AI250" i="2"/>
  <c r="AH250" i="2"/>
  <c r="AG250" i="2"/>
  <c r="AF250" i="2"/>
  <c r="AE250" i="2"/>
  <c r="AD250" i="2"/>
  <c r="AC250" i="2"/>
  <c r="AB250" i="2"/>
  <c r="AA250" i="2"/>
  <c r="Z250" i="2"/>
  <c r="Y250" i="2"/>
  <c r="AR249" i="2"/>
  <c r="AQ249" i="2"/>
  <c r="AP249" i="2"/>
  <c r="AO249" i="2"/>
  <c r="AN249" i="2"/>
  <c r="AM249" i="2"/>
  <c r="AL249" i="2"/>
  <c r="AK249" i="2"/>
  <c r="AJ249" i="2"/>
  <c r="AI249" i="2"/>
  <c r="AH249" i="2"/>
  <c r="AG249" i="2"/>
  <c r="AF249" i="2"/>
  <c r="AE249" i="2"/>
  <c r="AD249" i="2"/>
  <c r="AC249" i="2"/>
  <c r="AB249" i="2"/>
  <c r="AA249" i="2"/>
  <c r="Z249" i="2"/>
  <c r="Y249" i="2"/>
  <c r="AR248" i="2"/>
  <c r="AQ248" i="2"/>
  <c r="AP248" i="2"/>
  <c r="AO248" i="2"/>
  <c r="AN248" i="2"/>
  <c r="AM248" i="2"/>
  <c r="AL248" i="2"/>
  <c r="AK248" i="2"/>
  <c r="AJ248" i="2"/>
  <c r="AI248" i="2"/>
  <c r="AH248" i="2"/>
  <c r="AG248" i="2"/>
  <c r="AF248" i="2"/>
  <c r="AE248" i="2"/>
  <c r="AD248" i="2"/>
  <c r="AC248" i="2"/>
  <c r="AB248" i="2"/>
  <c r="AA248" i="2"/>
  <c r="Z248" i="2"/>
  <c r="AS256" i="2" s="1"/>
  <c r="Y248" i="2"/>
  <c r="AR240" i="2"/>
  <c r="AQ240" i="2"/>
  <c r="AP240" i="2"/>
  <c r="AO240" i="2"/>
  <c r="AN240" i="2"/>
  <c r="AM240" i="2"/>
  <c r="AL240" i="2"/>
  <c r="AK240" i="2"/>
  <c r="AJ240" i="2"/>
  <c r="AI240" i="2"/>
  <c r="AH240" i="2"/>
  <c r="AG240" i="2"/>
  <c r="AF240" i="2"/>
  <c r="AE240" i="2"/>
  <c r="AD240" i="2"/>
  <c r="AC240" i="2"/>
  <c r="AB240" i="2"/>
  <c r="AA240" i="2"/>
  <c r="Z240" i="2"/>
  <c r="Y240" i="2"/>
  <c r="AR239" i="2"/>
  <c r="AQ239" i="2"/>
  <c r="AP239" i="2"/>
  <c r="AO239" i="2"/>
  <c r="AN239" i="2"/>
  <c r="AM239" i="2"/>
  <c r="AL239" i="2"/>
  <c r="AK239" i="2"/>
  <c r="AJ239" i="2"/>
  <c r="AI239" i="2"/>
  <c r="AH239" i="2"/>
  <c r="AG239" i="2"/>
  <c r="AF239" i="2"/>
  <c r="AE239" i="2"/>
  <c r="AD239" i="2"/>
  <c r="AC239" i="2"/>
  <c r="AB239" i="2"/>
  <c r="AA239" i="2"/>
  <c r="Z239" i="2"/>
  <c r="Y239" i="2"/>
  <c r="AR238" i="2"/>
  <c r="AQ238" i="2"/>
  <c r="AP238" i="2"/>
  <c r="AO238" i="2"/>
  <c r="AN238" i="2"/>
  <c r="AM238" i="2"/>
  <c r="AL238" i="2"/>
  <c r="AK238" i="2"/>
  <c r="AJ238" i="2"/>
  <c r="AI238" i="2"/>
  <c r="AH238" i="2"/>
  <c r="AG238" i="2"/>
  <c r="AF238" i="2"/>
  <c r="AE238" i="2"/>
  <c r="AD238" i="2"/>
  <c r="AC238" i="2"/>
  <c r="AB238" i="2"/>
  <c r="AA238" i="2"/>
  <c r="Z238" i="2"/>
  <c r="Y238" i="2"/>
  <c r="AR237" i="2"/>
  <c r="AQ237" i="2"/>
  <c r="AP237" i="2"/>
  <c r="AO237" i="2"/>
  <c r="AN237" i="2"/>
  <c r="AM237" i="2"/>
  <c r="AL237" i="2"/>
  <c r="AK237" i="2"/>
  <c r="AJ237" i="2"/>
  <c r="AI237" i="2"/>
  <c r="AH237" i="2"/>
  <c r="AG237" i="2"/>
  <c r="AF237" i="2"/>
  <c r="AE237" i="2"/>
  <c r="AD237" i="2"/>
  <c r="AC237" i="2"/>
  <c r="AB237" i="2"/>
  <c r="AA237" i="2"/>
  <c r="Z237" i="2"/>
  <c r="Y237" i="2"/>
  <c r="AR236" i="2"/>
  <c r="AQ236" i="2"/>
  <c r="AP236" i="2"/>
  <c r="AO236" i="2"/>
  <c r="AN236" i="2"/>
  <c r="AM236" i="2"/>
  <c r="AL236" i="2"/>
  <c r="AK236" i="2"/>
  <c r="AJ236" i="2"/>
  <c r="AI236" i="2"/>
  <c r="AH236" i="2"/>
  <c r="AG236" i="2"/>
  <c r="AF236" i="2"/>
  <c r="AE236" i="2"/>
  <c r="AD236" i="2"/>
  <c r="AC236" i="2"/>
  <c r="AB236" i="2"/>
  <c r="AA236" i="2"/>
  <c r="Z236" i="2"/>
  <c r="Y236" i="2"/>
  <c r="AR235" i="2"/>
  <c r="AQ235" i="2"/>
  <c r="AP235" i="2"/>
  <c r="AO235" i="2"/>
  <c r="AN235" i="2"/>
  <c r="AM235" i="2"/>
  <c r="AL235" i="2"/>
  <c r="AK235" i="2"/>
  <c r="AJ235" i="2"/>
  <c r="AI235" i="2"/>
  <c r="AH235" i="2"/>
  <c r="AG235" i="2"/>
  <c r="AF235" i="2"/>
  <c r="AE235" i="2"/>
  <c r="AD235" i="2"/>
  <c r="AC235" i="2"/>
  <c r="AB235" i="2"/>
  <c r="AA235" i="2"/>
  <c r="Z235" i="2"/>
  <c r="Y235" i="2"/>
  <c r="AR234" i="2"/>
  <c r="AQ234" i="2"/>
  <c r="AP234" i="2"/>
  <c r="AO234" i="2"/>
  <c r="AN234" i="2"/>
  <c r="AM234" i="2"/>
  <c r="AL234" i="2"/>
  <c r="AK234" i="2"/>
  <c r="AJ234" i="2"/>
  <c r="AI234" i="2"/>
  <c r="AH234" i="2"/>
  <c r="AG234" i="2"/>
  <c r="AF234" i="2"/>
  <c r="AE234" i="2"/>
  <c r="AD234" i="2"/>
  <c r="AC234" i="2"/>
  <c r="AB234" i="2"/>
  <c r="AA234" i="2"/>
  <c r="Z234" i="2"/>
  <c r="Y234" i="2"/>
  <c r="AR233" i="2"/>
  <c r="AQ233" i="2"/>
  <c r="AP233" i="2"/>
  <c r="AO233" i="2"/>
  <c r="AN233" i="2"/>
  <c r="AM233" i="2"/>
  <c r="AL233" i="2"/>
  <c r="AK233" i="2"/>
  <c r="AJ233" i="2"/>
  <c r="AI233" i="2"/>
  <c r="AH233" i="2"/>
  <c r="AG233" i="2"/>
  <c r="AF233" i="2"/>
  <c r="AE233" i="2"/>
  <c r="AD233" i="2"/>
  <c r="AC233" i="2"/>
  <c r="AB233" i="2"/>
  <c r="AA233" i="2"/>
  <c r="Z233" i="2"/>
  <c r="Y233" i="2"/>
  <c r="AS241" i="2" s="1"/>
  <c r="W45" i="2"/>
  <c r="W87" i="2" s="1"/>
  <c r="W59" i="2" l="1"/>
  <c r="W73" i="2"/>
  <c r="W101" i="2"/>
  <c r="W116" i="2" s="1"/>
</calcChain>
</file>

<file path=xl/sharedStrings.xml><?xml version="1.0" encoding="utf-8"?>
<sst xmlns="http://schemas.openxmlformats.org/spreadsheetml/2006/main" count="3304" uniqueCount="80">
  <si>
    <t>Lenght</t>
  </si>
  <si>
    <t>Length</t>
  </si>
  <si>
    <t>TollLights</t>
  </si>
  <si>
    <t>ML PCE.Miles</t>
  </si>
  <si>
    <t>GP PCE.Miles</t>
  </si>
  <si>
    <t>Highway PCE.Miles</t>
  </si>
  <si>
    <t>Direction</t>
  </si>
  <si>
    <t>Period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</si>
  <si>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</si>
  <si>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</si>
  <si>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</si>
  <si>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</si>
  <si>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</si>
  <si>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</si>
  <si>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</si>
  <si>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</si>
  <si>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</si>
  <si>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</si>
  <si>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</si>
  <si>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</si>
  <si>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</si>
  <si>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</si>
  <si>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</si>
  <si>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</si>
  <si>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</si>
  <si>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</si>
  <si>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</si>
  <si>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</si>
  <si>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</si>
  <si>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</si>
  <si>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</si>
  <si>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</si>
  <si>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</si>
  <si>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</si>
  <si>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</si>
  <si>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</si>
  <si>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</si>
  <si>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</si>
  <si>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</si>
  <si>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</si>
  <si>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</si>
  <si>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</si>
  <si>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</si>
  <si>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</si>
  <si>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</si>
  <si>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</si>
  <si>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</si>
  <si>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</si>
  <si>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</si>
  <si>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Reliability</t>
  </si>
  <si>
    <t>GP heavy B veh.Miles</t>
  </si>
  <si>
    <t>TB</t>
  </si>
  <si>
    <t>GP heavy B veh/period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</si>
  <si>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</si>
  <si>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</si>
  <si>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</si>
  <si>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</si>
  <si>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</si>
  <si>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</si>
  <si>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</si>
  <si>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</si>
  <si>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</si>
  <si>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</si>
  <si>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NB</t>
  </si>
  <si>
    <t>SB</t>
  </si>
  <si>
    <t>Segment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</si>
  <si>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</si>
  <si>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</si>
  <si>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</si>
  <si>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</si>
  <si>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</si>
  <si>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</si>
  <si>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</si>
  <si>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</si>
  <si>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 Heavies</t>
  </si>
  <si>
    <t>Capture Medium</t>
  </si>
  <si>
    <t>ML Medium A</t>
  </si>
  <si>
    <t>ML Medium B</t>
  </si>
  <si>
    <t>ML Heavy A</t>
  </si>
  <si>
    <t>ML Lights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</si>
</sst>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  <xf numFmtId="9" fontId="0" fillId="0" borderId="0" xfId="1" applyFont="1"/>
    <xf numFmtId="164" fontId="0" fillId="0" borderId="0" xfId="1" applyNumberFormat="1" applyFont="1"/>
    <xf numFmtId="164" fontId="0" fillId="0" borderId="0" xfId="0" applyNumberFormat="1"/>
    <xf numFmtId="9" fontId="0" fillId="0" borderId="2" xfId="1" applyFont="1" applyBorder="1"/>
    <xf numFmtId="10" fontId="0" fillId="0" borderId="0" xfId="0" applyNumberFormat="1"/>
    <xf numFmtId="0" fontId="1" fillId="0" borderId="0" xfId="0" applyFont="1" applyAlignment="1">
      <alignment horizontal="center" vertical="top"/>
    </xf>
    <xf numFmtId="164" fontId="0" fillId="0" borderId="2" xfId="1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98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L312"/>
  <sheetViews>
    <sheetView tabSelected="1" topLeftCell="AG230" zoomScale="65" workbookViewId="0">
      <selection activeCell="AS256" sqref="AS256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53</v>
      </c>
      <c r="D2" s="1" t="s">
        <v>54</v>
      </c>
      <c r="E2" s="1" t="s">
        <v>55</v>
      </c>
      <c r="F2" s="1" t="s">
        <v>56</v>
      </c>
      <c r="G2" s="1" t="s">
        <v>57</v>
      </c>
      <c r="H2" s="1" t="s">
        <v>58</v>
      </c>
      <c r="I2" s="1" t="s">
        <v>59</v>
      </c>
      <c r="J2" s="1" t="s">
        <v>60</v>
      </c>
      <c r="K2" s="1" t="s">
        <v>61</v>
      </c>
      <c r="L2" s="1" t="s">
        <v>62</v>
      </c>
    </row>
    <row r="3" spans="2:90" x14ac:dyDescent="0.3">
      <c r="B3" s="1" t="s">
        <v>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2</v>
      </c>
      <c r="X5" t="s">
        <v>3</v>
      </c>
      <c r="AU5" t="s">
        <v>4</v>
      </c>
      <c r="BR5" t="s">
        <v>5</v>
      </c>
    </row>
    <row r="6" spans="2:90" x14ac:dyDescent="0.3">
      <c r="B6" s="1" t="s">
        <v>6</v>
      </c>
      <c r="C6" s="1" t="s">
        <v>63</v>
      </c>
      <c r="D6" s="1" t="s">
        <v>64</v>
      </c>
      <c r="E6" s="1" t="s">
        <v>63</v>
      </c>
      <c r="F6" s="1" t="s">
        <v>64</v>
      </c>
      <c r="G6" s="1" t="s">
        <v>63</v>
      </c>
      <c r="H6" s="1" t="s">
        <v>64</v>
      </c>
      <c r="I6" s="1" t="s">
        <v>63</v>
      </c>
      <c r="J6" s="1" t="s">
        <v>64</v>
      </c>
      <c r="K6" s="1" t="s">
        <v>63</v>
      </c>
      <c r="L6" s="1" t="s">
        <v>64</v>
      </c>
      <c r="M6" s="1" t="s">
        <v>63</v>
      </c>
      <c r="N6" s="1" t="s">
        <v>64</v>
      </c>
      <c r="O6" s="1" t="s">
        <v>63</v>
      </c>
      <c r="P6" s="1" t="s">
        <v>64</v>
      </c>
      <c r="Q6" s="1" t="s">
        <v>63</v>
      </c>
      <c r="R6" s="1" t="s">
        <v>64</v>
      </c>
      <c r="S6" s="1" t="s">
        <v>63</v>
      </c>
      <c r="T6" s="1" t="s">
        <v>64</v>
      </c>
      <c r="U6" s="1" t="s">
        <v>63</v>
      </c>
      <c r="V6" s="1" t="s">
        <v>64</v>
      </c>
      <c r="X6" s="1" t="s">
        <v>6</v>
      </c>
      <c r="Y6" s="1" t="s">
        <v>63</v>
      </c>
      <c r="Z6" s="1" t="s">
        <v>64</v>
      </c>
      <c r="AA6" s="1" t="s">
        <v>63</v>
      </c>
      <c r="AB6" s="1" t="s">
        <v>64</v>
      </c>
      <c r="AC6" s="1" t="s">
        <v>63</v>
      </c>
      <c r="AD6" s="1" t="s">
        <v>64</v>
      </c>
      <c r="AE6" s="1" t="s">
        <v>63</v>
      </c>
      <c r="AF6" s="1" t="s">
        <v>64</v>
      </c>
      <c r="AG6" s="1" t="s">
        <v>63</v>
      </c>
      <c r="AH6" s="1" t="s">
        <v>64</v>
      </c>
      <c r="AI6" s="1" t="s">
        <v>63</v>
      </c>
      <c r="AJ6" s="1" t="s">
        <v>64</v>
      </c>
      <c r="AK6" s="1" t="s">
        <v>63</v>
      </c>
      <c r="AL6" s="1" t="s">
        <v>64</v>
      </c>
      <c r="AM6" s="1" t="s">
        <v>63</v>
      </c>
      <c r="AN6" s="1" t="s">
        <v>64</v>
      </c>
      <c r="AO6" s="1" t="s">
        <v>63</v>
      </c>
      <c r="AP6" s="1" t="s">
        <v>64</v>
      </c>
      <c r="AQ6" s="1" t="s">
        <v>63</v>
      </c>
      <c r="AR6" s="1" t="s">
        <v>64</v>
      </c>
      <c r="AU6" s="1" t="s">
        <v>6</v>
      </c>
      <c r="AV6" s="1" t="s">
        <v>63</v>
      </c>
      <c r="AW6" s="1" t="s">
        <v>64</v>
      </c>
      <c r="AX6" s="1" t="s">
        <v>63</v>
      </c>
      <c r="AY6" s="1" t="s">
        <v>64</v>
      </c>
      <c r="AZ6" s="1" t="s">
        <v>63</v>
      </c>
      <c r="BA6" s="1" t="s">
        <v>64</v>
      </c>
      <c r="BB6" s="1" t="s">
        <v>63</v>
      </c>
      <c r="BC6" s="1" t="s">
        <v>64</v>
      </c>
      <c r="BD6" s="1" t="s">
        <v>63</v>
      </c>
      <c r="BE6" s="1" t="s">
        <v>64</v>
      </c>
      <c r="BF6" s="1" t="s">
        <v>63</v>
      </c>
      <c r="BG6" s="1" t="s">
        <v>64</v>
      </c>
      <c r="BH6" s="1" t="s">
        <v>63</v>
      </c>
      <c r="BI6" s="1" t="s">
        <v>64</v>
      </c>
      <c r="BJ6" s="1" t="s">
        <v>63</v>
      </c>
      <c r="BK6" s="1" t="s">
        <v>64</v>
      </c>
      <c r="BL6" s="1" t="s">
        <v>63</v>
      </c>
      <c r="BM6" s="1" t="s">
        <v>64</v>
      </c>
      <c r="BN6" s="1" t="s">
        <v>63</v>
      </c>
      <c r="BO6" s="1" t="s">
        <v>64</v>
      </c>
      <c r="BR6" s="1" t="s">
        <v>6</v>
      </c>
      <c r="BS6" s="1" t="s">
        <v>63</v>
      </c>
      <c r="BT6" s="1" t="s">
        <v>64</v>
      </c>
      <c r="BU6" s="1" t="s">
        <v>63</v>
      </c>
      <c r="BV6" s="1" t="s">
        <v>64</v>
      </c>
      <c r="BW6" s="1" t="s">
        <v>63</v>
      </c>
      <c r="BX6" s="1" t="s">
        <v>64</v>
      </c>
      <c r="BY6" s="1" t="s">
        <v>63</v>
      </c>
      <c r="BZ6" s="1" t="s">
        <v>64</v>
      </c>
      <c r="CA6" s="1" t="s">
        <v>63</v>
      </c>
      <c r="CB6" s="1" t="s">
        <v>64</v>
      </c>
      <c r="CC6" s="1" t="s">
        <v>63</v>
      </c>
      <c r="CD6" s="1" t="s">
        <v>64</v>
      </c>
      <c r="CE6" s="1" t="s">
        <v>63</v>
      </c>
      <c r="CF6" s="1" t="s">
        <v>64</v>
      </c>
      <c r="CG6" s="1" t="s">
        <v>63</v>
      </c>
      <c r="CH6" s="1" t="s">
        <v>64</v>
      </c>
      <c r="CI6" s="1" t="s">
        <v>63</v>
      </c>
      <c r="CJ6" s="1" t="s">
        <v>64</v>
      </c>
      <c r="CK6" s="1" t="s">
        <v>63</v>
      </c>
      <c r="CL6" s="1" t="s">
        <v>64</v>
      </c>
    </row>
    <row r="7" spans="2:90" x14ac:dyDescent="0.3">
      <c r="B7" s="1" t="s">
        <v>65</v>
      </c>
      <c r="C7" s="1" t="s">
        <v>53</v>
      </c>
      <c r="D7" s="1" t="s">
        <v>53</v>
      </c>
      <c r="E7" s="1" t="s">
        <v>54</v>
      </c>
      <c r="F7" s="1" t="s">
        <v>54</v>
      </c>
      <c r="G7" s="1" t="s">
        <v>55</v>
      </c>
      <c r="H7" s="1" t="s">
        <v>55</v>
      </c>
      <c r="I7" s="1" t="s">
        <v>56</v>
      </c>
      <c r="J7" s="1" t="s">
        <v>56</v>
      </c>
      <c r="K7" s="1" t="s">
        <v>57</v>
      </c>
      <c r="L7" s="1" t="s">
        <v>57</v>
      </c>
      <c r="M7" s="1" t="s">
        <v>58</v>
      </c>
      <c r="N7" s="1" t="s">
        <v>58</v>
      </c>
      <c r="O7" s="1" t="s">
        <v>59</v>
      </c>
      <c r="P7" s="1" t="s">
        <v>59</v>
      </c>
      <c r="Q7" s="1" t="s">
        <v>60</v>
      </c>
      <c r="R7" s="1" t="s">
        <v>60</v>
      </c>
      <c r="S7" s="1" t="s">
        <v>61</v>
      </c>
      <c r="T7" s="1" t="s">
        <v>61</v>
      </c>
      <c r="U7" s="1" t="s">
        <v>62</v>
      </c>
      <c r="V7" s="1" t="s">
        <v>62</v>
      </c>
      <c r="X7" s="1" t="s">
        <v>65</v>
      </c>
      <c r="Y7" s="1" t="s">
        <v>53</v>
      </c>
      <c r="Z7" s="1" t="s">
        <v>53</v>
      </c>
      <c r="AA7" s="1" t="s">
        <v>54</v>
      </c>
      <c r="AB7" s="1" t="s">
        <v>54</v>
      </c>
      <c r="AC7" s="1" t="s">
        <v>55</v>
      </c>
      <c r="AD7" s="1" t="s">
        <v>55</v>
      </c>
      <c r="AE7" s="1" t="s">
        <v>56</v>
      </c>
      <c r="AF7" s="1" t="s">
        <v>56</v>
      </c>
      <c r="AG7" s="1" t="s">
        <v>57</v>
      </c>
      <c r="AH7" s="1" t="s">
        <v>57</v>
      </c>
      <c r="AI7" s="1" t="s">
        <v>58</v>
      </c>
      <c r="AJ7" s="1" t="s">
        <v>58</v>
      </c>
      <c r="AK7" s="1" t="s">
        <v>59</v>
      </c>
      <c r="AL7" s="1" t="s">
        <v>59</v>
      </c>
      <c r="AM7" s="1" t="s">
        <v>60</v>
      </c>
      <c r="AN7" s="1" t="s">
        <v>60</v>
      </c>
      <c r="AO7" s="1" t="s">
        <v>61</v>
      </c>
      <c r="AP7" s="1" t="s">
        <v>61</v>
      </c>
      <c r="AQ7" s="1" t="s">
        <v>62</v>
      </c>
      <c r="AR7" s="1" t="s">
        <v>62</v>
      </c>
      <c r="AU7" s="1" t="s">
        <v>65</v>
      </c>
      <c r="AV7" s="1" t="s">
        <v>53</v>
      </c>
      <c r="AW7" s="1" t="s">
        <v>53</v>
      </c>
      <c r="AX7" s="1" t="s">
        <v>54</v>
      </c>
      <c r="AY7" s="1" t="s">
        <v>54</v>
      </c>
      <c r="AZ7" s="1" t="s">
        <v>55</v>
      </c>
      <c r="BA7" s="1" t="s">
        <v>55</v>
      </c>
      <c r="BB7" s="1" t="s">
        <v>56</v>
      </c>
      <c r="BC7" s="1" t="s">
        <v>56</v>
      </c>
      <c r="BD7" s="1" t="s">
        <v>57</v>
      </c>
      <c r="BE7" s="1" t="s">
        <v>57</v>
      </c>
      <c r="BF7" s="1" t="s">
        <v>58</v>
      </c>
      <c r="BG7" s="1" t="s">
        <v>58</v>
      </c>
      <c r="BH7" s="1" t="s">
        <v>59</v>
      </c>
      <c r="BI7" s="1" t="s">
        <v>59</v>
      </c>
      <c r="BJ7" s="1" t="s">
        <v>60</v>
      </c>
      <c r="BK7" s="1" t="s">
        <v>60</v>
      </c>
      <c r="BL7" s="1" t="s">
        <v>61</v>
      </c>
      <c r="BM7" s="1" t="s">
        <v>61</v>
      </c>
      <c r="BN7" s="1" t="s">
        <v>62</v>
      </c>
      <c r="BO7" s="1" t="s">
        <v>62</v>
      </c>
      <c r="BR7" s="1" t="s">
        <v>65</v>
      </c>
      <c r="BS7" s="1" t="s">
        <v>53</v>
      </c>
      <c r="BT7" s="1" t="s">
        <v>53</v>
      </c>
      <c r="BU7" s="1" t="s">
        <v>54</v>
      </c>
      <c r="BV7" s="1" t="s">
        <v>54</v>
      </c>
      <c r="BW7" s="1" t="s">
        <v>55</v>
      </c>
      <c r="BX7" s="1" t="s">
        <v>55</v>
      </c>
      <c r="BY7" s="1" t="s">
        <v>56</v>
      </c>
      <c r="BZ7" s="1" t="s">
        <v>56</v>
      </c>
      <c r="CA7" s="1" t="s">
        <v>57</v>
      </c>
      <c r="CB7" s="1" t="s">
        <v>57</v>
      </c>
      <c r="CC7" s="1" t="s">
        <v>58</v>
      </c>
      <c r="CD7" s="1" t="s">
        <v>58</v>
      </c>
      <c r="CE7" s="1" t="s">
        <v>59</v>
      </c>
      <c r="CF7" s="1" t="s">
        <v>59</v>
      </c>
      <c r="CG7" s="1" t="s">
        <v>60</v>
      </c>
      <c r="CH7" s="1" t="s">
        <v>60</v>
      </c>
      <c r="CI7" s="1" t="s">
        <v>61</v>
      </c>
      <c r="CJ7" s="1" t="s">
        <v>61</v>
      </c>
      <c r="CK7" s="1" t="s">
        <v>62</v>
      </c>
      <c r="CL7" s="1" t="s">
        <v>62</v>
      </c>
    </row>
    <row r="8" spans="2:90" x14ac:dyDescent="0.3">
      <c r="B8" s="1" t="s">
        <v>7</v>
      </c>
      <c r="X8" s="1" t="s">
        <v>7</v>
      </c>
      <c r="AU8" s="1" t="s">
        <v>7</v>
      </c>
      <c r="BR8" s="1" t="s">
        <v>7</v>
      </c>
    </row>
    <row r="9" spans="2:90" x14ac:dyDescent="0.3">
      <c r="B9" s="1" t="s">
        <v>66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M9" s="2">
        <v>0.2</v>
      </c>
      <c r="N9" s="2">
        <v>0.2</v>
      </c>
      <c r="O9" s="2">
        <v>0.2</v>
      </c>
      <c r="P9" s="2">
        <v>0.2</v>
      </c>
      <c r="Q9" s="2">
        <v>0.2</v>
      </c>
      <c r="R9" s="2">
        <v>0.2</v>
      </c>
      <c r="S9" s="2">
        <v>0.2</v>
      </c>
      <c r="T9" s="2">
        <v>0.2</v>
      </c>
      <c r="U9" s="2">
        <v>0.2</v>
      </c>
      <c r="V9" s="2">
        <v>0.2</v>
      </c>
      <c r="X9" s="1" t="s">
        <v>66</v>
      </c>
      <c r="Y9" s="2">
        <v>4547.2700000000004</v>
      </c>
      <c r="Z9" s="2">
        <v>4327.96</v>
      </c>
      <c r="AA9" s="2">
        <v>994.42</v>
      </c>
      <c r="AB9" s="2">
        <v>908.66</v>
      </c>
      <c r="AC9" s="2">
        <v>307.45999999999998</v>
      </c>
      <c r="AD9" s="2">
        <v>492.8</v>
      </c>
      <c r="AE9" s="2">
        <v>3553.2</v>
      </c>
      <c r="AF9" s="2">
        <v>1834</v>
      </c>
      <c r="AG9" s="2">
        <v>6680.1</v>
      </c>
      <c r="AH9" s="2">
        <v>1871.8</v>
      </c>
      <c r="AI9" s="2">
        <v>12359.34</v>
      </c>
      <c r="AJ9" s="2">
        <v>2323.44</v>
      </c>
      <c r="AK9" s="2">
        <v>9167.48</v>
      </c>
      <c r="AL9" s="2">
        <v>485.04</v>
      </c>
      <c r="AM9" s="2">
        <v>9051.7000000000007</v>
      </c>
      <c r="AN9" s="2">
        <v>2371.39</v>
      </c>
      <c r="AO9" s="2">
        <v>560.92999999999995</v>
      </c>
      <c r="AP9" s="2">
        <v>427.04</v>
      </c>
      <c r="AQ9" s="2">
        <v>1261.58</v>
      </c>
      <c r="AR9" s="2">
        <v>599.08000000000004</v>
      </c>
      <c r="AU9" s="1" t="s">
        <v>66</v>
      </c>
      <c r="AV9" s="2">
        <v>21840</v>
      </c>
      <c r="AW9" s="2">
        <v>21840</v>
      </c>
      <c r="AX9" s="2">
        <v>18647.93</v>
      </c>
      <c r="AY9" s="2">
        <v>17457.87</v>
      </c>
      <c r="AZ9" s="2">
        <v>6799.29</v>
      </c>
      <c r="BA9" s="2">
        <v>8400</v>
      </c>
      <c r="BB9" s="2">
        <v>26880</v>
      </c>
      <c r="BC9" s="2">
        <v>26880</v>
      </c>
      <c r="BD9" s="2">
        <v>33600</v>
      </c>
      <c r="BE9" s="2">
        <v>33600</v>
      </c>
      <c r="BF9" s="2">
        <v>60480</v>
      </c>
      <c r="BG9" s="2">
        <v>60480</v>
      </c>
      <c r="BH9" s="2">
        <v>48720</v>
      </c>
      <c r="BI9" s="2">
        <v>48717.09</v>
      </c>
      <c r="BJ9" s="2">
        <v>63705.95</v>
      </c>
      <c r="BK9" s="2">
        <v>63840</v>
      </c>
      <c r="BL9" s="2">
        <v>56085.45</v>
      </c>
      <c r="BM9" s="2">
        <v>43180.51</v>
      </c>
      <c r="BN9" s="2">
        <v>75600</v>
      </c>
      <c r="BO9" s="2">
        <v>60208.52</v>
      </c>
      <c r="BR9" s="1" t="s">
        <v>66</v>
      </c>
      <c r="BS9" s="2">
        <v>26387.27</v>
      </c>
      <c r="BT9" s="2">
        <v>26167.96</v>
      </c>
      <c r="BU9" s="2">
        <v>19642.349999999999</v>
      </c>
      <c r="BV9" s="2">
        <v>18366.53</v>
      </c>
      <c r="BW9" s="2">
        <v>7106.75</v>
      </c>
      <c r="BX9" s="2">
        <v>8892.7999999999993</v>
      </c>
      <c r="BY9" s="2">
        <v>30433.200000000001</v>
      </c>
      <c r="BZ9" s="2">
        <v>28714</v>
      </c>
      <c r="CA9" s="2">
        <v>40280.1</v>
      </c>
      <c r="CB9" s="2">
        <v>35471.800000000003</v>
      </c>
      <c r="CC9" s="2">
        <v>72839.34</v>
      </c>
      <c r="CD9" s="2">
        <v>62803.44</v>
      </c>
      <c r="CE9" s="2">
        <v>57887.48</v>
      </c>
      <c r="CF9" s="2">
        <v>49202.12</v>
      </c>
      <c r="CG9" s="2">
        <v>72757.649999999994</v>
      </c>
      <c r="CH9" s="2">
        <v>66211.39</v>
      </c>
      <c r="CI9" s="2">
        <v>56646.38</v>
      </c>
      <c r="CJ9" s="2">
        <v>43607.55</v>
      </c>
      <c r="CK9" s="2">
        <v>76861.58</v>
      </c>
      <c r="CL9" s="2">
        <v>60807.6</v>
      </c>
    </row>
    <row r="10" spans="2:90" x14ac:dyDescent="0.3">
      <c r="B10" s="1" t="s">
        <v>67</v>
      </c>
      <c r="C10" s="2">
        <v>1.39</v>
      </c>
      <c r="D10" s="2">
        <v>0.8</v>
      </c>
      <c r="E10" s="2">
        <v>1.1200000000000001</v>
      </c>
      <c r="F10" s="2">
        <v>0.7</v>
      </c>
      <c r="G10" s="2">
        <v>1.07</v>
      </c>
      <c r="H10" s="2">
        <v>0.9</v>
      </c>
      <c r="I10" s="2">
        <v>1.34</v>
      </c>
      <c r="J10" s="2">
        <v>1.42</v>
      </c>
      <c r="K10" s="2">
        <v>1.46</v>
      </c>
      <c r="L10" s="2">
        <v>1.1200000000000001</v>
      </c>
      <c r="M10" s="2">
        <v>1.8</v>
      </c>
      <c r="N10" s="2">
        <v>1.1499999999999999</v>
      </c>
      <c r="O10" s="2">
        <v>1.63</v>
      </c>
      <c r="P10" s="2">
        <v>1.31</v>
      </c>
      <c r="Q10" s="2">
        <v>1.54</v>
      </c>
      <c r="R10" s="2">
        <v>1.1499999999999999</v>
      </c>
      <c r="S10" s="2">
        <v>1.46</v>
      </c>
      <c r="T10" s="2">
        <v>0.9</v>
      </c>
      <c r="U10" s="2">
        <v>1.2</v>
      </c>
      <c r="V10" s="2">
        <v>0.69</v>
      </c>
      <c r="X10" s="1" t="s">
        <v>67</v>
      </c>
      <c r="Y10" s="2">
        <v>1209.78</v>
      </c>
      <c r="Z10" s="2">
        <v>741.05</v>
      </c>
      <c r="AA10" s="2">
        <v>1261.73</v>
      </c>
      <c r="AB10" s="2">
        <v>802.23</v>
      </c>
      <c r="AC10" s="2">
        <v>308.83</v>
      </c>
      <c r="AD10" s="2">
        <v>383.13</v>
      </c>
      <c r="AE10" s="2">
        <v>1696.52</v>
      </c>
      <c r="AF10" s="2">
        <v>1125.8900000000001</v>
      </c>
      <c r="AG10" s="2">
        <v>1980.32</v>
      </c>
      <c r="AH10" s="2">
        <v>1280.49</v>
      </c>
      <c r="AI10" s="2">
        <v>3490.65</v>
      </c>
      <c r="AJ10" s="2">
        <v>2341.17</v>
      </c>
      <c r="AK10" s="2">
        <v>2293.87</v>
      </c>
      <c r="AL10" s="2">
        <v>2000.22</v>
      </c>
      <c r="AM10" s="2">
        <v>2903.19</v>
      </c>
      <c r="AN10" s="2">
        <v>2659.35</v>
      </c>
      <c r="AO10" s="2">
        <v>2537.73</v>
      </c>
      <c r="AP10" s="2">
        <v>1929.1</v>
      </c>
      <c r="AQ10" s="2">
        <v>4015.59</v>
      </c>
      <c r="AR10" s="2">
        <v>2449.4299999999998</v>
      </c>
      <c r="AU10" s="1" t="s">
        <v>67</v>
      </c>
      <c r="AV10" s="2">
        <v>9481.8700000000008</v>
      </c>
      <c r="AW10" s="2">
        <v>6186.98</v>
      </c>
      <c r="AX10" s="2">
        <v>8728.51</v>
      </c>
      <c r="AY10" s="2">
        <v>5804.63</v>
      </c>
      <c r="AZ10" s="2">
        <v>2177.15</v>
      </c>
      <c r="BA10" s="2">
        <v>2811.35</v>
      </c>
      <c r="BB10" s="2">
        <v>12066.2</v>
      </c>
      <c r="BC10" s="2">
        <v>8213.39</v>
      </c>
      <c r="BD10" s="2">
        <v>15204.28</v>
      </c>
      <c r="BE10" s="2">
        <v>10193.01</v>
      </c>
      <c r="BF10" s="2">
        <v>26574.21</v>
      </c>
      <c r="BG10" s="2">
        <v>18667.53</v>
      </c>
      <c r="BH10" s="2">
        <v>17965.82</v>
      </c>
      <c r="BI10" s="2">
        <v>16121.73</v>
      </c>
      <c r="BJ10" s="2">
        <v>22905.27</v>
      </c>
      <c r="BK10" s="2">
        <v>21254.240000000002</v>
      </c>
      <c r="BL10" s="2">
        <v>19978.939999999999</v>
      </c>
      <c r="BM10" s="2">
        <v>15110.85</v>
      </c>
      <c r="BN10" s="2">
        <v>32582.68</v>
      </c>
      <c r="BO10" s="2">
        <v>20697.89</v>
      </c>
      <c r="BR10" s="1" t="s">
        <v>67</v>
      </c>
      <c r="BS10" s="2">
        <v>10691.66</v>
      </c>
      <c r="BT10" s="2">
        <v>6928.02</v>
      </c>
      <c r="BU10" s="2">
        <v>9990.24</v>
      </c>
      <c r="BV10" s="2">
        <v>6606.86</v>
      </c>
      <c r="BW10" s="2">
        <v>2485.98</v>
      </c>
      <c r="BX10" s="2">
        <v>3194.48</v>
      </c>
      <c r="BY10" s="2">
        <v>13762.72</v>
      </c>
      <c r="BZ10" s="2">
        <v>9339.2800000000007</v>
      </c>
      <c r="CA10" s="2">
        <v>17184.599999999999</v>
      </c>
      <c r="CB10" s="2">
        <v>11473.5</v>
      </c>
      <c r="CC10" s="2">
        <v>30064.86</v>
      </c>
      <c r="CD10" s="2">
        <v>21008.7</v>
      </c>
      <c r="CE10" s="2">
        <v>20259.689999999999</v>
      </c>
      <c r="CF10" s="2">
        <v>18121.96</v>
      </c>
      <c r="CG10" s="2">
        <v>25808.46</v>
      </c>
      <c r="CH10" s="2">
        <v>23913.59</v>
      </c>
      <c r="CI10" s="2">
        <v>22516.67</v>
      </c>
      <c r="CJ10" s="2">
        <v>17039.95</v>
      </c>
      <c r="CK10" s="2">
        <v>36598.28</v>
      </c>
      <c r="CL10" s="2">
        <v>23147.32</v>
      </c>
    </row>
    <row r="11" spans="2:90" x14ac:dyDescent="0.3">
      <c r="B11" s="1" t="s">
        <v>68</v>
      </c>
      <c r="C11" s="2">
        <v>3.6</v>
      </c>
      <c r="D11" s="2">
        <v>1.01</v>
      </c>
      <c r="E11" s="2">
        <v>3.87</v>
      </c>
      <c r="F11" s="2">
        <v>0.79</v>
      </c>
      <c r="G11" s="2">
        <v>1.8</v>
      </c>
      <c r="H11" s="2">
        <v>3.6</v>
      </c>
      <c r="I11" s="2">
        <v>1.8</v>
      </c>
      <c r="J11" s="2">
        <v>1.8</v>
      </c>
      <c r="K11" s="2">
        <v>1.8</v>
      </c>
      <c r="L11" s="2">
        <v>1.8</v>
      </c>
      <c r="M11" s="2">
        <v>1.8</v>
      </c>
      <c r="N11" s="2">
        <v>1.8</v>
      </c>
      <c r="O11" s="2">
        <v>1.8</v>
      </c>
      <c r="P11" s="2">
        <v>1.8</v>
      </c>
      <c r="Q11" s="2">
        <v>1.8</v>
      </c>
      <c r="R11" s="2">
        <v>1.8</v>
      </c>
      <c r="S11" s="2">
        <v>1.8</v>
      </c>
      <c r="T11" s="2">
        <v>1.57</v>
      </c>
      <c r="U11" s="2">
        <v>1.56</v>
      </c>
      <c r="V11" s="2">
        <v>1.35</v>
      </c>
      <c r="X11" s="1" t="s">
        <v>68</v>
      </c>
      <c r="Y11" s="2">
        <v>7259.67</v>
      </c>
      <c r="Z11" s="2">
        <v>1853.46</v>
      </c>
      <c r="AA11" s="2">
        <v>7004.01</v>
      </c>
      <c r="AB11" s="2">
        <v>1809.91</v>
      </c>
      <c r="AC11" s="2">
        <v>3057.72</v>
      </c>
      <c r="AD11" s="2">
        <v>1837.64</v>
      </c>
      <c r="AE11" s="2">
        <v>10072.280000000001</v>
      </c>
      <c r="AF11" s="2">
        <v>4701.07</v>
      </c>
      <c r="AG11" s="2">
        <v>13323.19</v>
      </c>
      <c r="AH11" s="2">
        <v>4855.1499999999996</v>
      </c>
      <c r="AI11" s="2">
        <v>25609.03</v>
      </c>
      <c r="AJ11" s="2">
        <v>8743.11</v>
      </c>
      <c r="AK11" s="2">
        <v>19567.71</v>
      </c>
      <c r="AL11" s="2">
        <v>7323.49</v>
      </c>
      <c r="AM11" s="2">
        <v>24774.82</v>
      </c>
      <c r="AN11" s="2">
        <v>8795.77</v>
      </c>
      <c r="AO11" s="2">
        <v>9991.2099999999991</v>
      </c>
      <c r="AP11" s="2">
        <v>6555.37</v>
      </c>
      <c r="AQ11" s="2">
        <v>8536.2199999999993</v>
      </c>
      <c r="AR11" s="2">
        <v>7758.28</v>
      </c>
      <c r="AU11" s="1" t="s">
        <v>68</v>
      </c>
      <c r="AV11" s="2">
        <v>30345.14</v>
      </c>
      <c r="AW11" s="2">
        <v>15809.05</v>
      </c>
      <c r="AX11" s="2">
        <v>29143.97</v>
      </c>
      <c r="AY11" s="2">
        <v>13176.82</v>
      </c>
      <c r="AZ11" s="2">
        <v>8063.56</v>
      </c>
      <c r="BA11" s="2">
        <v>10684.12</v>
      </c>
      <c r="BB11" s="2">
        <v>35274.83</v>
      </c>
      <c r="BC11" s="2">
        <v>28250.91</v>
      </c>
      <c r="BD11" s="2">
        <v>45852.11</v>
      </c>
      <c r="BE11" s="2">
        <v>34429.61</v>
      </c>
      <c r="BF11" s="2">
        <v>84118.97</v>
      </c>
      <c r="BG11" s="2">
        <v>62100.41</v>
      </c>
      <c r="BH11" s="2">
        <v>62443.63</v>
      </c>
      <c r="BI11" s="2">
        <v>50655.21</v>
      </c>
      <c r="BJ11" s="2">
        <v>77403.14</v>
      </c>
      <c r="BK11" s="2">
        <v>64325.32</v>
      </c>
      <c r="BL11" s="2">
        <v>61891.8</v>
      </c>
      <c r="BM11" s="2">
        <v>51330.91</v>
      </c>
      <c r="BN11" s="2">
        <v>66937.97</v>
      </c>
      <c r="BO11" s="2">
        <v>60341.98</v>
      </c>
      <c r="BR11" s="1" t="s">
        <v>68</v>
      </c>
      <c r="BS11" s="2">
        <v>37604.82</v>
      </c>
      <c r="BT11" s="2">
        <v>17662.52</v>
      </c>
      <c r="BU11" s="2">
        <v>36147.980000000003</v>
      </c>
      <c r="BV11" s="2">
        <v>14986.72</v>
      </c>
      <c r="BW11" s="2">
        <v>11121.28</v>
      </c>
      <c r="BX11" s="2">
        <v>12521.76</v>
      </c>
      <c r="BY11" s="2">
        <v>45347.11</v>
      </c>
      <c r="BZ11" s="2">
        <v>32951.980000000003</v>
      </c>
      <c r="CA11" s="2">
        <v>59175.3</v>
      </c>
      <c r="CB11" s="2">
        <v>39284.769999999997</v>
      </c>
      <c r="CC11" s="2">
        <v>109728</v>
      </c>
      <c r="CD11" s="2">
        <v>70843.520000000004</v>
      </c>
      <c r="CE11" s="2">
        <v>82011.34</v>
      </c>
      <c r="CF11" s="2">
        <v>57978.7</v>
      </c>
      <c r="CG11" s="2">
        <v>102177.96</v>
      </c>
      <c r="CH11" s="2">
        <v>73121.09</v>
      </c>
      <c r="CI11" s="2">
        <v>71883.009999999995</v>
      </c>
      <c r="CJ11" s="2">
        <v>57886.28</v>
      </c>
      <c r="CK11" s="2">
        <v>75474.2</v>
      </c>
      <c r="CL11" s="2">
        <v>68100.259999999995</v>
      </c>
    </row>
    <row r="12" spans="2:90" x14ac:dyDescent="0.3">
      <c r="B12" s="1" t="s">
        <v>69</v>
      </c>
      <c r="C12" s="2">
        <v>3.6</v>
      </c>
      <c r="D12" s="2">
        <v>0.89</v>
      </c>
      <c r="E12" s="2">
        <v>3.6</v>
      </c>
      <c r="F12" s="2">
        <v>0.68</v>
      </c>
      <c r="G12" s="2">
        <v>1.8</v>
      </c>
      <c r="H12" s="2">
        <v>3.6</v>
      </c>
      <c r="I12" s="2">
        <v>1.8</v>
      </c>
      <c r="J12" s="2">
        <v>1.8</v>
      </c>
      <c r="K12" s="2">
        <v>1.8</v>
      </c>
      <c r="L12" s="2">
        <v>1.5</v>
      </c>
      <c r="M12" s="2">
        <v>1.8</v>
      </c>
      <c r="N12" s="2">
        <v>1.4</v>
      </c>
      <c r="O12" s="2">
        <v>1.8</v>
      </c>
      <c r="P12" s="2">
        <v>1.43</v>
      </c>
      <c r="Q12" s="2">
        <v>1.8</v>
      </c>
      <c r="R12" s="2">
        <v>1.28</v>
      </c>
      <c r="S12" s="2">
        <v>1.28</v>
      </c>
      <c r="T12" s="2">
        <v>1.1100000000000001</v>
      </c>
      <c r="U12" s="2">
        <v>1.1000000000000001</v>
      </c>
      <c r="V12" s="2">
        <v>1</v>
      </c>
      <c r="X12" s="1" t="s">
        <v>69</v>
      </c>
      <c r="Y12" s="2">
        <v>1325.87</v>
      </c>
      <c r="Z12" s="2">
        <v>774.45</v>
      </c>
      <c r="AA12" s="2">
        <v>1346.56</v>
      </c>
      <c r="AB12" s="2">
        <v>728.4</v>
      </c>
      <c r="AC12" s="2">
        <v>704.27</v>
      </c>
      <c r="AD12" s="2">
        <v>545.41</v>
      </c>
      <c r="AE12" s="2">
        <v>2527.8000000000002</v>
      </c>
      <c r="AF12" s="2">
        <v>1328.84</v>
      </c>
      <c r="AG12" s="2">
        <v>3051.39</v>
      </c>
      <c r="AH12" s="2">
        <v>1487.14</v>
      </c>
      <c r="AI12" s="2">
        <v>5487.73</v>
      </c>
      <c r="AJ12" s="2">
        <v>2618.9299999999998</v>
      </c>
      <c r="AK12" s="2">
        <v>4405.59</v>
      </c>
      <c r="AL12" s="2">
        <v>2127.29</v>
      </c>
      <c r="AM12" s="2">
        <v>4026.61</v>
      </c>
      <c r="AN12" s="2">
        <v>2662.37</v>
      </c>
      <c r="AO12" s="2">
        <v>2372.58</v>
      </c>
      <c r="AP12" s="2">
        <v>2257.38</v>
      </c>
      <c r="AQ12" s="2">
        <v>2945.22</v>
      </c>
      <c r="AR12" s="2">
        <v>2815.11</v>
      </c>
      <c r="AU12" s="1" t="s">
        <v>69</v>
      </c>
      <c r="AV12" s="2">
        <v>9801.7199999999993</v>
      </c>
      <c r="AW12" s="2">
        <v>5522.68</v>
      </c>
      <c r="AX12" s="2">
        <v>9208.64</v>
      </c>
      <c r="AY12" s="2">
        <v>5468.31</v>
      </c>
      <c r="AZ12" s="2">
        <v>2765.07</v>
      </c>
      <c r="BA12" s="2">
        <v>3894.59</v>
      </c>
      <c r="BB12" s="2">
        <v>11545.56</v>
      </c>
      <c r="BC12" s="2">
        <v>10149.25</v>
      </c>
      <c r="BD12" s="2">
        <v>14708.61</v>
      </c>
      <c r="BE12" s="2">
        <v>12045.88</v>
      </c>
      <c r="BF12" s="2">
        <v>26480.27</v>
      </c>
      <c r="BG12" s="2">
        <v>21101.5</v>
      </c>
      <c r="BH12" s="2">
        <v>21346.41</v>
      </c>
      <c r="BI12" s="2">
        <v>17153.07</v>
      </c>
      <c r="BJ12" s="2">
        <v>26109.1</v>
      </c>
      <c r="BK12" s="2">
        <v>21295.87</v>
      </c>
      <c r="BL12" s="2">
        <v>19002.54</v>
      </c>
      <c r="BM12" s="2">
        <v>17814.009999999998</v>
      </c>
      <c r="BN12" s="2">
        <v>23249.95</v>
      </c>
      <c r="BO12" s="2">
        <v>22068.67</v>
      </c>
      <c r="BR12" s="1" t="s">
        <v>69</v>
      </c>
      <c r="BS12" s="2">
        <v>11127.59</v>
      </c>
      <c r="BT12" s="2">
        <v>6297.14</v>
      </c>
      <c r="BU12" s="2">
        <v>10555.19</v>
      </c>
      <c r="BV12" s="2">
        <v>6196.71</v>
      </c>
      <c r="BW12" s="2">
        <v>3469.34</v>
      </c>
      <c r="BX12" s="2">
        <v>4440</v>
      </c>
      <c r="BY12" s="2">
        <v>14073.36</v>
      </c>
      <c r="BZ12" s="2">
        <v>11478.09</v>
      </c>
      <c r="CA12" s="2">
        <v>17760</v>
      </c>
      <c r="CB12" s="2">
        <v>13533.02</v>
      </c>
      <c r="CC12" s="2">
        <v>31968</v>
      </c>
      <c r="CD12" s="2">
        <v>23720.43</v>
      </c>
      <c r="CE12" s="2">
        <v>25752</v>
      </c>
      <c r="CF12" s="2">
        <v>19280.36</v>
      </c>
      <c r="CG12" s="2">
        <v>30135.71</v>
      </c>
      <c r="CH12" s="2">
        <v>23958.240000000002</v>
      </c>
      <c r="CI12" s="2">
        <v>21375.119999999999</v>
      </c>
      <c r="CJ12" s="2">
        <v>20071.39</v>
      </c>
      <c r="CK12" s="2">
        <v>26195.18</v>
      </c>
      <c r="CL12" s="2">
        <v>24883.78</v>
      </c>
    </row>
    <row r="13" spans="2:90" x14ac:dyDescent="0.3">
      <c r="B13" s="1" t="s">
        <v>70</v>
      </c>
      <c r="C13" s="2">
        <v>1.8</v>
      </c>
      <c r="D13" s="2">
        <v>1.8</v>
      </c>
      <c r="E13" s="2">
        <v>1.8</v>
      </c>
      <c r="F13" s="2">
        <v>1.26</v>
      </c>
      <c r="G13" s="2">
        <v>1.8</v>
      </c>
      <c r="H13" s="2">
        <v>1.8</v>
      </c>
      <c r="I13" s="2">
        <v>1.23</v>
      </c>
      <c r="J13" s="2">
        <v>1.8</v>
      </c>
      <c r="K13" s="2">
        <v>1.8</v>
      </c>
      <c r="L13" s="2">
        <v>1.8</v>
      </c>
      <c r="M13" s="2">
        <v>1.8</v>
      </c>
      <c r="N13" s="2">
        <v>1.8</v>
      </c>
      <c r="O13" s="2">
        <v>1.77</v>
      </c>
      <c r="P13" s="2">
        <v>1.69</v>
      </c>
      <c r="Q13" s="2">
        <v>1.42</v>
      </c>
      <c r="R13" s="2">
        <v>1.47</v>
      </c>
      <c r="S13" s="2">
        <v>1.26</v>
      </c>
      <c r="T13" s="2">
        <v>1.19</v>
      </c>
      <c r="U13" s="2">
        <v>1.22</v>
      </c>
      <c r="V13" s="2">
        <v>0.95</v>
      </c>
      <c r="X13" s="1" t="s">
        <v>70</v>
      </c>
      <c r="Y13" s="2">
        <v>7240.73</v>
      </c>
      <c r="Z13" s="2">
        <v>7373.64</v>
      </c>
      <c r="AA13" s="2">
        <v>9135.77</v>
      </c>
      <c r="AB13" s="2">
        <v>6513.14</v>
      </c>
      <c r="AC13" s="2">
        <v>2737.07</v>
      </c>
      <c r="AD13" s="2">
        <v>3028.38</v>
      </c>
      <c r="AE13" s="2">
        <v>6816.1</v>
      </c>
      <c r="AF13" s="2">
        <v>9298.4699999999993</v>
      </c>
      <c r="AG13" s="2">
        <v>10726.35</v>
      </c>
      <c r="AH13" s="2">
        <v>11499.07</v>
      </c>
      <c r="AI13" s="2">
        <v>16824.259999999998</v>
      </c>
      <c r="AJ13" s="2">
        <v>15759.37</v>
      </c>
      <c r="AK13" s="2">
        <v>11292.84</v>
      </c>
      <c r="AL13" s="2">
        <v>12049.52</v>
      </c>
      <c r="AM13" s="2">
        <v>13815.91</v>
      </c>
      <c r="AN13" s="2">
        <v>13948.74</v>
      </c>
      <c r="AO13" s="2">
        <v>11733.78</v>
      </c>
      <c r="AP13" s="2">
        <v>11666.8</v>
      </c>
      <c r="AQ13" s="2">
        <v>15594.58</v>
      </c>
      <c r="AR13" s="2">
        <v>16613.259999999998</v>
      </c>
      <c r="AU13" s="1" t="s">
        <v>70</v>
      </c>
      <c r="AV13" s="2">
        <v>30607.49</v>
      </c>
      <c r="AW13" s="2">
        <v>40057.839999999997</v>
      </c>
      <c r="AX13" s="2">
        <v>39497.879999999997</v>
      </c>
      <c r="AY13" s="2">
        <v>46303.26</v>
      </c>
      <c r="AZ13" s="2">
        <v>11176.56</v>
      </c>
      <c r="BA13" s="2">
        <v>12527.83</v>
      </c>
      <c r="BB13" s="2">
        <v>51644.3</v>
      </c>
      <c r="BC13" s="2">
        <v>47916.73</v>
      </c>
      <c r="BD13" s="2">
        <v>68558.149999999994</v>
      </c>
      <c r="BE13" s="2">
        <v>67864.929999999993</v>
      </c>
      <c r="BF13" s="2">
        <v>120154.84</v>
      </c>
      <c r="BG13" s="2">
        <v>124574.03</v>
      </c>
      <c r="BH13" s="2">
        <v>92851.24</v>
      </c>
      <c r="BI13" s="2">
        <v>98758.03</v>
      </c>
      <c r="BJ13" s="2">
        <v>111348.49</v>
      </c>
      <c r="BK13" s="2">
        <v>112799.31</v>
      </c>
      <c r="BL13" s="2">
        <v>92413.32</v>
      </c>
      <c r="BM13" s="2">
        <v>95208.8</v>
      </c>
      <c r="BN13" s="2">
        <v>125604.17</v>
      </c>
      <c r="BO13" s="2">
        <v>140967.74</v>
      </c>
      <c r="BR13" s="1" t="s">
        <v>70</v>
      </c>
      <c r="BS13" s="2">
        <v>37848.21</v>
      </c>
      <c r="BT13" s="2">
        <v>47431.47</v>
      </c>
      <c r="BU13" s="2">
        <v>48633.65</v>
      </c>
      <c r="BV13" s="2">
        <v>52816.4</v>
      </c>
      <c r="BW13" s="2">
        <v>13913.62</v>
      </c>
      <c r="BX13" s="2">
        <v>15556.21</v>
      </c>
      <c r="BY13" s="2">
        <v>58460.4</v>
      </c>
      <c r="BZ13" s="2">
        <v>57215.199999999997</v>
      </c>
      <c r="CA13" s="2">
        <v>79284.5</v>
      </c>
      <c r="CB13" s="2">
        <v>79364</v>
      </c>
      <c r="CC13" s="2">
        <v>136979.1</v>
      </c>
      <c r="CD13" s="2">
        <v>140333.4</v>
      </c>
      <c r="CE13" s="2">
        <v>104144.07</v>
      </c>
      <c r="CF13" s="2">
        <v>110807.55</v>
      </c>
      <c r="CG13" s="2">
        <v>125164.4</v>
      </c>
      <c r="CH13" s="2">
        <v>126748.05</v>
      </c>
      <c r="CI13" s="2">
        <v>104147.1</v>
      </c>
      <c r="CJ13" s="2">
        <v>106875.6</v>
      </c>
      <c r="CK13" s="2">
        <v>141198.75</v>
      </c>
      <c r="CL13" s="2">
        <v>157581</v>
      </c>
    </row>
    <row r="14" spans="2:90" x14ac:dyDescent="0.3">
      <c r="B14" s="1" t="s">
        <v>71</v>
      </c>
      <c r="C14" s="2">
        <v>1.8</v>
      </c>
      <c r="D14" s="2">
        <v>1.8</v>
      </c>
      <c r="E14" s="2">
        <v>3.14</v>
      </c>
      <c r="F14" s="2">
        <v>3.11</v>
      </c>
      <c r="G14" s="2">
        <v>1.8</v>
      </c>
      <c r="H14" s="2">
        <v>1.8</v>
      </c>
      <c r="I14" s="2">
        <v>1.26</v>
      </c>
      <c r="J14" s="2">
        <v>1.8</v>
      </c>
      <c r="K14" s="2">
        <v>1.24</v>
      </c>
      <c r="L14" s="2">
        <v>1.8</v>
      </c>
      <c r="M14" s="2">
        <v>1.46</v>
      </c>
      <c r="N14" s="2">
        <v>1.8</v>
      </c>
      <c r="O14" s="2">
        <v>1.43</v>
      </c>
      <c r="P14" s="2">
        <v>1.8</v>
      </c>
      <c r="Q14" s="2">
        <v>1.42</v>
      </c>
      <c r="R14" s="2">
        <v>1.8</v>
      </c>
      <c r="S14" s="2">
        <v>1.31</v>
      </c>
      <c r="T14" s="2">
        <v>1.8</v>
      </c>
      <c r="U14" s="2">
        <v>1.1399999999999999</v>
      </c>
      <c r="V14" s="2">
        <v>0.99</v>
      </c>
      <c r="X14" s="1" t="s">
        <v>71</v>
      </c>
      <c r="Y14" s="2">
        <v>1884.21</v>
      </c>
      <c r="Z14" s="2">
        <v>1921.55</v>
      </c>
      <c r="AA14" s="2">
        <v>1670.62</v>
      </c>
      <c r="AB14" s="2">
        <v>1706.39</v>
      </c>
      <c r="AC14" s="2">
        <v>641.20000000000005</v>
      </c>
      <c r="AD14" s="2">
        <v>713.7</v>
      </c>
      <c r="AE14" s="2">
        <v>1477.2</v>
      </c>
      <c r="AF14" s="2">
        <v>1900.64</v>
      </c>
      <c r="AG14" s="2">
        <v>1733.3</v>
      </c>
      <c r="AH14" s="2">
        <v>3151.3</v>
      </c>
      <c r="AI14" s="2">
        <v>3298.99</v>
      </c>
      <c r="AJ14" s="2">
        <v>5799.68</v>
      </c>
      <c r="AK14" s="2">
        <v>2642.51</v>
      </c>
      <c r="AL14" s="2">
        <v>3917.38</v>
      </c>
      <c r="AM14" s="2">
        <v>3402.78</v>
      </c>
      <c r="AN14" s="2">
        <v>5007.1000000000004</v>
      </c>
      <c r="AO14" s="2">
        <v>2879.77</v>
      </c>
      <c r="AP14" s="2">
        <v>3831.35</v>
      </c>
      <c r="AQ14" s="2">
        <v>3495.98</v>
      </c>
      <c r="AR14" s="2">
        <v>3444.87</v>
      </c>
      <c r="AU14" s="1" t="s">
        <v>71</v>
      </c>
      <c r="AV14" s="2">
        <v>7094.64</v>
      </c>
      <c r="AW14" s="2">
        <v>7228.83</v>
      </c>
      <c r="AX14" s="2">
        <v>9854.82</v>
      </c>
      <c r="AY14" s="2">
        <v>9837.61</v>
      </c>
      <c r="AZ14" s="2">
        <v>2247.17</v>
      </c>
      <c r="BA14" s="2">
        <v>2564.29</v>
      </c>
      <c r="BB14" s="2">
        <v>8965.2000000000007</v>
      </c>
      <c r="BC14" s="2">
        <v>7011.23</v>
      </c>
      <c r="BD14" s="2">
        <v>11383.8</v>
      </c>
      <c r="BE14" s="2">
        <v>14166.7</v>
      </c>
      <c r="BF14" s="2">
        <v>22041.59</v>
      </c>
      <c r="BG14" s="2">
        <v>26168.32</v>
      </c>
      <c r="BH14" s="2">
        <v>17621.14</v>
      </c>
      <c r="BI14" s="2">
        <v>20373.990000000002</v>
      </c>
      <c r="BJ14" s="2">
        <v>22919.77</v>
      </c>
      <c r="BK14" s="2">
        <v>26618.81</v>
      </c>
      <c r="BL14" s="2">
        <v>19735.560000000001</v>
      </c>
      <c r="BM14" s="2">
        <v>23072.35</v>
      </c>
      <c r="BN14" s="2">
        <v>24277.51</v>
      </c>
      <c r="BO14" s="2">
        <v>22593.25</v>
      </c>
      <c r="BR14" s="1" t="s">
        <v>71</v>
      </c>
      <c r="BS14" s="2">
        <v>8978.86</v>
      </c>
      <c r="BT14" s="2">
        <v>9150.3799999999992</v>
      </c>
      <c r="BU14" s="2">
        <v>11525.44</v>
      </c>
      <c r="BV14" s="2">
        <v>11544</v>
      </c>
      <c r="BW14" s="2">
        <v>2888.37</v>
      </c>
      <c r="BX14" s="2">
        <v>3277.99</v>
      </c>
      <c r="BY14" s="2">
        <v>10442.4</v>
      </c>
      <c r="BZ14" s="2">
        <v>8911.8700000000008</v>
      </c>
      <c r="CA14" s="2">
        <v>13117.1</v>
      </c>
      <c r="CB14" s="2">
        <v>17318</v>
      </c>
      <c r="CC14" s="2">
        <v>25340.58</v>
      </c>
      <c r="CD14" s="2">
        <v>31968</v>
      </c>
      <c r="CE14" s="2">
        <v>20263.650000000001</v>
      </c>
      <c r="CF14" s="2">
        <v>24291.37</v>
      </c>
      <c r="CG14" s="2">
        <v>26322.54</v>
      </c>
      <c r="CH14" s="2">
        <v>31625.91</v>
      </c>
      <c r="CI14" s="2">
        <v>22615.33</v>
      </c>
      <c r="CJ14" s="2">
        <v>26903.7</v>
      </c>
      <c r="CK14" s="2">
        <v>27773.49</v>
      </c>
      <c r="CL14" s="2">
        <v>26038.12</v>
      </c>
    </row>
    <row r="15" spans="2:90" x14ac:dyDescent="0.3">
      <c r="B15" s="1" t="s">
        <v>72</v>
      </c>
      <c r="C15" s="2">
        <v>3.6</v>
      </c>
      <c r="D15" s="2">
        <v>3.6</v>
      </c>
      <c r="E15" s="2">
        <v>3.6</v>
      </c>
      <c r="F15" s="2">
        <v>3.6</v>
      </c>
      <c r="G15" s="2">
        <v>1.8</v>
      </c>
      <c r="H15" s="2">
        <v>3.6</v>
      </c>
      <c r="I15" s="2">
        <v>1.8</v>
      </c>
      <c r="J15" s="2">
        <v>1.8</v>
      </c>
      <c r="K15" s="2">
        <v>1.8</v>
      </c>
      <c r="L15" s="2">
        <v>1.8</v>
      </c>
      <c r="M15" s="2">
        <v>1.8</v>
      </c>
      <c r="N15" s="2">
        <v>1.8</v>
      </c>
      <c r="O15" s="2">
        <v>1.8</v>
      </c>
      <c r="P15" s="2">
        <v>1.8</v>
      </c>
      <c r="Q15" s="2">
        <v>1.8</v>
      </c>
      <c r="R15" s="2">
        <v>1.8</v>
      </c>
      <c r="S15" s="2">
        <v>1.8</v>
      </c>
      <c r="T15" s="2">
        <v>1.8</v>
      </c>
      <c r="U15" s="2">
        <v>1.8</v>
      </c>
      <c r="V15" s="2">
        <v>1.74</v>
      </c>
      <c r="X15" s="1" t="s">
        <v>72</v>
      </c>
      <c r="Y15" s="2">
        <v>7011.88</v>
      </c>
      <c r="Z15" s="2">
        <v>7324.26</v>
      </c>
      <c r="AA15" s="2">
        <v>4997.7</v>
      </c>
      <c r="AB15" s="2">
        <v>7453.03</v>
      </c>
      <c r="AC15" s="2">
        <v>2272.19</v>
      </c>
      <c r="AD15" s="2">
        <v>2712.53</v>
      </c>
      <c r="AE15" s="2">
        <v>6725.26</v>
      </c>
      <c r="AF15" s="2">
        <v>9516.75</v>
      </c>
      <c r="AG15" s="2">
        <v>6357.84</v>
      </c>
      <c r="AH15" s="2">
        <v>14647.53</v>
      </c>
      <c r="AI15" s="2">
        <v>12561.69</v>
      </c>
      <c r="AJ15" s="2">
        <v>26378.76</v>
      </c>
      <c r="AK15" s="2">
        <v>10189.91</v>
      </c>
      <c r="AL15" s="2">
        <v>18604.21</v>
      </c>
      <c r="AM15" s="2">
        <v>14782.82</v>
      </c>
      <c r="AN15" s="2">
        <v>17646.759999999998</v>
      </c>
      <c r="AO15" s="2">
        <v>9687.15</v>
      </c>
      <c r="AP15" s="2">
        <v>10339.629999999999</v>
      </c>
      <c r="AQ15" s="2">
        <v>10960.62</v>
      </c>
      <c r="AR15" s="2">
        <v>10903.37</v>
      </c>
      <c r="AU15" s="1" t="s">
        <v>72</v>
      </c>
      <c r="AV15" s="2">
        <v>27181.98</v>
      </c>
      <c r="AW15" s="2">
        <v>28937.040000000001</v>
      </c>
      <c r="AX15" s="2">
        <v>28273.93</v>
      </c>
      <c r="AY15" s="2">
        <v>31093.32</v>
      </c>
      <c r="AZ15" s="2">
        <v>6881.22</v>
      </c>
      <c r="BA15" s="2">
        <v>10263.17</v>
      </c>
      <c r="BB15" s="2">
        <v>29893.87</v>
      </c>
      <c r="BC15" s="2">
        <v>24493.41</v>
      </c>
      <c r="BD15" s="2">
        <v>36406.370000000003</v>
      </c>
      <c r="BE15" s="2">
        <v>46312.47</v>
      </c>
      <c r="BF15" s="2">
        <v>67436.73</v>
      </c>
      <c r="BG15" s="2">
        <v>83349.240000000005</v>
      </c>
      <c r="BH15" s="2">
        <v>54447.55</v>
      </c>
      <c r="BI15" s="2">
        <v>64568.23</v>
      </c>
      <c r="BJ15" s="2">
        <v>73618.720000000001</v>
      </c>
      <c r="BK15" s="2">
        <v>77366.19</v>
      </c>
      <c r="BL15" s="2">
        <v>60169.27</v>
      </c>
      <c r="BM15" s="2">
        <v>61187.09</v>
      </c>
      <c r="BN15" s="2">
        <v>75852.509999999995</v>
      </c>
      <c r="BO15" s="2">
        <v>74526.559999999998</v>
      </c>
      <c r="BR15" s="1" t="s">
        <v>72</v>
      </c>
      <c r="BS15" s="2">
        <v>34193.85</v>
      </c>
      <c r="BT15" s="2">
        <v>36261.300000000003</v>
      </c>
      <c r="BU15" s="2">
        <v>33271.629999999997</v>
      </c>
      <c r="BV15" s="2">
        <v>38546.35</v>
      </c>
      <c r="BW15" s="2">
        <v>9153.41</v>
      </c>
      <c r="BX15" s="2">
        <v>12975.7</v>
      </c>
      <c r="BY15" s="2">
        <v>36619.129999999997</v>
      </c>
      <c r="BZ15" s="2">
        <v>34010.15</v>
      </c>
      <c r="CA15" s="2">
        <v>42764.21</v>
      </c>
      <c r="CB15" s="2">
        <v>60960</v>
      </c>
      <c r="CC15" s="2">
        <v>79998.41</v>
      </c>
      <c r="CD15" s="2">
        <v>109728</v>
      </c>
      <c r="CE15" s="2">
        <v>64637.46</v>
      </c>
      <c r="CF15" s="2">
        <v>83172.44</v>
      </c>
      <c r="CG15" s="2">
        <v>88401.53</v>
      </c>
      <c r="CH15" s="2">
        <v>95012.94</v>
      </c>
      <c r="CI15" s="2">
        <v>69856.42</v>
      </c>
      <c r="CJ15" s="2">
        <v>71526.720000000001</v>
      </c>
      <c r="CK15" s="2">
        <v>86813.13</v>
      </c>
      <c r="CL15" s="2">
        <v>85429.94</v>
      </c>
    </row>
    <row r="16" spans="2:90" x14ac:dyDescent="0.3">
      <c r="B16" s="1" t="s">
        <v>73</v>
      </c>
      <c r="C16" s="2">
        <v>1.03</v>
      </c>
      <c r="D16" s="2">
        <v>1.53</v>
      </c>
      <c r="E16" s="2">
        <v>0.48</v>
      </c>
      <c r="F16" s="2">
        <v>0.5</v>
      </c>
      <c r="G16" s="2">
        <v>0.2</v>
      </c>
      <c r="H16" s="2">
        <v>0.56999999999999995</v>
      </c>
      <c r="I16" s="2">
        <v>0.5</v>
      </c>
      <c r="J16" s="2">
        <v>1.8</v>
      </c>
      <c r="K16" s="2">
        <v>1.19</v>
      </c>
      <c r="L16" s="2">
        <v>1.8</v>
      </c>
      <c r="M16" s="2">
        <v>1.41</v>
      </c>
      <c r="N16" s="2">
        <v>1.8</v>
      </c>
      <c r="O16" s="2">
        <v>1.57</v>
      </c>
      <c r="P16" s="2">
        <v>1.72</v>
      </c>
      <c r="Q16" s="2">
        <v>1.35</v>
      </c>
      <c r="R16" s="2">
        <v>1.26</v>
      </c>
      <c r="S16" s="2">
        <v>1.19</v>
      </c>
      <c r="T16" s="2">
        <v>0.99</v>
      </c>
      <c r="U16" s="2">
        <v>1.02</v>
      </c>
      <c r="V16" s="2">
        <v>1.02</v>
      </c>
      <c r="X16" s="1" t="s">
        <v>73</v>
      </c>
      <c r="Y16" s="2">
        <v>2559.2199999999998</v>
      </c>
      <c r="Z16" s="2">
        <v>2942.73</v>
      </c>
      <c r="AA16" s="2">
        <v>2335.23</v>
      </c>
      <c r="AB16" s="2">
        <v>2482.44</v>
      </c>
      <c r="AC16" s="2">
        <v>225.09</v>
      </c>
      <c r="AD16" s="2">
        <v>999.84</v>
      </c>
      <c r="AE16" s="2">
        <v>1957.92</v>
      </c>
      <c r="AF16" s="2">
        <v>3906.41</v>
      </c>
      <c r="AG16" s="2">
        <v>2845.75</v>
      </c>
      <c r="AH16" s="2">
        <v>4579.57</v>
      </c>
      <c r="AI16" s="2">
        <v>6287.53</v>
      </c>
      <c r="AJ16" s="2">
        <v>8449.44</v>
      </c>
      <c r="AK16" s="2">
        <v>5020.13</v>
      </c>
      <c r="AL16" s="2">
        <v>5841.33</v>
      </c>
      <c r="AM16" s="2">
        <v>6466.85</v>
      </c>
      <c r="AN16" s="2">
        <v>6772.28</v>
      </c>
      <c r="AO16" s="2">
        <v>5595.38</v>
      </c>
      <c r="AP16" s="2">
        <v>5580.59</v>
      </c>
      <c r="AQ16" s="2">
        <v>7536.06</v>
      </c>
      <c r="AR16" s="2">
        <v>6036.25</v>
      </c>
      <c r="AU16" s="1" t="s">
        <v>73</v>
      </c>
      <c r="AV16" s="2">
        <v>15495.44</v>
      </c>
      <c r="AW16" s="2">
        <v>19215.310000000001</v>
      </c>
      <c r="AX16" s="2">
        <v>13553.57</v>
      </c>
      <c r="AY16" s="2">
        <v>14445.71</v>
      </c>
      <c r="AZ16" s="2">
        <v>4407.21</v>
      </c>
      <c r="BA16" s="2">
        <v>6155.39</v>
      </c>
      <c r="BB16" s="2">
        <v>14976</v>
      </c>
      <c r="BC16" s="2">
        <v>19474.16</v>
      </c>
      <c r="BD16" s="2">
        <v>20518.25</v>
      </c>
      <c r="BE16" s="2">
        <v>25154.69</v>
      </c>
      <c r="BF16" s="2">
        <v>34830.769999999997</v>
      </c>
      <c r="BG16" s="2">
        <v>46765.75</v>
      </c>
      <c r="BH16" s="2">
        <v>28056.400000000001</v>
      </c>
      <c r="BI16" s="2">
        <v>36581.18</v>
      </c>
      <c r="BJ16" s="2">
        <v>34948.21</v>
      </c>
      <c r="BK16" s="2">
        <v>37950.49</v>
      </c>
      <c r="BL16" s="2">
        <v>29136.13</v>
      </c>
      <c r="BM16" s="2">
        <v>29868.49</v>
      </c>
      <c r="BN16" s="2">
        <v>40584.69</v>
      </c>
      <c r="BO16" s="2">
        <v>44720.38</v>
      </c>
      <c r="BR16" s="1" t="s">
        <v>73</v>
      </c>
      <c r="BS16" s="2">
        <v>18054.66</v>
      </c>
      <c r="BT16" s="2">
        <v>22158.04</v>
      </c>
      <c r="BU16" s="2">
        <v>15888.79</v>
      </c>
      <c r="BV16" s="2">
        <v>16928.14</v>
      </c>
      <c r="BW16" s="2">
        <v>4632.3</v>
      </c>
      <c r="BX16" s="2">
        <v>7155.22</v>
      </c>
      <c r="BY16" s="2">
        <v>16933.919999999998</v>
      </c>
      <c r="BZ16" s="2">
        <v>23380.57</v>
      </c>
      <c r="CA16" s="2">
        <v>23364</v>
      </c>
      <c r="CB16" s="2">
        <v>29734.25</v>
      </c>
      <c r="CC16" s="2">
        <v>41118.300000000003</v>
      </c>
      <c r="CD16" s="2">
        <v>55215.199999999997</v>
      </c>
      <c r="CE16" s="2">
        <v>33076.53</v>
      </c>
      <c r="CF16" s="2">
        <v>42422.5</v>
      </c>
      <c r="CG16" s="2">
        <v>41415.06</v>
      </c>
      <c r="CH16" s="2">
        <v>44722.77</v>
      </c>
      <c r="CI16" s="2">
        <v>34731.51</v>
      </c>
      <c r="CJ16" s="2">
        <v>35449.08</v>
      </c>
      <c r="CK16" s="2">
        <v>48120.75</v>
      </c>
      <c r="CL16" s="2">
        <v>50756.62</v>
      </c>
    </row>
    <row r="19" spans="2:90" x14ac:dyDescent="0.3">
      <c r="B19" t="s">
        <v>8</v>
      </c>
      <c r="X19" t="s">
        <v>9</v>
      </c>
      <c r="AU19" t="s">
        <v>10</v>
      </c>
      <c r="BR19" t="s">
        <v>11</v>
      </c>
    </row>
    <row r="20" spans="2:90" x14ac:dyDescent="0.3">
      <c r="B20" s="1" t="s">
        <v>6</v>
      </c>
      <c r="C20" s="1" t="s">
        <v>63</v>
      </c>
      <c r="D20" s="1" t="s">
        <v>64</v>
      </c>
      <c r="E20" s="1" t="s">
        <v>63</v>
      </c>
      <c r="F20" s="1" t="s">
        <v>64</v>
      </c>
      <c r="G20" s="1" t="s">
        <v>63</v>
      </c>
      <c r="H20" s="1" t="s">
        <v>64</v>
      </c>
      <c r="I20" s="1" t="s">
        <v>63</v>
      </c>
      <c r="J20" s="1" t="s">
        <v>64</v>
      </c>
      <c r="K20" s="1" t="s">
        <v>63</v>
      </c>
      <c r="L20" s="1" t="s">
        <v>64</v>
      </c>
      <c r="M20" s="1" t="s">
        <v>63</v>
      </c>
      <c r="N20" s="1" t="s">
        <v>64</v>
      </c>
      <c r="O20" s="1" t="s">
        <v>63</v>
      </c>
      <c r="P20" s="1" t="s">
        <v>64</v>
      </c>
      <c r="Q20" s="1" t="s">
        <v>63</v>
      </c>
      <c r="R20" s="1" t="s">
        <v>64</v>
      </c>
      <c r="S20" s="1" t="s">
        <v>63</v>
      </c>
      <c r="T20" s="1" t="s">
        <v>64</v>
      </c>
      <c r="U20" s="1" t="s">
        <v>63</v>
      </c>
      <c r="V20" s="1" t="s">
        <v>64</v>
      </c>
      <c r="X20" s="1" t="s">
        <v>6</v>
      </c>
      <c r="Y20" s="1" t="s">
        <v>63</v>
      </c>
      <c r="Z20" s="1" t="s">
        <v>64</v>
      </c>
      <c r="AA20" s="1" t="s">
        <v>63</v>
      </c>
      <c r="AB20" s="1" t="s">
        <v>64</v>
      </c>
      <c r="AC20" s="1" t="s">
        <v>63</v>
      </c>
      <c r="AD20" s="1" t="s">
        <v>64</v>
      </c>
      <c r="AE20" s="1" t="s">
        <v>63</v>
      </c>
      <c r="AF20" s="1" t="s">
        <v>64</v>
      </c>
      <c r="AG20" s="1" t="s">
        <v>63</v>
      </c>
      <c r="AH20" s="1" t="s">
        <v>64</v>
      </c>
      <c r="AI20" s="1" t="s">
        <v>63</v>
      </c>
      <c r="AJ20" s="1" t="s">
        <v>64</v>
      </c>
      <c r="AK20" s="1" t="s">
        <v>63</v>
      </c>
      <c r="AL20" s="1" t="s">
        <v>64</v>
      </c>
      <c r="AM20" s="1" t="s">
        <v>63</v>
      </c>
      <c r="AN20" s="1" t="s">
        <v>64</v>
      </c>
      <c r="AO20" s="1" t="s">
        <v>63</v>
      </c>
      <c r="AP20" s="1" t="s">
        <v>64</v>
      </c>
      <c r="AQ20" s="1" t="s">
        <v>63</v>
      </c>
      <c r="AR20" s="1" t="s">
        <v>64</v>
      </c>
      <c r="AU20" s="1" t="s">
        <v>6</v>
      </c>
      <c r="AV20" s="1" t="s">
        <v>63</v>
      </c>
      <c r="AW20" s="1" t="s">
        <v>64</v>
      </c>
      <c r="AX20" s="1" t="s">
        <v>63</v>
      </c>
      <c r="AY20" s="1" t="s">
        <v>64</v>
      </c>
      <c r="AZ20" s="1" t="s">
        <v>63</v>
      </c>
      <c r="BA20" s="1" t="s">
        <v>64</v>
      </c>
      <c r="BB20" s="1" t="s">
        <v>63</v>
      </c>
      <c r="BC20" s="1" t="s">
        <v>64</v>
      </c>
      <c r="BD20" s="1" t="s">
        <v>63</v>
      </c>
      <c r="BE20" s="1" t="s">
        <v>64</v>
      </c>
      <c r="BF20" s="1" t="s">
        <v>63</v>
      </c>
      <c r="BG20" s="1" t="s">
        <v>64</v>
      </c>
      <c r="BH20" s="1" t="s">
        <v>63</v>
      </c>
      <c r="BI20" s="1" t="s">
        <v>64</v>
      </c>
      <c r="BJ20" s="1" t="s">
        <v>63</v>
      </c>
      <c r="BK20" s="1" t="s">
        <v>64</v>
      </c>
      <c r="BL20" s="1" t="s">
        <v>63</v>
      </c>
      <c r="BM20" s="1" t="s">
        <v>64</v>
      </c>
      <c r="BN20" s="1" t="s">
        <v>63</v>
      </c>
      <c r="BO20" s="1" t="s">
        <v>64</v>
      </c>
      <c r="BR20" s="1" t="s">
        <v>6</v>
      </c>
      <c r="BS20" s="1" t="s">
        <v>63</v>
      </c>
      <c r="BT20" s="1" t="s">
        <v>64</v>
      </c>
      <c r="BU20" s="1" t="s">
        <v>63</v>
      </c>
      <c r="BV20" s="1" t="s">
        <v>64</v>
      </c>
      <c r="BW20" s="1" t="s">
        <v>63</v>
      </c>
      <c r="BX20" s="1" t="s">
        <v>64</v>
      </c>
      <c r="BY20" s="1" t="s">
        <v>63</v>
      </c>
      <c r="BZ20" s="1" t="s">
        <v>64</v>
      </c>
      <c r="CA20" s="1" t="s">
        <v>63</v>
      </c>
      <c r="CB20" s="1" t="s">
        <v>64</v>
      </c>
      <c r="CC20" s="1" t="s">
        <v>63</v>
      </c>
      <c r="CD20" s="1" t="s">
        <v>64</v>
      </c>
      <c r="CE20" s="1" t="s">
        <v>63</v>
      </c>
      <c r="CF20" s="1" t="s">
        <v>64</v>
      </c>
      <c r="CG20" s="1" t="s">
        <v>63</v>
      </c>
      <c r="CH20" s="1" t="s">
        <v>64</v>
      </c>
      <c r="CI20" s="1" t="s">
        <v>63</v>
      </c>
      <c r="CJ20" s="1" t="s">
        <v>64</v>
      </c>
      <c r="CK20" s="1" t="s">
        <v>63</v>
      </c>
      <c r="CL20" s="1" t="s">
        <v>64</v>
      </c>
    </row>
    <row r="21" spans="2:90" x14ac:dyDescent="0.3">
      <c r="B21" s="1" t="s">
        <v>65</v>
      </c>
      <c r="C21" s="1" t="s">
        <v>53</v>
      </c>
      <c r="D21" s="1" t="s">
        <v>53</v>
      </c>
      <c r="E21" s="1" t="s">
        <v>54</v>
      </c>
      <c r="F21" s="1" t="s">
        <v>54</v>
      </c>
      <c r="G21" s="1" t="s">
        <v>55</v>
      </c>
      <c r="H21" s="1" t="s">
        <v>55</v>
      </c>
      <c r="I21" s="1" t="s">
        <v>56</v>
      </c>
      <c r="J21" s="1" t="s">
        <v>56</v>
      </c>
      <c r="K21" s="1" t="s">
        <v>57</v>
      </c>
      <c r="L21" s="1" t="s">
        <v>57</v>
      </c>
      <c r="M21" s="1" t="s">
        <v>58</v>
      </c>
      <c r="N21" s="1" t="s">
        <v>58</v>
      </c>
      <c r="O21" s="1" t="s">
        <v>59</v>
      </c>
      <c r="P21" s="1" t="s">
        <v>59</v>
      </c>
      <c r="Q21" s="1" t="s">
        <v>60</v>
      </c>
      <c r="R21" s="1" t="s">
        <v>60</v>
      </c>
      <c r="S21" s="1" t="s">
        <v>61</v>
      </c>
      <c r="T21" s="1" t="s">
        <v>61</v>
      </c>
      <c r="U21" s="1" t="s">
        <v>62</v>
      </c>
      <c r="V21" s="1" t="s">
        <v>62</v>
      </c>
      <c r="X21" s="1" t="s">
        <v>65</v>
      </c>
      <c r="Y21" s="1" t="s">
        <v>53</v>
      </c>
      <c r="Z21" s="1" t="s">
        <v>53</v>
      </c>
      <c r="AA21" s="1" t="s">
        <v>54</v>
      </c>
      <c r="AB21" s="1" t="s">
        <v>54</v>
      </c>
      <c r="AC21" s="1" t="s">
        <v>55</v>
      </c>
      <c r="AD21" s="1" t="s">
        <v>55</v>
      </c>
      <c r="AE21" s="1" t="s">
        <v>56</v>
      </c>
      <c r="AF21" s="1" t="s">
        <v>56</v>
      </c>
      <c r="AG21" s="1" t="s">
        <v>57</v>
      </c>
      <c r="AH21" s="1" t="s">
        <v>57</v>
      </c>
      <c r="AI21" s="1" t="s">
        <v>58</v>
      </c>
      <c r="AJ21" s="1" t="s">
        <v>58</v>
      </c>
      <c r="AK21" s="1" t="s">
        <v>59</v>
      </c>
      <c r="AL21" s="1" t="s">
        <v>59</v>
      </c>
      <c r="AM21" s="1" t="s">
        <v>60</v>
      </c>
      <c r="AN21" s="1" t="s">
        <v>60</v>
      </c>
      <c r="AO21" s="1" t="s">
        <v>61</v>
      </c>
      <c r="AP21" s="1" t="s">
        <v>61</v>
      </c>
      <c r="AQ21" s="1" t="s">
        <v>62</v>
      </c>
      <c r="AR21" s="1" t="s">
        <v>62</v>
      </c>
      <c r="AU21" s="1" t="s">
        <v>65</v>
      </c>
      <c r="AV21" s="1" t="s">
        <v>53</v>
      </c>
      <c r="AW21" s="1" t="s">
        <v>53</v>
      </c>
      <c r="AX21" s="1" t="s">
        <v>54</v>
      </c>
      <c r="AY21" s="1" t="s">
        <v>54</v>
      </c>
      <c r="AZ21" s="1" t="s">
        <v>55</v>
      </c>
      <c r="BA21" s="1" t="s">
        <v>55</v>
      </c>
      <c r="BB21" s="1" t="s">
        <v>56</v>
      </c>
      <c r="BC21" s="1" t="s">
        <v>56</v>
      </c>
      <c r="BD21" s="1" t="s">
        <v>57</v>
      </c>
      <c r="BE21" s="1" t="s">
        <v>57</v>
      </c>
      <c r="BF21" s="1" t="s">
        <v>58</v>
      </c>
      <c r="BG21" s="1" t="s">
        <v>58</v>
      </c>
      <c r="BH21" s="1" t="s">
        <v>59</v>
      </c>
      <c r="BI21" s="1" t="s">
        <v>59</v>
      </c>
      <c r="BJ21" s="1" t="s">
        <v>60</v>
      </c>
      <c r="BK21" s="1" t="s">
        <v>60</v>
      </c>
      <c r="BL21" s="1" t="s">
        <v>61</v>
      </c>
      <c r="BM21" s="1" t="s">
        <v>61</v>
      </c>
      <c r="BN21" s="1" t="s">
        <v>62</v>
      </c>
      <c r="BO21" s="1" t="s">
        <v>62</v>
      </c>
      <c r="BR21" s="1" t="s">
        <v>65</v>
      </c>
      <c r="BS21" s="1" t="s">
        <v>53</v>
      </c>
      <c r="BT21" s="1" t="s">
        <v>53</v>
      </c>
      <c r="BU21" s="1" t="s">
        <v>54</v>
      </c>
      <c r="BV21" s="1" t="s">
        <v>54</v>
      </c>
      <c r="BW21" s="1" t="s">
        <v>55</v>
      </c>
      <c r="BX21" s="1" t="s">
        <v>55</v>
      </c>
      <c r="BY21" s="1" t="s">
        <v>56</v>
      </c>
      <c r="BZ21" s="1" t="s">
        <v>56</v>
      </c>
      <c r="CA21" s="1" t="s">
        <v>57</v>
      </c>
      <c r="CB21" s="1" t="s">
        <v>57</v>
      </c>
      <c r="CC21" s="1" t="s">
        <v>58</v>
      </c>
      <c r="CD21" s="1" t="s">
        <v>58</v>
      </c>
      <c r="CE21" s="1" t="s">
        <v>59</v>
      </c>
      <c r="CF21" s="1" t="s">
        <v>59</v>
      </c>
      <c r="CG21" s="1" t="s">
        <v>60</v>
      </c>
      <c r="CH21" s="1" t="s">
        <v>60</v>
      </c>
      <c r="CI21" s="1" t="s">
        <v>61</v>
      </c>
      <c r="CJ21" s="1" t="s">
        <v>61</v>
      </c>
      <c r="CK21" s="1" t="s">
        <v>62</v>
      </c>
      <c r="CL21" s="1" t="s">
        <v>62</v>
      </c>
    </row>
    <row r="22" spans="2:90" x14ac:dyDescent="0.3">
      <c r="B22" s="1" t="s">
        <v>7</v>
      </c>
      <c r="X22" s="1" t="s">
        <v>7</v>
      </c>
      <c r="AU22" s="1" t="s">
        <v>7</v>
      </c>
      <c r="BR22" s="1" t="s">
        <v>7</v>
      </c>
    </row>
    <row r="23" spans="2:90" x14ac:dyDescent="0.3">
      <c r="B23" s="1" t="s">
        <v>66</v>
      </c>
      <c r="C23" s="2">
        <v>0.23</v>
      </c>
      <c r="D23" s="2">
        <v>0.19</v>
      </c>
      <c r="E23" s="2">
        <v>0.06</v>
      </c>
      <c r="F23" s="2">
        <v>0.06</v>
      </c>
      <c r="G23" s="2">
        <v>0.06</v>
      </c>
      <c r="H23" s="2">
        <v>7.0000000000000007E-2</v>
      </c>
      <c r="I23" s="2">
        <v>0.14000000000000001</v>
      </c>
      <c r="J23" s="2">
        <v>7.0000000000000007E-2</v>
      </c>
      <c r="K23" s="2">
        <v>0.21</v>
      </c>
      <c r="L23" s="2">
        <v>0.06</v>
      </c>
      <c r="M23" s="2">
        <v>0.21</v>
      </c>
      <c r="N23" s="2">
        <v>0.04</v>
      </c>
      <c r="O23" s="2">
        <v>0.2</v>
      </c>
      <c r="P23" s="2">
        <v>0.01</v>
      </c>
      <c r="Q23" s="2">
        <v>0.15</v>
      </c>
      <c r="R23" s="2">
        <v>0.04</v>
      </c>
      <c r="S23" s="2">
        <v>0.01</v>
      </c>
      <c r="T23" s="2">
        <v>0.01</v>
      </c>
      <c r="U23" s="2">
        <v>0.02</v>
      </c>
      <c r="V23" s="2">
        <v>0.01</v>
      </c>
      <c r="X23" s="1" t="s">
        <v>66</v>
      </c>
      <c r="Y23" s="2">
        <v>3497.9</v>
      </c>
      <c r="Z23" s="2">
        <v>3329.2</v>
      </c>
      <c r="AA23" s="2">
        <v>764.94</v>
      </c>
      <c r="AB23" s="2">
        <v>698.97</v>
      </c>
      <c r="AC23" s="2">
        <v>614.91999999999996</v>
      </c>
      <c r="AD23" s="2">
        <v>985.6</v>
      </c>
      <c r="AE23" s="2">
        <v>2220.75</v>
      </c>
      <c r="AF23" s="2">
        <v>1146.25</v>
      </c>
      <c r="AG23" s="2">
        <v>3340.05</v>
      </c>
      <c r="AH23" s="2">
        <v>935.9</v>
      </c>
      <c r="AI23" s="2">
        <v>3433.15</v>
      </c>
      <c r="AJ23" s="2">
        <v>645.4</v>
      </c>
      <c r="AK23" s="2">
        <v>3161.2</v>
      </c>
      <c r="AL23" s="2">
        <v>167.25</v>
      </c>
      <c r="AM23" s="2">
        <v>2382.0300000000002</v>
      </c>
      <c r="AN23" s="2">
        <v>624.04999999999995</v>
      </c>
      <c r="AO23" s="2">
        <v>164.98</v>
      </c>
      <c r="AP23" s="2">
        <v>125.6</v>
      </c>
      <c r="AQ23" s="2">
        <v>280.35000000000002</v>
      </c>
      <c r="AR23" s="2">
        <v>133.13</v>
      </c>
      <c r="AU23" s="1" t="s">
        <v>66</v>
      </c>
      <c r="AV23" s="2">
        <v>16800</v>
      </c>
      <c r="AW23" s="2">
        <v>16800</v>
      </c>
      <c r="AX23" s="2">
        <v>14344.56</v>
      </c>
      <c r="AY23" s="2">
        <v>13429.13</v>
      </c>
      <c r="AZ23" s="2">
        <v>13598.58</v>
      </c>
      <c r="BA23" s="2">
        <v>16800</v>
      </c>
      <c r="BB23" s="2">
        <v>16800</v>
      </c>
      <c r="BC23" s="2">
        <v>16800</v>
      </c>
      <c r="BD23" s="2">
        <v>16800</v>
      </c>
      <c r="BE23" s="2">
        <v>16800</v>
      </c>
      <c r="BF23" s="2">
        <v>16800</v>
      </c>
      <c r="BG23" s="2">
        <v>16800</v>
      </c>
      <c r="BH23" s="2">
        <v>16800</v>
      </c>
      <c r="BI23" s="2">
        <v>16799</v>
      </c>
      <c r="BJ23" s="2">
        <v>16764.72</v>
      </c>
      <c r="BK23" s="2">
        <v>16800</v>
      </c>
      <c r="BL23" s="2">
        <v>16495.72</v>
      </c>
      <c r="BM23" s="2">
        <v>12700.15</v>
      </c>
      <c r="BN23" s="2">
        <v>16800</v>
      </c>
      <c r="BO23" s="2">
        <v>13379.67</v>
      </c>
      <c r="BR23" s="1" t="s">
        <v>66</v>
      </c>
      <c r="BS23" s="2">
        <v>20297.900000000001</v>
      </c>
      <c r="BT23" s="2">
        <v>20129.2</v>
      </c>
      <c r="BU23" s="2">
        <v>15109.5</v>
      </c>
      <c r="BV23" s="2">
        <v>14128.1</v>
      </c>
      <c r="BW23" s="2">
        <v>14213.5</v>
      </c>
      <c r="BX23" s="2">
        <v>17785.599999999999</v>
      </c>
      <c r="BY23" s="2">
        <v>19020.75</v>
      </c>
      <c r="BZ23" s="2">
        <v>17946.25</v>
      </c>
      <c r="CA23" s="2">
        <v>20140.05</v>
      </c>
      <c r="CB23" s="2">
        <v>17735.900000000001</v>
      </c>
      <c r="CC23" s="2">
        <v>20233.150000000001</v>
      </c>
      <c r="CD23" s="2">
        <v>17445.400000000001</v>
      </c>
      <c r="CE23" s="2">
        <v>19961.2</v>
      </c>
      <c r="CF23" s="2">
        <v>16966.25</v>
      </c>
      <c r="CG23" s="2">
        <v>19146.75</v>
      </c>
      <c r="CH23" s="2">
        <v>17424.05</v>
      </c>
      <c r="CI23" s="2">
        <v>16660.7</v>
      </c>
      <c r="CJ23" s="2">
        <v>12825.75</v>
      </c>
      <c r="CK23" s="2">
        <v>17080.349999999999</v>
      </c>
      <c r="CL23" s="2">
        <v>13512.8</v>
      </c>
    </row>
    <row r="24" spans="2:90" x14ac:dyDescent="0.3">
      <c r="B24" s="1" t="s">
        <v>67</v>
      </c>
      <c r="C24" s="2">
        <v>0.13</v>
      </c>
      <c r="D24" s="2">
        <v>0.13</v>
      </c>
      <c r="E24" s="2">
        <v>0.13</v>
      </c>
      <c r="F24" s="2">
        <v>0.13</v>
      </c>
      <c r="G24" s="2">
        <v>0.14000000000000001</v>
      </c>
      <c r="H24" s="2">
        <v>0.13</v>
      </c>
      <c r="I24" s="2">
        <v>0.13</v>
      </c>
      <c r="J24" s="2">
        <v>0.14000000000000001</v>
      </c>
      <c r="K24" s="2">
        <v>0.13</v>
      </c>
      <c r="L24" s="2">
        <v>0.13</v>
      </c>
      <c r="M24" s="2">
        <v>0.13</v>
      </c>
      <c r="N24" s="2">
        <v>0.13</v>
      </c>
      <c r="O24" s="2">
        <v>0.13</v>
      </c>
      <c r="P24" s="2">
        <v>0.13</v>
      </c>
      <c r="Q24" s="2">
        <v>0.13</v>
      </c>
      <c r="R24" s="2">
        <v>0.13</v>
      </c>
      <c r="S24" s="2">
        <v>0.13</v>
      </c>
      <c r="T24" s="2">
        <v>0.13</v>
      </c>
      <c r="U24" s="2">
        <v>0.12</v>
      </c>
      <c r="V24" s="2">
        <v>0.13</v>
      </c>
      <c r="X24" s="1" t="s">
        <v>67</v>
      </c>
      <c r="Y24" s="2">
        <v>930.6</v>
      </c>
      <c r="Z24" s="2">
        <v>570.03</v>
      </c>
      <c r="AA24" s="2">
        <v>970.56</v>
      </c>
      <c r="AB24" s="2">
        <v>617.1</v>
      </c>
      <c r="AC24" s="2">
        <v>617.66</v>
      </c>
      <c r="AD24" s="2">
        <v>766.26</v>
      </c>
      <c r="AE24" s="2">
        <v>1060.33</v>
      </c>
      <c r="AF24" s="2">
        <v>703.68</v>
      </c>
      <c r="AG24" s="2">
        <v>990.16</v>
      </c>
      <c r="AH24" s="2">
        <v>640.25</v>
      </c>
      <c r="AI24" s="2">
        <v>969.63</v>
      </c>
      <c r="AJ24" s="2">
        <v>650.32000000000005</v>
      </c>
      <c r="AK24" s="2">
        <v>790.99</v>
      </c>
      <c r="AL24" s="2">
        <v>689.73</v>
      </c>
      <c r="AM24" s="2">
        <v>764</v>
      </c>
      <c r="AN24" s="2">
        <v>699.83</v>
      </c>
      <c r="AO24" s="2">
        <v>746.39</v>
      </c>
      <c r="AP24" s="2">
        <v>567.38</v>
      </c>
      <c r="AQ24" s="2">
        <v>892.35</v>
      </c>
      <c r="AR24" s="2">
        <v>544.32000000000005</v>
      </c>
      <c r="AU24" s="1" t="s">
        <v>67</v>
      </c>
      <c r="AV24" s="2">
        <v>7293.75</v>
      </c>
      <c r="AW24" s="2">
        <v>4759.22</v>
      </c>
      <c r="AX24" s="2">
        <v>6714.24</v>
      </c>
      <c r="AY24" s="2">
        <v>4465.1000000000004</v>
      </c>
      <c r="AZ24" s="2">
        <v>4354.29</v>
      </c>
      <c r="BA24" s="2">
        <v>5622.69</v>
      </c>
      <c r="BB24" s="2">
        <v>7541.37</v>
      </c>
      <c r="BC24" s="2">
        <v>5133.37</v>
      </c>
      <c r="BD24" s="2">
        <v>7602.14</v>
      </c>
      <c r="BE24" s="2">
        <v>5096.5</v>
      </c>
      <c r="BF24" s="2">
        <v>7381.72</v>
      </c>
      <c r="BG24" s="2">
        <v>5185.43</v>
      </c>
      <c r="BH24" s="2">
        <v>6195.11</v>
      </c>
      <c r="BI24" s="2">
        <v>5559.22</v>
      </c>
      <c r="BJ24" s="2">
        <v>6027.7</v>
      </c>
      <c r="BK24" s="2">
        <v>5593.22</v>
      </c>
      <c r="BL24" s="2">
        <v>5876.16</v>
      </c>
      <c r="BM24" s="2">
        <v>4444.37</v>
      </c>
      <c r="BN24" s="2">
        <v>7240.6</v>
      </c>
      <c r="BO24" s="2">
        <v>4599.53</v>
      </c>
      <c r="BR24" s="1" t="s">
        <v>67</v>
      </c>
      <c r="BS24" s="2">
        <v>8224.35</v>
      </c>
      <c r="BT24" s="2">
        <v>5329.25</v>
      </c>
      <c r="BU24" s="2">
        <v>7684.8</v>
      </c>
      <c r="BV24" s="2">
        <v>5082.2</v>
      </c>
      <c r="BW24" s="2">
        <v>4971.95</v>
      </c>
      <c r="BX24" s="2">
        <v>6388.95</v>
      </c>
      <c r="BY24" s="2">
        <v>8601.7000000000007</v>
      </c>
      <c r="BZ24" s="2">
        <v>5837.05</v>
      </c>
      <c r="CA24" s="2">
        <v>8592.2999999999993</v>
      </c>
      <c r="CB24" s="2">
        <v>5736.75</v>
      </c>
      <c r="CC24" s="2">
        <v>8351.35</v>
      </c>
      <c r="CD24" s="2">
        <v>5835.75</v>
      </c>
      <c r="CE24" s="2">
        <v>6986.1</v>
      </c>
      <c r="CF24" s="2">
        <v>6248.95</v>
      </c>
      <c r="CG24" s="2">
        <v>6791.7</v>
      </c>
      <c r="CH24" s="2">
        <v>6293.05</v>
      </c>
      <c r="CI24" s="2">
        <v>6622.55</v>
      </c>
      <c r="CJ24" s="2">
        <v>5011.75</v>
      </c>
      <c r="CK24" s="2">
        <v>8132.95</v>
      </c>
      <c r="CL24" s="2">
        <v>5143.8500000000004</v>
      </c>
    </row>
    <row r="25" spans="2:90" x14ac:dyDescent="0.3">
      <c r="B25" s="1" t="s">
        <v>68</v>
      </c>
      <c r="C25" s="2">
        <v>0.22</v>
      </c>
      <c r="D25" s="2">
        <v>0.13</v>
      </c>
      <c r="E25" s="2">
        <v>0.21</v>
      </c>
      <c r="F25" s="2">
        <v>0.13</v>
      </c>
      <c r="G25" s="2">
        <v>0.31</v>
      </c>
      <c r="H25" s="2">
        <v>0.17</v>
      </c>
      <c r="I25" s="2">
        <v>0.25</v>
      </c>
      <c r="J25" s="2">
        <v>0.17</v>
      </c>
      <c r="K25" s="2">
        <v>0.25</v>
      </c>
      <c r="L25" s="2">
        <v>0.15</v>
      </c>
      <c r="M25" s="2">
        <v>0.26</v>
      </c>
      <c r="N25" s="2">
        <v>0.15</v>
      </c>
      <c r="O25" s="2">
        <v>0.27</v>
      </c>
      <c r="P25" s="2">
        <v>0.15</v>
      </c>
      <c r="Q25" s="2">
        <v>0.28000000000000003</v>
      </c>
      <c r="R25" s="2">
        <v>0.14000000000000001</v>
      </c>
      <c r="S25" s="2">
        <v>0.16</v>
      </c>
      <c r="T25" s="2">
        <v>0.14000000000000001</v>
      </c>
      <c r="U25" s="2">
        <v>0.14000000000000001</v>
      </c>
      <c r="V25" s="2">
        <v>0.14000000000000001</v>
      </c>
      <c r="X25" s="1" t="s">
        <v>68</v>
      </c>
      <c r="Y25" s="2">
        <v>5584.36</v>
      </c>
      <c r="Z25" s="2">
        <v>1425.74</v>
      </c>
      <c r="AA25" s="2">
        <v>5387.7</v>
      </c>
      <c r="AB25" s="2">
        <v>1392.24</v>
      </c>
      <c r="AC25" s="2">
        <v>6115.45</v>
      </c>
      <c r="AD25" s="2">
        <v>3675.29</v>
      </c>
      <c r="AE25" s="2">
        <v>6295.17</v>
      </c>
      <c r="AF25" s="2">
        <v>2938.17</v>
      </c>
      <c r="AG25" s="2">
        <v>6661.59</v>
      </c>
      <c r="AH25" s="2">
        <v>2427.58</v>
      </c>
      <c r="AI25" s="2">
        <v>7113.62</v>
      </c>
      <c r="AJ25" s="2">
        <v>2428.64</v>
      </c>
      <c r="AK25" s="2">
        <v>6747.48</v>
      </c>
      <c r="AL25" s="2">
        <v>2525.34</v>
      </c>
      <c r="AM25" s="2">
        <v>6519.69</v>
      </c>
      <c r="AN25" s="2">
        <v>2314.6799999999998</v>
      </c>
      <c r="AO25" s="2">
        <v>2938.59</v>
      </c>
      <c r="AP25" s="2">
        <v>1928.05</v>
      </c>
      <c r="AQ25" s="2">
        <v>1896.94</v>
      </c>
      <c r="AR25" s="2">
        <v>1724.06</v>
      </c>
      <c r="AU25" s="1" t="s">
        <v>68</v>
      </c>
      <c r="AV25" s="2">
        <v>23342.42</v>
      </c>
      <c r="AW25" s="2">
        <v>12160.81</v>
      </c>
      <c r="AX25" s="2">
        <v>22418.44</v>
      </c>
      <c r="AY25" s="2">
        <v>10136.01</v>
      </c>
      <c r="AZ25" s="2">
        <v>16127.12</v>
      </c>
      <c r="BA25" s="2">
        <v>21368.240000000002</v>
      </c>
      <c r="BB25" s="2">
        <v>22046.77</v>
      </c>
      <c r="BC25" s="2">
        <v>17656.82</v>
      </c>
      <c r="BD25" s="2">
        <v>22926.06</v>
      </c>
      <c r="BE25" s="2">
        <v>17214.810000000001</v>
      </c>
      <c r="BF25" s="2">
        <v>23366.38</v>
      </c>
      <c r="BG25" s="2">
        <v>17250.11</v>
      </c>
      <c r="BH25" s="2">
        <v>21532.29</v>
      </c>
      <c r="BI25" s="2">
        <v>17467.310000000001</v>
      </c>
      <c r="BJ25" s="2">
        <v>20369.25</v>
      </c>
      <c r="BK25" s="2">
        <v>16927.72</v>
      </c>
      <c r="BL25" s="2">
        <v>18203.47</v>
      </c>
      <c r="BM25" s="2">
        <v>15097.33</v>
      </c>
      <c r="BN25" s="2">
        <v>14875.1</v>
      </c>
      <c r="BO25" s="2">
        <v>13409.33</v>
      </c>
      <c r="BR25" s="1" t="s">
        <v>68</v>
      </c>
      <c r="BS25" s="2">
        <v>28926.78</v>
      </c>
      <c r="BT25" s="2">
        <v>13586.55</v>
      </c>
      <c r="BU25" s="2">
        <v>27806.14</v>
      </c>
      <c r="BV25" s="2">
        <v>11528.25</v>
      </c>
      <c r="BW25" s="2">
        <v>22242.57</v>
      </c>
      <c r="BX25" s="2">
        <v>25043.52</v>
      </c>
      <c r="BY25" s="2">
        <v>28341.94</v>
      </c>
      <c r="BZ25" s="2">
        <v>20594.990000000002</v>
      </c>
      <c r="CA25" s="2">
        <v>29587.65</v>
      </c>
      <c r="CB25" s="2">
        <v>19642.38</v>
      </c>
      <c r="CC25" s="2">
        <v>30480</v>
      </c>
      <c r="CD25" s="2">
        <v>19678.75</v>
      </c>
      <c r="CE25" s="2">
        <v>28279.77</v>
      </c>
      <c r="CF25" s="2">
        <v>19992.650000000001</v>
      </c>
      <c r="CG25" s="2">
        <v>26888.94</v>
      </c>
      <c r="CH25" s="2">
        <v>19242.39</v>
      </c>
      <c r="CI25" s="2">
        <v>21142.06</v>
      </c>
      <c r="CJ25" s="2">
        <v>17025.38</v>
      </c>
      <c r="CK25" s="2">
        <v>16772.04</v>
      </c>
      <c r="CL25" s="2">
        <v>15133.39</v>
      </c>
    </row>
    <row r="26" spans="2:90" x14ac:dyDescent="0.3">
      <c r="B26" s="1" t="s">
        <v>69</v>
      </c>
      <c r="C26" s="2">
        <v>0.14000000000000001</v>
      </c>
      <c r="D26" s="2">
        <v>0.15</v>
      </c>
      <c r="E26" s="2">
        <v>0.14000000000000001</v>
      </c>
      <c r="F26" s="2">
        <v>0.13</v>
      </c>
      <c r="G26" s="2">
        <v>0.24</v>
      </c>
      <c r="H26" s="2">
        <v>0.15</v>
      </c>
      <c r="I26" s="2">
        <v>0.21</v>
      </c>
      <c r="J26" s="2">
        <v>0.14000000000000001</v>
      </c>
      <c r="K26" s="2">
        <v>0.2</v>
      </c>
      <c r="L26" s="2">
        <v>0.14000000000000001</v>
      </c>
      <c r="M26" s="2">
        <v>0.2</v>
      </c>
      <c r="N26" s="2">
        <v>0.14000000000000001</v>
      </c>
      <c r="O26" s="2">
        <v>0.2</v>
      </c>
      <c r="P26" s="2">
        <v>0.14000000000000001</v>
      </c>
      <c r="Q26" s="2">
        <v>0.16</v>
      </c>
      <c r="R26" s="2">
        <v>0.14000000000000001</v>
      </c>
      <c r="S26" s="2">
        <v>0.14000000000000001</v>
      </c>
      <c r="T26" s="2">
        <v>0.14000000000000001</v>
      </c>
      <c r="U26" s="2">
        <v>0.14000000000000001</v>
      </c>
      <c r="V26" s="2">
        <v>0.14000000000000001</v>
      </c>
      <c r="X26" s="1" t="s">
        <v>69</v>
      </c>
      <c r="Y26" s="2">
        <v>1019.9</v>
      </c>
      <c r="Z26" s="2">
        <v>595.73</v>
      </c>
      <c r="AA26" s="2">
        <v>1035.81</v>
      </c>
      <c r="AB26" s="2">
        <v>560.30999999999995</v>
      </c>
      <c r="AC26" s="2">
        <v>1408.55</v>
      </c>
      <c r="AD26" s="2">
        <v>1090.81</v>
      </c>
      <c r="AE26" s="2">
        <v>1579.87</v>
      </c>
      <c r="AF26" s="2">
        <v>830.52</v>
      </c>
      <c r="AG26" s="2">
        <v>1525.69</v>
      </c>
      <c r="AH26" s="2">
        <v>743.57</v>
      </c>
      <c r="AI26" s="2">
        <v>1524.37</v>
      </c>
      <c r="AJ26" s="2">
        <v>727.48</v>
      </c>
      <c r="AK26" s="2">
        <v>1519.17</v>
      </c>
      <c r="AL26" s="2">
        <v>733.55</v>
      </c>
      <c r="AM26" s="2">
        <v>1059.6400000000001</v>
      </c>
      <c r="AN26" s="2">
        <v>700.62</v>
      </c>
      <c r="AO26" s="2">
        <v>697.82</v>
      </c>
      <c r="AP26" s="2">
        <v>663.93</v>
      </c>
      <c r="AQ26" s="2">
        <v>654.49</v>
      </c>
      <c r="AR26" s="2">
        <v>625.58000000000004</v>
      </c>
      <c r="AU26" s="1" t="s">
        <v>69</v>
      </c>
      <c r="AV26" s="2">
        <v>7539.78</v>
      </c>
      <c r="AW26" s="2">
        <v>4248.22</v>
      </c>
      <c r="AX26" s="2">
        <v>7083.57</v>
      </c>
      <c r="AY26" s="2">
        <v>4206.3900000000003</v>
      </c>
      <c r="AZ26" s="2">
        <v>5530.14</v>
      </c>
      <c r="BA26" s="2">
        <v>7789.19</v>
      </c>
      <c r="BB26" s="2">
        <v>7215.98</v>
      </c>
      <c r="BC26" s="2">
        <v>6343.28</v>
      </c>
      <c r="BD26" s="2">
        <v>7354.31</v>
      </c>
      <c r="BE26" s="2">
        <v>6022.94</v>
      </c>
      <c r="BF26" s="2">
        <v>7355.63</v>
      </c>
      <c r="BG26" s="2">
        <v>5861.53</v>
      </c>
      <c r="BH26" s="2">
        <v>7360.83</v>
      </c>
      <c r="BI26" s="2">
        <v>5914.85</v>
      </c>
      <c r="BJ26" s="2">
        <v>6870.81</v>
      </c>
      <c r="BK26" s="2">
        <v>5604.18</v>
      </c>
      <c r="BL26" s="2">
        <v>5588.98</v>
      </c>
      <c r="BM26" s="2">
        <v>5239.42</v>
      </c>
      <c r="BN26" s="2">
        <v>5166.66</v>
      </c>
      <c r="BO26" s="2">
        <v>4904.1499999999996</v>
      </c>
      <c r="BR26" s="1" t="s">
        <v>69</v>
      </c>
      <c r="BS26" s="2">
        <v>8559.69</v>
      </c>
      <c r="BT26" s="2">
        <v>4843.95</v>
      </c>
      <c r="BU26" s="2">
        <v>8119.38</v>
      </c>
      <c r="BV26" s="2">
        <v>4766.7</v>
      </c>
      <c r="BW26" s="2">
        <v>6938.68</v>
      </c>
      <c r="BX26" s="2">
        <v>8880</v>
      </c>
      <c r="BY26" s="2">
        <v>8795.85</v>
      </c>
      <c r="BZ26" s="2">
        <v>7173.81</v>
      </c>
      <c r="CA26" s="2">
        <v>8880</v>
      </c>
      <c r="CB26" s="2">
        <v>6766.51</v>
      </c>
      <c r="CC26" s="2">
        <v>8880</v>
      </c>
      <c r="CD26" s="2">
        <v>6589.01</v>
      </c>
      <c r="CE26" s="2">
        <v>8880</v>
      </c>
      <c r="CF26" s="2">
        <v>6648.4</v>
      </c>
      <c r="CG26" s="2">
        <v>7930.45</v>
      </c>
      <c r="CH26" s="2">
        <v>6304.8</v>
      </c>
      <c r="CI26" s="2">
        <v>6286.8</v>
      </c>
      <c r="CJ26" s="2">
        <v>5903.35</v>
      </c>
      <c r="CK26" s="2">
        <v>5821.15</v>
      </c>
      <c r="CL26" s="2">
        <v>5529.73</v>
      </c>
    </row>
    <row r="27" spans="2:90" x14ac:dyDescent="0.3">
      <c r="B27" s="1" t="s">
        <v>70</v>
      </c>
      <c r="C27" s="2">
        <v>0.22</v>
      </c>
      <c r="D27" s="2">
        <v>0.18</v>
      </c>
      <c r="E27" s="2">
        <v>0.2</v>
      </c>
      <c r="F27" s="2">
        <v>0.14000000000000001</v>
      </c>
      <c r="G27" s="2">
        <v>0.23</v>
      </c>
      <c r="H27" s="2">
        <v>0.22</v>
      </c>
      <c r="I27" s="2">
        <v>0.14000000000000001</v>
      </c>
      <c r="J27" s="2">
        <v>0.19</v>
      </c>
      <c r="K27" s="2">
        <v>0.16</v>
      </c>
      <c r="L27" s="2">
        <v>0.17</v>
      </c>
      <c r="M27" s="2">
        <v>0.14000000000000001</v>
      </c>
      <c r="N27" s="2">
        <v>0.13</v>
      </c>
      <c r="O27" s="2">
        <v>0.13</v>
      </c>
      <c r="P27" s="2">
        <v>0.13</v>
      </c>
      <c r="Q27" s="2">
        <v>0.13</v>
      </c>
      <c r="R27" s="2">
        <v>0.13</v>
      </c>
      <c r="S27" s="2">
        <v>0.14000000000000001</v>
      </c>
      <c r="T27" s="2">
        <v>0.13</v>
      </c>
      <c r="U27" s="2">
        <v>0.13</v>
      </c>
      <c r="V27" s="2">
        <v>0.13</v>
      </c>
      <c r="X27" s="1" t="s">
        <v>70</v>
      </c>
      <c r="Y27" s="2">
        <v>5569.79</v>
      </c>
      <c r="Z27" s="2">
        <v>5672.03</v>
      </c>
      <c r="AA27" s="2">
        <v>7027.52</v>
      </c>
      <c r="AB27" s="2">
        <v>5010.1099999999997</v>
      </c>
      <c r="AC27" s="2">
        <v>5474.13</v>
      </c>
      <c r="AD27" s="2">
        <v>6056.75</v>
      </c>
      <c r="AE27" s="2">
        <v>4260.0600000000004</v>
      </c>
      <c r="AF27" s="2">
        <v>5811.54</v>
      </c>
      <c r="AG27" s="2">
        <v>5363.17</v>
      </c>
      <c r="AH27" s="2">
        <v>5749.53</v>
      </c>
      <c r="AI27" s="2">
        <v>4673.41</v>
      </c>
      <c r="AJ27" s="2">
        <v>4377.6000000000004</v>
      </c>
      <c r="AK27" s="2">
        <v>3894.08</v>
      </c>
      <c r="AL27" s="2">
        <v>4155.01</v>
      </c>
      <c r="AM27" s="2">
        <v>3635.77</v>
      </c>
      <c r="AN27" s="2">
        <v>3670.72</v>
      </c>
      <c r="AO27" s="2">
        <v>3451.11</v>
      </c>
      <c r="AP27" s="2">
        <v>3431.41</v>
      </c>
      <c r="AQ27" s="2">
        <v>3465.46</v>
      </c>
      <c r="AR27" s="2">
        <v>3691.84</v>
      </c>
      <c r="AU27" s="1" t="s">
        <v>70</v>
      </c>
      <c r="AV27" s="2">
        <v>23544.22</v>
      </c>
      <c r="AW27" s="2">
        <v>30813.72</v>
      </c>
      <c r="AX27" s="2">
        <v>30382.98</v>
      </c>
      <c r="AY27" s="2">
        <v>35617.89</v>
      </c>
      <c r="AZ27" s="2">
        <v>22353.119999999999</v>
      </c>
      <c r="BA27" s="2">
        <v>25055.66</v>
      </c>
      <c r="BB27" s="2">
        <v>32277.69</v>
      </c>
      <c r="BC27" s="2">
        <v>29947.96</v>
      </c>
      <c r="BD27" s="2">
        <v>34279.08</v>
      </c>
      <c r="BE27" s="2">
        <v>33932.47</v>
      </c>
      <c r="BF27" s="2">
        <v>33376.339999999997</v>
      </c>
      <c r="BG27" s="2">
        <v>34603.9</v>
      </c>
      <c r="BH27" s="2">
        <v>32017.67</v>
      </c>
      <c r="BI27" s="2">
        <v>34054.49</v>
      </c>
      <c r="BJ27" s="2">
        <v>29302.23</v>
      </c>
      <c r="BK27" s="2">
        <v>29684.03</v>
      </c>
      <c r="BL27" s="2">
        <v>27180.39</v>
      </c>
      <c r="BM27" s="2">
        <v>28002.59</v>
      </c>
      <c r="BN27" s="2">
        <v>27912.04</v>
      </c>
      <c r="BO27" s="2">
        <v>31326.16</v>
      </c>
      <c r="BR27" s="1" t="s">
        <v>70</v>
      </c>
      <c r="BS27" s="2">
        <v>29114.01</v>
      </c>
      <c r="BT27" s="2">
        <v>36485.75</v>
      </c>
      <c r="BU27" s="2">
        <v>37410.5</v>
      </c>
      <c r="BV27" s="2">
        <v>40628</v>
      </c>
      <c r="BW27" s="2">
        <v>27827.25</v>
      </c>
      <c r="BX27" s="2">
        <v>31112.41</v>
      </c>
      <c r="BY27" s="2">
        <v>36537.75</v>
      </c>
      <c r="BZ27" s="2">
        <v>35759.5</v>
      </c>
      <c r="CA27" s="2">
        <v>39642.25</v>
      </c>
      <c r="CB27" s="2">
        <v>39682</v>
      </c>
      <c r="CC27" s="2">
        <v>38049.75</v>
      </c>
      <c r="CD27" s="2">
        <v>38981.5</v>
      </c>
      <c r="CE27" s="2">
        <v>35911.75</v>
      </c>
      <c r="CF27" s="2">
        <v>38209.5</v>
      </c>
      <c r="CG27" s="2">
        <v>32938</v>
      </c>
      <c r="CH27" s="2">
        <v>33354.75</v>
      </c>
      <c r="CI27" s="2">
        <v>30631.5</v>
      </c>
      <c r="CJ27" s="2">
        <v>31434</v>
      </c>
      <c r="CK27" s="2">
        <v>31377.5</v>
      </c>
      <c r="CL27" s="2">
        <v>35018</v>
      </c>
    </row>
    <row r="28" spans="2:90" x14ac:dyDescent="0.3">
      <c r="B28" s="1" t="s">
        <v>71</v>
      </c>
      <c r="C28" s="2">
        <v>0.25</v>
      </c>
      <c r="D28" s="2">
        <v>0.24</v>
      </c>
      <c r="E28" s="2">
        <v>0.16</v>
      </c>
      <c r="F28" s="2">
        <v>0.16</v>
      </c>
      <c r="G28" s="2">
        <v>0.26</v>
      </c>
      <c r="H28" s="2">
        <v>0.24</v>
      </c>
      <c r="I28" s="2">
        <v>0.16</v>
      </c>
      <c r="J28" s="2">
        <v>0.24</v>
      </c>
      <c r="K28" s="2">
        <v>0.15</v>
      </c>
      <c r="L28" s="2">
        <v>0.21</v>
      </c>
      <c r="M28" s="2">
        <v>0.15</v>
      </c>
      <c r="N28" s="2">
        <v>0.2</v>
      </c>
      <c r="O28" s="2">
        <v>0.15</v>
      </c>
      <c r="P28" s="2">
        <v>0.18</v>
      </c>
      <c r="Q28" s="2">
        <v>0.15</v>
      </c>
      <c r="R28" s="2">
        <v>0.18</v>
      </c>
      <c r="S28" s="2">
        <v>0.15</v>
      </c>
      <c r="T28" s="2">
        <v>0.16</v>
      </c>
      <c r="U28" s="2">
        <v>0.15</v>
      </c>
      <c r="V28" s="2">
        <v>0.15</v>
      </c>
      <c r="X28" s="1" t="s">
        <v>71</v>
      </c>
      <c r="Y28" s="2">
        <v>1449.39</v>
      </c>
      <c r="Z28" s="2">
        <v>1478.11</v>
      </c>
      <c r="AA28" s="2">
        <v>1285.0899999999999</v>
      </c>
      <c r="AB28" s="2">
        <v>1312.61</v>
      </c>
      <c r="AC28" s="2">
        <v>1282.4000000000001</v>
      </c>
      <c r="AD28" s="2">
        <v>1427.39</v>
      </c>
      <c r="AE28" s="2">
        <v>923.25</v>
      </c>
      <c r="AF28" s="2">
        <v>1187.9000000000001</v>
      </c>
      <c r="AG28" s="2">
        <v>866.65</v>
      </c>
      <c r="AH28" s="2">
        <v>1575.65</v>
      </c>
      <c r="AI28" s="2">
        <v>916.38</v>
      </c>
      <c r="AJ28" s="2">
        <v>1611.02</v>
      </c>
      <c r="AK28" s="2">
        <v>911.21</v>
      </c>
      <c r="AL28" s="2">
        <v>1350.82</v>
      </c>
      <c r="AM28" s="2">
        <v>895.47</v>
      </c>
      <c r="AN28" s="2">
        <v>1317.66</v>
      </c>
      <c r="AO28" s="2">
        <v>846.99</v>
      </c>
      <c r="AP28" s="2">
        <v>1126.8699999999999</v>
      </c>
      <c r="AQ28" s="2">
        <v>776.88</v>
      </c>
      <c r="AR28" s="2">
        <v>765.53</v>
      </c>
      <c r="AU28" s="1" t="s">
        <v>71</v>
      </c>
      <c r="AV28" s="2">
        <v>5457.42</v>
      </c>
      <c r="AW28" s="2">
        <v>5560.64</v>
      </c>
      <c r="AX28" s="2">
        <v>7580.63</v>
      </c>
      <c r="AY28" s="2">
        <v>7567.39</v>
      </c>
      <c r="AZ28" s="2">
        <v>4494.33</v>
      </c>
      <c r="BA28" s="2">
        <v>5128.59</v>
      </c>
      <c r="BB28" s="2">
        <v>5603.25</v>
      </c>
      <c r="BC28" s="2">
        <v>4382.0200000000004</v>
      </c>
      <c r="BD28" s="2">
        <v>5691.9</v>
      </c>
      <c r="BE28" s="2">
        <v>7083.35</v>
      </c>
      <c r="BF28" s="2">
        <v>6122.67</v>
      </c>
      <c r="BG28" s="2">
        <v>7268.98</v>
      </c>
      <c r="BH28" s="2">
        <v>6076.26</v>
      </c>
      <c r="BI28" s="2">
        <v>7025.51</v>
      </c>
      <c r="BJ28" s="2">
        <v>6031.52</v>
      </c>
      <c r="BK28" s="2">
        <v>7004.95</v>
      </c>
      <c r="BL28" s="2">
        <v>5804.58</v>
      </c>
      <c r="BM28" s="2">
        <v>6785.99</v>
      </c>
      <c r="BN28" s="2">
        <v>5395</v>
      </c>
      <c r="BO28" s="2">
        <v>5020.72</v>
      </c>
      <c r="BR28" s="1" t="s">
        <v>71</v>
      </c>
      <c r="BS28" s="2">
        <v>6906.81</v>
      </c>
      <c r="BT28" s="2">
        <v>7038.75</v>
      </c>
      <c r="BU28" s="2">
        <v>8865.73</v>
      </c>
      <c r="BV28" s="2">
        <v>8880</v>
      </c>
      <c r="BW28" s="2">
        <v>5776.74</v>
      </c>
      <c r="BX28" s="2">
        <v>6555.98</v>
      </c>
      <c r="BY28" s="2">
        <v>6526.5</v>
      </c>
      <c r="BZ28" s="2">
        <v>5569.92</v>
      </c>
      <c r="CA28" s="2">
        <v>6558.55</v>
      </c>
      <c r="CB28" s="2">
        <v>8659</v>
      </c>
      <c r="CC28" s="2">
        <v>7039.05</v>
      </c>
      <c r="CD28" s="2">
        <v>8880</v>
      </c>
      <c r="CE28" s="2">
        <v>6987.47</v>
      </c>
      <c r="CF28" s="2">
        <v>8376.33</v>
      </c>
      <c r="CG28" s="2">
        <v>6926.99</v>
      </c>
      <c r="CH28" s="2">
        <v>8322.61</v>
      </c>
      <c r="CI28" s="2">
        <v>6651.57</v>
      </c>
      <c r="CJ28" s="2">
        <v>7912.85</v>
      </c>
      <c r="CK28" s="2">
        <v>6171.89</v>
      </c>
      <c r="CL28" s="2">
        <v>5786.25</v>
      </c>
    </row>
    <row r="29" spans="2:90" x14ac:dyDescent="0.3">
      <c r="B29" s="1" t="s">
        <v>72</v>
      </c>
      <c r="C29" s="2">
        <v>0.23</v>
      </c>
      <c r="D29" s="2">
        <v>0.23</v>
      </c>
      <c r="E29" s="2">
        <v>0.16</v>
      </c>
      <c r="F29" s="2">
        <v>0.21</v>
      </c>
      <c r="G29" s="2">
        <v>0.28000000000000003</v>
      </c>
      <c r="H29" s="2">
        <v>0.24</v>
      </c>
      <c r="I29" s="2">
        <v>0.21</v>
      </c>
      <c r="J29" s="2">
        <v>0.32</v>
      </c>
      <c r="K29" s="2">
        <v>0.17</v>
      </c>
      <c r="L29" s="2">
        <v>0.27</v>
      </c>
      <c r="M29" s="2">
        <v>0.18</v>
      </c>
      <c r="N29" s="2">
        <v>0.27</v>
      </c>
      <c r="O29" s="2">
        <v>0.18</v>
      </c>
      <c r="P29" s="2">
        <v>0.25</v>
      </c>
      <c r="Q29" s="2">
        <v>0.19</v>
      </c>
      <c r="R29" s="2">
        <v>0.21</v>
      </c>
      <c r="S29" s="2">
        <v>0.16</v>
      </c>
      <c r="T29" s="2">
        <v>0.17</v>
      </c>
      <c r="U29" s="2">
        <v>0.15</v>
      </c>
      <c r="V29" s="2">
        <v>0.15</v>
      </c>
      <c r="X29" s="1" t="s">
        <v>72</v>
      </c>
      <c r="Y29" s="2">
        <v>5393.75</v>
      </c>
      <c r="Z29" s="2">
        <v>5634.05</v>
      </c>
      <c r="AA29" s="2">
        <v>3844.38</v>
      </c>
      <c r="AB29" s="2">
        <v>5733.1</v>
      </c>
      <c r="AC29" s="2">
        <v>4544.38</v>
      </c>
      <c r="AD29" s="2">
        <v>5425.05</v>
      </c>
      <c r="AE29" s="2">
        <v>4203.29</v>
      </c>
      <c r="AF29" s="2">
        <v>5947.97</v>
      </c>
      <c r="AG29" s="2">
        <v>3178.92</v>
      </c>
      <c r="AH29" s="2">
        <v>7323.76</v>
      </c>
      <c r="AI29" s="2">
        <v>3489.36</v>
      </c>
      <c r="AJ29" s="2">
        <v>7327.43</v>
      </c>
      <c r="AK29" s="2">
        <v>3513.76</v>
      </c>
      <c r="AL29" s="2">
        <v>6415.24</v>
      </c>
      <c r="AM29" s="2">
        <v>3890.21</v>
      </c>
      <c r="AN29" s="2">
        <v>4643.88</v>
      </c>
      <c r="AO29" s="2">
        <v>2849.16</v>
      </c>
      <c r="AP29" s="2">
        <v>3041.07</v>
      </c>
      <c r="AQ29" s="2">
        <v>2435.69</v>
      </c>
      <c r="AR29" s="2">
        <v>2422.9699999999998</v>
      </c>
      <c r="AU29" s="1" t="s">
        <v>72</v>
      </c>
      <c r="AV29" s="2">
        <v>20909.21</v>
      </c>
      <c r="AW29" s="2">
        <v>22259.26</v>
      </c>
      <c r="AX29" s="2">
        <v>21749.17</v>
      </c>
      <c r="AY29" s="2">
        <v>23917.94</v>
      </c>
      <c r="AZ29" s="2">
        <v>13762.43</v>
      </c>
      <c r="BA29" s="2">
        <v>20526.34</v>
      </c>
      <c r="BB29" s="2">
        <v>18683.669999999998</v>
      </c>
      <c r="BC29" s="2">
        <v>15308.38</v>
      </c>
      <c r="BD29" s="2">
        <v>18203.18</v>
      </c>
      <c r="BE29" s="2">
        <v>23156.240000000002</v>
      </c>
      <c r="BF29" s="2">
        <v>18732.419999999998</v>
      </c>
      <c r="BG29" s="2">
        <v>23152.57</v>
      </c>
      <c r="BH29" s="2">
        <v>18775.02</v>
      </c>
      <c r="BI29" s="2">
        <v>22264.91</v>
      </c>
      <c r="BJ29" s="2">
        <v>19373.349999999999</v>
      </c>
      <c r="BK29" s="2">
        <v>20359.52</v>
      </c>
      <c r="BL29" s="2">
        <v>17696.84</v>
      </c>
      <c r="BM29" s="2">
        <v>17996.2</v>
      </c>
      <c r="BN29" s="2">
        <v>16856.11</v>
      </c>
      <c r="BO29" s="2">
        <v>16561.46</v>
      </c>
      <c r="BR29" s="1" t="s">
        <v>72</v>
      </c>
      <c r="BS29" s="2">
        <v>26302.959999999999</v>
      </c>
      <c r="BT29" s="2">
        <v>27893.31</v>
      </c>
      <c r="BU29" s="2">
        <v>25593.56</v>
      </c>
      <c r="BV29" s="2">
        <v>29651.040000000001</v>
      </c>
      <c r="BW29" s="2">
        <v>18306.810000000001</v>
      </c>
      <c r="BX29" s="2">
        <v>25951.39</v>
      </c>
      <c r="BY29" s="2">
        <v>22886.959999999999</v>
      </c>
      <c r="BZ29" s="2">
        <v>21256.35</v>
      </c>
      <c r="CA29" s="2">
        <v>21382.11</v>
      </c>
      <c r="CB29" s="2">
        <v>30480</v>
      </c>
      <c r="CC29" s="2">
        <v>22221.78</v>
      </c>
      <c r="CD29" s="2">
        <v>30480</v>
      </c>
      <c r="CE29" s="2">
        <v>22288.78</v>
      </c>
      <c r="CF29" s="2">
        <v>28680.15</v>
      </c>
      <c r="CG29" s="2">
        <v>23263.56</v>
      </c>
      <c r="CH29" s="2">
        <v>25003.41</v>
      </c>
      <c r="CI29" s="2">
        <v>20546.009999999998</v>
      </c>
      <c r="CJ29" s="2">
        <v>21037.27</v>
      </c>
      <c r="CK29" s="2">
        <v>19291.810000000001</v>
      </c>
      <c r="CL29" s="2">
        <v>18984.43</v>
      </c>
    </row>
    <row r="30" spans="2:90" x14ac:dyDescent="0.3">
      <c r="B30" s="1" t="s">
        <v>73</v>
      </c>
      <c r="C30" s="2">
        <v>0.17</v>
      </c>
      <c r="D30" s="2">
        <v>0.16</v>
      </c>
      <c r="E30" s="2">
        <v>0.16</v>
      </c>
      <c r="F30" s="2">
        <v>0.16</v>
      </c>
      <c r="G30" s="2">
        <v>0.05</v>
      </c>
      <c r="H30" s="2">
        <v>0.16</v>
      </c>
      <c r="I30" s="2">
        <v>0.14000000000000001</v>
      </c>
      <c r="J30" s="2">
        <v>0.19</v>
      </c>
      <c r="K30" s="2">
        <v>0.15</v>
      </c>
      <c r="L30" s="2">
        <v>0.18</v>
      </c>
      <c r="M30" s="2">
        <v>0.19</v>
      </c>
      <c r="N30" s="2">
        <v>0.18</v>
      </c>
      <c r="O30" s="2">
        <v>0.19</v>
      </c>
      <c r="P30" s="2">
        <v>0.16</v>
      </c>
      <c r="Q30" s="2">
        <v>0.19</v>
      </c>
      <c r="R30" s="2">
        <v>0.18</v>
      </c>
      <c r="S30" s="2">
        <v>0.2</v>
      </c>
      <c r="T30" s="2">
        <v>0.19</v>
      </c>
      <c r="U30" s="2">
        <v>0.19</v>
      </c>
      <c r="V30" s="2">
        <v>0.15</v>
      </c>
      <c r="X30" s="1" t="s">
        <v>73</v>
      </c>
      <c r="Y30" s="2">
        <v>1968.63</v>
      </c>
      <c r="Z30" s="2">
        <v>2263.64</v>
      </c>
      <c r="AA30" s="2">
        <v>1796.33</v>
      </c>
      <c r="AB30" s="2">
        <v>1909.57</v>
      </c>
      <c r="AC30" s="2">
        <v>450.18</v>
      </c>
      <c r="AD30" s="2">
        <v>1999.68</v>
      </c>
      <c r="AE30" s="2">
        <v>1223.7</v>
      </c>
      <c r="AF30" s="2">
        <v>2441.5100000000002</v>
      </c>
      <c r="AG30" s="2">
        <v>1422.88</v>
      </c>
      <c r="AH30" s="2">
        <v>2289.7800000000002</v>
      </c>
      <c r="AI30" s="2">
        <v>1746.54</v>
      </c>
      <c r="AJ30" s="2">
        <v>2347.0700000000002</v>
      </c>
      <c r="AK30" s="2">
        <v>1731.08</v>
      </c>
      <c r="AL30" s="2">
        <v>2014.25</v>
      </c>
      <c r="AM30" s="2">
        <v>1701.8</v>
      </c>
      <c r="AN30" s="2">
        <v>1782.18</v>
      </c>
      <c r="AO30" s="2">
        <v>1645.7</v>
      </c>
      <c r="AP30" s="2">
        <v>1641.35</v>
      </c>
      <c r="AQ30" s="2">
        <v>1674.68</v>
      </c>
      <c r="AR30" s="2">
        <v>1341.39</v>
      </c>
      <c r="AU30" s="1" t="s">
        <v>73</v>
      </c>
      <c r="AV30" s="2">
        <v>11919.57</v>
      </c>
      <c r="AW30" s="2">
        <v>14781.01</v>
      </c>
      <c r="AX30" s="2">
        <v>10425.82</v>
      </c>
      <c r="AY30" s="2">
        <v>11112.08</v>
      </c>
      <c r="AZ30" s="2">
        <v>8814.42</v>
      </c>
      <c r="BA30" s="2">
        <v>12310.77</v>
      </c>
      <c r="BB30" s="2">
        <v>9360</v>
      </c>
      <c r="BC30" s="2">
        <v>12171.35</v>
      </c>
      <c r="BD30" s="2">
        <v>10259.120000000001</v>
      </c>
      <c r="BE30" s="2">
        <v>12577.34</v>
      </c>
      <c r="BF30" s="2">
        <v>9675.2099999999991</v>
      </c>
      <c r="BG30" s="2">
        <v>12990.49</v>
      </c>
      <c r="BH30" s="2">
        <v>9674.6200000000008</v>
      </c>
      <c r="BI30" s="2">
        <v>12614.2</v>
      </c>
      <c r="BJ30" s="2">
        <v>9196.9</v>
      </c>
      <c r="BK30" s="2">
        <v>9986.9699999999993</v>
      </c>
      <c r="BL30" s="2">
        <v>8569.4500000000007</v>
      </c>
      <c r="BM30" s="2">
        <v>8784.85</v>
      </c>
      <c r="BN30" s="2">
        <v>9018.82</v>
      </c>
      <c r="BO30" s="2">
        <v>9937.86</v>
      </c>
      <c r="BR30" s="1" t="s">
        <v>73</v>
      </c>
      <c r="BS30" s="2">
        <v>13888.2</v>
      </c>
      <c r="BT30" s="2">
        <v>17044.650000000001</v>
      </c>
      <c r="BU30" s="2">
        <v>12222.15</v>
      </c>
      <c r="BV30" s="2">
        <v>13021.65</v>
      </c>
      <c r="BW30" s="2">
        <v>9264.6</v>
      </c>
      <c r="BX30" s="2">
        <v>14310.45</v>
      </c>
      <c r="BY30" s="2">
        <v>10583.7</v>
      </c>
      <c r="BZ30" s="2">
        <v>14612.86</v>
      </c>
      <c r="CA30" s="2">
        <v>11682</v>
      </c>
      <c r="CB30" s="2">
        <v>14867.13</v>
      </c>
      <c r="CC30" s="2">
        <v>11421.75</v>
      </c>
      <c r="CD30" s="2">
        <v>15337.55</v>
      </c>
      <c r="CE30" s="2">
        <v>11405.7</v>
      </c>
      <c r="CF30" s="2">
        <v>14628.45</v>
      </c>
      <c r="CG30" s="2">
        <v>10898.7</v>
      </c>
      <c r="CH30" s="2">
        <v>11769.15</v>
      </c>
      <c r="CI30" s="2">
        <v>10215.15</v>
      </c>
      <c r="CJ30" s="2">
        <v>10426.200000000001</v>
      </c>
      <c r="CK30" s="2">
        <v>10693.5</v>
      </c>
      <c r="CL30" s="2">
        <v>11279.25</v>
      </c>
    </row>
    <row r="33" spans="2:90" x14ac:dyDescent="0.3">
      <c r="B33" t="s">
        <v>12</v>
      </c>
      <c r="X33" t="s">
        <v>13</v>
      </c>
      <c r="AU33" t="s">
        <v>14</v>
      </c>
      <c r="BR33" t="s">
        <v>15</v>
      </c>
    </row>
    <row r="34" spans="2:90" x14ac:dyDescent="0.3">
      <c r="B34" s="1" t="s">
        <v>6</v>
      </c>
      <c r="C34" s="1" t="s">
        <v>63</v>
      </c>
      <c r="D34" s="1" t="s">
        <v>64</v>
      </c>
      <c r="E34" s="1" t="s">
        <v>63</v>
      </c>
      <c r="F34" s="1" t="s">
        <v>64</v>
      </c>
      <c r="G34" s="1" t="s">
        <v>63</v>
      </c>
      <c r="H34" s="1" t="s">
        <v>64</v>
      </c>
      <c r="I34" s="1" t="s">
        <v>63</v>
      </c>
      <c r="J34" s="1" t="s">
        <v>64</v>
      </c>
      <c r="K34" s="1" t="s">
        <v>63</v>
      </c>
      <c r="L34" s="1" t="s">
        <v>64</v>
      </c>
      <c r="M34" s="1" t="s">
        <v>63</v>
      </c>
      <c r="N34" s="1" t="s">
        <v>64</v>
      </c>
      <c r="O34" s="1" t="s">
        <v>63</v>
      </c>
      <c r="P34" s="1" t="s">
        <v>64</v>
      </c>
      <c r="Q34" s="1" t="s">
        <v>63</v>
      </c>
      <c r="R34" s="1" t="s">
        <v>64</v>
      </c>
      <c r="S34" s="1" t="s">
        <v>63</v>
      </c>
      <c r="T34" s="1" t="s">
        <v>64</v>
      </c>
      <c r="U34" s="1" t="s">
        <v>63</v>
      </c>
      <c r="V34" s="1" t="s">
        <v>64</v>
      </c>
      <c r="X34" s="1" t="s">
        <v>6</v>
      </c>
      <c r="Y34" s="1" t="s">
        <v>63</v>
      </c>
      <c r="Z34" s="1" t="s">
        <v>64</v>
      </c>
      <c r="AA34" s="1" t="s">
        <v>63</v>
      </c>
      <c r="AB34" s="1" t="s">
        <v>64</v>
      </c>
      <c r="AC34" s="1" t="s">
        <v>63</v>
      </c>
      <c r="AD34" s="1" t="s">
        <v>64</v>
      </c>
      <c r="AE34" s="1" t="s">
        <v>63</v>
      </c>
      <c r="AF34" s="1" t="s">
        <v>64</v>
      </c>
      <c r="AG34" s="1" t="s">
        <v>63</v>
      </c>
      <c r="AH34" s="1" t="s">
        <v>64</v>
      </c>
      <c r="AI34" s="1" t="s">
        <v>63</v>
      </c>
      <c r="AJ34" s="1" t="s">
        <v>64</v>
      </c>
      <c r="AK34" s="1" t="s">
        <v>63</v>
      </c>
      <c r="AL34" s="1" t="s">
        <v>64</v>
      </c>
      <c r="AM34" s="1" t="s">
        <v>63</v>
      </c>
      <c r="AN34" s="1" t="s">
        <v>64</v>
      </c>
      <c r="AO34" s="1" t="s">
        <v>63</v>
      </c>
      <c r="AP34" s="1" t="s">
        <v>64</v>
      </c>
      <c r="AQ34" s="1" t="s">
        <v>63</v>
      </c>
      <c r="AR34" s="1" t="s">
        <v>64</v>
      </c>
      <c r="AU34" s="1" t="s">
        <v>6</v>
      </c>
      <c r="AV34" s="1" t="s">
        <v>63</v>
      </c>
      <c r="AW34" s="1" t="s">
        <v>64</v>
      </c>
      <c r="AX34" s="1" t="s">
        <v>63</v>
      </c>
      <c r="AY34" s="1" t="s">
        <v>64</v>
      </c>
      <c r="AZ34" s="1" t="s">
        <v>63</v>
      </c>
      <c r="BA34" s="1" t="s">
        <v>64</v>
      </c>
      <c r="BB34" s="1" t="s">
        <v>63</v>
      </c>
      <c r="BC34" s="1" t="s">
        <v>64</v>
      </c>
      <c r="BD34" s="1" t="s">
        <v>63</v>
      </c>
      <c r="BE34" s="1" t="s">
        <v>64</v>
      </c>
      <c r="BF34" s="1" t="s">
        <v>63</v>
      </c>
      <c r="BG34" s="1" t="s">
        <v>64</v>
      </c>
      <c r="BH34" s="1" t="s">
        <v>63</v>
      </c>
      <c r="BI34" s="1" t="s">
        <v>64</v>
      </c>
      <c r="BJ34" s="1" t="s">
        <v>63</v>
      </c>
      <c r="BK34" s="1" t="s">
        <v>64</v>
      </c>
      <c r="BL34" s="1" t="s">
        <v>63</v>
      </c>
      <c r="BM34" s="1" t="s">
        <v>64</v>
      </c>
      <c r="BN34" s="1" t="s">
        <v>63</v>
      </c>
      <c r="BO34" s="1" t="s">
        <v>64</v>
      </c>
      <c r="BR34" s="1" t="s">
        <v>6</v>
      </c>
      <c r="BS34" s="1" t="s">
        <v>63</v>
      </c>
      <c r="BT34" s="1" t="s">
        <v>64</v>
      </c>
      <c r="BU34" s="1" t="s">
        <v>63</v>
      </c>
      <c r="BV34" s="1" t="s">
        <v>64</v>
      </c>
      <c r="BW34" s="1" t="s">
        <v>63</v>
      </c>
      <c r="BX34" s="1" t="s">
        <v>64</v>
      </c>
      <c r="BY34" s="1" t="s">
        <v>63</v>
      </c>
      <c r="BZ34" s="1" t="s">
        <v>64</v>
      </c>
      <c r="CA34" s="1" t="s">
        <v>63</v>
      </c>
      <c r="CB34" s="1" t="s">
        <v>64</v>
      </c>
      <c r="CC34" s="1" t="s">
        <v>63</v>
      </c>
      <c r="CD34" s="1" t="s">
        <v>64</v>
      </c>
      <c r="CE34" s="1" t="s">
        <v>63</v>
      </c>
      <c r="CF34" s="1" t="s">
        <v>64</v>
      </c>
      <c r="CG34" s="1" t="s">
        <v>63</v>
      </c>
      <c r="CH34" s="1" t="s">
        <v>64</v>
      </c>
      <c r="CI34" s="1" t="s">
        <v>63</v>
      </c>
      <c r="CJ34" s="1" t="s">
        <v>64</v>
      </c>
      <c r="CK34" s="1" t="s">
        <v>63</v>
      </c>
      <c r="CL34" s="1" t="s">
        <v>64</v>
      </c>
    </row>
    <row r="35" spans="2:90" x14ac:dyDescent="0.3">
      <c r="B35" s="1" t="s">
        <v>65</v>
      </c>
      <c r="C35" s="1" t="s">
        <v>53</v>
      </c>
      <c r="D35" s="1" t="s">
        <v>53</v>
      </c>
      <c r="E35" s="1" t="s">
        <v>54</v>
      </c>
      <c r="F35" s="1" t="s">
        <v>54</v>
      </c>
      <c r="G35" s="1" t="s">
        <v>55</v>
      </c>
      <c r="H35" s="1" t="s">
        <v>55</v>
      </c>
      <c r="I35" s="1" t="s">
        <v>56</v>
      </c>
      <c r="J35" s="1" t="s">
        <v>56</v>
      </c>
      <c r="K35" s="1" t="s">
        <v>57</v>
      </c>
      <c r="L35" s="1" t="s">
        <v>57</v>
      </c>
      <c r="M35" s="1" t="s">
        <v>58</v>
      </c>
      <c r="N35" s="1" t="s">
        <v>58</v>
      </c>
      <c r="O35" s="1" t="s">
        <v>59</v>
      </c>
      <c r="P35" s="1" t="s">
        <v>59</v>
      </c>
      <c r="Q35" s="1" t="s">
        <v>60</v>
      </c>
      <c r="R35" s="1" t="s">
        <v>60</v>
      </c>
      <c r="S35" s="1" t="s">
        <v>61</v>
      </c>
      <c r="T35" s="1" t="s">
        <v>61</v>
      </c>
      <c r="U35" s="1" t="s">
        <v>62</v>
      </c>
      <c r="V35" s="1" t="s">
        <v>62</v>
      </c>
      <c r="X35" s="1" t="s">
        <v>65</v>
      </c>
      <c r="Y35" s="1" t="s">
        <v>53</v>
      </c>
      <c r="Z35" s="1" t="s">
        <v>53</v>
      </c>
      <c r="AA35" s="1" t="s">
        <v>54</v>
      </c>
      <c r="AB35" s="1" t="s">
        <v>54</v>
      </c>
      <c r="AC35" s="1" t="s">
        <v>55</v>
      </c>
      <c r="AD35" s="1" t="s">
        <v>55</v>
      </c>
      <c r="AE35" s="1" t="s">
        <v>56</v>
      </c>
      <c r="AF35" s="1" t="s">
        <v>56</v>
      </c>
      <c r="AG35" s="1" t="s">
        <v>57</v>
      </c>
      <c r="AH35" s="1" t="s">
        <v>57</v>
      </c>
      <c r="AI35" s="1" t="s">
        <v>58</v>
      </c>
      <c r="AJ35" s="1" t="s">
        <v>58</v>
      </c>
      <c r="AK35" s="1" t="s">
        <v>59</v>
      </c>
      <c r="AL35" s="1" t="s">
        <v>59</v>
      </c>
      <c r="AM35" s="1" t="s">
        <v>60</v>
      </c>
      <c r="AN35" s="1" t="s">
        <v>60</v>
      </c>
      <c r="AO35" s="1" t="s">
        <v>61</v>
      </c>
      <c r="AP35" s="1" t="s">
        <v>61</v>
      </c>
      <c r="AQ35" s="1" t="s">
        <v>62</v>
      </c>
      <c r="AR35" s="1" t="s">
        <v>62</v>
      </c>
      <c r="AU35" s="1" t="s">
        <v>65</v>
      </c>
      <c r="AV35" s="1" t="s">
        <v>53</v>
      </c>
      <c r="AW35" s="1" t="s">
        <v>53</v>
      </c>
      <c r="AX35" s="1" t="s">
        <v>54</v>
      </c>
      <c r="AY35" s="1" t="s">
        <v>54</v>
      </c>
      <c r="AZ35" s="1" t="s">
        <v>55</v>
      </c>
      <c r="BA35" s="1" t="s">
        <v>55</v>
      </c>
      <c r="BB35" s="1" t="s">
        <v>56</v>
      </c>
      <c r="BC35" s="1" t="s">
        <v>56</v>
      </c>
      <c r="BD35" s="1" t="s">
        <v>57</v>
      </c>
      <c r="BE35" s="1" t="s">
        <v>57</v>
      </c>
      <c r="BF35" s="1" t="s">
        <v>58</v>
      </c>
      <c r="BG35" s="1" t="s">
        <v>58</v>
      </c>
      <c r="BH35" s="1" t="s">
        <v>59</v>
      </c>
      <c r="BI35" s="1" t="s">
        <v>59</v>
      </c>
      <c r="BJ35" s="1" t="s">
        <v>60</v>
      </c>
      <c r="BK35" s="1" t="s">
        <v>60</v>
      </c>
      <c r="BL35" s="1" t="s">
        <v>61</v>
      </c>
      <c r="BM35" s="1" t="s">
        <v>61</v>
      </c>
      <c r="BN35" s="1" t="s">
        <v>62</v>
      </c>
      <c r="BO35" s="1" t="s">
        <v>62</v>
      </c>
      <c r="BR35" s="1" t="s">
        <v>65</v>
      </c>
      <c r="BS35" s="1" t="s">
        <v>53</v>
      </c>
      <c r="BT35" s="1" t="s">
        <v>53</v>
      </c>
      <c r="BU35" s="1" t="s">
        <v>54</v>
      </c>
      <c r="BV35" s="1" t="s">
        <v>54</v>
      </c>
      <c r="BW35" s="1" t="s">
        <v>55</v>
      </c>
      <c r="BX35" s="1" t="s">
        <v>55</v>
      </c>
      <c r="BY35" s="1" t="s">
        <v>56</v>
      </c>
      <c r="BZ35" s="1" t="s">
        <v>56</v>
      </c>
      <c r="CA35" s="1" t="s">
        <v>57</v>
      </c>
      <c r="CB35" s="1" t="s">
        <v>57</v>
      </c>
      <c r="CC35" s="1" t="s">
        <v>58</v>
      </c>
      <c r="CD35" s="1" t="s">
        <v>58</v>
      </c>
      <c r="CE35" s="1" t="s">
        <v>59</v>
      </c>
      <c r="CF35" s="1" t="s">
        <v>59</v>
      </c>
      <c r="CG35" s="1" t="s">
        <v>60</v>
      </c>
      <c r="CH35" s="1" t="s">
        <v>60</v>
      </c>
      <c r="CI35" s="1" t="s">
        <v>61</v>
      </c>
      <c r="CJ35" s="1" t="s">
        <v>61</v>
      </c>
      <c r="CK35" s="1" t="s">
        <v>62</v>
      </c>
      <c r="CL35" s="1" t="s">
        <v>62</v>
      </c>
    </row>
    <row r="36" spans="2:90" x14ac:dyDescent="0.3">
      <c r="B36" s="1" t="s">
        <v>7</v>
      </c>
      <c r="X36" s="1" t="s">
        <v>7</v>
      </c>
      <c r="AU36" s="1" t="s">
        <v>7</v>
      </c>
      <c r="BR36" s="1" t="s">
        <v>7</v>
      </c>
    </row>
    <row r="37" spans="2:90" x14ac:dyDescent="0.3">
      <c r="B37" s="1" t="s">
        <v>66</v>
      </c>
      <c r="C37" s="2">
        <v>1120.3499999999999</v>
      </c>
      <c r="D37" s="2">
        <v>1202.0999999999999</v>
      </c>
      <c r="E37" s="2">
        <v>220.4</v>
      </c>
      <c r="F37" s="2">
        <v>203.62</v>
      </c>
      <c r="G37" s="2">
        <v>73.64</v>
      </c>
      <c r="H37" s="2">
        <v>120.7</v>
      </c>
      <c r="I37" s="2">
        <v>943.55</v>
      </c>
      <c r="J37" s="2">
        <v>504.27</v>
      </c>
      <c r="K37" s="2">
        <v>1704.39</v>
      </c>
      <c r="L37" s="2">
        <v>515.99</v>
      </c>
      <c r="M37" s="2">
        <v>3162.67</v>
      </c>
      <c r="N37" s="2">
        <v>647.32000000000005</v>
      </c>
      <c r="O37" s="2">
        <v>2296.23</v>
      </c>
      <c r="P37" s="2">
        <v>144.05000000000001</v>
      </c>
      <c r="Q37" s="2">
        <v>2387.23</v>
      </c>
      <c r="R37" s="2">
        <v>684.97</v>
      </c>
      <c r="S37" s="2">
        <v>159.11000000000001</v>
      </c>
      <c r="T37" s="2">
        <v>134.24</v>
      </c>
      <c r="U37" s="2">
        <v>368.62</v>
      </c>
      <c r="V37" s="2">
        <v>194.81</v>
      </c>
      <c r="X37" s="1" t="s">
        <v>66</v>
      </c>
      <c r="Y37" s="2">
        <v>499.7</v>
      </c>
      <c r="Z37" s="2">
        <v>475.6</v>
      </c>
      <c r="AA37" s="2">
        <v>109.28</v>
      </c>
      <c r="AB37" s="2">
        <v>99.85</v>
      </c>
      <c r="AC37" s="2">
        <v>87.85</v>
      </c>
      <c r="AD37" s="2">
        <v>140.80000000000001</v>
      </c>
      <c r="AE37" s="2">
        <v>317.25</v>
      </c>
      <c r="AF37" s="2">
        <v>163.75</v>
      </c>
      <c r="AG37" s="2">
        <v>477.15</v>
      </c>
      <c r="AH37" s="2">
        <v>133.69999999999999</v>
      </c>
      <c r="AI37" s="2">
        <v>490.45</v>
      </c>
      <c r="AJ37" s="2">
        <v>92.2</v>
      </c>
      <c r="AK37" s="2">
        <v>451.6</v>
      </c>
      <c r="AL37" s="2">
        <v>23.89</v>
      </c>
      <c r="AM37" s="2">
        <v>340.29</v>
      </c>
      <c r="AN37" s="2">
        <v>89.15</v>
      </c>
      <c r="AO37" s="2">
        <v>23.57</v>
      </c>
      <c r="AP37" s="2">
        <v>17.940000000000001</v>
      </c>
      <c r="AQ37" s="2">
        <v>40.049999999999997</v>
      </c>
      <c r="AR37" s="2">
        <v>19.02</v>
      </c>
      <c r="AU37" s="1" t="s">
        <v>66</v>
      </c>
      <c r="AV37" s="2">
        <v>2400</v>
      </c>
      <c r="AW37" s="2">
        <v>2400</v>
      </c>
      <c r="AX37" s="2">
        <v>2049.2199999999998</v>
      </c>
      <c r="AY37" s="2">
        <v>1918.45</v>
      </c>
      <c r="AZ37" s="2">
        <v>1942.65</v>
      </c>
      <c r="BA37" s="2">
        <v>2400</v>
      </c>
      <c r="BB37" s="2">
        <v>2400</v>
      </c>
      <c r="BC37" s="2">
        <v>2400</v>
      </c>
      <c r="BD37" s="2">
        <v>2400</v>
      </c>
      <c r="BE37" s="2">
        <v>2400</v>
      </c>
      <c r="BF37" s="2">
        <v>2400</v>
      </c>
      <c r="BG37" s="2">
        <v>2400</v>
      </c>
      <c r="BH37" s="2">
        <v>2400</v>
      </c>
      <c r="BI37" s="2">
        <v>2399.86</v>
      </c>
      <c r="BJ37" s="2">
        <v>2394.96</v>
      </c>
      <c r="BK37" s="2">
        <v>2400</v>
      </c>
      <c r="BL37" s="2">
        <v>2356.5300000000002</v>
      </c>
      <c r="BM37" s="2">
        <v>1814.31</v>
      </c>
      <c r="BN37" s="2">
        <v>2400</v>
      </c>
      <c r="BO37" s="2">
        <v>1911.38</v>
      </c>
      <c r="BR37" s="1" t="s">
        <v>66</v>
      </c>
      <c r="BS37" s="2">
        <v>2899.7</v>
      </c>
      <c r="BT37" s="2">
        <v>2875.6</v>
      </c>
      <c r="BU37" s="2">
        <v>2158.5</v>
      </c>
      <c r="BV37" s="2">
        <v>2018.3</v>
      </c>
      <c r="BW37" s="2">
        <v>2030.5</v>
      </c>
      <c r="BX37" s="2">
        <v>2540.8000000000002</v>
      </c>
      <c r="BY37" s="2">
        <v>2717.25</v>
      </c>
      <c r="BZ37" s="2">
        <v>2563.75</v>
      </c>
      <c r="CA37" s="2">
        <v>2877.15</v>
      </c>
      <c r="CB37" s="2">
        <v>2533.6999999999998</v>
      </c>
      <c r="CC37" s="2">
        <v>2890.45</v>
      </c>
      <c r="CD37" s="2">
        <v>2492.1999999999998</v>
      </c>
      <c r="CE37" s="2">
        <v>2851.6</v>
      </c>
      <c r="CF37" s="2">
        <v>2423.75</v>
      </c>
      <c r="CG37" s="2">
        <v>2735.25</v>
      </c>
      <c r="CH37" s="2">
        <v>2489.15</v>
      </c>
      <c r="CI37" s="2">
        <v>2380.1</v>
      </c>
      <c r="CJ37" s="2">
        <v>1832.25</v>
      </c>
      <c r="CK37" s="2">
        <v>2440.0500000000002</v>
      </c>
      <c r="CL37" s="2">
        <v>1930.4</v>
      </c>
    </row>
    <row r="38" spans="2:90" x14ac:dyDescent="0.3">
      <c r="B38" s="1" t="s">
        <v>67</v>
      </c>
      <c r="C38" s="2">
        <v>1830.15</v>
      </c>
      <c r="D38" s="2">
        <v>674.43</v>
      </c>
      <c r="E38" s="2">
        <v>1489.08</v>
      </c>
      <c r="F38" s="2">
        <v>610.80999999999995</v>
      </c>
      <c r="G38" s="2">
        <v>358.86</v>
      </c>
      <c r="H38" s="2">
        <v>377.85</v>
      </c>
      <c r="I38" s="2">
        <v>2414.9499999999998</v>
      </c>
      <c r="J38" s="2">
        <v>1810.33</v>
      </c>
      <c r="K38" s="2">
        <v>3088.45</v>
      </c>
      <c r="L38" s="2">
        <v>1606.96</v>
      </c>
      <c r="M38" s="2">
        <v>6707.46</v>
      </c>
      <c r="N38" s="2">
        <v>3037.36</v>
      </c>
      <c r="O38" s="2">
        <v>4081.29</v>
      </c>
      <c r="P38" s="2">
        <v>2923.45</v>
      </c>
      <c r="Q38" s="2">
        <v>4891.07</v>
      </c>
      <c r="R38" s="2">
        <v>3386.96</v>
      </c>
      <c r="S38" s="2">
        <v>4033.94</v>
      </c>
      <c r="T38" s="2">
        <v>1987.17</v>
      </c>
      <c r="U38" s="2">
        <v>5358.42</v>
      </c>
      <c r="V38" s="2">
        <v>1960.03</v>
      </c>
      <c r="X38" s="1" t="s">
        <v>67</v>
      </c>
      <c r="Y38" s="2">
        <v>930.6</v>
      </c>
      <c r="Z38" s="2">
        <v>570.03</v>
      </c>
      <c r="AA38" s="2">
        <v>970.56</v>
      </c>
      <c r="AB38" s="2">
        <v>617.1</v>
      </c>
      <c r="AC38" s="2">
        <v>617.66</v>
      </c>
      <c r="AD38" s="2">
        <v>766.26</v>
      </c>
      <c r="AE38" s="2">
        <v>1060.33</v>
      </c>
      <c r="AF38" s="2">
        <v>703.68</v>
      </c>
      <c r="AG38" s="2">
        <v>990.16</v>
      </c>
      <c r="AH38" s="2">
        <v>640.25</v>
      </c>
      <c r="AI38" s="2">
        <v>969.63</v>
      </c>
      <c r="AJ38" s="2">
        <v>650.32000000000005</v>
      </c>
      <c r="AK38" s="2">
        <v>790.99</v>
      </c>
      <c r="AL38" s="2">
        <v>689.73</v>
      </c>
      <c r="AM38" s="2">
        <v>764</v>
      </c>
      <c r="AN38" s="2">
        <v>699.83</v>
      </c>
      <c r="AO38" s="2">
        <v>746.39</v>
      </c>
      <c r="AP38" s="2">
        <v>567.38</v>
      </c>
      <c r="AQ38" s="2">
        <v>892.35</v>
      </c>
      <c r="AR38" s="2">
        <v>544.32000000000005</v>
      </c>
      <c r="AU38" s="1" t="s">
        <v>67</v>
      </c>
      <c r="AV38" s="2">
        <v>7293.75</v>
      </c>
      <c r="AW38" s="2">
        <v>4759.22</v>
      </c>
      <c r="AX38" s="2">
        <v>6714.24</v>
      </c>
      <c r="AY38" s="2">
        <v>4465.1000000000004</v>
      </c>
      <c r="AZ38" s="2">
        <v>4354.29</v>
      </c>
      <c r="BA38" s="2">
        <v>5622.69</v>
      </c>
      <c r="BB38" s="2">
        <v>7541.37</v>
      </c>
      <c r="BC38" s="2">
        <v>5133.37</v>
      </c>
      <c r="BD38" s="2">
        <v>7602.14</v>
      </c>
      <c r="BE38" s="2">
        <v>5096.5</v>
      </c>
      <c r="BF38" s="2">
        <v>7381.72</v>
      </c>
      <c r="BG38" s="2">
        <v>5185.43</v>
      </c>
      <c r="BH38" s="2">
        <v>6195.11</v>
      </c>
      <c r="BI38" s="2">
        <v>5559.22</v>
      </c>
      <c r="BJ38" s="2">
        <v>6027.7</v>
      </c>
      <c r="BK38" s="2">
        <v>5593.22</v>
      </c>
      <c r="BL38" s="2">
        <v>5876.16</v>
      </c>
      <c r="BM38" s="2">
        <v>4444.37</v>
      </c>
      <c r="BN38" s="2">
        <v>7240.6</v>
      </c>
      <c r="BO38" s="2">
        <v>4599.53</v>
      </c>
      <c r="BR38" s="1" t="s">
        <v>67</v>
      </c>
      <c r="BS38" s="2">
        <v>8224.35</v>
      </c>
      <c r="BT38" s="2">
        <v>5329.25</v>
      </c>
      <c r="BU38" s="2">
        <v>7684.8</v>
      </c>
      <c r="BV38" s="2">
        <v>5082.2</v>
      </c>
      <c r="BW38" s="2">
        <v>4971.95</v>
      </c>
      <c r="BX38" s="2">
        <v>6388.95</v>
      </c>
      <c r="BY38" s="2">
        <v>8601.7000000000007</v>
      </c>
      <c r="BZ38" s="2">
        <v>5837.05</v>
      </c>
      <c r="CA38" s="2">
        <v>8592.2999999999993</v>
      </c>
      <c r="CB38" s="2">
        <v>5736.75</v>
      </c>
      <c r="CC38" s="2">
        <v>8351.35</v>
      </c>
      <c r="CD38" s="2">
        <v>5835.75</v>
      </c>
      <c r="CE38" s="2">
        <v>6986.1</v>
      </c>
      <c r="CF38" s="2">
        <v>6248.95</v>
      </c>
      <c r="CG38" s="2">
        <v>6791.7</v>
      </c>
      <c r="CH38" s="2">
        <v>6293.05</v>
      </c>
      <c r="CI38" s="2">
        <v>6622.55</v>
      </c>
      <c r="CJ38" s="2">
        <v>5011.75</v>
      </c>
      <c r="CK38" s="2">
        <v>8132.95</v>
      </c>
      <c r="CL38" s="2">
        <v>5143.8500000000004</v>
      </c>
    </row>
    <row r="39" spans="2:90" x14ac:dyDescent="0.3">
      <c r="B39" s="1" t="s">
        <v>68</v>
      </c>
      <c r="C39" s="2">
        <v>29963.98</v>
      </c>
      <c r="D39" s="2">
        <v>2170.7399999999998</v>
      </c>
      <c r="E39" s="2">
        <v>29149.59</v>
      </c>
      <c r="F39" s="2">
        <v>1564.5</v>
      </c>
      <c r="G39" s="2">
        <v>6472.14</v>
      </c>
      <c r="H39" s="2">
        <v>7508.19</v>
      </c>
      <c r="I39" s="2">
        <v>20560.939999999999</v>
      </c>
      <c r="J39" s="2">
        <v>9831.65</v>
      </c>
      <c r="K39" s="2">
        <v>27402.41</v>
      </c>
      <c r="L39" s="2">
        <v>10220.01</v>
      </c>
      <c r="M39" s="2">
        <v>52697.01</v>
      </c>
      <c r="N39" s="2">
        <v>18534.61</v>
      </c>
      <c r="O39" s="2">
        <v>41235.410000000003</v>
      </c>
      <c r="P39" s="2">
        <v>15548.27</v>
      </c>
      <c r="Q39" s="2">
        <v>52243.34</v>
      </c>
      <c r="R39" s="2">
        <v>18366.11</v>
      </c>
      <c r="S39" s="2">
        <v>20665.599999999999</v>
      </c>
      <c r="T39" s="2">
        <v>12341.97</v>
      </c>
      <c r="U39" s="2">
        <v>15593.89</v>
      </c>
      <c r="V39" s="2">
        <v>12429.11</v>
      </c>
      <c r="X39" s="1" t="s">
        <v>68</v>
      </c>
      <c r="Y39" s="2">
        <v>1861.45</v>
      </c>
      <c r="Z39" s="2">
        <v>475.25</v>
      </c>
      <c r="AA39" s="2">
        <v>1795.9</v>
      </c>
      <c r="AB39" s="2">
        <v>464.08</v>
      </c>
      <c r="AC39" s="2">
        <v>2038.48</v>
      </c>
      <c r="AD39" s="2">
        <v>1225.0999999999999</v>
      </c>
      <c r="AE39" s="2">
        <v>2098.39</v>
      </c>
      <c r="AF39" s="2">
        <v>979.39</v>
      </c>
      <c r="AG39" s="2">
        <v>2220.5300000000002</v>
      </c>
      <c r="AH39" s="2">
        <v>809.19</v>
      </c>
      <c r="AI39" s="2">
        <v>2371.21</v>
      </c>
      <c r="AJ39" s="2">
        <v>809.55</v>
      </c>
      <c r="AK39" s="2">
        <v>2249.16</v>
      </c>
      <c r="AL39" s="2">
        <v>841.78</v>
      </c>
      <c r="AM39" s="2">
        <v>2173.23</v>
      </c>
      <c r="AN39" s="2">
        <v>771.56</v>
      </c>
      <c r="AO39" s="2">
        <v>979.53</v>
      </c>
      <c r="AP39" s="2">
        <v>642.67999999999995</v>
      </c>
      <c r="AQ39" s="2">
        <v>632.30999999999995</v>
      </c>
      <c r="AR39" s="2">
        <v>574.69000000000005</v>
      </c>
      <c r="AU39" s="1" t="s">
        <v>68</v>
      </c>
      <c r="AV39" s="2">
        <v>7780.81</v>
      </c>
      <c r="AW39" s="2">
        <v>4053.6</v>
      </c>
      <c r="AX39" s="2">
        <v>7472.81</v>
      </c>
      <c r="AY39" s="2">
        <v>3378.67</v>
      </c>
      <c r="AZ39" s="2">
        <v>5375.71</v>
      </c>
      <c r="BA39" s="2">
        <v>7122.75</v>
      </c>
      <c r="BB39" s="2">
        <v>7348.92</v>
      </c>
      <c r="BC39" s="2">
        <v>5885.61</v>
      </c>
      <c r="BD39" s="2">
        <v>7642.02</v>
      </c>
      <c r="BE39" s="2">
        <v>5738.27</v>
      </c>
      <c r="BF39" s="2">
        <v>7788.79</v>
      </c>
      <c r="BG39" s="2">
        <v>5750.04</v>
      </c>
      <c r="BH39" s="2">
        <v>7177.43</v>
      </c>
      <c r="BI39" s="2">
        <v>5822.44</v>
      </c>
      <c r="BJ39" s="2">
        <v>6789.75</v>
      </c>
      <c r="BK39" s="2">
        <v>5642.57</v>
      </c>
      <c r="BL39" s="2">
        <v>6067.82</v>
      </c>
      <c r="BM39" s="2">
        <v>5032.4399999999996</v>
      </c>
      <c r="BN39" s="2">
        <v>4958.37</v>
      </c>
      <c r="BO39" s="2">
        <v>4469.78</v>
      </c>
      <c r="BR39" s="1" t="s">
        <v>68</v>
      </c>
      <c r="BS39" s="2">
        <v>9642.26</v>
      </c>
      <c r="BT39" s="2">
        <v>4528.8500000000004</v>
      </c>
      <c r="BU39" s="2">
        <v>9268.7099999999991</v>
      </c>
      <c r="BV39" s="2">
        <v>3842.75</v>
      </c>
      <c r="BW39" s="2">
        <v>7414.19</v>
      </c>
      <c r="BX39" s="2">
        <v>8347.84</v>
      </c>
      <c r="BY39" s="2">
        <v>9447.31</v>
      </c>
      <c r="BZ39" s="2">
        <v>6865</v>
      </c>
      <c r="CA39" s="2">
        <v>9862.5499999999993</v>
      </c>
      <c r="CB39" s="2">
        <v>6547.46</v>
      </c>
      <c r="CC39" s="2">
        <v>10160</v>
      </c>
      <c r="CD39" s="2">
        <v>6559.58</v>
      </c>
      <c r="CE39" s="2">
        <v>9426.59</v>
      </c>
      <c r="CF39" s="2">
        <v>6664.22</v>
      </c>
      <c r="CG39" s="2">
        <v>8962.98</v>
      </c>
      <c r="CH39" s="2">
        <v>6414.13</v>
      </c>
      <c r="CI39" s="2">
        <v>7047.35</v>
      </c>
      <c r="CJ39" s="2">
        <v>5675.13</v>
      </c>
      <c r="CK39" s="2">
        <v>5590.68</v>
      </c>
      <c r="CL39" s="2">
        <v>5044.46</v>
      </c>
    </row>
    <row r="40" spans="2:90" x14ac:dyDescent="0.3">
      <c r="B40" s="1" t="s">
        <v>69</v>
      </c>
      <c r="C40" s="2">
        <v>5624.1</v>
      </c>
      <c r="D40" s="2">
        <v>835.4</v>
      </c>
      <c r="E40" s="2">
        <v>5264.06</v>
      </c>
      <c r="F40" s="2">
        <v>548.63</v>
      </c>
      <c r="G40" s="2">
        <v>1509.08</v>
      </c>
      <c r="H40" s="2">
        <v>2256.69</v>
      </c>
      <c r="I40" s="2">
        <v>5305.11</v>
      </c>
      <c r="J40" s="2">
        <v>2813.46</v>
      </c>
      <c r="K40" s="2">
        <v>6440.52</v>
      </c>
      <c r="L40" s="2">
        <v>2647.6</v>
      </c>
      <c r="M40" s="2">
        <v>11600.21</v>
      </c>
      <c r="N40" s="2">
        <v>4409.62</v>
      </c>
      <c r="O40" s="2">
        <v>9421.91</v>
      </c>
      <c r="P40" s="2">
        <v>3648.43</v>
      </c>
      <c r="Q40" s="2">
        <v>8564.67</v>
      </c>
      <c r="R40" s="2">
        <v>4075.35</v>
      </c>
      <c r="S40" s="2">
        <v>3589.71</v>
      </c>
      <c r="T40" s="2">
        <v>3072.11</v>
      </c>
      <c r="U40" s="2">
        <v>3899.79</v>
      </c>
      <c r="V40" s="2">
        <v>3430.55</v>
      </c>
      <c r="X40" s="1" t="s">
        <v>69</v>
      </c>
      <c r="Y40" s="2">
        <v>1019.9</v>
      </c>
      <c r="Z40" s="2">
        <v>595.73</v>
      </c>
      <c r="AA40" s="2">
        <v>1035.81</v>
      </c>
      <c r="AB40" s="2">
        <v>560.30999999999995</v>
      </c>
      <c r="AC40" s="2">
        <v>1408.55</v>
      </c>
      <c r="AD40" s="2">
        <v>1090.81</v>
      </c>
      <c r="AE40" s="2">
        <v>1579.87</v>
      </c>
      <c r="AF40" s="2">
        <v>830.52</v>
      </c>
      <c r="AG40" s="2">
        <v>1525.69</v>
      </c>
      <c r="AH40" s="2">
        <v>743.57</v>
      </c>
      <c r="AI40" s="2">
        <v>1524.37</v>
      </c>
      <c r="AJ40" s="2">
        <v>727.48</v>
      </c>
      <c r="AK40" s="2">
        <v>1519.17</v>
      </c>
      <c r="AL40" s="2">
        <v>733.55</v>
      </c>
      <c r="AM40" s="2">
        <v>1059.6400000000001</v>
      </c>
      <c r="AN40" s="2">
        <v>700.62</v>
      </c>
      <c r="AO40" s="2">
        <v>697.82</v>
      </c>
      <c r="AP40" s="2">
        <v>663.93</v>
      </c>
      <c r="AQ40" s="2">
        <v>654.49</v>
      </c>
      <c r="AR40" s="2">
        <v>625.58000000000004</v>
      </c>
      <c r="AU40" s="1" t="s">
        <v>69</v>
      </c>
      <c r="AV40" s="2">
        <v>7539.78</v>
      </c>
      <c r="AW40" s="2">
        <v>4248.22</v>
      </c>
      <c r="AX40" s="2">
        <v>7083.57</v>
      </c>
      <c r="AY40" s="2">
        <v>4206.3900000000003</v>
      </c>
      <c r="AZ40" s="2">
        <v>5530.14</v>
      </c>
      <c r="BA40" s="2">
        <v>7789.19</v>
      </c>
      <c r="BB40" s="2">
        <v>7215.98</v>
      </c>
      <c r="BC40" s="2">
        <v>6343.28</v>
      </c>
      <c r="BD40" s="2">
        <v>7354.31</v>
      </c>
      <c r="BE40" s="2">
        <v>6022.94</v>
      </c>
      <c r="BF40" s="2">
        <v>7355.63</v>
      </c>
      <c r="BG40" s="2">
        <v>5861.53</v>
      </c>
      <c r="BH40" s="2">
        <v>7360.83</v>
      </c>
      <c r="BI40" s="2">
        <v>5914.85</v>
      </c>
      <c r="BJ40" s="2">
        <v>6870.81</v>
      </c>
      <c r="BK40" s="2">
        <v>5604.18</v>
      </c>
      <c r="BL40" s="2">
        <v>5588.98</v>
      </c>
      <c r="BM40" s="2">
        <v>5239.42</v>
      </c>
      <c r="BN40" s="2">
        <v>5166.66</v>
      </c>
      <c r="BO40" s="2">
        <v>4904.1499999999996</v>
      </c>
      <c r="BR40" s="1" t="s">
        <v>69</v>
      </c>
      <c r="BS40" s="2">
        <v>8559.69</v>
      </c>
      <c r="BT40" s="2">
        <v>4843.95</v>
      </c>
      <c r="BU40" s="2">
        <v>8119.38</v>
      </c>
      <c r="BV40" s="2">
        <v>4766.7</v>
      </c>
      <c r="BW40" s="2">
        <v>6938.68</v>
      </c>
      <c r="BX40" s="2">
        <v>8880</v>
      </c>
      <c r="BY40" s="2">
        <v>8795.85</v>
      </c>
      <c r="BZ40" s="2">
        <v>7173.81</v>
      </c>
      <c r="CA40" s="2">
        <v>8880</v>
      </c>
      <c r="CB40" s="2">
        <v>6766.51</v>
      </c>
      <c r="CC40" s="2">
        <v>8880</v>
      </c>
      <c r="CD40" s="2">
        <v>6589.01</v>
      </c>
      <c r="CE40" s="2">
        <v>8880</v>
      </c>
      <c r="CF40" s="2">
        <v>6648.4</v>
      </c>
      <c r="CG40" s="2">
        <v>7930.45</v>
      </c>
      <c r="CH40" s="2">
        <v>6304.8</v>
      </c>
      <c r="CI40" s="2">
        <v>6286.8</v>
      </c>
      <c r="CJ40" s="2">
        <v>5903.35</v>
      </c>
      <c r="CK40" s="2">
        <v>5821.15</v>
      </c>
      <c r="CL40" s="2">
        <v>5529.73</v>
      </c>
    </row>
    <row r="41" spans="2:90" x14ac:dyDescent="0.3">
      <c r="B41" s="1" t="s">
        <v>70</v>
      </c>
      <c r="C41" s="2">
        <v>15294.95</v>
      </c>
      <c r="D41" s="2">
        <v>15450.9</v>
      </c>
      <c r="E41" s="2">
        <v>17795.919999999998</v>
      </c>
      <c r="F41" s="2">
        <v>8812.4</v>
      </c>
      <c r="G41" s="2">
        <v>5671.7</v>
      </c>
      <c r="H41" s="2">
        <v>6186.42</v>
      </c>
      <c r="I41" s="2">
        <v>9455.15</v>
      </c>
      <c r="J41" s="2">
        <v>19190.8</v>
      </c>
      <c r="K41" s="2">
        <v>21973.5</v>
      </c>
      <c r="L41" s="2">
        <v>23598.87</v>
      </c>
      <c r="M41" s="2">
        <v>34434.65</v>
      </c>
      <c r="N41" s="2">
        <v>32062.44</v>
      </c>
      <c r="O41" s="2">
        <v>22816.73</v>
      </c>
      <c r="P41" s="2">
        <v>23019.87</v>
      </c>
      <c r="Q41" s="2">
        <v>22675.200000000001</v>
      </c>
      <c r="R41" s="2">
        <v>23490.560000000001</v>
      </c>
      <c r="S41" s="2">
        <v>17230.349999999999</v>
      </c>
      <c r="T41" s="2">
        <v>15941.86</v>
      </c>
      <c r="U41" s="2">
        <v>22276.11</v>
      </c>
      <c r="V41" s="2">
        <v>18310.669999999998</v>
      </c>
      <c r="X41" s="1" t="s">
        <v>70</v>
      </c>
      <c r="Y41" s="2">
        <v>1113.96</v>
      </c>
      <c r="Z41" s="2">
        <v>1134.4100000000001</v>
      </c>
      <c r="AA41" s="2">
        <v>1405.5</v>
      </c>
      <c r="AB41" s="2">
        <v>1002.02</v>
      </c>
      <c r="AC41" s="2">
        <v>1094.83</v>
      </c>
      <c r="AD41" s="2">
        <v>1211.3499999999999</v>
      </c>
      <c r="AE41" s="2">
        <v>852.01</v>
      </c>
      <c r="AF41" s="2">
        <v>1162.31</v>
      </c>
      <c r="AG41" s="2">
        <v>1072.6300000000001</v>
      </c>
      <c r="AH41" s="2">
        <v>1149.9100000000001</v>
      </c>
      <c r="AI41" s="2">
        <v>934.68</v>
      </c>
      <c r="AJ41" s="2">
        <v>875.52</v>
      </c>
      <c r="AK41" s="2">
        <v>778.82</v>
      </c>
      <c r="AL41" s="2">
        <v>831</v>
      </c>
      <c r="AM41" s="2">
        <v>727.15</v>
      </c>
      <c r="AN41" s="2">
        <v>734.14</v>
      </c>
      <c r="AO41" s="2">
        <v>690.22</v>
      </c>
      <c r="AP41" s="2">
        <v>686.28</v>
      </c>
      <c r="AQ41" s="2">
        <v>693.09</v>
      </c>
      <c r="AR41" s="2">
        <v>738.37</v>
      </c>
      <c r="AU41" s="1" t="s">
        <v>70</v>
      </c>
      <c r="AV41" s="2">
        <v>4708.84</v>
      </c>
      <c r="AW41" s="2">
        <v>6162.74</v>
      </c>
      <c r="AX41" s="2">
        <v>6076.6</v>
      </c>
      <c r="AY41" s="2">
        <v>7123.58</v>
      </c>
      <c r="AZ41" s="2">
        <v>4470.62</v>
      </c>
      <c r="BA41" s="2">
        <v>5011.13</v>
      </c>
      <c r="BB41" s="2">
        <v>6455.54</v>
      </c>
      <c r="BC41" s="2">
        <v>5989.59</v>
      </c>
      <c r="BD41" s="2">
        <v>6855.82</v>
      </c>
      <c r="BE41" s="2">
        <v>6786.49</v>
      </c>
      <c r="BF41" s="2">
        <v>6675.27</v>
      </c>
      <c r="BG41" s="2">
        <v>6920.78</v>
      </c>
      <c r="BH41" s="2">
        <v>6403.53</v>
      </c>
      <c r="BI41" s="2">
        <v>6810.9</v>
      </c>
      <c r="BJ41" s="2">
        <v>5860.45</v>
      </c>
      <c r="BK41" s="2">
        <v>5936.81</v>
      </c>
      <c r="BL41" s="2">
        <v>5436.08</v>
      </c>
      <c r="BM41" s="2">
        <v>5600.52</v>
      </c>
      <c r="BN41" s="2">
        <v>5582.41</v>
      </c>
      <c r="BO41" s="2">
        <v>6265.23</v>
      </c>
      <c r="BR41" s="1" t="s">
        <v>70</v>
      </c>
      <c r="BS41" s="2">
        <v>5822.8</v>
      </c>
      <c r="BT41" s="2">
        <v>7297.15</v>
      </c>
      <c r="BU41" s="2">
        <v>7482.1</v>
      </c>
      <c r="BV41" s="2">
        <v>8125.6</v>
      </c>
      <c r="BW41" s="2">
        <v>5565.45</v>
      </c>
      <c r="BX41" s="2">
        <v>6222.48</v>
      </c>
      <c r="BY41" s="2">
        <v>7307.55</v>
      </c>
      <c r="BZ41" s="2">
        <v>7151.9</v>
      </c>
      <c r="CA41" s="2">
        <v>7928.45</v>
      </c>
      <c r="CB41" s="2">
        <v>7936.4</v>
      </c>
      <c r="CC41" s="2">
        <v>7609.95</v>
      </c>
      <c r="CD41" s="2">
        <v>7796.3</v>
      </c>
      <c r="CE41" s="2">
        <v>7182.35</v>
      </c>
      <c r="CF41" s="2">
        <v>7641.9</v>
      </c>
      <c r="CG41" s="2">
        <v>6587.6</v>
      </c>
      <c r="CH41" s="2">
        <v>6670.95</v>
      </c>
      <c r="CI41" s="2">
        <v>6126.3</v>
      </c>
      <c r="CJ41" s="2">
        <v>6286.8</v>
      </c>
      <c r="CK41" s="2">
        <v>6275.5</v>
      </c>
      <c r="CL41" s="2">
        <v>7003.6</v>
      </c>
    </row>
    <row r="42" spans="2:90" x14ac:dyDescent="0.3">
      <c r="B42" s="1" t="s">
        <v>71</v>
      </c>
      <c r="C42" s="2">
        <v>3853.59</v>
      </c>
      <c r="D42" s="2">
        <v>3869.04</v>
      </c>
      <c r="E42" s="2">
        <v>5526.27</v>
      </c>
      <c r="F42" s="2">
        <v>5503.76</v>
      </c>
      <c r="G42" s="2">
        <v>1290.93</v>
      </c>
      <c r="H42" s="2">
        <v>1405.96</v>
      </c>
      <c r="I42" s="2">
        <v>2019.87</v>
      </c>
      <c r="J42" s="2">
        <v>3777.41</v>
      </c>
      <c r="K42" s="2">
        <v>2330.06</v>
      </c>
      <c r="L42" s="2">
        <v>6210.96</v>
      </c>
      <c r="M42" s="2">
        <v>5265.6</v>
      </c>
      <c r="N42" s="2">
        <v>11283.42</v>
      </c>
      <c r="O42" s="2">
        <v>4141.59</v>
      </c>
      <c r="P42" s="2">
        <v>7563.66</v>
      </c>
      <c r="Q42" s="2">
        <v>5281.07</v>
      </c>
      <c r="R42" s="2">
        <v>9779.31</v>
      </c>
      <c r="S42" s="2">
        <v>4187.08</v>
      </c>
      <c r="T42" s="2">
        <v>7372.37</v>
      </c>
      <c r="U42" s="2">
        <v>4474.3</v>
      </c>
      <c r="V42" s="2">
        <v>3692.23</v>
      </c>
      <c r="X42" s="1" t="s">
        <v>71</v>
      </c>
      <c r="Y42" s="2">
        <v>1449.39</v>
      </c>
      <c r="Z42" s="2">
        <v>1478.11</v>
      </c>
      <c r="AA42" s="2">
        <v>1285.0899999999999</v>
      </c>
      <c r="AB42" s="2">
        <v>1312.61</v>
      </c>
      <c r="AC42" s="2">
        <v>1282.4000000000001</v>
      </c>
      <c r="AD42" s="2">
        <v>1427.39</v>
      </c>
      <c r="AE42" s="2">
        <v>923.25</v>
      </c>
      <c r="AF42" s="2">
        <v>1187.9000000000001</v>
      </c>
      <c r="AG42" s="2">
        <v>866.65</v>
      </c>
      <c r="AH42" s="2">
        <v>1575.65</v>
      </c>
      <c r="AI42" s="2">
        <v>916.38</v>
      </c>
      <c r="AJ42" s="2">
        <v>1611.02</v>
      </c>
      <c r="AK42" s="2">
        <v>911.21</v>
      </c>
      <c r="AL42" s="2">
        <v>1350.82</v>
      </c>
      <c r="AM42" s="2">
        <v>895.47</v>
      </c>
      <c r="AN42" s="2">
        <v>1317.66</v>
      </c>
      <c r="AO42" s="2">
        <v>846.99</v>
      </c>
      <c r="AP42" s="2">
        <v>1126.8699999999999</v>
      </c>
      <c r="AQ42" s="2">
        <v>776.88</v>
      </c>
      <c r="AR42" s="2">
        <v>765.53</v>
      </c>
      <c r="AU42" s="1" t="s">
        <v>71</v>
      </c>
      <c r="AV42" s="2">
        <v>5457.42</v>
      </c>
      <c r="AW42" s="2">
        <v>5560.64</v>
      </c>
      <c r="AX42" s="2">
        <v>7580.63</v>
      </c>
      <c r="AY42" s="2">
        <v>7567.39</v>
      </c>
      <c r="AZ42" s="2">
        <v>4494.33</v>
      </c>
      <c r="BA42" s="2">
        <v>5128.59</v>
      </c>
      <c r="BB42" s="2">
        <v>5603.25</v>
      </c>
      <c r="BC42" s="2">
        <v>4382.0200000000004</v>
      </c>
      <c r="BD42" s="2">
        <v>5691.9</v>
      </c>
      <c r="BE42" s="2">
        <v>7083.35</v>
      </c>
      <c r="BF42" s="2">
        <v>6122.67</v>
      </c>
      <c r="BG42" s="2">
        <v>7268.98</v>
      </c>
      <c r="BH42" s="2">
        <v>6076.26</v>
      </c>
      <c r="BI42" s="2">
        <v>7025.51</v>
      </c>
      <c r="BJ42" s="2">
        <v>6031.52</v>
      </c>
      <c r="BK42" s="2">
        <v>7004.95</v>
      </c>
      <c r="BL42" s="2">
        <v>5804.58</v>
      </c>
      <c r="BM42" s="2">
        <v>6785.99</v>
      </c>
      <c r="BN42" s="2">
        <v>5395</v>
      </c>
      <c r="BO42" s="2">
        <v>5020.72</v>
      </c>
      <c r="BR42" s="1" t="s">
        <v>71</v>
      </c>
      <c r="BS42" s="2">
        <v>6906.81</v>
      </c>
      <c r="BT42" s="2">
        <v>7038.75</v>
      </c>
      <c r="BU42" s="2">
        <v>8865.73</v>
      </c>
      <c r="BV42" s="2">
        <v>8880</v>
      </c>
      <c r="BW42" s="2">
        <v>5776.74</v>
      </c>
      <c r="BX42" s="2">
        <v>6555.98</v>
      </c>
      <c r="BY42" s="2">
        <v>6526.5</v>
      </c>
      <c r="BZ42" s="2">
        <v>5569.92</v>
      </c>
      <c r="CA42" s="2">
        <v>6558.55</v>
      </c>
      <c r="CB42" s="2">
        <v>8659</v>
      </c>
      <c r="CC42" s="2">
        <v>7039.05</v>
      </c>
      <c r="CD42" s="2">
        <v>8880</v>
      </c>
      <c r="CE42" s="2">
        <v>6987.47</v>
      </c>
      <c r="CF42" s="2">
        <v>8376.33</v>
      </c>
      <c r="CG42" s="2">
        <v>6926.99</v>
      </c>
      <c r="CH42" s="2">
        <v>8322.61</v>
      </c>
      <c r="CI42" s="2">
        <v>6651.57</v>
      </c>
      <c r="CJ42" s="2">
        <v>7912.85</v>
      </c>
      <c r="CK42" s="2">
        <v>6171.89</v>
      </c>
      <c r="CL42" s="2">
        <v>5786.25</v>
      </c>
    </row>
    <row r="43" spans="2:90" x14ac:dyDescent="0.3">
      <c r="B43" s="1" t="s">
        <v>72</v>
      </c>
      <c r="C43" s="2">
        <v>28023.35</v>
      </c>
      <c r="D43" s="2">
        <v>29478.06</v>
      </c>
      <c r="E43" s="2">
        <v>18864.86</v>
      </c>
      <c r="F43" s="2">
        <v>28080.68</v>
      </c>
      <c r="G43" s="2">
        <v>4519.26</v>
      </c>
      <c r="H43" s="2">
        <v>10726.93</v>
      </c>
      <c r="I43" s="2">
        <v>13174.95</v>
      </c>
      <c r="J43" s="2">
        <v>19131.09</v>
      </c>
      <c r="K43" s="2">
        <v>12470.94</v>
      </c>
      <c r="L43" s="2">
        <v>29102.37</v>
      </c>
      <c r="M43" s="2">
        <v>24704.9</v>
      </c>
      <c r="N43" s="2">
        <v>52115.45</v>
      </c>
      <c r="O43" s="2">
        <v>20066.78</v>
      </c>
      <c r="P43" s="2">
        <v>36715.67</v>
      </c>
      <c r="Q43" s="2">
        <v>29402.22</v>
      </c>
      <c r="R43" s="2">
        <v>34977.54</v>
      </c>
      <c r="S43" s="2">
        <v>19420.02</v>
      </c>
      <c r="T43" s="2">
        <v>20384.91</v>
      </c>
      <c r="U43" s="2">
        <v>21943.33</v>
      </c>
      <c r="V43" s="2">
        <v>20901.88</v>
      </c>
      <c r="X43" s="1" t="s">
        <v>72</v>
      </c>
      <c r="Y43" s="2">
        <v>1797.92</v>
      </c>
      <c r="Z43" s="2">
        <v>1878.02</v>
      </c>
      <c r="AA43" s="2">
        <v>1281.46</v>
      </c>
      <c r="AB43" s="2">
        <v>1911.03</v>
      </c>
      <c r="AC43" s="2">
        <v>1514.79</v>
      </c>
      <c r="AD43" s="2">
        <v>1808.35</v>
      </c>
      <c r="AE43" s="2">
        <v>1401.1</v>
      </c>
      <c r="AF43" s="2">
        <v>1982.66</v>
      </c>
      <c r="AG43" s="2">
        <v>1059.6400000000001</v>
      </c>
      <c r="AH43" s="2">
        <v>2441.25</v>
      </c>
      <c r="AI43" s="2">
        <v>1163.1199999999999</v>
      </c>
      <c r="AJ43" s="2">
        <v>2442.48</v>
      </c>
      <c r="AK43" s="2">
        <v>1171.25</v>
      </c>
      <c r="AL43" s="2">
        <v>2138.41</v>
      </c>
      <c r="AM43" s="2">
        <v>1296.74</v>
      </c>
      <c r="AN43" s="2">
        <v>1547.96</v>
      </c>
      <c r="AO43" s="2">
        <v>949.72</v>
      </c>
      <c r="AP43" s="2">
        <v>1013.69</v>
      </c>
      <c r="AQ43" s="2">
        <v>811.9</v>
      </c>
      <c r="AR43" s="2">
        <v>807.66</v>
      </c>
      <c r="AU43" s="1" t="s">
        <v>72</v>
      </c>
      <c r="AV43" s="2">
        <v>6969.74</v>
      </c>
      <c r="AW43" s="2">
        <v>7419.75</v>
      </c>
      <c r="AX43" s="2">
        <v>7249.72</v>
      </c>
      <c r="AY43" s="2">
        <v>7972.65</v>
      </c>
      <c r="AZ43" s="2">
        <v>4587.4799999999996</v>
      </c>
      <c r="BA43" s="2">
        <v>6842.11</v>
      </c>
      <c r="BB43" s="2">
        <v>6227.89</v>
      </c>
      <c r="BC43" s="2">
        <v>5102.79</v>
      </c>
      <c r="BD43" s="2">
        <v>6067.73</v>
      </c>
      <c r="BE43" s="2">
        <v>7718.75</v>
      </c>
      <c r="BF43" s="2">
        <v>6244.14</v>
      </c>
      <c r="BG43" s="2">
        <v>7717.52</v>
      </c>
      <c r="BH43" s="2">
        <v>6258.34</v>
      </c>
      <c r="BI43" s="2">
        <v>7421.64</v>
      </c>
      <c r="BJ43" s="2">
        <v>6457.78</v>
      </c>
      <c r="BK43" s="2">
        <v>6786.51</v>
      </c>
      <c r="BL43" s="2">
        <v>5898.95</v>
      </c>
      <c r="BM43" s="2">
        <v>5998.73</v>
      </c>
      <c r="BN43" s="2">
        <v>5618.7</v>
      </c>
      <c r="BO43" s="2">
        <v>5520.49</v>
      </c>
      <c r="BR43" s="1" t="s">
        <v>72</v>
      </c>
      <c r="BS43" s="2">
        <v>8767.65</v>
      </c>
      <c r="BT43" s="2">
        <v>9297.77</v>
      </c>
      <c r="BU43" s="2">
        <v>8531.19</v>
      </c>
      <c r="BV43" s="2">
        <v>9883.68</v>
      </c>
      <c r="BW43" s="2">
        <v>6102.27</v>
      </c>
      <c r="BX43" s="2">
        <v>8650.4599999999991</v>
      </c>
      <c r="BY43" s="2">
        <v>7628.99</v>
      </c>
      <c r="BZ43" s="2">
        <v>7085.45</v>
      </c>
      <c r="CA43" s="2">
        <v>7127.37</v>
      </c>
      <c r="CB43" s="2">
        <v>10160</v>
      </c>
      <c r="CC43" s="2">
        <v>7407.26</v>
      </c>
      <c r="CD43" s="2">
        <v>10160</v>
      </c>
      <c r="CE43" s="2">
        <v>7429.59</v>
      </c>
      <c r="CF43" s="2">
        <v>9560.0499999999993</v>
      </c>
      <c r="CG43" s="2">
        <v>7754.52</v>
      </c>
      <c r="CH43" s="2">
        <v>8334.4699999999993</v>
      </c>
      <c r="CI43" s="2">
        <v>6848.67</v>
      </c>
      <c r="CJ43" s="2">
        <v>7012.42</v>
      </c>
      <c r="CK43" s="2">
        <v>6430.6</v>
      </c>
      <c r="CL43" s="2">
        <v>6328.14</v>
      </c>
    </row>
    <row r="44" spans="2:90" x14ac:dyDescent="0.3">
      <c r="B44" s="1" t="s">
        <v>73</v>
      </c>
      <c r="C44" s="2">
        <v>2967.36</v>
      </c>
      <c r="D44" s="2">
        <v>4950.45</v>
      </c>
      <c r="E44" s="2">
        <v>1168.99</v>
      </c>
      <c r="F44" s="2">
        <v>1311.57</v>
      </c>
      <c r="G44" s="2">
        <v>59.06</v>
      </c>
      <c r="H44" s="2">
        <v>615.21</v>
      </c>
      <c r="I44" s="2">
        <v>1118.57</v>
      </c>
      <c r="J44" s="2">
        <v>7657.69</v>
      </c>
      <c r="K44" s="2">
        <v>3807.72</v>
      </c>
      <c r="L44" s="2">
        <v>8964.85</v>
      </c>
      <c r="M44" s="2">
        <v>10036.27</v>
      </c>
      <c r="N44" s="2">
        <v>16564.599999999999</v>
      </c>
      <c r="O44" s="2">
        <v>8966.18</v>
      </c>
      <c r="P44" s="2">
        <v>11015.39</v>
      </c>
      <c r="Q44" s="2">
        <v>9932.9</v>
      </c>
      <c r="R44" s="2">
        <v>9612.25</v>
      </c>
      <c r="S44" s="2">
        <v>7685.95</v>
      </c>
      <c r="T44" s="2">
        <v>6276.17</v>
      </c>
      <c r="U44" s="2">
        <v>8879.41</v>
      </c>
      <c r="V44" s="2">
        <v>7116.57</v>
      </c>
      <c r="X44" s="1" t="s">
        <v>73</v>
      </c>
      <c r="Y44" s="2">
        <v>656.21</v>
      </c>
      <c r="Z44" s="2">
        <v>754.55</v>
      </c>
      <c r="AA44" s="2">
        <v>598.78</v>
      </c>
      <c r="AB44" s="2">
        <v>636.52</v>
      </c>
      <c r="AC44" s="2">
        <v>150.06</v>
      </c>
      <c r="AD44" s="2">
        <v>666.56</v>
      </c>
      <c r="AE44" s="2">
        <v>407.9</v>
      </c>
      <c r="AF44" s="2">
        <v>813.84</v>
      </c>
      <c r="AG44" s="2">
        <v>474.29</v>
      </c>
      <c r="AH44" s="2">
        <v>763.26</v>
      </c>
      <c r="AI44" s="2">
        <v>582.17999999999995</v>
      </c>
      <c r="AJ44" s="2">
        <v>782.36</v>
      </c>
      <c r="AK44" s="2">
        <v>577.03</v>
      </c>
      <c r="AL44" s="2">
        <v>671.42</v>
      </c>
      <c r="AM44" s="2">
        <v>567.27</v>
      </c>
      <c r="AN44" s="2">
        <v>594.05999999999995</v>
      </c>
      <c r="AO44" s="2">
        <v>548.57000000000005</v>
      </c>
      <c r="AP44" s="2">
        <v>547.12</v>
      </c>
      <c r="AQ44" s="2">
        <v>558.23</v>
      </c>
      <c r="AR44" s="2">
        <v>447.13</v>
      </c>
      <c r="AU44" s="1" t="s">
        <v>73</v>
      </c>
      <c r="AV44" s="2">
        <v>3973.19</v>
      </c>
      <c r="AW44" s="2">
        <v>4927</v>
      </c>
      <c r="AX44" s="2">
        <v>3475.27</v>
      </c>
      <c r="AY44" s="2">
        <v>3704.03</v>
      </c>
      <c r="AZ44" s="2">
        <v>2938.14</v>
      </c>
      <c r="BA44" s="2">
        <v>4103.59</v>
      </c>
      <c r="BB44" s="2">
        <v>3120</v>
      </c>
      <c r="BC44" s="2">
        <v>4057.12</v>
      </c>
      <c r="BD44" s="2">
        <v>3419.71</v>
      </c>
      <c r="BE44" s="2">
        <v>4192.45</v>
      </c>
      <c r="BF44" s="2">
        <v>3225.07</v>
      </c>
      <c r="BG44" s="2">
        <v>4330.16</v>
      </c>
      <c r="BH44" s="2">
        <v>3224.87</v>
      </c>
      <c r="BI44" s="2">
        <v>4204.7299999999996</v>
      </c>
      <c r="BJ44" s="2">
        <v>3065.63</v>
      </c>
      <c r="BK44" s="2">
        <v>3328.99</v>
      </c>
      <c r="BL44" s="2">
        <v>2856.48</v>
      </c>
      <c r="BM44" s="2">
        <v>2928.28</v>
      </c>
      <c r="BN44" s="2">
        <v>3006.27</v>
      </c>
      <c r="BO44" s="2">
        <v>3312.62</v>
      </c>
      <c r="BR44" s="1" t="s">
        <v>73</v>
      </c>
      <c r="BS44" s="2">
        <v>4629.3999999999996</v>
      </c>
      <c r="BT44" s="2">
        <v>5681.55</v>
      </c>
      <c r="BU44" s="2">
        <v>4074.05</v>
      </c>
      <c r="BV44" s="2">
        <v>4340.55</v>
      </c>
      <c r="BW44" s="2">
        <v>3088.2</v>
      </c>
      <c r="BX44" s="2">
        <v>4770.1499999999996</v>
      </c>
      <c r="BY44" s="2">
        <v>3527.9</v>
      </c>
      <c r="BZ44" s="2">
        <v>4870.95</v>
      </c>
      <c r="CA44" s="2">
        <v>3894</v>
      </c>
      <c r="CB44" s="2">
        <v>4955.71</v>
      </c>
      <c r="CC44" s="2">
        <v>3807.25</v>
      </c>
      <c r="CD44" s="2">
        <v>5112.5200000000004</v>
      </c>
      <c r="CE44" s="2">
        <v>3801.9</v>
      </c>
      <c r="CF44" s="2">
        <v>4876.1499999999996</v>
      </c>
      <c r="CG44" s="2">
        <v>3632.9</v>
      </c>
      <c r="CH44" s="2">
        <v>3923.05</v>
      </c>
      <c r="CI44" s="2">
        <v>3405.05</v>
      </c>
      <c r="CJ44" s="2">
        <v>3475.4</v>
      </c>
      <c r="CK44" s="2">
        <v>3564.5</v>
      </c>
      <c r="CL44" s="2">
        <v>3759.75</v>
      </c>
    </row>
    <row r="45" spans="2:90" x14ac:dyDescent="0.3">
      <c r="W45">
        <f>SUM(C37:V44)</f>
        <v>1640303.63</v>
      </c>
    </row>
    <row r="47" spans="2:90" x14ac:dyDescent="0.3">
      <c r="B47" t="s">
        <v>16</v>
      </c>
      <c r="X47" t="s">
        <v>17</v>
      </c>
      <c r="AU47" t="s">
        <v>18</v>
      </c>
      <c r="BR47" t="s">
        <v>19</v>
      </c>
    </row>
    <row r="48" spans="2:90" x14ac:dyDescent="0.3">
      <c r="B48" s="1" t="s">
        <v>6</v>
      </c>
      <c r="C48" s="1" t="s">
        <v>63</v>
      </c>
      <c r="D48" s="1" t="s">
        <v>64</v>
      </c>
      <c r="E48" s="1" t="s">
        <v>63</v>
      </c>
      <c r="F48" s="1" t="s">
        <v>64</v>
      </c>
      <c r="G48" s="1" t="s">
        <v>63</v>
      </c>
      <c r="H48" s="1" t="s">
        <v>64</v>
      </c>
      <c r="I48" s="1" t="s">
        <v>63</v>
      </c>
      <c r="J48" s="1" t="s">
        <v>64</v>
      </c>
      <c r="K48" s="1" t="s">
        <v>63</v>
      </c>
      <c r="L48" s="1" t="s">
        <v>64</v>
      </c>
      <c r="M48" s="1" t="s">
        <v>63</v>
      </c>
      <c r="N48" s="1" t="s">
        <v>64</v>
      </c>
      <c r="O48" s="1" t="s">
        <v>63</v>
      </c>
      <c r="P48" s="1" t="s">
        <v>64</v>
      </c>
      <c r="Q48" s="1" t="s">
        <v>63</v>
      </c>
      <c r="R48" s="1" t="s">
        <v>64</v>
      </c>
      <c r="S48" s="1" t="s">
        <v>63</v>
      </c>
      <c r="T48" s="1" t="s">
        <v>64</v>
      </c>
      <c r="U48" s="1" t="s">
        <v>63</v>
      </c>
      <c r="V48" s="1" t="s">
        <v>64</v>
      </c>
      <c r="X48" s="1" t="s">
        <v>6</v>
      </c>
      <c r="Y48" s="1" t="s">
        <v>63</v>
      </c>
      <c r="Z48" s="1" t="s">
        <v>64</v>
      </c>
      <c r="AA48" s="1" t="s">
        <v>63</v>
      </c>
      <c r="AB48" s="1" t="s">
        <v>64</v>
      </c>
      <c r="AC48" s="1" t="s">
        <v>63</v>
      </c>
      <c r="AD48" s="1" t="s">
        <v>64</v>
      </c>
      <c r="AE48" s="1" t="s">
        <v>63</v>
      </c>
      <c r="AF48" s="1" t="s">
        <v>64</v>
      </c>
      <c r="AG48" s="1" t="s">
        <v>63</v>
      </c>
      <c r="AH48" s="1" t="s">
        <v>64</v>
      </c>
      <c r="AI48" s="1" t="s">
        <v>63</v>
      </c>
      <c r="AJ48" s="1" t="s">
        <v>64</v>
      </c>
      <c r="AK48" s="1" t="s">
        <v>63</v>
      </c>
      <c r="AL48" s="1" t="s">
        <v>64</v>
      </c>
      <c r="AM48" s="1" t="s">
        <v>63</v>
      </c>
      <c r="AN48" s="1" t="s">
        <v>64</v>
      </c>
      <c r="AO48" s="1" t="s">
        <v>63</v>
      </c>
      <c r="AP48" s="1" t="s">
        <v>64</v>
      </c>
      <c r="AQ48" s="1" t="s">
        <v>63</v>
      </c>
      <c r="AR48" s="1" t="s">
        <v>64</v>
      </c>
      <c r="AU48" s="1" t="s">
        <v>6</v>
      </c>
      <c r="AV48" s="1" t="s">
        <v>63</v>
      </c>
      <c r="AW48" s="1" t="s">
        <v>64</v>
      </c>
      <c r="AX48" s="1" t="s">
        <v>63</v>
      </c>
      <c r="AY48" s="1" t="s">
        <v>64</v>
      </c>
      <c r="AZ48" s="1" t="s">
        <v>63</v>
      </c>
      <c r="BA48" s="1" t="s">
        <v>64</v>
      </c>
      <c r="BB48" s="1" t="s">
        <v>63</v>
      </c>
      <c r="BC48" s="1" t="s">
        <v>64</v>
      </c>
      <c r="BD48" s="1" t="s">
        <v>63</v>
      </c>
      <c r="BE48" s="1" t="s">
        <v>64</v>
      </c>
      <c r="BF48" s="1" t="s">
        <v>63</v>
      </c>
      <c r="BG48" s="1" t="s">
        <v>64</v>
      </c>
      <c r="BH48" s="1" t="s">
        <v>63</v>
      </c>
      <c r="BI48" s="1" t="s">
        <v>64</v>
      </c>
      <c r="BJ48" s="1" t="s">
        <v>63</v>
      </c>
      <c r="BK48" s="1" t="s">
        <v>64</v>
      </c>
      <c r="BL48" s="1" t="s">
        <v>63</v>
      </c>
      <c r="BM48" s="1" t="s">
        <v>64</v>
      </c>
      <c r="BN48" s="1" t="s">
        <v>63</v>
      </c>
      <c r="BO48" s="1" t="s">
        <v>64</v>
      </c>
      <c r="BR48" s="1" t="s">
        <v>6</v>
      </c>
      <c r="BS48" s="1" t="s">
        <v>63</v>
      </c>
      <c r="BT48" s="1" t="s">
        <v>64</v>
      </c>
      <c r="BU48" s="1" t="s">
        <v>63</v>
      </c>
      <c r="BV48" s="1" t="s">
        <v>64</v>
      </c>
      <c r="BW48" s="1" t="s">
        <v>63</v>
      </c>
      <c r="BX48" s="1" t="s">
        <v>64</v>
      </c>
      <c r="BY48" s="1" t="s">
        <v>63</v>
      </c>
      <c r="BZ48" s="1" t="s">
        <v>64</v>
      </c>
      <c r="CA48" s="1" t="s">
        <v>63</v>
      </c>
      <c r="CB48" s="1" t="s">
        <v>64</v>
      </c>
      <c r="CC48" s="1" t="s">
        <v>63</v>
      </c>
      <c r="CD48" s="1" t="s">
        <v>64</v>
      </c>
      <c r="CE48" s="1" t="s">
        <v>63</v>
      </c>
      <c r="CF48" s="1" t="s">
        <v>64</v>
      </c>
      <c r="CG48" s="1" t="s">
        <v>63</v>
      </c>
      <c r="CH48" s="1" t="s">
        <v>64</v>
      </c>
      <c r="CI48" s="1" t="s">
        <v>63</v>
      </c>
      <c r="CJ48" s="1" t="s">
        <v>64</v>
      </c>
      <c r="CK48" s="1" t="s">
        <v>63</v>
      </c>
      <c r="CL48" s="1" t="s">
        <v>64</v>
      </c>
    </row>
    <row r="49" spans="2:90" x14ac:dyDescent="0.3">
      <c r="B49" s="1" t="s">
        <v>65</v>
      </c>
      <c r="C49" s="1" t="s">
        <v>53</v>
      </c>
      <c r="D49" s="1" t="s">
        <v>53</v>
      </c>
      <c r="E49" s="1" t="s">
        <v>54</v>
      </c>
      <c r="F49" s="1" t="s">
        <v>54</v>
      </c>
      <c r="G49" s="1" t="s">
        <v>55</v>
      </c>
      <c r="H49" s="1" t="s">
        <v>55</v>
      </c>
      <c r="I49" s="1" t="s">
        <v>56</v>
      </c>
      <c r="J49" s="1" t="s">
        <v>56</v>
      </c>
      <c r="K49" s="1" t="s">
        <v>57</v>
      </c>
      <c r="L49" s="1" t="s">
        <v>57</v>
      </c>
      <c r="M49" s="1" t="s">
        <v>58</v>
      </c>
      <c r="N49" s="1" t="s">
        <v>58</v>
      </c>
      <c r="O49" s="1" t="s">
        <v>59</v>
      </c>
      <c r="P49" s="1" t="s">
        <v>59</v>
      </c>
      <c r="Q49" s="1" t="s">
        <v>60</v>
      </c>
      <c r="R49" s="1" t="s">
        <v>60</v>
      </c>
      <c r="S49" s="1" t="s">
        <v>61</v>
      </c>
      <c r="T49" s="1" t="s">
        <v>61</v>
      </c>
      <c r="U49" s="1" t="s">
        <v>62</v>
      </c>
      <c r="V49" s="1" t="s">
        <v>62</v>
      </c>
      <c r="X49" s="1" t="s">
        <v>65</v>
      </c>
      <c r="Y49" s="1" t="s">
        <v>53</v>
      </c>
      <c r="Z49" s="1" t="s">
        <v>53</v>
      </c>
      <c r="AA49" s="1" t="s">
        <v>54</v>
      </c>
      <c r="AB49" s="1" t="s">
        <v>54</v>
      </c>
      <c r="AC49" s="1" t="s">
        <v>55</v>
      </c>
      <c r="AD49" s="1" t="s">
        <v>55</v>
      </c>
      <c r="AE49" s="1" t="s">
        <v>56</v>
      </c>
      <c r="AF49" s="1" t="s">
        <v>56</v>
      </c>
      <c r="AG49" s="1" t="s">
        <v>57</v>
      </c>
      <c r="AH49" s="1" t="s">
        <v>57</v>
      </c>
      <c r="AI49" s="1" t="s">
        <v>58</v>
      </c>
      <c r="AJ49" s="1" t="s">
        <v>58</v>
      </c>
      <c r="AK49" s="1" t="s">
        <v>59</v>
      </c>
      <c r="AL49" s="1" t="s">
        <v>59</v>
      </c>
      <c r="AM49" s="1" t="s">
        <v>60</v>
      </c>
      <c r="AN49" s="1" t="s">
        <v>60</v>
      </c>
      <c r="AO49" s="1" t="s">
        <v>61</v>
      </c>
      <c r="AP49" s="1" t="s">
        <v>61</v>
      </c>
      <c r="AQ49" s="1" t="s">
        <v>62</v>
      </c>
      <c r="AR49" s="1" t="s">
        <v>62</v>
      </c>
      <c r="AU49" s="1" t="s">
        <v>65</v>
      </c>
      <c r="AV49" s="1" t="s">
        <v>53</v>
      </c>
      <c r="AW49" s="1" t="s">
        <v>53</v>
      </c>
      <c r="AX49" s="1" t="s">
        <v>54</v>
      </c>
      <c r="AY49" s="1" t="s">
        <v>54</v>
      </c>
      <c r="AZ49" s="1" t="s">
        <v>55</v>
      </c>
      <c r="BA49" s="1" t="s">
        <v>55</v>
      </c>
      <c r="BB49" s="1" t="s">
        <v>56</v>
      </c>
      <c r="BC49" s="1" t="s">
        <v>56</v>
      </c>
      <c r="BD49" s="1" t="s">
        <v>57</v>
      </c>
      <c r="BE49" s="1" t="s">
        <v>57</v>
      </c>
      <c r="BF49" s="1" t="s">
        <v>58</v>
      </c>
      <c r="BG49" s="1" t="s">
        <v>58</v>
      </c>
      <c r="BH49" s="1" t="s">
        <v>59</v>
      </c>
      <c r="BI49" s="1" t="s">
        <v>59</v>
      </c>
      <c r="BJ49" s="1" t="s">
        <v>60</v>
      </c>
      <c r="BK49" s="1" t="s">
        <v>60</v>
      </c>
      <c r="BL49" s="1" t="s">
        <v>61</v>
      </c>
      <c r="BM49" s="1" t="s">
        <v>61</v>
      </c>
      <c r="BN49" s="1" t="s">
        <v>62</v>
      </c>
      <c r="BO49" s="1" t="s">
        <v>62</v>
      </c>
      <c r="BR49" s="1" t="s">
        <v>65</v>
      </c>
      <c r="BS49" s="1" t="s">
        <v>53</v>
      </c>
      <c r="BT49" s="1" t="s">
        <v>53</v>
      </c>
      <c r="BU49" s="1" t="s">
        <v>54</v>
      </c>
      <c r="BV49" s="1" t="s">
        <v>54</v>
      </c>
      <c r="BW49" s="1" t="s">
        <v>55</v>
      </c>
      <c r="BX49" s="1" t="s">
        <v>55</v>
      </c>
      <c r="BY49" s="1" t="s">
        <v>56</v>
      </c>
      <c r="BZ49" s="1" t="s">
        <v>56</v>
      </c>
      <c r="CA49" s="1" t="s">
        <v>57</v>
      </c>
      <c r="CB49" s="1" t="s">
        <v>57</v>
      </c>
      <c r="CC49" s="1" t="s">
        <v>58</v>
      </c>
      <c r="CD49" s="1" t="s">
        <v>58</v>
      </c>
      <c r="CE49" s="1" t="s">
        <v>59</v>
      </c>
      <c r="CF49" s="1" t="s">
        <v>59</v>
      </c>
      <c r="CG49" s="1" t="s">
        <v>60</v>
      </c>
      <c r="CH49" s="1" t="s">
        <v>60</v>
      </c>
      <c r="CI49" s="1" t="s">
        <v>61</v>
      </c>
      <c r="CJ49" s="1" t="s">
        <v>61</v>
      </c>
      <c r="CK49" s="1" t="s">
        <v>62</v>
      </c>
      <c r="CL49" s="1" t="s">
        <v>62</v>
      </c>
    </row>
    <row r="50" spans="2:90" x14ac:dyDescent="0.3">
      <c r="B50" s="1" t="s">
        <v>7</v>
      </c>
      <c r="X50" s="1" t="s">
        <v>7</v>
      </c>
      <c r="AU50" s="1" t="s">
        <v>7</v>
      </c>
      <c r="BR50" s="1" t="s">
        <v>7</v>
      </c>
    </row>
    <row r="51" spans="2:90" x14ac:dyDescent="0.3">
      <c r="B51" s="1" t="s">
        <v>66</v>
      </c>
      <c r="C51" s="2">
        <v>733.19</v>
      </c>
      <c r="D51" s="2">
        <v>591.04</v>
      </c>
      <c r="E51" s="2">
        <v>177.82</v>
      </c>
      <c r="F51" s="2">
        <v>160.41</v>
      </c>
      <c r="G51" s="2">
        <v>50.45</v>
      </c>
      <c r="H51" s="2">
        <v>78.19</v>
      </c>
      <c r="I51" s="2">
        <v>515.88</v>
      </c>
      <c r="J51" s="2">
        <v>249.71</v>
      </c>
      <c r="K51" s="2">
        <v>1039.19</v>
      </c>
      <c r="L51" s="2">
        <v>255.21</v>
      </c>
      <c r="M51" s="2">
        <v>1911.97</v>
      </c>
      <c r="N51" s="2">
        <v>312.7</v>
      </c>
      <c r="O51" s="2">
        <v>1450.24</v>
      </c>
      <c r="P51" s="2">
        <v>57.82</v>
      </c>
      <c r="Q51" s="2">
        <v>1346.01</v>
      </c>
      <c r="R51" s="2">
        <v>301.41000000000003</v>
      </c>
      <c r="S51" s="2">
        <v>72.78</v>
      </c>
      <c r="T51" s="2">
        <v>44.99</v>
      </c>
      <c r="U51" s="2">
        <v>156.99</v>
      </c>
      <c r="V51" s="2">
        <v>58.5</v>
      </c>
      <c r="X51" s="1" t="s">
        <v>66</v>
      </c>
      <c r="Y51" s="2">
        <v>0.14000000000000001</v>
      </c>
      <c r="Z51" s="2">
        <v>0.13</v>
      </c>
      <c r="AA51" s="2">
        <v>0.03</v>
      </c>
      <c r="AB51" s="2">
        <v>0.03</v>
      </c>
      <c r="AC51" s="2">
        <v>0.02</v>
      </c>
      <c r="AD51" s="2">
        <v>0.04</v>
      </c>
      <c r="AE51" s="2">
        <v>0.09</v>
      </c>
      <c r="AF51" s="2">
        <v>0.05</v>
      </c>
      <c r="AG51" s="2">
        <v>0.13</v>
      </c>
      <c r="AH51" s="2">
        <v>0.04</v>
      </c>
      <c r="AI51" s="2">
        <v>0.14000000000000001</v>
      </c>
      <c r="AJ51" s="2">
        <v>0.03</v>
      </c>
      <c r="AK51" s="2">
        <v>0.13</v>
      </c>
      <c r="AL51" s="2">
        <v>0.01</v>
      </c>
      <c r="AM51" s="2">
        <v>0.09</v>
      </c>
      <c r="AN51" s="2">
        <v>0.02</v>
      </c>
      <c r="AO51" s="2">
        <v>0.01</v>
      </c>
      <c r="AP51" s="2">
        <v>0</v>
      </c>
      <c r="AQ51" s="2">
        <v>0.01</v>
      </c>
      <c r="AR51" s="2">
        <v>0.01</v>
      </c>
      <c r="AU51" s="1" t="s">
        <v>66</v>
      </c>
      <c r="AV51" s="2">
        <v>0.3</v>
      </c>
      <c r="AW51" s="2">
        <v>0.3</v>
      </c>
      <c r="AX51" s="2">
        <v>0.26</v>
      </c>
      <c r="AY51" s="2">
        <v>0.24</v>
      </c>
      <c r="AZ51" s="2">
        <v>0.24</v>
      </c>
      <c r="BA51" s="2">
        <v>0.3</v>
      </c>
      <c r="BB51" s="2">
        <v>0.3</v>
      </c>
      <c r="BC51" s="2">
        <v>0.3</v>
      </c>
      <c r="BD51" s="2">
        <v>0.3</v>
      </c>
      <c r="BE51" s="2">
        <v>0.3</v>
      </c>
      <c r="BF51" s="2">
        <v>0.3</v>
      </c>
      <c r="BG51" s="2">
        <v>0.3</v>
      </c>
      <c r="BH51" s="2">
        <v>0.3</v>
      </c>
      <c r="BI51" s="2">
        <v>0.3</v>
      </c>
      <c r="BJ51" s="2">
        <v>0.3</v>
      </c>
      <c r="BK51" s="2">
        <v>0.3</v>
      </c>
      <c r="BL51" s="2">
        <v>0.28999999999999998</v>
      </c>
      <c r="BM51" s="2">
        <v>0.23</v>
      </c>
      <c r="BN51" s="2">
        <v>0.3</v>
      </c>
      <c r="BO51" s="2">
        <v>0.24</v>
      </c>
      <c r="BR51" s="1" t="s">
        <v>66</v>
      </c>
      <c r="BS51" s="2">
        <v>0.36</v>
      </c>
      <c r="BT51" s="2">
        <v>0.36</v>
      </c>
      <c r="BU51" s="2">
        <v>0.27</v>
      </c>
      <c r="BV51" s="2">
        <v>0.25</v>
      </c>
      <c r="BW51" s="2">
        <v>0.25</v>
      </c>
      <c r="BX51" s="2">
        <v>0.32</v>
      </c>
      <c r="BY51" s="2">
        <v>0.34</v>
      </c>
      <c r="BZ51" s="2">
        <v>0.32</v>
      </c>
      <c r="CA51" s="2">
        <v>0.36</v>
      </c>
      <c r="CB51" s="2">
        <v>0.32</v>
      </c>
      <c r="CC51" s="2">
        <v>0.36</v>
      </c>
      <c r="CD51" s="2">
        <v>0.31</v>
      </c>
      <c r="CE51" s="2">
        <v>0.36</v>
      </c>
      <c r="CF51" s="2">
        <v>0.3</v>
      </c>
      <c r="CG51" s="2">
        <v>0.34</v>
      </c>
      <c r="CH51" s="2">
        <v>0.31</v>
      </c>
      <c r="CI51" s="2">
        <v>0.3</v>
      </c>
      <c r="CJ51" s="2">
        <v>0.23</v>
      </c>
      <c r="CK51" s="2">
        <v>0.31</v>
      </c>
      <c r="CL51" s="2">
        <v>0.24</v>
      </c>
    </row>
    <row r="52" spans="2:90" x14ac:dyDescent="0.3">
      <c r="B52" s="1" t="s">
        <v>67</v>
      </c>
      <c r="C52" s="2">
        <v>1484.38</v>
      </c>
      <c r="D52" s="2">
        <v>493.76</v>
      </c>
      <c r="E52" s="2">
        <v>1328.44</v>
      </c>
      <c r="F52" s="2">
        <v>501.55</v>
      </c>
      <c r="G52" s="2">
        <v>294.54000000000002</v>
      </c>
      <c r="H52" s="2">
        <v>299.45999999999998</v>
      </c>
      <c r="I52" s="2">
        <v>2085.61</v>
      </c>
      <c r="J52" s="2">
        <v>1331.51</v>
      </c>
      <c r="K52" s="2">
        <v>2639.13</v>
      </c>
      <c r="L52" s="2">
        <v>1194.1099999999999</v>
      </c>
      <c r="M52" s="2">
        <v>5743.78</v>
      </c>
      <c r="N52" s="2">
        <v>2236.7800000000002</v>
      </c>
      <c r="O52" s="2">
        <v>3331.96</v>
      </c>
      <c r="P52" s="2">
        <v>2257.5300000000002</v>
      </c>
      <c r="Q52" s="2">
        <v>3952.71</v>
      </c>
      <c r="R52" s="2">
        <v>2681.65</v>
      </c>
      <c r="S52" s="2">
        <v>3304.62</v>
      </c>
      <c r="T52" s="2">
        <v>1455.04</v>
      </c>
      <c r="U52" s="2">
        <v>4238.6000000000004</v>
      </c>
      <c r="V52" s="2">
        <v>1399.35</v>
      </c>
      <c r="X52" s="1" t="s">
        <v>67</v>
      </c>
      <c r="Y52" s="2">
        <v>0.26</v>
      </c>
      <c r="Z52" s="2">
        <v>0.16</v>
      </c>
      <c r="AA52" s="2">
        <v>0.27</v>
      </c>
      <c r="AB52" s="2">
        <v>0.17</v>
      </c>
      <c r="AC52" s="2">
        <v>0.17</v>
      </c>
      <c r="AD52" s="2">
        <v>0.21</v>
      </c>
      <c r="AE52" s="2">
        <v>0.28999999999999998</v>
      </c>
      <c r="AF52" s="2">
        <v>0.2</v>
      </c>
      <c r="AG52" s="2">
        <v>0.28000000000000003</v>
      </c>
      <c r="AH52" s="2">
        <v>0.18</v>
      </c>
      <c r="AI52" s="2">
        <v>0.27</v>
      </c>
      <c r="AJ52" s="2">
        <v>0.18</v>
      </c>
      <c r="AK52" s="2">
        <v>0.22</v>
      </c>
      <c r="AL52" s="2">
        <v>0.19</v>
      </c>
      <c r="AM52" s="2">
        <v>0.21</v>
      </c>
      <c r="AN52" s="2">
        <v>0.19</v>
      </c>
      <c r="AO52" s="2">
        <v>0.21</v>
      </c>
      <c r="AP52" s="2">
        <v>0.16</v>
      </c>
      <c r="AQ52" s="2">
        <v>0.25</v>
      </c>
      <c r="AR52" s="2">
        <v>0.15</v>
      </c>
      <c r="AU52" s="1" t="s">
        <v>67</v>
      </c>
      <c r="AV52" s="2">
        <v>0.7</v>
      </c>
      <c r="AW52" s="2">
        <v>0.46</v>
      </c>
      <c r="AX52" s="2">
        <v>0.65</v>
      </c>
      <c r="AY52" s="2">
        <v>0.43</v>
      </c>
      <c r="AZ52" s="2">
        <v>0.56999999999999995</v>
      </c>
      <c r="BA52" s="2">
        <v>0.54</v>
      </c>
      <c r="BB52" s="2">
        <v>0.73</v>
      </c>
      <c r="BC52" s="2">
        <v>0.7</v>
      </c>
      <c r="BD52" s="2">
        <v>0.76</v>
      </c>
      <c r="BE52" s="2">
        <v>0.64</v>
      </c>
      <c r="BF52" s="2">
        <v>0.82</v>
      </c>
      <c r="BG52" s="2">
        <v>0.65</v>
      </c>
      <c r="BH52" s="2">
        <v>0.77</v>
      </c>
      <c r="BI52" s="2">
        <v>0.69</v>
      </c>
      <c r="BJ52" s="2">
        <v>0.75</v>
      </c>
      <c r="BK52" s="2">
        <v>0.65</v>
      </c>
      <c r="BL52" s="2">
        <v>0.73</v>
      </c>
      <c r="BM52" s="2">
        <v>0.56000000000000005</v>
      </c>
      <c r="BN52" s="2">
        <v>0.7</v>
      </c>
      <c r="BO52" s="2">
        <v>0.46</v>
      </c>
      <c r="BR52" s="1" t="s">
        <v>67</v>
      </c>
      <c r="BS52" s="2">
        <v>0.79</v>
      </c>
      <c r="BT52" s="2">
        <v>0.51</v>
      </c>
      <c r="BU52" s="2">
        <v>0.74</v>
      </c>
      <c r="BV52" s="2">
        <v>0.49</v>
      </c>
      <c r="BW52" s="2">
        <v>0.65</v>
      </c>
      <c r="BX52" s="2">
        <v>0.61</v>
      </c>
      <c r="BY52" s="2">
        <v>0.83</v>
      </c>
      <c r="BZ52" s="2">
        <v>0.8</v>
      </c>
      <c r="CA52" s="2">
        <v>0.86</v>
      </c>
      <c r="CB52" s="2">
        <v>0.72</v>
      </c>
      <c r="CC52" s="2">
        <v>0.93</v>
      </c>
      <c r="CD52" s="2">
        <v>0.73</v>
      </c>
      <c r="CE52" s="2">
        <v>0.87</v>
      </c>
      <c r="CF52" s="2">
        <v>0.78</v>
      </c>
      <c r="CG52" s="2">
        <v>0.85</v>
      </c>
      <c r="CH52" s="2">
        <v>0.74</v>
      </c>
      <c r="CI52" s="2">
        <v>0.83</v>
      </c>
      <c r="CJ52" s="2">
        <v>0.63</v>
      </c>
      <c r="CK52" s="2">
        <v>0.78</v>
      </c>
      <c r="CL52" s="2">
        <v>0.52</v>
      </c>
    </row>
    <row r="53" spans="2:90" x14ac:dyDescent="0.3">
      <c r="B53" s="1" t="s">
        <v>68</v>
      </c>
      <c r="C53" s="2">
        <v>21873.05</v>
      </c>
      <c r="D53" s="2">
        <v>1523.8</v>
      </c>
      <c r="E53" s="2">
        <v>24463.48</v>
      </c>
      <c r="F53" s="2">
        <v>1269.33</v>
      </c>
      <c r="G53" s="2">
        <v>4453.17</v>
      </c>
      <c r="H53" s="2">
        <v>5429.67</v>
      </c>
      <c r="I53" s="2">
        <v>15259.78</v>
      </c>
      <c r="J53" s="2">
        <v>6759.77</v>
      </c>
      <c r="K53" s="2">
        <v>19867.41</v>
      </c>
      <c r="L53" s="2">
        <v>6891.96</v>
      </c>
      <c r="M53" s="2">
        <v>38331.78</v>
      </c>
      <c r="N53" s="2">
        <v>12285.93</v>
      </c>
      <c r="O53" s="2">
        <v>28264.76</v>
      </c>
      <c r="P53" s="2">
        <v>10385.52</v>
      </c>
      <c r="Q53" s="2">
        <v>35825.35</v>
      </c>
      <c r="R53" s="2">
        <v>12842.02</v>
      </c>
      <c r="S53" s="2">
        <v>14890.81</v>
      </c>
      <c r="T53" s="2">
        <v>7902.47</v>
      </c>
      <c r="U53" s="2">
        <v>10727.76</v>
      </c>
      <c r="V53" s="2">
        <v>8269.58</v>
      </c>
      <c r="X53" s="1" t="s">
        <v>68</v>
      </c>
      <c r="Y53" s="2">
        <v>0.52</v>
      </c>
      <c r="Z53" s="2">
        <v>0.13</v>
      </c>
      <c r="AA53" s="2">
        <v>0.5</v>
      </c>
      <c r="AB53" s="2">
        <v>0.13</v>
      </c>
      <c r="AC53" s="2">
        <v>0.56999999999999995</v>
      </c>
      <c r="AD53" s="2">
        <v>0.34</v>
      </c>
      <c r="AE53" s="2">
        <v>0.57999999999999996</v>
      </c>
      <c r="AF53" s="2">
        <v>0.27</v>
      </c>
      <c r="AG53" s="2">
        <v>0.62</v>
      </c>
      <c r="AH53" s="2">
        <v>0.22</v>
      </c>
      <c r="AI53" s="2">
        <v>0.66</v>
      </c>
      <c r="AJ53" s="2">
        <v>0.22</v>
      </c>
      <c r="AK53" s="2">
        <v>0.62</v>
      </c>
      <c r="AL53" s="2">
        <v>0.23</v>
      </c>
      <c r="AM53" s="2">
        <v>0.6</v>
      </c>
      <c r="AN53" s="2">
        <v>0.21</v>
      </c>
      <c r="AO53" s="2">
        <v>0.27</v>
      </c>
      <c r="AP53" s="2">
        <v>0.18</v>
      </c>
      <c r="AQ53" s="2">
        <v>0.18</v>
      </c>
      <c r="AR53" s="2">
        <v>0.16</v>
      </c>
      <c r="AU53" s="1" t="s">
        <v>68</v>
      </c>
      <c r="AV53" s="2">
        <v>1.02</v>
      </c>
      <c r="AW53" s="2">
        <v>0.39</v>
      </c>
      <c r="AX53" s="2">
        <v>1.02</v>
      </c>
      <c r="AY53" s="2">
        <v>0.32</v>
      </c>
      <c r="AZ53" s="2">
        <v>0.92</v>
      </c>
      <c r="BA53" s="2">
        <v>0.95</v>
      </c>
      <c r="BB53" s="2">
        <v>0.92</v>
      </c>
      <c r="BC53" s="2">
        <v>0.74</v>
      </c>
      <c r="BD53" s="2">
        <v>0.96</v>
      </c>
      <c r="BE53" s="2">
        <v>0.72</v>
      </c>
      <c r="BF53" s="2">
        <v>0.97</v>
      </c>
      <c r="BG53" s="2">
        <v>0.72</v>
      </c>
      <c r="BH53" s="2">
        <v>0.97</v>
      </c>
      <c r="BI53" s="2">
        <v>0.73</v>
      </c>
      <c r="BJ53" s="2">
        <v>0.96</v>
      </c>
      <c r="BK53" s="2">
        <v>0.71</v>
      </c>
      <c r="BL53" s="2">
        <v>0.76</v>
      </c>
      <c r="BM53" s="2">
        <v>0.63</v>
      </c>
      <c r="BN53" s="2">
        <v>0.62</v>
      </c>
      <c r="BO53" s="2">
        <v>0.56000000000000005</v>
      </c>
      <c r="BR53" s="1" t="s">
        <v>68</v>
      </c>
      <c r="BS53" s="2">
        <v>1.27</v>
      </c>
      <c r="BT53" s="2">
        <v>0.44</v>
      </c>
      <c r="BU53" s="2">
        <v>1.27</v>
      </c>
      <c r="BV53" s="2">
        <v>0.37</v>
      </c>
      <c r="BW53" s="2">
        <v>1.27</v>
      </c>
      <c r="BX53" s="2">
        <v>1.1100000000000001</v>
      </c>
      <c r="BY53" s="2">
        <v>1.18</v>
      </c>
      <c r="BZ53" s="2">
        <v>0.86</v>
      </c>
      <c r="CA53" s="2">
        <v>1.23</v>
      </c>
      <c r="CB53" s="2">
        <v>0.82</v>
      </c>
      <c r="CC53" s="2">
        <v>1.27</v>
      </c>
      <c r="CD53" s="2">
        <v>0.82</v>
      </c>
      <c r="CE53" s="2">
        <v>1.27</v>
      </c>
      <c r="CF53" s="2">
        <v>0.83</v>
      </c>
      <c r="CG53" s="2">
        <v>1.27</v>
      </c>
      <c r="CH53" s="2">
        <v>0.8</v>
      </c>
      <c r="CI53" s="2">
        <v>0.88</v>
      </c>
      <c r="CJ53" s="2">
        <v>0.71</v>
      </c>
      <c r="CK53" s="2">
        <v>0.7</v>
      </c>
      <c r="CL53" s="2">
        <v>0.63</v>
      </c>
    </row>
    <row r="54" spans="2:90" x14ac:dyDescent="0.3">
      <c r="B54" s="1" t="s">
        <v>69</v>
      </c>
      <c r="C54" s="2">
        <v>3863.89</v>
      </c>
      <c r="D54" s="2">
        <v>545.39</v>
      </c>
      <c r="E54" s="2">
        <v>4340.8500000000004</v>
      </c>
      <c r="F54" s="2">
        <v>424.68</v>
      </c>
      <c r="G54" s="2">
        <v>1016.02</v>
      </c>
      <c r="H54" s="2">
        <v>1637.08</v>
      </c>
      <c r="I54" s="2">
        <v>3660.15</v>
      </c>
      <c r="J54" s="2">
        <v>1928.72</v>
      </c>
      <c r="K54" s="2">
        <v>4392.33</v>
      </c>
      <c r="L54" s="2">
        <v>1762.4</v>
      </c>
      <c r="M54" s="2">
        <v>7875.4</v>
      </c>
      <c r="N54" s="2">
        <v>2855.87</v>
      </c>
      <c r="O54" s="2">
        <v>6203.83</v>
      </c>
      <c r="P54" s="2">
        <v>2396.0500000000002</v>
      </c>
      <c r="Q54" s="2">
        <v>5695.75</v>
      </c>
      <c r="R54" s="2">
        <v>2665.67</v>
      </c>
      <c r="S54" s="2">
        <v>2418.1799999999998</v>
      </c>
      <c r="T54" s="2">
        <v>1930.84</v>
      </c>
      <c r="U54" s="2">
        <v>2495.21</v>
      </c>
      <c r="V54" s="2">
        <v>2171.56</v>
      </c>
      <c r="X54" s="1" t="s">
        <v>69</v>
      </c>
      <c r="Y54" s="2">
        <v>0.28000000000000003</v>
      </c>
      <c r="Z54" s="2">
        <v>0.17</v>
      </c>
      <c r="AA54" s="2">
        <v>0.28999999999999998</v>
      </c>
      <c r="AB54" s="2">
        <v>0.16</v>
      </c>
      <c r="AC54" s="2">
        <v>0.39</v>
      </c>
      <c r="AD54" s="2">
        <v>0.3</v>
      </c>
      <c r="AE54" s="2">
        <v>0.44</v>
      </c>
      <c r="AF54" s="2">
        <v>0.23</v>
      </c>
      <c r="AG54" s="2">
        <v>0.42</v>
      </c>
      <c r="AH54" s="2">
        <v>0.21</v>
      </c>
      <c r="AI54" s="2">
        <v>0.42</v>
      </c>
      <c r="AJ54" s="2">
        <v>0.2</v>
      </c>
      <c r="AK54" s="2">
        <v>0.42</v>
      </c>
      <c r="AL54" s="2">
        <v>0.2</v>
      </c>
      <c r="AM54" s="2">
        <v>0.28999999999999998</v>
      </c>
      <c r="AN54" s="2">
        <v>0.19</v>
      </c>
      <c r="AO54" s="2">
        <v>0.19</v>
      </c>
      <c r="AP54" s="2">
        <v>0.18</v>
      </c>
      <c r="AQ54" s="2">
        <v>0.18</v>
      </c>
      <c r="AR54" s="2">
        <v>0.17</v>
      </c>
      <c r="AU54" s="1" t="s">
        <v>69</v>
      </c>
      <c r="AV54" s="2">
        <v>0.98</v>
      </c>
      <c r="AW54" s="2">
        <v>0.53</v>
      </c>
      <c r="AX54" s="2">
        <v>0.97</v>
      </c>
      <c r="AY54" s="2">
        <v>0.4</v>
      </c>
      <c r="AZ54" s="2">
        <v>0.88</v>
      </c>
      <c r="BA54" s="2">
        <v>0.97</v>
      </c>
      <c r="BB54" s="2">
        <v>0.9</v>
      </c>
      <c r="BC54" s="2">
        <v>0.79</v>
      </c>
      <c r="BD54" s="2">
        <v>0.92</v>
      </c>
      <c r="BE54" s="2">
        <v>0.75</v>
      </c>
      <c r="BF54" s="2">
        <v>0.92</v>
      </c>
      <c r="BG54" s="2">
        <v>0.73</v>
      </c>
      <c r="BH54" s="2">
        <v>0.92</v>
      </c>
      <c r="BI54" s="2">
        <v>0.74</v>
      </c>
      <c r="BJ54" s="2">
        <v>0.86</v>
      </c>
      <c r="BK54" s="2">
        <v>0.7</v>
      </c>
      <c r="BL54" s="2">
        <v>0.7</v>
      </c>
      <c r="BM54" s="2">
        <v>0.65</v>
      </c>
      <c r="BN54" s="2">
        <v>0.65</v>
      </c>
      <c r="BO54" s="2">
        <v>0.61</v>
      </c>
      <c r="BR54" s="1" t="s">
        <v>69</v>
      </c>
      <c r="BS54" s="2">
        <v>1.1100000000000001</v>
      </c>
      <c r="BT54" s="2">
        <v>0.61</v>
      </c>
      <c r="BU54" s="2">
        <v>1.1100000000000001</v>
      </c>
      <c r="BV54" s="2">
        <v>0.46</v>
      </c>
      <c r="BW54" s="2">
        <v>1.1100000000000001</v>
      </c>
      <c r="BX54" s="2">
        <v>1.1100000000000001</v>
      </c>
      <c r="BY54" s="2">
        <v>1.1000000000000001</v>
      </c>
      <c r="BZ54" s="2">
        <v>0.9</v>
      </c>
      <c r="CA54" s="2">
        <v>1.1100000000000001</v>
      </c>
      <c r="CB54" s="2">
        <v>0.85</v>
      </c>
      <c r="CC54" s="2">
        <v>1.1100000000000001</v>
      </c>
      <c r="CD54" s="2">
        <v>0.82</v>
      </c>
      <c r="CE54" s="2">
        <v>1.1100000000000001</v>
      </c>
      <c r="CF54" s="2">
        <v>0.83</v>
      </c>
      <c r="CG54" s="2">
        <v>0.99</v>
      </c>
      <c r="CH54" s="2">
        <v>0.79</v>
      </c>
      <c r="CI54" s="2">
        <v>0.79</v>
      </c>
      <c r="CJ54" s="2">
        <v>0.74</v>
      </c>
      <c r="CK54" s="2">
        <v>0.73</v>
      </c>
      <c r="CL54" s="2">
        <v>0.69</v>
      </c>
    </row>
    <row r="55" spans="2:90" x14ac:dyDescent="0.3">
      <c r="B55" s="1" t="s">
        <v>70</v>
      </c>
      <c r="C55" s="2">
        <v>10711.82</v>
      </c>
      <c r="D55" s="2">
        <v>11031.51</v>
      </c>
      <c r="E55" s="2">
        <v>14775.7</v>
      </c>
      <c r="F55" s="2">
        <v>7429.28</v>
      </c>
      <c r="G55" s="2">
        <v>4138.6400000000003</v>
      </c>
      <c r="H55" s="2">
        <v>4647.79</v>
      </c>
      <c r="I55" s="2">
        <v>7079.62</v>
      </c>
      <c r="J55" s="2">
        <v>13916.71</v>
      </c>
      <c r="K55" s="2">
        <v>16100.06</v>
      </c>
      <c r="L55" s="2">
        <v>17356.73</v>
      </c>
      <c r="M55" s="2">
        <v>25369.64</v>
      </c>
      <c r="N55" s="2">
        <v>24113.7</v>
      </c>
      <c r="O55" s="2">
        <v>16617.02</v>
      </c>
      <c r="P55" s="2">
        <v>17283.939999999999</v>
      </c>
      <c r="Q55" s="2">
        <v>16232.38</v>
      </c>
      <c r="R55" s="2">
        <v>17147.09</v>
      </c>
      <c r="S55" s="2">
        <v>12016.85</v>
      </c>
      <c r="T55" s="2">
        <v>11741.55</v>
      </c>
      <c r="U55" s="2">
        <v>15419.12</v>
      </c>
      <c r="V55" s="2">
        <v>13120.5</v>
      </c>
      <c r="X55" s="1" t="s">
        <v>70</v>
      </c>
      <c r="Y55" s="2">
        <v>0.31</v>
      </c>
      <c r="Z55" s="2">
        <v>0.32</v>
      </c>
      <c r="AA55" s="2">
        <v>0.39</v>
      </c>
      <c r="AB55" s="2">
        <v>0.28000000000000003</v>
      </c>
      <c r="AC55" s="2">
        <v>0.3</v>
      </c>
      <c r="AD55" s="2">
        <v>0.34</v>
      </c>
      <c r="AE55" s="2">
        <v>0.24</v>
      </c>
      <c r="AF55" s="2">
        <v>0.32</v>
      </c>
      <c r="AG55" s="2">
        <v>0.3</v>
      </c>
      <c r="AH55" s="2">
        <v>0.32</v>
      </c>
      <c r="AI55" s="2">
        <v>0.26</v>
      </c>
      <c r="AJ55" s="2">
        <v>0.24</v>
      </c>
      <c r="AK55" s="2">
        <v>0.22</v>
      </c>
      <c r="AL55" s="2">
        <v>0.23</v>
      </c>
      <c r="AM55" s="2">
        <v>0.2</v>
      </c>
      <c r="AN55" s="2">
        <v>0.2</v>
      </c>
      <c r="AO55" s="2">
        <v>0.19</v>
      </c>
      <c r="AP55" s="2">
        <v>0.19</v>
      </c>
      <c r="AQ55" s="2">
        <v>0.19</v>
      </c>
      <c r="AR55" s="2">
        <v>0.21</v>
      </c>
      <c r="AU55" s="1" t="s">
        <v>70</v>
      </c>
      <c r="AV55" s="2">
        <v>0.87</v>
      </c>
      <c r="AW55" s="2">
        <v>0.84</v>
      </c>
      <c r="AX55" s="2">
        <v>0.86</v>
      </c>
      <c r="AY55" s="2">
        <v>0.68</v>
      </c>
      <c r="AZ55" s="2">
        <v>0.86</v>
      </c>
      <c r="BA55" s="2">
        <v>0.86</v>
      </c>
      <c r="BB55" s="2">
        <v>0.67</v>
      </c>
      <c r="BC55" s="2">
        <v>0.86</v>
      </c>
      <c r="BD55" s="2">
        <v>0.86</v>
      </c>
      <c r="BE55" s="2">
        <v>0.87</v>
      </c>
      <c r="BF55" s="2">
        <v>0.83</v>
      </c>
      <c r="BG55" s="2">
        <v>0.82</v>
      </c>
      <c r="BH55" s="2">
        <v>0.8</v>
      </c>
      <c r="BI55" s="2">
        <v>0.79</v>
      </c>
      <c r="BJ55" s="2">
        <v>0.73</v>
      </c>
      <c r="BK55" s="2">
        <v>0.74</v>
      </c>
      <c r="BL55" s="2">
        <v>0.69</v>
      </c>
      <c r="BM55" s="2">
        <v>0.67</v>
      </c>
      <c r="BN55" s="2">
        <v>0.68</v>
      </c>
      <c r="BO55" s="2">
        <v>0.6</v>
      </c>
      <c r="BR55" s="1" t="s">
        <v>70</v>
      </c>
      <c r="BS55" s="2">
        <v>1.07</v>
      </c>
      <c r="BT55" s="2">
        <v>1</v>
      </c>
      <c r="BU55" s="2">
        <v>1.06</v>
      </c>
      <c r="BV55" s="2">
        <v>0.78</v>
      </c>
      <c r="BW55" s="2">
        <v>1.07</v>
      </c>
      <c r="BX55" s="2">
        <v>1.07</v>
      </c>
      <c r="BY55" s="2">
        <v>0.76</v>
      </c>
      <c r="BZ55" s="2">
        <v>1.03</v>
      </c>
      <c r="CA55" s="2">
        <v>0.99</v>
      </c>
      <c r="CB55" s="2">
        <v>1.02</v>
      </c>
      <c r="CC55" s="2">
        <v>0.95</v>
      </c>
      <c r="CD55" s="2">
        <v>0.92</v>
      </c>
      <c r="CE55" s="2">
        <v>0.9</v>
      </c>
      <c r="CF55" s="2">
        <v>0.89</v>
      </c>
      <c r="CG55" s="2">
        <v>0.82</v>
      </c>
      <c r="CH55" s="2">
        <v>0.83</v>
      </c>
      <c r="CI55" s="2">
        <v>0.78</v>
      </c>
      <c r="CJ55" s="2">
        <v>0.75</v>
      </c>
      <c r="CK55" s="2">
        <v>0.77</v>
      </c>
      <c r="CL55" s="2">
        <v>0.67</v>
      </c>
    </row>
    <row r="56" spans="2:90" x14ac:dyDescent="0.3">
      <c r="B56" s="1" t="s">
        <v>71</v>
      </c>
      <c r="C56" s="2">
        <v>2926.33</v>
      </c>
      <c r="D56" s="2">
        <v>3055.45</v>
      </c>
      <c r="E56" s="2">
        <v>4908.57</v>
      </c>
      <c r="F56" s="2">
        <v>5021.58</v>
      </c>
      <c r="G56" s="2">
        <v>1010.61</v>
      </c>
      <c r="H56" s="2">
        <v>1161.08</v>
      </c>
      <c r="I56" s="2">
        <v>1678.82</v>
      </c>
      <c r="J56" s="2">
        <v>3047.67</v>
      </c>
      <c r="K56" s="2">
        <v>1926.39</v>
      </c>
      <c r="L56" s="2">
        <v>5067.38</v>
      </c>
      <c r="M56" s="2">
        <v>4275.62</v>
      </c>
      <c r="N56" s="2">
        <v>9447.34</v>
      </c>
      <c r="O56" s="2">
        <v>3365.56</v>
      </c>
      <c r="P56" s="2">
        <v>6454.98</v>
      </c>
      <c r="Q56" s="2">
        <v>4261.99</v>
      </c>
      <c r="R56" s="2">
        <v>8101.73</v>
      </c>
      <c r="S56" s="2">
        <v>3286.91</v>
      </c>
      <c r="T56" s="2">
        <v>6355.15</v>
      </c>
      <c r="U56" s="2">
        <v>3470.68</v>
      </c>
      <c r="V56" s="2">
        <v>3080.43</v>
      </c>
      <c r="X56" s="1" t="s">
        <v>71</v>
      </c>
      <c r="Y56" s="2">
        <v>0.4</v>
      </c>
      <c r="Z56" s="2">
        <v>0.41</v>
      </c>
      <c r="AA56" s="2">
        <v>0.36</v>
      </c>
      <c r="AB56" s="2">
        <v>0.36</v>
      </c>
      <c r="AC56" s="2">
        <v>0.36</v>
      </c>
      <c r="AD56" s="2">
        <v>0.4</v>
      </c>
      <c r="AE56" s="2">
        <v>0.26</v>
      </c>
      <c r="AF56" s="2">
        <v>0.33</v>
      </c>
      <c r="AG56" s="2">
        <v>0.24</v>
      </c>
      <c r="AH56" s="2">
        <v>0.44</v>
      </c>
      <c r="AI56" s="2">
        <v>0.25</v>
      </c>
      <c r="AJ56" s="2">
        <v>0.45</v>
      </c>
      <c r="AK56" s="2">
        <v>0.25</v>
      </c>
      <c r="AL56" s="2">
        <v>0.38</v>
      </c>
      <c r="AM56" s="2">
        <v>0.25</v>
      </c>
      <c r="AN56" s="2">
        <v>0.37</v>
      </c>
      <c r="AO56" s="2">
        <v>0.24</v>
      </c>
      <c r="AP56" s="2">
        <v>0.31</v>
      </c>
      <c r="AQ56" s="2">
        <v>0.22</v>
      </c>
      <c r="AR56" s="2">
        <v>0.21</v>
      </c>
      <c r="AU56" s="1" t="s">
        <v>71</v>
      </c>
      <c r="AV56" s="2">
        <v>0.88</v>
      </c>
      <c r="AW56" s="2">
        <v>0.88</v>
      </c>
      <c r="AX56" s="2">
        <v>0.95</v>
      </c>
      <c r="AY56" s="2">
        <v>0.95</v>
      </c>
      <c r="AZ56" s="2">
        <v>0.86</v>
      </c>
      <c r="BA56" s="2">
        <v>0.87</v>
      </c>
      <c r="BB56" s="2">
        <v>0.7</v>
      </c>
      <c r="BC56" s="2">
        <v>0.87</v>
      </c>
      <c r="BD56" s="2">
        <v>0.71</v>
      </c>
      <c r="BE56" s="2">
        <v>0.91</v>
      </c>
      <c r="BF56" s="2">
        <v>0.77</v>
      </c>
      <c r="BG56" s="2">
        <v>0.91</v>
      </c>
      <c r="BH56" s="2">
        <v>0.76</v>
      </c>
      <c r="BI56" s="2">
        <v>0.88</v>
      </c>
      <c r="BJ56" s="2">
        <v>0.75</v>
      </c>
      <c r="BK56" s="2">
        <v>0.88</v>
      </c>
      <c r="BL56" s="2">
        <v>0.73</v>
      </c>
      <c r="BM56" s="2">
        <v>0.85</v>
      </c>
      <c r="BN56" s="2">
        <v>0.67</v>
      </c>
      <c r="BO56" s="2">
        <v>0.63</v>
      </c>
      <c r="BR56" s="1" t="s">
        <v>71</v>
      </c>
      <c r="BS56" s="2">
        <v>1.1100000000000001</v>
      </c>
      <c r="BT56" s="2">
        <v>1.1100000000000001</v>
      </c>
      <c r="BU56" s="2">
        <v>1.1100000000000001</v>
      </c>
      <c r="BV56" s="2">
        <v>1.1100000000000001</v>
      </c>
      <c r="BW56" s="2">
        <v>1.1100000000000001</v>
      </c>
      <c r="BX56" s="2">
        <v>1.1100000000000001</v>
      </c>
      <c r="BY56" s="2">
        <v>0.82</v>
      </c>
      <c r="BZ56" s="2">
        <v>1.1100000000000001</v>
      </c>
      <c r="CA56" s="2">
        <v>0.82</v>
      </c>
      <c r="CB56" s="2">
        <v>1.1100000000000001</v>
      </c>
      <c r="CC56" s="2">
        <v>0.88</v>
      </c>
      <c r="CD56" s="2">
        <v>1.1100000000000001</v>
      </c>
      <c r="CE56" s="2">
        <v>0.87</v>
      </c>
      <c r="CF56" s="2">
        <v>1.05</v>
      </c>
      <c r="CG56" s="2">
        <v>0.87</v>
      </c>
      <c r="CH56" s="2">
        <v>1.04</v>
      </c>
      <c r="CI56" s="2">
        <v>0.83</v>
      </c>
      <c r="CJ56" s="2">
        <v>0.99</v>
      </c>
      <c r="CK56" s="2">
        <v>0.77</v>
      </c>
      <c r="CL56" s="2">
        <v>0.72</v>
      </c>
    </row>
    <row r="57" spans="2:90" x14ac:dyDescent="0.3">
      <c r="B57" s="1" t="s">
        <v>72</v>
      </c>
      <c r="C57" s="2">
        <v>22527.759999999998</v>
      </c>
      <c r="D57" s="2">
        <v>23303.49</v>
      </c>
      <c r="E57" s="2">
        <v>16987.240000000002</v>
      </c>
      <c r="F57" s="2">
        <v>25373.24</v>
      </c>
      <c r="G57" s="2">
        <v>3651.95</v>
      </c>
      <c r="H57" s="2">
        <v>8815.52</v>
      </c>
      <c r="I57" s="2">
        <v>10935.65</v>
      </c>
      <c r="J57" s="2">
        <v>15111.46</v>
      </c>
      <c r="K57" s="2">
        <v>10311.31</v>
      </c>
      <c r="L57" s="2">
        <v>23540.18</v>
      </c>
      <c r="M57" s="2">
        <v>20342.37</v>
      </c>
      <c r="N57" s="2">
        <v>42695.4</v>
      </c>
      <c r="O57" s="2">
        <v>16531.5</v>
      </c>
      <c r="P57" s="2">
        <v>30222.43</v>
      </c>
      <c r="Q57" s="2">
        <v>23706.63</v>
      </c>
      <c r="R57" s="2">
        <v>28392.2</v>
      </c>
      <c r="S57" s="2">
        <v>15382.1</v>
      </c>
      <c r="T57" s="2">
        <v>16837.89</v>
      </c>
      <c r="U57" s="2">
        <v>17404.740000000002</v>
      </c>
      <c r="V57" s="2">
        <v>16950.55</v>
      </c>
      <c r="X57" s="1" t="s">
        <v>72</v>
      </c>
      <c r="Y57" s="2">
        <v>0.5</v>
      </c>
      <c r="Z57" s="2">
        <v>0.52</v>
      </c>
      <c r="AA57" s="2">
        <v>0.36</v>
      </c>
      <c r="AB57" s="2">
        <v>0.53</v>
      </c>
      <c r="AC57" s="2">
        <v>0.42</v>
      </c>
      <c r="AD57" s="2">
        <v>0.5</v>
      </c>
      <c r="AE57" s="2">
        <v>0.39</v>
      </c>
      <c r="AF57" s="2">
        <v>0.55000000000000004</v>
      </c>
      <c r="AG57" s="2">
        <v>0.28999999999999998</v>
      </c>
      <c r="AH57" s="2">
        <v>0.68</v>
      </c>
      <c r="AI57" s="2">
        <v>0.32</v>
      </c>
      <c r="AJ57" s="2">
        <v>0.68</v>
      </c>
      <c r="AK57" s="2">
        <v>0.33</v>
      </c>
      <c r="AL57" s="2">
        <v>0.59</v>
      </c>
      <c r="AM57" s="2">
        <v>0.36</v>
      </c>
      <c r="AN57" s="2">
        <v>0.43</v>
      </c>
      <c r="AO57" s="2">
        <v>0.26</v>
      </c>
      <c r="AP57" s="2">
        <v>0.28000000000000003</v>
      </c>
      <c r="AQ57" s="2">
        <v>0.23</v>
      </c>
      <c r="AR57" s="2">
        <v>0.22</v>
      </c>
      <c r="AU57" s="1" t="s">
        <v>72</v>
      </c>
      <c r="AV57" s="2">
        <v>1.01</v>
      </c>
      <c r="AW57" s="2">
        <v>1.01</v>
      </c>
      <c r="AX57" s="2">
        <v>0.93</v>
      </c>
      <c r="AY57" s="2">
        <v>1</v>
      </c>
      <c r="AZ57" s="2">
        <v>0.83</v>
      </c>
      <c r="BA57" s="2">
        <v>1</v>
      </c>
      <c r="BB57" s="2">
        <v>0.8</v>
      </c>
      <c r="BC57" s="2">
        <v>0.91</v>
      </c>
      <c r="BD57" s="2">
        <v>0.76</v>
      </c>
      <c r="BE57" s="2">
        <v>0.96</v>
      </c>
      <c r="BF57" s="2">
        <v>0.78</v>
      </c>
      <c r="BG57" s="2">
        <v>0.96</v>
      </c>
      <c r="BH57" s="2">
        <v>0.78</v>
      </c>
      <c r="BI57" s="2">
        <v>0.93</v>
      </c>
      <c r="BJ57" s="2">
        <v>0.81</v>
      </c>
      <c r="BK57" s="2">
        <v>0.85</v>
      </c>
      <c r="BL57" s="2">
        <v>0.74</v>
      </c>
      <c r="BM57" s="2">
        <v>0.75</v>
      </c>
      <c r="BN57" s="2">
        <v>0.7</v>
      </c>
      <c r="BO57" s="2">
        <v>0.69</v>
      </c>
      <c r="BR57" s="1" t="s">
        <v>72</v>
      </c>
      <c r="BS57" s="2">
        <v>1.27</v>
      </c>
      <c r="BT57" s="2">
        <v>1.27</v>
      </c>
      <c r="BU57" s="2">
        <v>1.1000000000000001</v>
      </c>
      <c r="BV57" s="2">
        <v>1.24</v>
      </c>
      <c r="BW57" s="2">
        <v>1.1100000000000001</v>
      </c>
      <c r="BX57" s="2">
        <v>1.27</v>
      </c>
      <c r="BY57" s="2">
        <v>0.98</v>
      </c>
      <c r="BZ57" s="2">
        <v>1.27</v>
      </c>
      <c r="CA57" s="2">
        <v>0.89</v>
      </c>
      <c r="CB57" s="2">
        <v>1.27</v>
      </c>
      <c r="CC57" s="2">
        <v>0.93</v>
      </c>
      <c r="CD57" s="2">
        <v>1.27</v>
      </c>
      <c r="CE57" s="2">
        <v>0.93</v>
      </c>
      <c r="CF57" s="2">
        <v>1.2</v>
      </c>
      <c r="CG57" s="2">
        <v>0.97</v>
      </c>
      <c r="CH57" s="2">
        <v>1.04</v>
      </c>
      <c r="CI57" s="2">
        <v>0.86</v>
      </c>
      <c r="CJ57" s="2">
        <v>0.88</v>
      </c>
      <c r="CK57" s="2">
        <v>0.8</v>
      </c>
      <c r="CL57" s="2">
        <v>0.79</v>
      </c>
    </row>
    <row r="58" spans="2:90" x14ac:dyDescent="0.3">
      <c r="B58" s="1" t="s">
        <v>73</v>
      </c>
      <c r="C58" s="2">
        <v>2337.3200000000002</v>
      </c>
      <c r="D58" s="2">
        <v>4102.66</v>
      </c>
      <c r="E58" s="2">
        <v>1056.6099999999999</v>
      </c>
      <c r="F58" s="2">
        <v>1181.51</v>
      </c>
      <c r="G58" s="2">
        <v>33.53</v>
      </c>
      <c r="H58" s="2">
        <v>527.38</v>
      </c>
      <c r="I58" s="2">
        <v>856.07</v>
      </c>
      <c r="J58" s="2">
        <v>6478.11</v>
      </c>
      <c r="K58" s="2">
        <v>3009.34</v>
      </c>
      <c r="L58" s="2">
        <v>7615.1</v>
      </c>
      <c r="M58" s="2">
        <v>7822.54</v>
      </c>
      <c r="N58" s="2">
        <v>14032.67</v>
      </c>
      <c r="O58" s="2">
        <v>6931.84</v>
      </c>
      <c r="P58" s="2">
        <v>9141.4699999999993</v>
      </c>
      <c r="Q58" s="2">
        <v>7673.9</v>
      </c>
      <c r="R58" s="2">
        <v>7617.29</v>
      </c>
      <c r="S58" s="2">
        <v>5792.6</v>
      </c>
      <c r="T58" s="2">
        <v>4845.26</v>
      </c>
      <c r="U58" s="2">
        <v>6676</v>
      </c>
      <c r="V58" s="2">
        <v>5366.23</v>
      </c>
      <c r="X58" s="1" t="s">
        <v>73</v>
      </c>
      <c r="Y58" s="2">
        <v>0.18</v>
      </c>
      <c r="Z58" s="2">
        <v>0.21</v>
      </c>
      <c r="AA58" s="2">
        <v>0.17</v>
      </c>
      <c r="AB58" s="2">
        <v>0.18</v>
      </c>
      <c r="AC58" s="2">
        <v>0.04</v>
      </c>
      <c r="AD58" s="2">
        <v>0.19</v>
      </c>
      <c r="AE58" s="2">
        <v>0.11</v>
      </c>
      <c r="AF58" s="2">
        <v>0.23</v>
      </c>
      <c r="AG58" s="2">
        <v>0.13</v>
      </c>
      <c r="AH58" s="2">
        <v>0.21</v>
      </c>
      <c r="AI58" s="2">
        <v>0.16</v>
      </c>
      <c r="AJ58" s="2">
        <v>0.22</v>
      </c>
      <c r="AK58" s="2">
        <v>0.16</v>
      </c>
      <c r="AL58" s="2">
        <v>0.19</v>
      </c>
      <c r="AM58" s="2">
        <v>0.16</v>
      </c>
      <c r="AN58" s="2">
        <v>0.17</v>
      </c>
      <c r="AO58" s="2">
        <v>0.15</v>
      </c>
      <c r="AP58" s="2">
        <v>0.15</v>
      </c>
      <c r="AQ58" s="2">
        <v>0.16</v>
      </c>
      <c r="AR58" s="2">
        <v>0.12</v>
      </c>
      <c r="AU58" s="1" t="s">
        <v>73</v>
      </c>
      <c r="AV58" s="2">
        <v>0.59</v>
      </c>
      <c r="AW58" s="2">
        <v>0.72</v>
      </c>
      <c r="AX58" s="2">
        <v>0.33</v>
      </c>
      <c r="AY58" s="2">
        <v>0.36</v>
      </c>
      <c r="AZ58" s="2">
        <v>0.3</v>
      </c>
      <c r="BA58" s="2">
        <v>0.39</v>
      </c>
      <c r="BB58" s="2">
        <v>0.3</v>
      </c>
      <c r="BC58" s="2">
        <v>0.82</v>
      </c>
      <c r="BD58" s="2">
        <v>0.64</v>
      </c>
      <c r="BE58" s="2">
        <v>0.83</v>
      </c>
      <c r="BF58" s="2">
        <v>0.74</v>
      </c>
      <c r="BG58" s="2">
        <v>0.83</v>
      </c>
      <c r="BH58" s="2">
        <v>0.78</v>
      </c>
      <c r="BI58" s="2">
        <v>0.8</v>
      </c>
      <c r="BJ58" s="2">
        <v>0.73</v>
      </c>
      <c r="BK58" s="2">
        <v>0.7</v>
      </c>
      <c r="BL58" s="2">
        <v>0.69</v>
      </c>
      <c r="BM58" s="2">
        <v>0.62</v>
      </c>
      <c r="BN58" s="2">
        <v>0.63</v>
      </c>
      <c r="BO58" s="2">
        <v>0.57999999999999996</v>
      </c>
      <c r="BR58" s="1" t="s">
        <v>73</v>
      </c>
      <c r="BS58" s="2">
        <v>0.69</v>
      </c>
      <c r="BT58" s="2">
        <v>0.83</v>
      </c>
      <c r="BU58" s="2">
        <v>0.39</v>
      </c>
      <c r="BV58" s="2">
        <v>0.42</v>
      </c>
      <c r="BW58" s="2">
        <v>0.31</v>
      </c>
      <c r="BX58" s="2">
        <v>0.46</v>
      </c>
      <c r="BY58" s="2">
        <v>0.34</v>
      </c>
      <c r="BZ58" s="2">
        <v>0.98</v>
      </c>
      <c r="CA58" s="2">
        <v>0.73</v>
      </c>
      <c r="CB58" s="2">
        <v>0.98</v>
      </c>
      <c r="CC58" s="2">
        <v>0.88</v>
      </c>
      <c r="CD58" s="2">
        <v>0.98</v>
      </c>
      <c r="CE58" s="2">
        <v>0.92</v>
      </c>
      <c r="CF58" s="2">
        <v>0.92</v>
      </c>
      <c r="CG58" s="2">
        <v>0.86</v>
      </c>
      <c r="CH58" s="2">
        <v>0.83</v>
      </c>
      <c r="CI58" s="2">
        <v>0.82</v>
      </c>
      <c r="CJ58" s="2">
        <v>0.74</v>
      </c>
      <c r="CK58" s="2">
        <v>0.75</v>
      </c>
      <c r="CL58" s="2">
        <v>0.66</v>
      </c>
    </row>
    <row r="59" spans="2:90" x14ac:dyDescent="0.3">
      <c r="W59" s="4">
        <f>SUM(C51:V58)/$W$45</f>
        <v>0.76198773028381372</v>
      </c>
    </row>
    <row r="61" spans="2:90" x14ac:dyDescent="0.3">
      <c r="B61" t="s">
        <v>20</v>
      </c>
      <c r="X61" t="s">
        <v>21</v>
      </c>
      <c r="AU61" t="s">
        <v>22</v>
      </c>
      <c r="BR61" t="s">
        <v>23</v>
      </c>
    </row>
    <row r="62" spans="2:90" x14ac:dyDescent="0.3">
      <c r="B62" s="1" t="s">
        <v>6</v>
      </c>
      <c r="C62" s="1" t="s">
        <v>63</v>
      </c>
      <c r="D62" s="1" t="s">
        <v>64</v>
      </c>
      <c r="E62" s="1" t="s">
        <v>63</v>
      </c>
      <c r="F62" s="1" t="s">
        <v>64</v>
      </c>
      <c r="G62" s="1" t="s">
        <v>63</v>
      </c>
      <c r="H62" s="1" t="s">
        <v>64</v>
      </c>
      <c r="I62" s="1" t="s">
        <v>63</v>
      </c>
      <c r="J62" s="1" t="s">
        <v>64</v>
      </c>
      <c r="K62" s="1" t="s">
        <v>63</v>
      </c>
      <c r="L62" s="1" t="s">
        <v>64</v>
      </c>
      <c r="M62" s="1" t="s">
        <v>63</v>
      </c>
      <c r="N62" s="1" t="s">
        <v>64</v>
      </c>
      <c r="O62" s="1" t="s">
        <v>63</v>
      </c>
      <c r="P62" s="1" t="s">
        <v>64</v>
      </c>
      <c r="Q62" s="1" t="s">
        <v>63</v>
      </c>
      <c r="R62" s="1" t="s">
        <v>64</v>
      </c>
      <c r="S62" s="1" t="s">
        <v>63</v>
      </c>
      <c r="T62" s="1" t="s">
        <v>64</v>
      </c>
      <c r="U62" s="1" t="s">
        <v>63</v>
      </c>
      <c r="V62" s="1" t="s">
        <v>64</v>
      </c>
      <c r="X62" s="1" t="s">
        <v>6</v>
      </c>
      <c r="Y62" s="1" t="s">
        <v>63</v>
      </c>
      <c r="Z62" s="1" t="s">
        <v>64</v>
      </c>
      <c r="AA62" s="1" t="s">
        <v>63</v>
      </c>
      <c r="AB62" s="1" t="s">
        <v>64</v>
      </c>
      <c r="AC62" s="1" t="s">
        <v>63</v>
      </c>
      <c r="AD62" s="1" t="s">
        <v>64</v>
      </c>
      <c r="AE62" s="1" t="s">
        <v>63</v>
      </c>
      <c r="AF62" s="1" t="s">
        <v>64</v>
      </c>
      <c r="AG62" s="1" t="s">
        <v>63</v>
      </c>
      <c r="AH62" s="1" t="s">
        <v>64</v>
      </c>
      <c r="AI62" s="1" t="s">
        <v>63</v>
      </c>
      <c r="AJ62" s="1" t="s">
        <v>64</v>
      </c>
      <c r="AK62" s="1" t="s">
        <v>63</v>
      </c>
      <c r="AL62" s="1" t="s">
        <v>64</v>
      </c>
      <c r="AM62" s="1" t="s">
        <v>63</v>
      </c>
      <c r="AN62" s="1" t="s">
        <v>64</v>
      </c>
      <c r="AO62" s="1" t="s">
        <v>63</v>
      </c>
      <c r="AP62" s="1" t="s">
        <v>64</v>
      </c>
      <c r="AQ62" s="1" t="s">
        <v>63</v>
      </c>
      <c r="AR62" s="1" t="s">
        <v>64</v>
      </c>
      <c r="AU62" s="1" t="s">
        <v>6</v>
      </c>
      <c r="AV62" s="1" t="s">
        <v>63</v>
      </c>
      <c r="AW62" s="1" t="s">
        <v>64</v>
      </c>
      <c r="AX62" s="1" t="s">
        <v>63</v>
      </c>
      <c r="AY62" s="1" t="s">
        <v>64</v>
      </c>
      <c r="AZ62" s="1" t="s">
        <v>63</v>
      </c>
      <c r="BA62" s="1" t="s">
        <v>64</v>
      </c>
      <c r="BB62" s="1" t="s">
        <v>63</v>
      </c>
      <c r="BC62" s="1" t="s">
        <v>64</v>
      </c>
      <c r="BD62" s="1" t="s">
        <v>63</v>
      </c>
      <c r="BE62" s="1" t="s">
        <v>64</v>
      </c>
      <c r="BF62" s="1" t="s">
        <v>63</v>
      </c>
      <c r="BG62" s="1" t="s">
        <v>64</v>
      </c>
      <c r="BH62" s="1" t="s">
        <v>63</v>
      </c>
      <c r="BI62" s="1" t="s">
        <v>64</v>
      </c>
      <c r="BJ62" s="1" t="s">
        <v>63</v>
      </c>
      <c r="BK62" s="1" t="s">
        <v>64</v>
      </c>
      <c r="BL62" s="1" t="s">
        <v>63</v>
      </c>
      <c r="BM62" s="1" t="s">
        <v>64</v>
      </c>
      <c r="BN62" s="1" t="s">
        <v>63</v>
      </c>
      <c r="BO62" s="1" t="s">
        <v>64</v>
      </c>
      <c r="BR62" s="1" t="s">
        <v>6</v>
      </c>
      <c r="BS62" s="1" t="s">
        <v>63</v>
      </c>
      <c r="BT62" s="1" t="s">
        <v>64</v>
      </c>
      <c r="BU62" s="1" t="s">
        <v>63</v>
      </c>
      <c r="BV62" s="1" t="s">
        <v>64</v>
      </c>
      <c r="BW62" s="1" t="s">
        <v>63</v>
      </c>
      <c r="BX62" s="1" t="s">
        <v>64</v>
      </c>
      <c r="BY62" s="1" t="s">
        <v>63</v>
      </c>
      <c r="BZ62" s="1" t="s">
        <v>64</v>
      </c>
      <c r="CA62" s="1" t="s">
        <v>63</v>
      </c>
      <c r="CB62" s="1" t="s">
        <v>64</v>
      </c>
      <c r="CC62" s="1" t="s">
        <v>63</v>
      </c>
      <c r="CD62" s="1" t="s">
        <v>64</v>
      </c>
      <c r="CE62" s="1" t="s">
        <v>63</v>
      </c>
      <c r="CF62" s="1" t="s">
        <v>64</v>
      </c>
      <c r="CG62" s="1" t="s">
        <v>63</v>
      </c>
      <c r="CH62" s="1" t="s">
        <v>64</v>
      </c>
      <c r="CI62" s="1" t="s">
        <v>63</v>
      </c>
      <c r="CJ62" s="1" t="s">
        <v>64</v>
      </c>
      <c r="CK62" s="1" t="s">
        <v>63</v>
      </c>
      <c r="CL62" s="1" t="s">
        <v>64</v>
      </c>
    </row>
    <row r="63" spans="2:90" x14ac:dyDescent="0.3">
      <c r="B63" s="1" t="s">
        <v>65</v>
      </c>
      <c r="C63" s="1" t="s">
        <v>53</v>
      </c>
      <c r="D63" s="1" t="s">
        <v>53</v>
      </c>
      <c r="E63" s="1" t="s">
        <v>54</v>
      </c>
      <c r="F63" s="1" t="s">
        <v>54</v>
      </c>
      <c r="G63" s="1" t="s">
        <v>55</v>
      </c>
      <c r="H63" s="1" t="s">
        <v>55</v>
      </c>
      <c r="I63" s="1" t="s">
        <v>56</v>
      </c>
      <c r="J63" s="1" t="s">
        <v>56</v>
      </c>
      <c r="K63" s="1" t="s">
        <v>57</v>
      </c>
      <c r="L63" s="1" t="s">
        <v>57</v>
      </c>
      <c r="M63" s="1" t="s">
        <v>58</v>
      </c>
      <c r="N63" s="1" t="s">
        <v>58</v>
      </c>
      <c r="O63" s="1" t="s">
        <v>59</v>
      </c>
      <c r="P63" s="1" t="s">
        <v>59</v>
      </c>
      <c r="Q63" s="1" t="s">
        <v>60</v>
      </c>
      <c r="R63" s="1" t="s">
        <v>60</v>
      </c>
      <c r="S63" s="1" t="s">
        <v>61</v>
      </c>
      <c r="T63" s="1" t="s">
        <v>61</v>
      </c>
      <c r="U63" s="1" t="s">
        <v>62</v>
      </c>
      <c r="V63" s="1" t="s">
        <v>62</v>
      </c>
      <c r="X63" s="1" t="s">
        <v>65</v>
      </c>
      <c r="Y63" s="1" t="s">
        <v>53</v>
      </c>
      <c r="Z63" s="1" t="s">
        <v>53</v>
      </c>
      <c r="AA63" s="1" t="s">
        <v>54</v>
      </c>
      <c r="AB63" s="1" t="s">
        <v>54</v>
      </c>
      <c r="AC63" s="1" t="s">
        <v>55</v>
      </c>
      <c r="AD63" s="1" t="s">
        <v>55</v>
      </c>
      <c r="AE63" s="1" t="s">
        <v>56</v>
      </c>
      <c r="AF63" s="1" t="s">
        <v>56</v>
      </c>
      <c r="AG63" s="1" t="s">
        <v>57</v>
      </c>
      <c r="AH63" s="1" t="s">
        <v>57</v>
      </c>
      <c r="AI63" s="1" t="s">
        <v>58</v>
      </c>
      <c r="AJ63" s="1" t="s">
        <v>58</v>
      </c>
      <c r="AK63" s="1" t="s">
        <v>59</v>
      </c>
      <c r="AL63" s="1" t="s">
        <v>59</v>
      </c>
      <c r="AM63" s="1" t="s">
        <v>60</v>
      </c>
      <c r="AN63" s="1" t="s">
        <v>60</v>
      </c>
      <c r="AO63" s="1" t="s">
        <v>61</v>
      </c>
      <c r="AP63" s="1" t="s">
        <v>61</v>
      </c>
      <c r="AQ63" s="1" t="s">
        <v>62</v>
      </c>
      <c r="AR63" s="1" t="s">
        <v>62</v>
      </c>
      <c r="AU63" s="1" t="s">
        <v>65</v>
      </c>
      <c r="AV63" s="1" t="s">
        <v>53</v>
      </c>
      <c r="AW63" s="1" t="s">
        <v>53</v>
      </c>
      <c r="AX63" s="1" t="s">
        <v>54</v>
      </c>
      <c r="AY63" s="1" t="s">
        <v>54</v>
      </c>
      <c r="AZ63" s="1" t="s">
        <v>55</v>
      </c>
      <c r="BA63" s="1" t="s">
        <v>55</v>
      </c>
      <c r="BB63" s="1" t="s">
        <v>56</v>
      </c>
      <c r="BC63" s="1" t="s">
        <v>56</v>
      </c>
      <c r="BD63" s="1" t="s">
        <v>57</v>
      </c>
      <c r="BE63" s="1" t="s">
        <v>57</v>
      </c>
      <c r="BF63" s="1" t="s">
        <v>58</v>
      </c>
      <c r="BG63" s="1" t="s">
        <v>58</v>
      </c>
      <c r="BH63" s="1" t="s">
        <v>59</v>
      </c>
      <c r="BI63" s="1" t="s">
        <v>59</v>
      </c>
      <c r="BJ63" s="1" t="s">
        <v>60</v>
      </c>
      <c r="BK63" s="1" t="s">
        <v>60</v>
      </c>
      <c r="BL63" s="1" t="s">
        <v>61</v>
      </c>
      <c r="BM63" s="1" t="s">
        <v>61</v>
      </c>
      <c r="BN63" s="1" t="s">
        <v>62</v>
      </c>
      <c r="BO63" s="1" t="s">
        <v>62</v>
      </c>
      <c r="BR63" s="1" t="s">
        <v>65</v>
      </c>
      <c r="BS63" s="1" t="s">
        <v>53</v>
      </c>
      <c r="BT63" s="1" t="s">
        <v>53</v>
      </c>
      <c r="BU63" s="1" t="s">
        <v>54</v>
      </c>
      <c r="BV63" s="1" t="s">
        <v>54</v>
      </c>
      <c r="BW63" s="1" t="s">
        <v>55</v>
      </c>
      <c r="BX63" s="1" t="s">
        <v>55</v>
      </c>
      <c r="BY63" s="1" t="s">
        <v>56</v>
      </c>
      <c r="BZ63" s="1" t="s">
        <v>56</v>
      </c>
      <c r="CA63" s="1" t="s">
        <v>57</v>
      </c>
      <c r="CB63" s="1" t="s">
        <v>57</v>
      </c>
      <c r="CC63" s="1" t="s">
        <v>58</v>
      </c>
      <c r="CD63" s="1" t="s">
        <v>58</v>
      </c>
      <c r="CE63" s="1" t="s">
        <v>59</v>
      </c>
      <c r="CF63" s="1" t="s">
        <v>59</v>
      </c>
      <c r="CG63" s="1" t="s">
        <v>60</v>
      </c>
      <c r="CH63" s="1" t="s">
        <v>60</v>
      </c>
      <c r="CI63" s="1" t="s">
        <v>61</v>
      </c>
      <c r="CJ63" s="1" t="s">
        <v>61</v>
      </c>
      <c r="CK63" s="1" t="s">
        <v>62</v>
      </c>
      <c r="CL63" s="1" t="s">
        <v>62</v>
      </c>
    </row>
    <row r="64" spans="2:90" x14ac:dyDescent="0.3">
      <c r="B64" s="1" t="s">
        <v>7</v>
      </c>
      <c r="X64" s="1" t="s">
        <v>7</v>
      </c>
      <c r="AU64" s="1" t="s">
        <v>7</v>
      </c>
      <c r="BR64" s="1" t="s">
        <v>7</v>
      </c>
    </row>
    <row r="65" spans="2:90" x14ac:dyDescent="0.3">
      <c r="B65" s="1" t="s">
        <v>66</v>
      </c>
      <c r="C65" s="2">
        <v>28.59</v>
      </c>
      <c r="D65" s="2">
        <v>30.71</v>
      </c>
      <c r="E65" s="2">
        <v>7.65</v>
      </c>
      <c r="F65" s="2">
        <v>7.61</v>
      </c>
      <c r="G65" s="2">
        <v>3.13</v>
      </c>
      <c r="H65" s="2">
        <v>5.76</v>
      </c>
      <c r="I65" s="2">
        <v>25.08</v>
      </c>
      <c r="J65" s="2">
        <v>23.44</v>
      </c>
      <c r="K65" s="2">
        <v>29.2</v>
      </c>
      <c r="L65" s="2">
        <v>16.05</v>
      </c>
      <c r="M65" s="2">
        <v>67.150000000000006</v>
      </c>
      <c r="N65" s="2">
        <v>22.02</v>
      </c>
      <c r="O65" s="2">
        <v>56.24</v>
      </c>
      <c r="P65" s="2">
        <v>5.81</v>
      </c>
      <c r="Q65" s="2">
        <v>53.7</v>
      </c>
      <c r="R65" s="2">
        <v>24.94</v>
      </c>
      <c r="S65" s="2">
        <v>7.58</v>
      </c>
      <c r="T65" s="2">
        <v>6.11</v>
      </c>
      <c r="U65" s="2">
        <v>14.97</v>
      </c>
      <c r="V65" s="2">
        <v>9.01</v>
      </c>
      <c r="X65" s="1" t="s">
        <v>66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66</v>
      </c>
      <c r="AV65" s="2">
        <v>54.96</v>
      </c>
      <c r="AW65" s="2">
        <v>54.96</v>
      </c>
      <c r="AX65" s="2">
        <v>54.98</v>
      </c>
      <c r="AY65" s="2">
        <v>54.99</v>
      </c>
      <c r="AZ65" s="2">
        <v>54.99</v>
      </c>
      <c r="BA65" s="2">
        <v>54.96</v>
      </c>
      <c r="BB65" s="2">
        <v>64.95</v>
      </c>
      <c r="BC65" s="2">
        <v>64.95</v>
      </c>
      <c r="BD65" s="2">
        <v>69.95</v>
      </c>
      <c r="BE65" s="2">
        <v>69.95</v>
      </c>
      <c r="BF65" s="2">
        <v>69.95</v>
      </c>
      <c r="BG65" s="2">
        <v>69.95</v>
      </c>
      <c r="BH65" s="2">
        <v>69.95</v>
      </c>
      <c r="BI65" s="2">
        <v>69.95</v>
      </c>
      <c r="BJ65" s="2">
        <v>69.95</v>
      </c>
      <c r="BK65" s="2">
        <v>69.95</v>
      </c>
      <c r="BL65" s="2">
        <v>69.95</v>
      </c>
      <c r="BM65" s="2">
        <v>69.989999999999995</v>
      </c>
      <c r="BN65" s="2">
        <v>69.95</v>
      </c>
      <c r="BO65" s="2">
        <v>69.989999999999995</v>
      </c>
      <c r="BR65" s="1" t="s">
        <v>66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-0.11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</row>
    <row r="66" spans="2:90" x14ac:dyDescent="0.3">
      <c r="B66" s="1" t="s">
        <v>67</v>
      </c>
      <c r="C66" s="2">
        <v>103.4</v>
      </c>
      <c r="D66" s="2">
        <v>46.95</v>
      </c>
      <c r="E66" s="2">
        <v>46.39</v>
      </c>
      <c r="F66" s="2">
        <v>32.04</v>
      </c>
      <c r="G66" s="2">
        <v>17.989999999999998</v>
      </c>
      <c r="H66" s="2">
        <v>26.81</v>
      </c>
      <c r="I66" s="2">
        <v>106</v>
      </c>
      <c r="J66" s="2">
        <v>157.56</v>
      </c>
      <c r="K66" s="2">
        <v>146.38</v>
      </c>
      <c r="L66" s="2">
        <v>140.83000000000001</v>
      </c>
      <c r="M66" s="2">
        <v>331.07</v>
      </c>
      <c r="N66" s="2">
        <v>289.52</v>
      </c>
      <c r="O66" s="2">
        <v>239.48</v>
      </c>
      <c r="P66" s="2">
        <v>214.68</v>
      </c>
      <c r="Q66" s="2">
        <v>281.82</v>
      </c>
      <c r="R66" s="2">
        <v>211.23</v>
      </c>
      <c r="S66" s="2">
        <v>202.92</v>
      </c>
      <c r="T66" s="2">
        <v>145.18</v>
      </c>
      <c r="U66" s="2">
        <v>304.72000000000003</v>
      </c>
      <c r="V66" s="2">
        <v>139.80000000000001</v>
      </c>
      <c r="X66" s="1" t="s">
        <v>67</v>
      </c>
      <c r="Y66" s="2">
        <v>59.98</v>
      </c>
      <c r="Z66" s="2">
        <v>60</v>
      </c>
      <c r="AA66" s="2">
        <v>59.98</v>
      </c>
      <c r="AB66" s="2">
        <v>60</v>
      </c>
      <c r="AC66" s="2">
        <v>60</v>
      </c>
      <c r="AD66" s="2">
        <v>59.99</v>
      </c>
      <c r="AE66" s="2">
        <v>69.95</v>
      </c>
      <c r="AF66" s="2">
        <v>70</v>
      </c>
      <c r="AG66" s="2">
        <v>69.97</v>
      </c>
      <c r="AH66" s="2">
        <v>70</v>
      </c>
      <c r="AI66" s="2">
        <v>69.97</v>
      </c>
      <c r="AJ66" s="2">
        <v>70</v>
      </c>
      <c r="AK66" s="2">
        <v>69.989999999999995</v>
      </c>
      <c r="AL66" s="2">
        <v>70</v>
      </c>
      <c r="AM66" s="2">
        <v>69.989999999999995</v>
      </c>
      <c r="AN66" s="2">
        <v>70</v>
      </c>
      <c r="AO66" s="2">
        <v>69.989999999999995</v>
      </c>
      <c r="AP66" s="2">
        <v>70</v>
      </c>
      <c r="AQ66" s="2">
        <v>69.98</v>
      </c>
      <c r="AR66" s="2">
        <v>70</v>
      </c>
      <c r="AU66" s="1" t="s">
        <v>67</v>
      </c>
      <c r="AV66" s="2">
        <v>49.15</v>
      </c>
      <c r="AW66" s="2">
        <v>54.5</v>
      </c>
      <c r="AX66" s="2">
        <v>51.29</v>
      </c>
      <c r="AY66" s="2">
        <v>54.66</v>
      </c>
      <c r="AZ66" s="2">
        <v>53.16</v>
      </c>
      <c r="BA66" s="2">
        <v>53.66</v>
      </c>
      <c r="BB66" s="2">
        <v>56.75</v>
      </c>
      <c r="BC66" s="2">
        <v>57.99</v>
      </c>
      <c r="BD66" s="2">
        <v>58.39</v>
      </c>
      <c r="BE66" s="2">
        <v>65.61</v>
      </c>
      <c r="BF66" s="2">
        <v>53.62</v>
      </c>
      <c r="BG66" s="2">
        <v>65.150000000000006</v>
      </c>
      <c r="BH66" s="2">
        <v>57.58</v>
      </c>
      <c r="BI66" s="2">
        <v>62.92</v>
      </c>
      <c r="BJ66" s="2">
        <v>59.17</v>
      </c>
      <c r="BK66" s="2">
        <v>64.930000000000007</v>
      </c>
      <c r="BL66" s="2">
        <v>60.5</v>
      </c>
      <c r="BM66" s="2">
        <v>68</v>
      </c>
      <c r="BN66" s="2">
        <v>62.84</v>
      </c>
      <c r="BO66" s="2">
        <v>69.33</v>
      </c>
      <c r="BR66" s="1" t="s">
        <v>67</v>
      </c>
      <c r="BS66" s="2">
        <v>-0.28999999999999998</v>
      </c>
      <c r="BT66" s="2">
        <v>-0.13</v>
      </c>
      <c r="BU66" s="2">
        <v>-0.22</v>
      </c>
      <c r="BV66" s="2">
        <v>-0.13</v>
      </c>
      <c r="BW66" s="2">
        <v>-0.06</v>
      </c>
      <c r="BX66" s="2">
        <v>-0.06</v>
      </c>
      <c r="BY66" s="2">
        <v>-0.32</v>
      </c>
      <c r="BZ66" s="2">
        <v>-0.28000000000000003</v>
      </c>
      <c r="CA66" s="2">
        <v>-0.34</v>
      </c>
      <c r="CB66" s="2">
        <v>-0.11</v>
      </c>
      <c r="CC66" s="2">
        <v>-0.94</v>
      </c>
      <c r="CD66" s="2">
        <v>-0.23</v>
      </c>
      <c r="CE66" s="2">
        <v>-0.54</v>
      </c>
      <c r="CF66" s="2">
        <v>-0.28000000000000003</v>
      </c>
      <c r="CG66" s="2">
        <v>-0.6</v>
      </c>
      <c r="CH66" s="2">
        <v>-0.25</v>
      </c>
      <c r="CI66" s="2">
        <v>-0.46</v>
      </c>
      <c r="CJ66" s="2">
        <v>-0.09</v>
      </c>
      <c r="CK66" s="2">
        <v>-0.44</v>
      </c>
      <c r="CL66" s="2">
        <v>-0.04</v>
      </c>
    </row>
    <row r="67" spans="2:90" x14ac:dyDescent="0.3">
      <c r="B67" s="1" t="s">
        <v>68</v>
      </c>
      <c r="C67" s="2">
        <v>2228.13</v>
      </c>
      <c r="D67" s="2">
        <v>167.88</v>
      </c>
      <c r="E67" s="2">
        <v>1819.88</v>
      </c>
      <c r="F67" s="2">
        <v>103.6</v>
      </c>
      <c r="G67" s="2">
        <v>547.29999999999995</v>
      </c>
      <c r="H67" s="2">
        <v>805.13</v>
      </c>
      <c r="I67" s="2">
        <v>1567.25</v>
      </c>
      <c r="J67" s="2">
        <v>980.93</v>
      </c>
      <c r="K67" s="2">
        <v>2450.7199999999998</v>
      </c>
      <c r="L67" s="2">
        <v>1127.2</v>
      </c>
      <c r="M67" s="2">
        <v>4468.41</v>
      </c>
      <c r="N67" s="2">
        <v>2140.5100000000002</v>
      </c>
      <c r="O67" s="2">
        <v>3846.63</v>
      </c>
      <c r="P67" s="2">
        <v>1565.06</v>
      </c>
      <c r="Q67" s="2">
        <v>4728.87</v>
      </c>
      <c r="R67" s="2">
        <v>1668.89</v>
      </c>
      <c r="S67" s="2">
        <v>1727.83</v>
      </c>
      <c r="T67" s="2">
        <v>1369.18</v>
      </c>
      <c r="U67" s="2">
        <v>1372.25</v>
      </c>
      <c r="V67" s="2">
        <v>1128.3499999999999</v>
      </c>
      <c r="X67" s="1" t="s">
        <v>68</v>
      </c>
      <c r="Y67" s="2">
        <v>58.53</v>
      </c>
      <c r="Z67" s="2">
        <v>60</v>
      </c>
      <c r="AA67" s="2">
        <v>58.82</v>
      </c>
      <c r="AB67" s="2">
        <v>60</v>
      </c>
      <c r="AC67" s="2">
        <v>57.45</v>
      </c>
      <c r="AD67" s="2">
        <v>59.89</v>
      </c>
      <c r="AE67" s="2">
        <v>66.45</v>
      </c>
      <c r="AF67" s="2">
        <v>69.97</v>
      </c>
      <c r="AG67" s="2">
        <v>65.040000000000006</v>
      </c>
      <c r="AH67" s="2">
        <v>69.989999999999995</v>
      </c>
      <c r="AI67" s="2">
        <v>62.76</v>
      </c>
      <c r="AJ67" s="2">
        <v>69.989999999999995</v>
      </c>
      <c r="AK67" s="2">
        <v>64.66</v>
      </c>
      <c r="AL67" s="2">
        <v>69.989999999999995</v>
      </c>
      <c r="AM67" s="2">
        <v>65.63</v>
      </c>
      <c r="AN67" s="2">
        <v>69.989999999999995</v>
      </c>
      <c r="AO67" s="2">
        <v>69.97</v>
      </c>
      <c r="AP67" s="2">
        <v>70</v>
      </c>
      <c r="AQ67" s="2">
        <v>70</v>
      </c>
      <c r="AR67" s="2">
        <v>70</v>
      </c>
      <c r="AU67" s="1" t="s">
        <v>68</v>
      </c>
      <c r="AV67" s="2">
        <v>25.48</v>
      </c>
      <c r="AW67" s="2">
        <v>54.81</v>
      </c>
      <c r="AX67" s="2">
        <v>25.55</v>
      </c>
      <c r="AY67" s="2">
        <v>54.94</v>
      </c>
      <c r="AZ67" s="2">
        <v>34.17</v>
      </c>
      <c r="BA67" s="2">
        <v>31.94</v>
      </c>
      <c r="BB67" s="2">
        <v>40.6</v>
      </c>
      <c r="BC67" s="2">
        <v>56.1</v>
      </c>
      <c r="BD67" s="2">
        <v>39.78</v>
      </c>
      <c r="BE67" s="2">
        <v>61.61</v>
      </c>
      <c r="BF67" s="2">
        <v>37.799999999999997</v>
      </c>
      <c r="BG67" s="2">
        <v>61.52</v>
      </c>
      <c r="BH67" s="2">
        <v>38.51</v>
      </c>
      <c r="BI67" s="2">
        <v>60.94</v>
      </c>
      <c r="BJ67" s="2">
        <v>39.04</v>
      </c>
      <c r="BK67" s="2">
        <v>62.33</v>
      </c>
      <c r="BL67" s="2">
        <v>58.8</v>
      </c>
      <c r="BM67" s="2">
        <v>65.92</v>
      </c>
      <c r="BN67" s="2">
        <v>66.239999999999995</v>
      </c>
      <c r="BO67" s="2">
        <v>67.930000000000007</v>
      </c>
      <c r="BR67" s="1" t="s">
        <v>68</v>
      </c>
      <c r="BS67" s="2">
        <v>-1.73</v>
      </c>
      <c r="BT67" s="2">
        <v>-0.12</v>
      </c>
      <c r="BU67" s="2">
        <v>-1.73</v>
      </c>
      <c r="BV67" s="2">
        <v>-0.12</v>
      </c>
      <c r="BW67" s="2">
        <v>-0.36</v>
      </c>
      <c r="BX67" s="2">
        <v>-0.44</v>
      </c>
      <c r="BY67" s="2">
        <v>-0.92</v>
      </c>
      <c r="BZ67" s="2">
        <v>-0.34</v>
      </c>
      <c r="CA67" s="2">
        <v>-1.17</v>
      </c>
      <c r="CB67" s="2">
        <v>-0.23</v>
      </c>
      <c r="CC67" s="2">
        <v>-2.27</v>
      </c>
      <c r="CD67" s="2">
        <v>-0.43</v>
      </c>
      <c r="CE67" s="2">
        <v>-1.83</v>
      </c>
      <c r="CF67" s="2">
        <v>-0.37</v>
      </c>
      <c r="CG67" s="2">
        <v>-2.37</v>
      </c>
      <c r="CH67" s="2">
        <v>-0.4</v>
      </c>
      <c r="CI67" s="2">
        <v>-0.55000000000000004</v>
      </c>
      <c r="CJ67" s="2">
        <v>-0.18</v>
      </c>
      <c r="CK67" s="2">
        <v>-0.22</v>
      </c>
      <c r="CL67" s="2">
        <v>-0.12</v>
      </c>
    </row>
    <row r="68" spans="2:90" x14ac:dyDescent="0.3">
      <c r="B68" s="1" t="s">
        <v>69</v>
      </c>
      <c r="C68" s="2">
        <v>424.25</v>
      </c>
      <c r="D68" s="2">
        <v>54.67</v>
      </c>
      <c r="E68" s="2">
        <v>288.23</v>
      </c>
      <c r="F68" s="2">
        <v>38.299999999999997</v>
      </c>
      <c r="G68" s="2">
        <v>112.78</v>
      </c>
      <c r="H68" s="2">
        <v>161.28</v>
      </c>
      <c r="I68" s="2">
        <v>454.94</v>
      </c>
      <c r="J68" s="2">
        <v>203.56</v>
      </c>
      <c r="K68" s="2">
        <v>530.84</v>
      </c>
      <c r="L68" s="2">
        <v>245.45</v>
      </c>
      <c r="M68" s="2">
        <v>1012.45</v>
      </c>
      <c r="N68" s="2">
        <v>430.88</v>
      </c>
      <c r="O68" s="2">
        <v>854.95</v>
      </c>
      <c r="P68" s="2">
        <v>298.83</v>
      </c>
      <c r="Q68" s="2">
        <v>776.79</v>
      </c>
      <c r="R68" s="2">
        <v>360.96</v>
      </c>
      <c r="S68" s="2">
        <v>305.37</v>
      </c>
      <c r="T68" s="2">
        <v>242.67</v>
      </c>
      <c r="U68" s="2">
        <v>329.2</v>
      </c>
      <c r="V68" s="2">
        <v>260.33999999999997</v>
      </c>
      <c r="X68" s="1" t="s">
        <v>69</v>
      </c>
      <c r="Y68" s="2">
        <v>59.97</v>
      </c>
      <c r="Z68" s="2">
        <v>60</v>
      </c>
      <c r="AA68" s="2">
        <v>59.96</v>
      </c>
      <c r="AB68" s="2">
        <v>60</v>
      </c>
      <c r="AC68" s="2">
        <v>59.74</v>
      </c>
      <c r="AD68" s="2">
        <v>59.95</v>
      </c>
      <c r="AE68" s="2">
        <v>69.38</v>
      </c>
      <c r="AF68" s="2">
        <v>69.989999999999995</v>
      </c>
      <c r="AG68" s="2">
        <v>69.5</v>
      </c>
      <c r="AH68" s="2">
        <v>69.989999999999995</v>
      </c>
      <c r="AI68" s="2">
        <v>69.5</v>
      </c>
      <c r="AJ68" s="2">
        <v>70</v>
      </c>
      <c r="AK68" s="2">
        <v>69.52</v>
      </c>
      <c r="AL68" s="2">
        <v>70</v>
      </c>
      <c r="AM68" s="2">
        <v>69.95</v>
      </c>
      <c r="AN68" s="2">
        <v>70</v>
      </c>
      <c r="AO68" s="2">
        <v>70</v>
      </c>
      <c r="AP68" s="2">
        <v>70</v>
      </c>
      <c r="AQ68" s="2">
        <v>70</v>
      </c>
      <c r="AR68" s="2">
        <v>70</v>
      </c>
      <c r="AU68" s="1" t="s">
        <v>69</v>
      </c>
      <c r="AV68" s="2">
        <v>29.35</v>
      </c>
      <c r="AW68" s="2">
        <v>53.79</v>
      </c>
      <c r="AX68" s="2">
        <v>30.14</v>
      </c>
      <c r="AY68" s="2">
        <v>54.76</v>
      </c>
      <c r="AZ68" s="2">
        <v>37.18</v>
      </c>
      <c r="BA68" s="2">
        <v>29.7</v>
      </c>
      <c r="BB68" s="2">
        <v>42.25</v>
      </c>
      <c r="BC68" s="2">
        <v>52.06</v>
      </c>
      <c r="BD68" s="2">
        <v>43.65</v>
      </c>
      <c r="BE68" s="2">
        <v>59.22</v>
      </c>
      <c r="BF68" s="2">
        <v>43.64</v>
      </c>
      <c r="BG68" s="2">
        <v>60.62</v>
      </c>
      <c r="BH68" s="2">
        <v>43.57</v>
      </c>
      <c r="BI68" s="2">
        <v>60.17</v>
      </c>
      <c r="BJ68" s="2">
        <v>49.95</v>
      </c>
      <c r="BK68" s="2">
        <v>62.6</v>
      </c>
      <c r="BL68" s="2">
        <v>62.71</v>
      </c>
      <c r="BM68" s="2">
        <v>64.88</v>
      </c>
      <c r="BN68" s="2">
        <v>65.260000000000005</v>
      </c>
      <c r="BO68" s="2">
        <v>66.47</v>
      </c>
      <c r="BR68" s="1" t="s">
        <v>69</v>
      </c>
      <c r="BS68" s="2">
        <v>-1.36</v>
      </c>
      <c r="BT68" s="2">
        <v>-0.15</v>
      </c>
      <c r="BU68" s="2">
        <v>-1.29</v>
      </c>
      <c r="BV68" s="2">
        <v>-0.12</v>
      </c>
      <c r="BW68" s="2">
        <v>-0.3</v>
      </c>
      <c r="BX68" s="2">
        <v>-0.51</v>
      </c>
      <c r="BY68" s="2">
        <v>-0.89</v>
      </c>
      <c r="BZ68" s="2">
        <v>-0.47</v>
      </c>
      <c r="CA68" s="2">
        <v>-1.02</v>
      </c>
      <c r="CB68" s="2">
        <v>-0.31</v>
      </c>
      <c r="CC68" s="2">
        <v>-1.84</v>
      </c>
      <c r="CD68" s="2">
        <v>-0.48</v>
      </c>
      <c r="CE68" s="2">
        <v>-1.49</v>
      </c>
      <c r="CF68" s="2">
        <v>-0.41</v>
      </c>
      <c r="CG68" s="2">
        <v>-1.3</v>
      </c>
      <c r="CH68" s="2">
        <v>-0.38</v>
      </c>
      <c r="CI68" s="2">
        <v>-0.34</v>
      </c>
      <c r="CJ68" s="2">
        <v>-0.23</v>
      </c>
      <c r="CK68" s="2">
        <v>-0.28000000000000003</v>
      </c>
      <c r="CL68" s="2">
        <v>-0.2</v>
      </c>
    </row>
    <row r="69" spans="2:90" x14ac:dyDescent="0.3">
      <c r="B69" s="1" t="s">
        <v>70</v>
      </c>
      <c r="C69" s="2">
        <v>982.32</v>
      </c>
      <c r="D69" s="2">
        <v>925.92</v>
      </c>
      <c r="E69" s="2">
        <v>1052.06</v>
      </c>
      <c r="F69" s="2">
        <v>525.37</v>
      </c>
      <c r="G69" s="2">
        <v>365.52</v>
      </c>
      <c r="H69" s="2">
        <v>366.73</v>
      </c>
      <c r="I69" s="2">
        <v>729.67</v>
      </c>
      <c r="J69" s="2">
        <v>1459.79</v>
      </c>
      <c r="K69" s="2">
        <v>1807.06</v>
      </c>
      <c r="L69" s="2">
        <v>1713.73</v>
      </c>
      <c r="M69" s="2">
        <v>2806.69</v>
      </c>
      <c r="N69" s="2">
        <v>2257.1799999999998</v>
      </c>
      <c r="O69" s="2">
        <v>1846.83</v>
      </c>
      <c r="P69" s="2">
        <v>1540.86</v>
      </c>
      <c r="Q69" s="2">
        <v>1796.71</v>
      </c>
      <c r="R69" s="2">
        <v>1713.28</v>
      </c>
      <c r="S69" s="2">
        <v>1425.62</v>
      </c>
      <c r="T69" s="2">
        <v>947.63</v>
      </c>
      <c r="U69" s="2">
        <v>1632.83</v>
      </c>
      <c r="V69" s="2">
        <v>1161.95</v>
      </c>
      <c r="X69" s="1" t="s">
        <v>70</v>
      </c>
      <c r="Y69" s="2">
        <v>59.94</v>
      </c>
      <c r="Z69" s="2">
        <v>59.93</v>
      </c>
      <c r="AA69" s="2">
        <v>59.74</v>
      </c>
      <c r="AB69" s="2">
        <v>59.97</v>
      </c>
      <c r="AC69" s="2">
        <v>59.95</v>
      </c>
      <c r="AD69" s="2">
        <v>59.9</v>
      </c>
      <c r="AE69" s="2">
        <v>69.989999999999995</v>
      </c>
      <c r="AF69" s="2">
        <v>69.91</v>
      </c>
      <c r="AG69" s="2">
        <v>69.95</v>
      </c>
      <c r="AH69" s="2">
        <v>69.92</v>
      </c>
      <c r="AI69" s="2">
        <v>69.98</v>
      </c>
      <c r="AJ69" s="2">
        <v>69.98</v>
      </c>
      <c r="AK69" s="2">
        <v>69.989999999999995</v>
      </c>
      <c r="AL69" s="2">
        <v>69.989999999999995</v>
      </c>
      <c r="AM69" s="2">
        <v>70</v>
      </c>
      <c r="AN69" s="2">
        <v>70</v>
      </c>
      <c r="AO69" s="2">
        <v>70</v>
      </c>
      <c r="AP69" s="2">
        <v>70</v>
      </c>
      <c r="AQ69" s="2">
        <v>70</v>
      </c>
      <c r="AR69" s="2">
        <v>69.989999999999995</v>
      </c>
      <c r="AU69" s="1" t="s">
        <v>70</v>
      </c>
      <c r="AV69" s="2">
        <v>38.74</v>
      </c>
      <c r="AW69" s="2">
        <v>40.68</v>
      </c>
      <c r="AX69" s="2">
        <v>38.78</v>
      </c>
      <c r="AY69" s="2">
        <v>49.85</v>
      </c>
      <c r="AZ69" s="2">
        <v>39.380000000000003</v>
      </c>
      <c r="BA69" s="2">
        <v>39.020000000000003</v>
      </c>
      <c r="BB69" s="2">
        <v>59.43</v>
      </c>
      <c r="BC69" s="2">
        <v>46.28</v>
      </c>
      <c r="BD69" s="2">
        <v>50.14</v>
      </c>
      <c r="BE69" s="2">
        <v>48.7</v>
      </c>
      <c r="BF69" s="2">
        <v>52.34</v>
      </c>
      <c r="BG69" s="2">
        <v>53.88</v>
      </c>
      <c r="BH69" s="2">
        <v>55.42</v>
      </c>
      <c r="BI69" s="2">
        <v>56.21</v>
      </c>
      <c r="BJ69" s="2">
        <v>60.63</v>
      </c>
      <c r="BK69" s="2">
        <v>59.98</v>
      </c>
      <c r="BL69" s="2">
        <v>63.01</v>
      </c>
      <c r="BM69" s="2">
        <v>64.3</v>
      </c>
      <c r="BN69" s="2">
        <v>63.65</v>
      </c>
      <c r="BO69" s="2">
        <v>66.81</v>
      </c>
      <c r="BR69" s="1" t="s">
        <v>70</v>
      </c>
      <c r="BS69" s="2">
        <v>-0.71</v>
      </c>
      <c r="BT69" s="2">
        <v>-0.62</v>
      </c>
      <c r="BU69" s="2">
        <v>-0.71</v>
      </c>
      <c r="BV69" s="2">
        <v>-0.26</v>
      </c>
      <c r="BW69" s="2">
        <v>-0.26</v>
      </c>
      <c r="BX69" s="2">
        <v>-0.27</v>
      </c>
      <c r="BY69" s="2">
        <v>-0.24</v>
      </c>
      <c r="BZ69" s="2">
        <v>-0.7</v>
      </c>
      <c r="CA69" s="2">
        <v>-0.68</v>
      </c>
      <c r="CB69" s="2">
        <v>-0.75</v>
      </c>
      <c r="CC69" s="2">
        <v>-1.04</v>
      </c>
      <c r="CD69" s="2">
        <v>-0.92</v>
      </c>
      <c r="CE69" s="2">
        <v>-0.65</v>
      </c>
      <c r="CF69" s="2">
        <v>-0.61</v>
      </c>
      <c r="CG69" s="2">
        <v>-0.5</v>
      </c>
      <c r="CH69" s="2">
        <v>-0.54</v>
      </c>
      <c r="CI69" s="2">
        <v>-0.32</v>
      </c>
      <c r="CJ69" s="2">
        <v>-0.26</v>
      </c>
      <c r="CK69" s="2">
        <v>-0.38</v>
      </c>
      <c r="CL69" s="2">
        <v>-0.18</v>
      </c>
    </row>
    <row r="70" spans="2:90" x14ac:dyDescent="0.3">
      <c r="B70" s="1" t="s">
        <v>71</v>
      </c>
      <c r="C70" s="2">
        <v>177.69</v>
      </c>
      <c r="D70" s="2">
        <v>168.53</v>
      </c>
      <c r="E70" s="2">
        <v>202.4</v>
      </c>
      <c r="F70" s="2">
        <v>233.36</v>
      </c>
      <c r="G70" s="2">
        <v>65.56</v>
      </c>
      <c r="H70" s="2">
        <v>52.87</v>
      </c>
      <c r="I70" s="2">
        <v>119.85</v>
      </c>
      <c r="J70" s="2">
        <v>172.52</v>
      </c>
      <c r="K70" s="2">
        <v>135.22999999999999</v>
      </c>
      <c r="L70" s="2">
        <v>327.42</v>
      </c>
      <c r="M70" s="2">
        <v>338</v>
      </c>
      <c r="N70" s="2">
        <v>600.32000000000005</v>
      </c>
      <c r="O70" s="2">
        <v>246.85</v>
      </c>
      <c r="P70" s="2">
        <v>346.93</v>
      </c>
      <c r="Q70" s="2">
        <v>323.12</v>
      </c>
      <c r="R70" s="2">
        <v>542.73</v>
      </c>
      <c r="S70" s="2">
        <v>271.85000000000002</v>
      </c>
      <c r="T70" s="2">
        <v>310.47000000000003</v>
      </c>
      <c r="U70" s="2">
        <v>266.85000000000002</v>
      </c>
      <c r="V70" s="2">
        <v>191.77</v>
      </c>
      <c r="X70" s="1" t="s">
        <v>71</v>
      </c>
      <c r="Y70" s="2">
        <v>59.69</v>
      </c>
      <c r="Z70" s="2">
        <v>59.65</v>
      </c>
      <c r="AA70" s="2">
        <v>59.85</v>
      </c>
      <c r="AB70" s="2">
        <v>59.83</v>
      </c>
      <c r="AC70" s="2">
        <v>59.86</v>
      </c>
      <c r="AD70" s="2">
        <v>59.72</v>
      </c>
      <c r="AE70" s="2">
        <v>69.98</v>
      </c>
      <c r="AF70" s="2">
        <v>69.900000000000006</v>
      </c>
      <c r="AG70" s="2">
        <v>69.989999999999995</v>
      </c>
      <c r="AH70" s="2">
        <v>69.39</v>
      </c>
      <c r="AI70" s="2">
        <v>69.98</v>
      </c>
      <c r="AJ70" s="2">
        <v>69.3</v>
      </c>
      <c r="AK70" s="2">
        <v>69.98</v>
      </c>
      <c r="AL70" s="2">
        <v>69.77</v>
      </c>
      <c r="AM70" s="2">
        <v>69.98</v>
      </c>
      <c r="AN70" s="2">
        <v>69.8</v>
      </c>
      <c r="AO70" s="2">
        <v>69.989999999999995</v>
      </c>
      <c r="AP70" s="2">
        <v>69.930000000000007</v>
      </c>
      <c r="AQ70" s="2">
        <v>69.989999999999995</v>
      </c>
      <c r="AR70" s="2">
        <v>69.989999999999995</v>
      </c>
      <c r="AU70" s="1" t="s">
        <v>71</v>
      </c>
      <c r="AV70" s="2">
        <v>37.799999999999997</v>
      </c>
      <c r="AW70" s="2">
        <v>37.81</v>
      </c>
      <c r="AX70" s="2">
        <v>31.9</v>
      </c>
      <c r="AY70" s="2">
        <v>32.04</v>
      </c>
      <c r="AZ70" s="2">
        <v>38.869999999999997</v>
      </c>
      <c r="BA70" s="2">
        <v>38.5</v>
      </c>
      <c r="BB70" s="2">
        <v>58.14</v>
      </c>
      <c r="BC70" s="2">
        <v>45.03</v>
      </c>
      <c r="BD70" s="2">
        <v>61.96</v>
      </c>
      <c r="BE70" s="2">
        <v>44.86</v>
      </c>
      <c r="BF70" s="2">
        <v>58.29</v>
      </c>
      <c r="BG70" s="2">
        <v>44.79</v>
      </c>
      <c r="BH70" s="2">
        <v>58.73</v>
      </c>
      <c r="BI70" s="2">
        <v>47.99</v>
      </c>
      <c r="BJ70" s="2">
        <v>59.14</v>
      </c>
      <c r="BK70" s="2">
        <v>48.25</v>
      </c>
      <c r="BL70" s="2">
        <v>61.09</v>
      </c>
      <c r="BM70" s="2">
        <v>51</v>
      </c>
      <c r="BN70" s="2">
        <v>63.98</v>
      </c>
      <c r="BO70" s="2">
        <v>65.97</v>
      </c>
      <c r="BR70" s="1" t="s">
        <v>71</v>
      </c>
      <c r="BS70" s="2">
        <v>-0.76</v>
      </c>
      <c r="BT70" s="2">
        <v>-0.76</v>
      </c>
      <c r="BU70" s="2">
        <v>-1.1399999999999999</v>
      </c>
      <c r="BV70" s="2">
        <v>-1.1299999999999999</v>
      </c>
      <c r="BW70" s="2">
        <v>-0.27</v>
      </c>
      <c r="BX70" s="2">
        <v>-0.28000000000000003</v>
      </c>
      <c r="BY70" s="2">
        <v>-0.28000000000000003</v>
      </c>
      <c r="BZ70" s="2">
        <v>-0.76</v>
      </c>
      <c r="CA70" s="2">
        <v>-0.22</v>
      </c>
      <c r="CB70" s="2">
        <v>-0.95</v>
      </c>
      <c r="CC70" s="2">
        <v>-0.62</v>
      </c>
      <c r="CD70" s="2">
        <v>-1.71</v>
      </c>
      <c r="CE70" s="2">
        <v>-0.48</v>
      </c>
      <c r="CF70" s="2">
        <v>-1.1299999999999999</v>
      </c>
      <c r="CG70" s="2">
        <v>-0.6</v>
      </c>
      <c r="CH70" s="2">
        <v>-1.46</v>
      </c>
      <c r="CI70" s="2">
        <v>-0.42</v>
      </c>
      <c r="CJ70" s="2">
        <v>-1.08</v>
      </c>
      <c r="CK70" s="2">
        <v>-0.36</v>
      </c>
      <c r="CL70" s="2">
        <v>-0.24</v>
      </c>
    </row>
    <row r="71" spans="2:90" x14ac:dyDescent="0.3">
      <c r="B71" s="1" t="s">
        <v>72</v>
      </c>
      <c r="C71" s="2">
        <v>1032.8699999999999</v>
      </c>
      <c r="D71" s="2">
        <v>1227.96</v>
      </c>
      <c r="E71" s="2">
        <v>582.47</v>
      </c>
      <c r="F71" s="2">
        <v>862.5</v>
      </c>
      <c r="G71" s="2">
        <v>190.77</v>
      </c>
      <c r="H71" s="2">
        <v>359.59</v>
      </c>
      <c r="I71" s="2">
        <v>589.62</v>
      </c>
      <c r="J71" s="2">
        <v>865.53</v>
      </c>
      <c r="K71" s="2">
        <v>580.41999999999996</v>
      </c>
      <c r="L71" s="2">
        <v>1297.9100000000001</v>
      </c>
      <c r="M71" s="2">
        <v>1158.23</v>
      </c>
      <c r="N71" s="2">
        <v>2195.4299999999998</v>
      </c>
      <c r="O71" s="2">
        <v>845.22</v>
      </c>
      <c r="P71" s="2">
        <v>1357.67</v>
      </c>
      <c r="Q71" s="2">
        <v>1284.69</v>
      </c>
      <c r="R71" s="2">
        <v>1565.65</v>
      </c>
      <c r="S71" s="2">
        <v>907.63</v>
      </c>
      <c r="T71" s="2">
        <v>717.81</v>
      </c>
      <c r="U71" s="2">
        <v>916.02</v>
      </c>
      <c r="V71" s="2">
        <v>856.58</v>
      </c>
      <c r="X71" s="1" t="s">
        <v>72</v>
      </c>
      <c r="Y71" s="2">
        <v>58.81</v>
      </c>
      <c r="Z71" s="2">
        <v>58.45</v>
      </c>
      <c r="AA71" s="2">
        <v>59.86</v>
      </c>
      <c r="AB71" s="2">
        <v>58.27</v>
      </c>
      <c r="AC71" s="2">
        <v>59.59</v>
      </c>
      <c r="AD71" s="2">
        <v>58.77</v>
      </c>
      <c r="AE71" s="2">
        <v>69.709999999999994</v>
      </c>
      <c r="AF71" s="2">
        <v>67.48</v>
      </c>
      <c r="AG71" s="2">
        <v>69.95</v>
      </c>
      <c r="AH71" s="2">
        <v>61.49</v>
      </c>
      <c r="AI71" s="2">
        <v>69.91</v>
      </c>
      <c r="AJ71" s="2">
        <v>61.46</v>
      </c>
      <c r="AK71" s="2">
        <v>69.91</v>
      </c>
      <c r="AL71" s="2">
        <v>66.03</v>
      </c>
      <c r="AM71" s="2">
        <v>69.819999999999993</v>
      </c>
      <c r="AN71" s="2">
        <v>69.45</v>
      </c>
      <c r="AO71" s="2">
        <v>69.97</v>
      </c>
      <c r="AP71" s="2">
        <v>69.959999999999994</v>
      </c>
      <c r="AQ71" s="2">
        <v>69.989999999999995</v>
      </c>
      <c r="AR71" s="2">
        <v>69.989999999999995</v>
      </c>
      <c r="AU71" s="1" t="s">
        <v>72</v>
      </c>
      <c r="AV71" s="2">
        <v>26.71</v>
      </c>
      <c r="AW71" s="2">
        <v>26.4</v>
      </c>
      <c r="AX71" s="2">
        <v>33.14</v>
      </c>
      <c r="AY71" s="2">
        <v>27.78</v>
      </c>
      <c r="AZ71" s="2">
        <v>41.12</v>
      </c>
      <c r="BA71" s="2">
        <v>27.13</v>
      </c>
      <c r="BB71" s="2">
        <v>51.19</v>
      </c>
      <c r="BC71" s="2">
        <v>41</v>
      </c>
      <c r="BD71" s="2">
        <v>58.8</v>
      </c>
      <c r="BE71" s="2">
        <v>38.74</v>
      </c>
      <c r="BF71" s="2">
        <v>57.09</v>
      </c>
      <c r="BG71" s="2">
        <v>38.76</v>
      </c>
      <c r="BH71" s="2">
        <v>56.95</v>
      </c>
      <c r="BI71" s="2">
        <v>42.75</v>
      </c>
      <c r="BJ71" s="2">
        <v>54.83</v>
      </c>
      <c r="BK71" s="2">
        <v>51</v>
      </c>
      <c r="BL71" s="2">
        <v>60.31</v>
      </c>
      <c r="BM71" s="2">
        <v>59.44</v>
      </c>
      <c r="BN71" s="2">
        <v>62.5</v>
      </c>
      <c r="BO71" s="2">
        <v>63.18</v>
      </c>
      <c r="BR71" s="1" t="s">
        <v>72</v>
      </c>
      <c r="BS71" s="2">
        <v>-1.59</v>
      </c>
      <c r="BT71" s="2">
        <v>-1.62</v>
      </c>
      <c r="BU71" s="2">
        <v>-1.05</v>
      </c>
      <c r="BV71" s="2">
        <v>-1.47</v>
      </c>
      <c r="BW71" s="2">
        <v>-0.23</v>
      </c>
      <c r="BX71" s="2">
        <v>-0.6</v>
      </c>
      <c r="BY71" s="2">
        <v>-0.5</v>
      </c>
      <c r="BZ71" s="2">
        <v>-0.92</v>
      </c>
      <c r="CA71" s="2">
        <v>-0.33</v>
      </c>
      <c r="CB71" s="2">
        <v>-1.1499999999999999</v>
      </c>
      <c r="CC71" s="2">
        <v>-0.69</v>
      </c>
      <c r="CD71" s="2">
        <v>-2.06</v>
      </c>
      <c r="CE71" s="2">
        <v>-0.56999999999999995</v>
      </c>
      <c r="CF71" s="2">
        <v>-1.44</v>
      </c>
      <c r="CG71" s="2">
        <v>-0.89</v>
      </c>
      <c r="CH71" s="2">
        <v>-1.19</v>
      </c>
      <c r="CI71" s="2">
        <v>-0.47</v>
      </c>
      <c r="CJ71" s="2">
        <v>-0.52</v>
      </c>
      <c r="CK71" s="2">
        <v>-0.46</v>
      </c>
      <c r="CL71" s="2">
        <v>-0.42</v>
      </c>
    </row>
    <row r="72" spans="2:90" x14ac:dyDescent="0.3">
      <c r="B72" s="1" t="s">
        <v>73</v>
      </c>
      <c r="C72" s="2">
        <v>102.28</v>
      </c>
      <c r="D72" s="2">
        <v>103.86</v>
      </c>
      <c r="E72" s="2">
        <v>19.239999999999998</v>
      </c>
      <c r="F72" s="2">
        <v>23.96</v>
      </c>
      <c r="G72" s="2">
        <v>1.72</v>
      </c>
      <c r="H72" s="2">
        <v>11.16</v>
      </c>
      <c r="I72" s="2">
        <v>28.75</v>
      </c>
      <c r="J72" s="2">
        <v>144.69999999999999</v>
      </c>
      <c r="K72" s="2">
        <v>119.67</v>
      </c>
      <c r="L72" s="2">
        <v>127.74</v>
      </c>
      <c r="M72" s="2">
        <v>233.51</v>
      </c>
      <c r="N72" s="2">
        <v>262.88</v>
      </c>
      <c r="O72" s="2">
        <v>227.3</v>
      </c>
      <c r="P72" s="2">
        <v>237.57</v>
      </c>
      <c r="Q72" s="2">
        <v>209.67</v>
      </c>
      <c r="R72" s="2">
        <v>216.05</v>
      </c>
      <c r="S72" s="2">
        <v>241.38</v>
      </c>
      <c r="T72" s="2">
        <v>137.06</v>
      </c>
      <c r="U72" s="2">
        <v>262.81</v>
      </c>
      <c r="V72" s="2">
        <v>156.05000000000001</v>
      </c>
      <c r="X72" s="1" t="s">
        <v>73</v>
      </c>
      <c r="Y72" s="2">
        <v>60</v>
      </c>
      <c r="Z72" s="2">
        <v>59.99</v>
      </c>
      <c r="AA72" s="2">
        <v>60</v>
      </c>
      <c r="AB72" s="2">
        <v>60</v>
      </c>
      <c r="AC72" s="2">
        <v>60</v>
      </c>
      <c r="AD72" s="2">
        <v>60</v>
      </c>
      <c r="AE72" s="2">
        <v>70</v>
      </c>
      <c r="AF72" s="2">
        <v>69.989999999999995</v>
      </c>
      <c r="AG72" s="2">
        <v>70</v>
      </c>
      <c r="AH72" s="2">
        <v>69.989999999999995</v>
      </c>
      <c r="AI72" s="2">
        <v>70</v>
      </c>
      <c r="AJ72" s="2">
        <v>69.989999999999995</v>
      </c>
      <c r="AK72" s="2">
        <v>70</v>
      </c>
      <c r="AL72" s="2">
        <v>70</v>
      </c>
      <c r="AM72" s="2">
        <v>70</v>
      </c>
      <c r="AN72" s="2">
        <v>70</v>
      </c>
      <c r="AO72" s="2">
        <v>70</v>
      </c>
      <c r="AP72" s="2">
        <v>70</v>
      </c>
      <c r="AQ72" s="2">
        <v>70</v>
      </c>
      <c r="AR72" s="2">
        <v>70</v>
      </c>
      <c r="AU72" s="1" t="s">
        <v>73</v>
      </c>
      <c r="AV72" s="2">
        <v>52.72</v>
      </c>
      <c r="AW72" s="2">
        <v>48.08</v>
      </c>
      <c r="AX72" s="2">
        <v>54.92</v>
      </c>
      <c r="AY72" s="2">
        <v>54.89</v>
      </c>
      <c r="AZ72" s="2">
        <v>54.96</v>
      </c>
      <c r="BA72" s="2">
        <v>54.79</v>
      </c>
      <c r="BB72" s="2">
        <v>64.95</v>
      </c>
      <c r="BC72" s="2">
        <v>50.16</v>
      </c>
      <c r="BD72" s="2">
        <v>65.58</v>
      </c>
      <c r="BE72" s="2">
        <v>52.84</v>
      </c>
      <c r="BF72" s="2">
        <v>60.01</v>
      </c>
      <c r="BG72" s="2">
        <v>52.75</v>
      </c>
      <c r="BH72" s="2">
        <v>57.39</v>
      </c>
      <c r="BI72" s="2">
        <v>55.87</v>
      </c>
      <c r="BJ72" s="2">
        <v>60.89</v>
      </c>
      <c r="BK72" s="2">
        <v>62.46</v>
      </c>
      <c r="BL72" s="2">
        <v>63.21</v>
      </c>
      <c r="BM72" s="2">
        <v>66.25</v>
      </c>
      <c r="BN72" s="2">
        <v>65.69</v>
      </c>
      <c r="BO72" s="2">
        <v>67.489999999999995</v>
      </c>
      <c r="BR72" s="1" t="s">
        <v>73</v>
      </c>
      <c r="BS72" s="2">
        <v>-0.18</v>
      </c>
      <c r="BT72" s="2">
        <v>-0.32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-0.54</v>
      </c>
      <c r="CA72" s="2">
        <v>-0.12</v>
      </c>
      <c r="CB72" s="2">
        <v>-0.56000000000000005</v>
      </c>
      <c r="CC72" s="2">
        <v>-0.51</v>
      </c>
      <c r="CD72" s="2">
        <v>-1.01</v>
      </c>
      <c r="CE72" s="2">
        <v>-0.55000000000000004</v>
      </c>
      <c r="CF72" s="2">
        <v>-0.63</v>
      </c>
      <c r="CG72" s="2">
        <v>-0.49</v>
      </c>
      <c r="CH72" s="2">
        <v>-0.39</v>
      </c>
      <c r="CI72" s="2">
        <v>-0.31</v>
      </c>
      <c r="CJ72" s="2">
        <v>-0.17</v>
      </c>
      <c r="CK72" s="2">
        <v>-0.25</v>
      </c>
      <c r="CL72" s="2">
        <v>-0.14000000000000001</v>
      </c>
    </row>
    <row r="73" spans="2:90" x14ac:dyDescent="0.3">
      <c r="W73" s="5">
        <f>SUM(C65:V72)/$W$45</f>
        <v>6.1722877489456041E-2</v>
      </c>
    </row>
    <row r="75" spans="2:90" x14ac:dyDescent="0.3">
      <c r="B75" t="s">
        <v>24</v>
      </c>
      <c r="X75" t="s">
        <v>25</v>
      </c>
      <c r="AU75" t="s">
        <v>26</v>
      </c>
      <c r="BR75" t="s">
        <v>27</v>
      </c>
    </row>
    <row r="76" spans="2:90" x14ac:dyDescent="0.3">
      <c r="B76" s="1" t="s">
        <v>6</v>
      </c>
      <c r="C76" s="1" t="s">
        <v>63</v>
      </c>
      <c r="D76" s="1" t="s">
        <v>64</v>
      </c>
      <c r="E76" s="1" t="s">
        <v>63</v>
      </c>
      <c r="F76" s="1" t="s">
        <v>64</v>
      </c>
      <c r="G76" s="1" t="s">
        <v>63</v>
      </c>
      <c r="H76" s="1" t="s">
        <v>64</v>
      </c>
      <c r="I76" s="1" t="s">
        <v>63</v>
      </c>
      <c r="J76" s="1" t="s">
        <v>64</v>
      </c>
      <c r="K76" s="1" t="s">
        <v>63</v>
      </c>
      <c r="L76" s="1" t="s">
        <v>64</v>
      </c>
      <c r="M76" s="1" t="s">
        <v>63</v>
      </c>
      <c r="N76" s="1" t="s">
        <v>64</v>
      </c>
      <c r="O76" s="1" t="s">
        <v>63</v>
      </c>
      <c r="P76" s="1" t="s">
        <v>64</v>
      </c>
      <c r="Q76" s="1" t="s">
        <v>63</v>
      </c>
      <c r="R76" s="1" t="s">
        <v>64</v>
      </c>
      <c r="S76" s="1" t="s">
        <v>63</v>
      </c>
      <c r="T76" s="1" t="s">
        <v>64</v>
      </c>
      <c r="U76" s="1" t="s">
        <v>63</v>
      </c>
      <c r="V76" s="1" t="s">
        <v>64</v>
      </c>
      <c r="X76" s="1" t="s">
        <v>6</v>
      </c>
      <c r="Y76" s="1" t="s">
        <v>63</v>
      </c>
      <c r="Z76" s="1" t="s">
        <v>64</v>
      </c>
      <c r="AA76" s="1" t="s">
        <v>63</v>
      </c>
      <c r="AB76" s="1" t="s">
        <v>64</v>
      </c>
      <c r="AC76" s="1" t="s">
        <v>63</v>
      </c>
      <c r="AD76" s="1" t="s">
        <v>64</v>
      </c>
      <c r="AE76" s="1" t="s">
        <v>63</v>
      </c>
      <c r="AF76" s="1" t="s">
        <v>64</v>
      </c>
      <c r="AG76" s="1" t="s">
        <v>63</v>
      </c>
      <c r="AH76" s="1" t="s">
        <v>64</v>
      </c>
      <c r="AI76" s="1" t="s">
        <v>63</v>
      </c>
      <c r="AJ76" s="1" t="s">
        <v>64</v>
      </c>
      <c r="AK76" s="1" t="s">
        <v>63</v>
      </c>
      <c r="AL76" s="1" t="s">
        <v>64</v>
      </c>
      <c r="AM76" s="1" t="s">
        <v>63</v>
      </c>
      <c r="AN76" s="1" t="s">
        <v>64</v>
      </c>
      <c r="AO76" s="1" t="s">
        <v>63</v>
      </c>
      <c r="AP76" s="1" t="s">
        <v>64</v>
      </c>
      <c r="AQ76" s="1" t="s">
        <v>63</v>
      </c>
      <c r="AR76" s="1" t="s">
        <v>64</v>
      </c>
      <c r="AU76" s="1" t="s">
        <v>6</v>
      </c>
      <c r="AV76" s="1" t="s">
        <v>63</v>
      </c>
      <c r="AW76" s="1" t="s">
        <v>64</v>
      </c>
      <c r="AX76" s="1" t="s">
        <v>63</v>
      </c>
      <c r="AY76" s="1" t="s">
        <v>64</v>
      </c>
      <c r="AZ76" s="1" t="s">
        <v>63</v>
      </c>
      <c r="BA76" s="1" t="s">
        <v>64</v>
      </c>
      <c r="BB76" s="1" t="s">
        <v>63</v>
      </c>
      <c r="BC76" s="1" t="s">
        <v>64</v>
      </c>
      <c r="BD76" s="1" t="s">
        <v>63</v>
      </c>
      <c r="BE76" s="1" t="s">
        <v>64</v>
      </c>
      <c r="BF76" s="1" t="s">
        <v>63</v>
      </c>
      <c r="BG76" s="1" t="s">
        <v>64</v>
      </c>
      <c r="BH76" s="1" t="s">
        <v>63</v>
      </c>
      <c r="BI76" s="1" t="s">
        <v>64</v>
      </c>
      <c r="BJ76" s="1" t="s">
        <v>63</v>
      </c>
      <c r="BK76" s="1" t="s">
        <v>64</v>
      </c>
      <c r="BL76" s="1" t="s">
        <v>63</v>
      </c>
      <c r="BM76" s="1" t="s">
        <v>64</v>
      </c>
      <c r="BN76" s="1" t="s">
        <v>63</v>
      </c>
      <c r="BO76" s="1" t="s">
        <v>64</v>
      </c>
      <c r="BR76" s="1" t="s">
        <v>6</v>
      </c>
      <c r="BS76" s="1" t="s">
        <v>63</v>
      </c>
      <c r="BT76" s="1" t="s">
        <v>64</v>
      </c>
      <c r="BU76" s="1" t="s">
        <v>63</v>
      </c>
      <c r="BV76" s="1" t="s">
        <v>64</v>
      </c>
      <c r="BW76" s="1" t="s">
        <v>63</v>
      </c>
      <c r="BX76" s="1" t="s">
        <v>64</v>
      </c>
      <c r="BY76" s="1" t="s">
        <v>63</v>
      </c>
      <c r="BZ76" s="1" t="s">
        <v>64</v>
      </c>
      <c r="CA76" s="1" t="s">
        <v>63</v>
      </c>
      <c r="CB76" s="1" t="s">
        <v>64</v>
      </c>
      <c r="CC76" s="1" t="s">
        <v>63</v>
      </c>
      <c r="CD76" s="1" t="s">
        <v>64</v>
      </c>
      <c r="CE76" s="1" t="s">
        <v>63</v>
      </c>
      <c r="CF76" s="1" t="s">
        <v>64</v>
      </c>
      <c r="CG76" s="1" t="s">
        <v>63</v>
      </c>
      <c r="CH76" s="1" t="s">
        <v>64</v>
      </c>
      <c r="CI76" s="1" t="s">
        <v>63</v>
      </c>
      <c r="CJ76" s="1" t="s">
        <v>64</v>
      </c>
      <c r="CK76" s="1" t="s">
        <v>63</v>
      </c>
      <c r="CL76" s="1" t="s">
        <v>64</v>
      </c>
    </row>
    <row r="77" spans="2:90" x14ac:dyDescent="0.3">
      <c r="B77" s="1" t="s">
        <v>65</v>
      </c>
      <c r="C77" s="1" t="s">
        <v>53</v>
      </c>
      <c r="D77" s="1" t="s">
        <v>53</v>
      </c>
      <c r="E77" s="1" t="s">
        <v>54</v>
      </c>
      <c r="F77" s="1" t="s">
        <v>54</v>
      </c>
      <c r="G77" s="1" t="s">
        <v>55</v>
      </c>
      <c r="H77" s="1" t="s">
        <v>55</v>
      </c>
      <c r="I77" s="1" t="s">
        <v>56</v>
      </c>
      <c r="J77" s="1" t="s">
        <v>56</v>
      </c>
      <c r="K77" s="1" t="s">
        <v>57</v>
      </c>
      <c r="L77" s="1" t="s">
        <v>57</v>
      </c>
      <c r="M77" s="1" t="s">
        <v>58</v>
      </c>
      <c r="N77" s="1" t="s">
        <v>58</v>
      </c>
      <c r="O77" s="1" t="s">
        <v>59</v>
      </c>
      <c r="P77" s="1" t="s">
        <v>59</v>
      </c>
      <c r="Q77" s="1" t="s">
        <v>60</v>
      </c>
      <c r="R77" s="1" t="s">
        <v>60</v>
      </c>
      <c r="S77" s="1" t="s">
        <v>61</v>
      </c>
      <c r="T77" s="1" t="s">
        <v>61</v>
      </c>
      <c r="U77" s="1" t="s">
        <v>62</v>
      </c>
      <c r="V77" s="1" t="s">
        <v>62</v>
      </c>
      <c r="X77" s="1" t="s">
        <v>65</v>
      </c>
      <c r="Y77" s="1" t="s">
        <v>53</v>
      </c>
      <c r="Z77" s="1" t="s">
        <v>53</v>
      </c>
      <c r="AA77" s="1" t="s">
        <v>54</v>
      </c>
      <c r="AB77" s="1" t="s">
        <v>54</v>
      </c>
      <c r="AC77" s="1" t="s">
        <v>55</v>
      </c>
      <c r="AD77" s="1" t="s">
        <v>55</v>
      </c>
      <c r="AE77" s="1" t="s">
        <v>56</v>
      </c>
      <c r="AF77" s="1" t="s">
        <v>56</v>
      </c>
      <c r="AG77" s="1" t="s">
        <v>57</v>
      </c>
      <c r="AH77" s="1" t="s">
        <v>57</v>
      </c>
      <c r="AI77" s="1" t="s">
        <v>58</v>
      </c>
      <c r="AJ77" s="1" t="s">
        <v>58</v>
      </c>
      <c r="AK77" s="1" t="s">
        <v>59</v>
      </c>
      <c r="AL77" s="1" t="s">
        <v>59</v>
      </c>
      <c r="AM77" s="1" t="s">
        <v>60</v>
      </c>
      <c r="AN77" s="1" t="s">
        <v>60</v>
      </c>
      <c r="AO77" s="1" t="s">
        <v>61</v>
      </c>
      <c r="AP77" s="1" t="s">
        <v>61</v>
      </c>
      <c r="AQ77" s="1" t="s">
        <v>62</v>
      </c>
      <c r="AR77" s="1" t="s">
        <v>62</v>
      </c>
      <c r="AU77" s="1" t="s">
        <v>65</v>
      </c>
      <c r="AV77" s="1" t="s">
        <v>53</v>
      </c>
      <c r="AW77" s="1" t="s">
        <v>53</v>
      </c>
      <c r="AX77" s="1" t="s">
        <v>54</v>
      </c>
      <c r="AY77" s="1" t="s">
        <v>54</v>
      </c>
      <c r="AZ77" s="1" t="s">
        <v>55</v>
      </c>
      <c r="BA77" s="1" t="s">
        <v>55</v>
      </c>
      <c r="BB77" s="1" t="s">
        <v>56</v>
      </c>
      <c r="BC77" s="1" t="s">
        <v>56</v>
      </c>
      <c r="BD77" s="1" t="s">
        <v>57</v>
      </c>
      <c r="BE77" s="1" t="s">
        <v>57</v>
      </c>
      <c r="BF77" s="1" t="s">
        <v>58</v>
      </c>
      <c r="BG77" s="1" t="s">
        <v>58</v>
      </c>
      <c r="BH77" s="1" t="s">
        <v>59</v>
      </c>
      <c r="BI77" s="1" t="s">
        <v>59</v>
      </c>
      <c r="BJ77" s="1" t="s">
        <v>60</v>
      </c>
      <c r="BK77" s="1" t="s">
        <v>60</v>
      </c>
      <c r="BL77" s="1" t="s">
        <v>61</v>
      </c>
      <c r="BM77" s="1" t="s">
        <v>61</v>
      </c>
      <c r="BN77" s="1" t="s">
        <v>62</v>
      </c>
      <c r="BO77" s="1" t="s">
        <v>62</v>
      </c>
      <c r="BR77" s="1" t="s">
        <v>65</v>
      </c>
      <c r="BS77" s="1" t="s">
        <v>53</v>
      </c>
      <c r="BT77" s="1" t="s">
        <v>53</v>
      </c>
      <c r="BU77" s="1" t="s">
        <v>54</v>
      </c>
      <c r="BV77" s="1" t="s">
        <v>54</v>
      </c>
      <c r="BW77" s="1" t="s">
        <v>55</v>
      </c>
      <c r="BX77" s="1" t="s">
        <v>55</v>
      </c>
      <c r="BY77" s="1" t="s">
        <v>56</v>
      </c>
      <c r="BZ77" s="1" t="s">
        <v>56</v>
      </c>
      <c r="CA77" s="1" t="s">
        <v>57</v>
      </c>
      <c r="CB77" s="1" t="s">
        <v>57</v>
      </c>
      <c r="CC77" s="1" t="s">
        <v>58</v>
      </c>
      <c r="CD77" s="1" t="s">
        <v>58</v>
      </c>
      <c r="CE77" s="1" t="s">
        <v>59</v>
      </c>
      <c r="CF77" s="1" t="s">
        <v>59</v>
      </c>
      <c r="CG77" s="1" t="s">
        <v>60</v>
      </c>
      <c r="CH77" s="1" t="s">
        <v>60</v>
      </c>
      <c r="CI77" s="1" t="s">
        <v>61</v>
      </c>
      <c r="CJ77" s="1" t="s">
        <v>61</v>
      </c>
      <c r="CK77" s="1" t="s">
        <v>62</v>
      </c>
      <c r="CL77" s="1" t="s">
        <v>62</v>
      </c>
    </row>
    <row r="78" spans="2:90" x14ac:dyDescent="0.3">
      <c r="B78" s="1" t="s">
        <v>7</v>
      </c>
      <c r="X78" s="1" t="s">
        <v>7</v>
      </c>
      <c r="AU78" s="1" t="s">
        <v>7</v>
      </c>
      <c r="BR78" s="1" t="s">
        <v>7</v>
      </c>
    </row>
    <row r="79" spans="2:90" x14ac:dyDescent="0.3">
      <c r="B79" s="1" t="s">
        <v>66</v>
      </c>
      <c r="C79" s="2">
        <v>7.6</v>
      </c>
      <c r="D79" s="2">
        <v>13.62</v>
      </c>
      <c r="E79" s="2">
        <v>2.2200000000000002</v>
      </c>
      <c r="F79" s="2">
        <v>2.2000000000000002</v>
      </c>
      <c r="G79" s="2">
        <v>0.72</v>
      </c>
      <c r="H79" s="2">
        <v>1.76</v>
      </c>
      <c r="I79" s="2">
        <v>15.08</v>
      </c>
      <c r="J79" s="2">
        <v>4.53</v>
      </c>
      <c r="K79" s="2">
        <v>11.9</v>
      </c>
      <c r="L79" s="2">
        <v>9.8000000000000007</v>
      </c>
      <c r="M79" s="2">
        <v>16.440000000000001</v>
      </c>
      <c r="N79" s="2">
        <v>7.99</v>
      </c>
      <c r="O79" s="2">
        <v>16.170000000000002</v>
      </c>
      <c r="P79" s="2">
        <v>2</v>
      </c>
      <c r="Q79" s="2">
        <v>9.61</v>
      </c>
      <c r="R79" s="2">
        <v>4.76</v>
      </c>
      <c r="S79" s="2">
        <v>0.84</v>
      </c>
      <c r="T79" s="2">
        <v>1.47</v>
      </c>
      <c r="U79" s="2">
        <v>1.22</v>
      </c>
      <c r="V79" s="2">
        <v>1.1299999999999999</v>
      </c>
      <c r="X79" s="1" t="s">
        <v>66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66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1.48</v>
      </c>
      <c r="BD79" s="2">
        <v>1.72</v>
      </c>
      <c r="BE79" s="2">
        <v>1.72</v>
      </c>
      <c r="BF79" s="2">
        <v>3.09</v>
      </c>
      <c r="BG79" s="2">
        <v>3.09</v>
      </c>
      <c r="BH79" s="2">
        <v>2.4900000000000002</v>
      </c>
      <c r="BI79" s="2">
        <v>2.4900000000000002</v>
      </c>
      <c r="BJ79" s="2">
        <v>3.26</v>
      </c>
      <c r="BK79" s="2">
        <v>3.26</v>
      </c>
      <c r="BL79" s="2">
        <v>2.92</v>
      </c>
      <c r="BM79" s="2">
        <v>2.91</v>
      </c>
      <c r="BN79" s="2">
        <v>3.86</v>
      </c>
      <c r="BO79" s="2">
        <v>3.86</v>
      </c>
      <c r="BR79" s="1" t="s">
        <v>66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-7.0000000000000007E-2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</row>
    <row r="80" spans="2:90" x14ac:dyDescent="0.3">
      <c r="B80" s="1" t="s">
        <v>67</v>
      </c>
      <c r="C80" s="2">
        <v>54.12</v>
      </c>
      <c r="D80" s="2">
        <v>20.91</v>
      </c>
      <c r="E80" s="2">
        <v>31.12</v>
      </c>
      <c r="F80" s="2">
        <v>14.5</v>
      </c>
      <c r="G80" s="2">
        <v>7.05</v>
      </c>
      <c r="H80" s="2">
        <v>13.03</v>
      </c>
      <c r="I80" s="2">
        <v>50.81</v>
      </c>
      <c r="J80" s="2">
        <v>73.86</v>
      </c>
      <c r="K80" s="2">
        <v>62.75</v>
      </c>
      <c r="L80" s="2">
        <v>63.89</v>
      </c>
      <c r="M80" s="2">
        <v>111.29</v>
      </c>
      <c r="N80" s="2">
        <v>89.47</v>
      </c>
      <c r="O80" s="2">
        <v>83.46</v>
      </c>
      <c r="P80" s="2">
        <v>77.930000000000007</v>
      </c>
      <c r="Q80" s="2">
        <v>107.45</v>
      </c>
      <c r="R80" s="2">
        <v>75.53</v>
      </c>
      <c r="S80" s="2">
        <v>73.319999999999993</v>
      </c>
      <c r="T80" s="2">
        <v>60.3</v>
      </c>
      <c r="U80" s="2">
        <v>94.74</v>
      </c>
      <c r="V80" s="2">
        <v>58.62</v>
      </c>
      <c r="X80" s="1" t="s">
        <v>67</v>
      </c>
      <c r="Y80" s="2">
        <v>1.3</v>
      </c>
      <c r="Z80" s="2">
        <v>1.3</v>
      </c>
      <c r="AA80" s="2">
        <v>1.3</v>
      </c>
      <c r="AB80" s="2">
        <v>1.3</v>
      </c>
      <c r="AC80" s="2">
        <v>0.5</v>
      </c>
      <c r="AD80" s="2">
        <v>0.5</v>
      </c>
      <c r="AE80" s="2">
        <v>1.37</v>
      </c>
      <c r="AF80" s="2">
        <v>1.37</v>
      </c>
      <c r="AG80" s="2">
        <v>1.72</v>
      </c>
      <c r="AH80" s="2">
        <v>1.71</v>
      </c>
      <c r="AI80" s="2">
        <v>3.09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2.91</v>
      </c>
      <c r="AP80" s="2">
        <v>2.91</v>
      </c>
      <c r="AQ80" s="2">
        <v>3.86</v>
      </c>
      <c r="AR80" s="2">
        <v>3.86</v>
      </c>
      <c r="AU80" s="1" t="s">
        <v>67</v>
      </c>
      <c r="AV80" s="2">
        <v>1.59</v>
      </c>
      <c r="AW80" s="2">
        <v>1.43</v>
      </c>
      <c r="AX80" s="2">
        <v>1.52</v>
      </c>
      <c r="AY80" s="2">
        <v>1.43</v>
      </c>
      <c r="AZ80" s="2">
        <v>0.56000000000000005</v>
      </c>
      <c r="BA80" s="2">
        <v>0.56000000000000005</v>
      </c>
      <c r="BB80" s="2">
        <v>1.69</v>
      </c>
      <c r="BC80" s="2">
        <v>1.66</v>
      </c>
      <c r="BD80" s="2">
        <v>2.06</v>
      </c>
      <c r="BE80" s="2">
        <v>1.83</v>
      </c>
      <c r="BF80" s="2">
        <v>4.03</v>
      </c>
      <c r="BG80" s="2">
        <v>3.32</v>
      </c>
      <c r="BH80" s="2">
        <v>3.02</v>
      </c>
      <c r="BI80" s="2">
        <v>2.77</v>
      </c>
      <c r="BJ80" s="2">
        <v>3.85</v>
      </c>
      <c r="BK80" s="2">
        <v>3.51</v>
      </c>
      <c r="BL80" s="2">
        <v>3.37</v>
      </c>
      <c r="BM80" s="2">
        <v>3</v>
      </c>
      <c r="BN80" s="2">
        <v>4.3</v>
      </c>
      <c r="BO80" s="2">
        <v>3.89</v>
      </c>
      <c r="BR80" s="1" t="s">
        <v>67</v>
      </c>
      <c r="BS80" s="2">
        <v>-0.18</v>
      </c>
      <c r="BT80" s="2">
        <v>-0.09</v>
      </c>
      <c r="BU80" s="2">
        <v>-0.14000000000000001</v>
      </c>
      <c r="BV80" s="2">
        <v>-0.09</v>
      </c>
      <c r="BW80" s="2">
        <v>-0.11</v>
      </c>
      <c r="BX80" s="2">
        <v>-0.11</v>
      </c>
      <c r="BY80" s="2">
        <v>-0.19</v>
      </c>
      <c r="BZ80" s="2">
        <v>-0.17</v>
      </c>
      <c r="CA80" s="2">
        <v>-0.17</v>
      </c>
      <c r="CB80" s="2">
        <v>-0.06</v>
      </c>
      <c r="CC80" s="2">
        <v>-0.23</v>
      </c>
      <c r="CD80" s="2">
        <v>-7.0000000000000007E-2</v>
      </c>
      <c r="CE80" s="2">
        <v>-0.18</v>
      </c>
      <c r="CF80" s="2">
        <v>-0.1</v>
      </c>
      <c r="CG80" s="2">
        <v>-0.15</v>
      </c>
      <c r="CH80" s="2">
        <v>-7.0000000000000007E-2</v>
      </c>
      <c r="CI80" s="2">
        <v>-0.14000000000000001</v>
      </c>
      <c r="CJ80" s="2">
        <v>-0.03</v>
      </c>
      <c r="CK80" s="2">
        <v>-0.1</v>
      </c>
      <c r="CL80" s="2">
        <v>-0.01</v>
      </c>
    </row>
    <row r="81" spans="2:90" x14ac:dyDescent="0.3">
      <c r="B81" s="1" t="s">
        <v>68</v>
      </c>
      <c r="C81" s="2">
        <v>551.66</v>
      </c>
      <c r="D81" s="2">
        <v>58.51</v>
      </c>
      <c r="E81" s="2">
        <v>466.77</v>
      </c>
      <c r="F81" s="2">
        <v>29.78</v>
      </c>
      <c r="G81" s="2">
        <v>101.81</v>
      </c>
      <c r="H81" s="2">
        <v>227.55</v>
      </c>
      <c r="I81" s="2">
        <v>527.12</v>
      </c>
      <c r="J81" s="2">
        <v>368.63</v>
      </c>
      <c r="K81" s="2">
        <v>646.89</v>
      </c>
      <c r="L81" s="2">
        <v>346.33</v>
      </c>
      <c r="M81" s="2">
        <v>1159.4000000000001</v>
      </c>
      <c r="N81" s="2">
        <v>567.27</v>
      </c>
      <c r="O81" s="2">
        <v>1047.28</v>
      </c>
      <c r="P81" s="2">
        <v>479.49</v>
      </c>
      <c r="Q81" s="2">
        <v>1336.76</v>
      </c>
      <c r="R81" s="2">
        <v>511.16</v>
      </c>
      <c r="S81" s="2">
        <v>436.63</v>
      </c>
      <c r="T81" s="2">
        <v>392.2</v>
      </c>
      <c r="U81" s="2">
        <v>409.98</v>
      </c>
      <c r="V81" s="2">
        <v>339.53</v>
      </c>
      <c r="X81" s="1" t="s">
        <v>68</v>
      </c>
      <c r="Y81" s="2">
        <v>1.33</v>
      </c>
      <c r="Z81" s="2">
        <v>1.3</v>
      </c>
      <c r="AA81" s="2">
        <v>1.33</v>
      </c>
      <c r="AB81" s="2">
        <v>1.3</v>
      </c>
      <c r="AC81" s="2">
        <v>0.52</v>
      </c>
      <c r="AD81" s="2">
        <v>0.5</v>
      </c>
      <c r="AE81" s="2">
        <v>1.44</v>
      </c>
      <c r="AF81" s="2">
        <v>1.37</v>
      </c>
      <c r="AG81" s="2">
        <v>1.84</v>
      </c>
      <c r="AH81" s="2">
        <v>1.71</v>
      </c>
      <c r="AI81" s="2">
        <v>3.44</v>
      </c>
      <c r="AJ81" s="2">
        <v>3.09</v>
      </c>
      <c r="AK81" s="2">
        <v>2.69</v>
      </c>
      <c r="AL81" s="2">
        <v>2.4900000000000002</v>
      </c>
      <c r="AM81" s="2">
        <v>3.47</v>
      </c>
      <c r="AN81" s="2">
        <v>3.26</v>
      </c>
      <c r="AO81" s="2">
        <v>2.92</v>
      </c>
      <c r="AP81" s="2">
        <v>2.91</v>
      </c>
      <c r="AQ81" s="2">
        <v>3.86</v>
      </c>
      <c r="AR81" s="2">
        <v>3.86</v>
      </c>
      <c r="AU81" s="1" t="s">
        <v>68</v>
      </c>
      <c r="AV81" s="2">
        <v>3.06</v>
      </c>
      <c r="AW81" s="2">
        <v>1.42</v>
      </c>
      <c r="AX81" s="2">
        <v>3.05</v>
      </c>
      <c r="AY81" s="2">
        <v>1.42</v>
      </c>
      <c r="AZ81" s="2">
        <v>0.88</v>
      </c>
      <c r="BA81" s="2">
        <v>0.94</v>
      </c>
      <c r="BB81" s="2">
        <v>2.36</v>
      </c>
      <c r="BC81" s="2">
        <v>1.71</v>
      </c>
      <c r="BD81" s="2">
        <v>3.02</v>
      </c>
      <c r="BE81" s="2">
        <v>1.95</v>
      </c>
      <c r="BF81" s="2">
        <v>5.71</v>
      </c>
      <c r="BG81" s="2">
        <v>3.51</v>
      </c>
      <c r="BH81" s="2">
        <v>4.5199999999999996</v>
      </c>
      <c r="BI81" s="2">
        <v>2.86</v>
      </c>
      <c r="BJ81" s="2">
        <v>5.84</v>
      </c>
      <c r="BK81" s="2">
        <v>3.66</v>
      </c>
      <c r="BL81" s="2">
        <v>3.47</v>
      </c>
      <c r="BM81" s="2">
        <v>3.09</v>
      </c>
      <c r="BN81" s="2">
        <v>4.08</v>
      </c>
      <c r="BO81" s="2">
        <v>3.97</v>
      </c>
      <c r="BR81" s="1" t="s">
        <v>68</v>
      </c>
      <c r="BS81" s="2">
        <v>-0.56000000000000005</v>
      </c>
      <c r="BT81" s="2">
        <v>-0.09</v>
      </c>
      <c r="BU81" s="2">
        <v>-0.56999999999999995</v>
      </c>
      <c r="BV81" s="2">
        <v>-0.08</v>
      </c>
      <c r="BW81" s="2">
        <v>-0.41</v>
      </c>
      <c r="BX81" s="2">
        <v>-0.47</v>
      </c>
      <c r="BY81" s="2">
        <v>-0.39</v>
      </c>
      <c r="BZ81" s="2">
        <v>-0.2</v>
      </c>
      <c r="CA81" s="2">
        <v>-0.39</v>
      </c>
      <c r="CB81" s="2">
        <v>-0.12</v>
      </c>
      <c r="CC81" s="2">
        <v>-0.4</v>
      </c>
      <c r="CD81" s="2">
        <v>-0.12</v>
      </c>
      <c r="CE81" s="2">
        <v>-0.4</v>
      </c>
      <c r="CF81" s="2">
        <v>-0.13</v>
      </c>
      <c r="CG81" s="2">
        <v>-0.41</v>
      </c>
      <c r="CH81" s="2">
        <v>-0.11</v>
      </c>
      <c r="CI81" s="2">
        <v>-0.16</v>
      </c>
      <c r="CJ81" s="2">
        <v>-0.06</v>
      </c>
      <c r="CK81" s="2">
        <v>-0.05</v>
      </c>
      <c r="CL81" s="2">
        <v>-0.03</v>
      </c>
    </row>
    <row r="82" spans="2:90" x14ac:dyDescent="0.3">
      <c r="B82" s="1" t="s">
        <v>69</v>
      </c>
      <c r="C82" s="2">
        <v>117.83</v>
      </c>
      <c r="D82" s="2">
        <v>21.34</v>
      </c>
      <c r="E82" s="2">
        <v>100.58</v>
      </c>
      <c r="F82" s="2">
        <v>11.4</v>
      </c>
      <c r="G82" s="2">
        <v>28.5</v>
      </c>
      <c r="H82" s="2">
        <v>51.66</v>
      </c>
      <c r="I82" s="2">
        <v>192.21</v>
      </c>
      <c r="J82" s="2">
        <v>90.46</v>
      </c>
      <c r="K82" s="2">
        <v>247.42</v>
      </c>
      <c r="L82" s="2">
        <v>82.25</v>
      </c>
      <c r="M82" s="2">
        <v>409.14</v>
      </c>
      <c r="N82" s="2">
        <v>118.43</v>
      </c>
      <c r="O82" s="2">
        <v>359.74</v>
      </c>
      <c r="P82" s="2">
        <v>101.34</v>
      </c>
      <c r="Q82" s="2">
        <v>352.37</v>
      </c>
      <c r="R82" s="2">
        <v>147.83000000000001</v>
      </c>
      <c r="S82" s="2">
        <v>138.44</v>
      </c>
      <c r="T82" s="2">
        <v>87.49</v>
      </c>
      <c r="U82" s="2">
        <v>130.47</v>
      </c>
      <c r="V82" s="2">
        <v>113.28</v>
      </c>
      <c r="X82" s="1" t="s">
        <v>69</v>
      </c>
      <c r="Y82" s="2">
        <v>1.3</v>
      </c>
      <c r="Z82" s="2">
        <v>1.3</v>
      </c>
      <c r="AA82" s="2">
        <v>1.3</v>
      </c>
      <c r="AB82" s="2">
        <v>1.3</v>
      </c>
      <c r="AC82" s="2">
        <v>0.5</v>
      </c>
      <c r="AD82" s="2">
        <v>0.5</v>
      </c>
      <c r="AE82" s="2">
        <v>1.38</v>
      </c>
      <c r="AF82" s="2">
        <v>1.37</v>
      </c>
      <c r="AG82" s="2">
        <v>1.73</v>
      </c>
      <c r="AH82" s="2">
        <v>1.71</v>
      </c>
      <c r="AI82" s="2">
        <v>3.11</v>
      </c>
      <c r="AJ82" s="2">
        <v>3.09</v>
      </c>
      <c r="AK82" s="2">
        <v>2.5</v>
      </c>
      <c r="AL82" s="2">
        <v>2.4900000000000002</v>
      </c>
      <c r="AM82" s="2">
        <v>3.26</v>
      </c>
      <c r="AN82" s="2">
        <v>3.26</v>
      </c>
      <c r="AO82" s="2">
        <v>2.91</v>
      </c>
      <c r="AP82" s="2">
        <v>2.91</v>
      </c>
      <c r="AQ82" s="2">
        <v>3.86</v>
      </c>
      <c r="AR82" s="2">
        <v>3.86</v>
      </c>
      <c r="AU82" s="1" t="s">
        <v>69</v>
      </c>
      <c r="AV82" s="2">
        <v>2.66</v>
      </c>
      <c r="AW82" s="2">
        <v>1.45</v>
      </c>
      <c r="AX82" s="2">
        <v>2.59</v>
      </c>
      <c r="AY82" s="2">
        <v>1.42</v>
      </c>
      <c r="AZ82" s="2">
        <v>0.81</v>
      </c>
      <c r="BA82" s="2">
        <v>1.01</v>
      </c>
      <c r="BB82" s="2">
        <v>2.27</v>
      </c>
      <c r="BC82" s="2">
        <v>1.84</v>
      </c>
      <c r="BD82" s="2">
        <v>2.75</v>
      </c>
      <c r="BE82" s="2">
        <v>2.0299999999999998</v>
      </c>
      <c r="BF82" s="2">
        <v>4.95</v>
      </c>
      <c r="BG82" s="2">
        <v>3.56</v>
      </c>
      <c r="BH82" s="2">
        <v>3.99</v>
      </c>
      <c r="BI82" s="2">
        <v>2.89</v>
      </c>
      <c r="BJ82" s="2">
        <v>4.5599999999999996</v>
      </c>
      <c r="BK82" s="2">
        <v>3.64</v>
      </c>
      <c r="BL82" s="2">
        <v>3.25</v>
      </c>
      <c r="BM82" s="2">
        <v>3.14</v>
      </c>
      <c r="BN82" s="2">
        <v>4.1399999999999997</v>
      </c>
      <c r="BO82" s="2">
        <v>4.0599999999999996</v>
      </c>
      <c r="BR82" s="1" t="s">
        <v>69</v>
      </c>
      <c r="BS82" s="2">
        <v>-0.51</v>
      </c>
      <c r="BT82" s="2">
        <v>-0.1</v>
      </c>
      <c r="BU82" s="2">
        <v>-0.5</v>
      </c>
      <c r="BV82" s="2">
        <v>-0.09</v>
      </c>
      <c r="BW82" s="2">
        <v>-0.38</v>
      </c>
      <c r="BX82" s="2">
        <v>-0.5</v>
      </c>
      <c r="BY82" s="2">
        <v>-0.39</v>
      </c>
      <c r="BZ82" s="2">
        <v>-0.26</v>
      </c>
      <c r="CA82" s="2">
        <v>-0.37</v>
      </c>
      <c r="CB82" s="2">
        <v>-0.15</v>
      </c>
      <c r="CC82" s="2">
        <v>-0.37</v>
      </c>
      <c r="CD82" s="2">
        <v>-0.13</v>
      </c>
      <c r="CE82" s="2">
        <v>-0.37</v>
      </c>
      <c r="CF82" s="2">
        <v>-0.14000000000000001</v>
      </c>
      <c r="CG82" s="2">
        <v>-0.28999999999999998</v>
      </c>
      <c r="CH82" s="2">
        <v>-0.11</v>
      </c>
      <c r="CI82" s="2">
        <v>-0.1</v>
      </c>
      <c r="CJ82" s="2">
        <v>-7.0000000000000007E-2</v>
      </c>
      <c r="CK82" s="2">
        <v>-7.0000000000000007E-2</v>
      </c>
      <c r="CL82" s="2">
        <v>-0.05</v>
      </c>
    </row>
    <row r="83" spans="2:90" x14ac:dyDescent="0.3">
      <c r="B83" s="1" t="s">
        <v>70</v>
      </c>
      <c r="C83" s="2">
        <v>268.22000000000003</v>
      </c>
      <c r="D83" s="2">
        <v>288.58999999999997</v>
      </c>
      <c r="E83" s="2">
        <v>257.27999999999997</v>
      </c>
      <c r="F83" s="2">
        <v>96.19</v>
      </c>
      <c r="G83" s="2">
        <v>93.16</v>
      </c>
      <c r="H83" s="2">
        <v>136.84</v>
      </c>
      <c r="I83" s="2">
        <v>273.02</v>
      </c>
      <c r="J83" s="2">
        <v>500.94</v>
      </c>
      <c r="K83" s="2">
        <v>608.51</v>
      </c>
      <c r="L83" s="2">
        <v>618.63</v>
      </c>
      <c r="M83" s="2">
        <v>794.9</v>
      </c>
      <c r="N83" s="2">
        <v>705.81</v>
      </c>
      <c r="O83" s="2">
        <v>589.52</v>
      </c>
      <c r="P83" s="2">
        <v>558</v>
      </c>
      <c r="Q83" s="2">
        <v>628.35</v>
      </c>
      <c r="R83" s="2">
        <v>629.91999999999996</v>
      </c>
      <c r="S83" s="2">
        <v>510.7</v>
      </c>
      <c r="T83" s="2">
        <v>386.99</v>
      </c>
      <c r="U83" s="2">
        <v>574.15</v>
      </c>
      <c r="V83" s="2">
        <v>404.3</v>
      </c>
      <c r="X83" s="1" t="s">
        <v>70</v>
      </c>
      <c r="Y83" s="2">
        <v>1.3</v>
      </c>
      <c r="Z83" s="2">
        <v>1.3</v>
      </c>
      <c r="AA83" s="2">
        <v>1.31</v>
      </c>
      <c r="AB83" s="2">
        <v>1.3</v>
      </c>
      <c r="AC83" s="2">
        <v>0.5</v>
      </c>
      <c r="AD83" s="2">
        <v>0.5</v>
      </c>
      <c r="AE83" s="2">
        <v>1.37</v>
      </c>
      <c r="AF83" s="2">
        <v>1.37</v>
      </c>
      <c r="AG83" s="2">
        <v>1.72</v>
      </c>
      <c r="AH83" s="2">
        <v>1.72</v>
      </c>
      <c r="AI83" s="2">
        <v>3.09</v>
      </c>
      <c r="AJ83" s="2">
        <v>3.09</v>
      </c>
      <c r="AK83" s="2">
        <v>2.4900000000000002</v>
      </c>
      <c r="AL83" s="2">
        <v>2.4900000000000002</v>
      </c>
      <c r="AM83" s="2">
        <v>3.26</v>
      </c>
      <c r="AN83" s="2">
        <v>3.26</v>
      </c>
      <c r="AO83" s="2">
        <v>2.91</v>
      </c>
      <c r="AP83" s="2">
        <v>2.91</v>
      </c>
      <c r="AQ83" s="2">
        <v>3.86</v>
      </c>
      <c r="AR83" s="2">
        <v>3.86</v>
      </c>
      <c r="AU83" s="1" t="s">
        <v>70</v>
      </c>
      <c r="AV83" s="2">
        <v>2.0099999999999998</v>
      </c>
      <c r="AW83" s="2">
        <v>1.92</v>
      </c>
      <c r="AX83" s="2">
        <v>2.0099999999999998</v>
      </c>
      <c r="AY83" s="2">
        <v>1.56</v>
      </c>
      <c r="AZ83" s="2">
        <v>0.76</v>
      </c>
      <c r="BA83" s="2">
        <v>0.77</v>
      </c>
      <c r="BB83" s="2">
        <v>1.62</v>
      </c>
      <c r="BC83" s="2">
        <v>2.0699999999999998</v>
      </c>
      <c r="BD83" s="2">
        <v>2.39</v>
      </c>
      <c r="BE83" s="2">
        <v>2.46</v>
      </c>
      <c r="BF83" s="2">
        <v>4.13</v>
      </c>
      <c r="BG83" s="2">
        <v>4.01</v>
      </c>
      <c r="BH83" s="2">
        <v>3.14</v>
      </c>
      <c r="BI83" s="2">
        <v>3.1</v>
      </c>
      <c r="BJ83" s="2">
        <v>3.76</v>
      </c>
      <c r="BK83" s="2">
        <v>3.8</v>
      </c>
      <c r="BL83" s="2">
        <v>3.24</v>
      </c>
      <c r="BM83" s="2">
        <v>3.17</v>
      </c>
      <c r="BN83" s="2">
        <v>4.24</v>
      </c>
      <c r="BO83" s="2">
        <v>4.04</v>
      </c>
      <c r="BR83" s="1" t="s">
        <v>70</v>
      </c>
      <c r="BS83" s="2">
        <v>-0.35</v>
      </c>
      <c r="BT83" s="2">
        <v>-0.32</v>
      </c>
      <c r="BU83" s="2">
        <v>-0.35</v>
      </c>
      <c r="BV83" s="2">
        <v>-0.17</v>
      </c>
      <c r="BW83" s="2">
        <v>-0.34</v>
      </c>
      <c r="BX83" s="2">
        <v>-0.35</v>
      </c>
      <c r="BY83" s="2">
        <v>-0.15</v>
      </c>
      <c r="BZ83" s="2">
        <v>-0.34</v>
      </c>
      <c r="CA83" s="2">
        <v>-0.28000000000000003</v>
      </c>
      <c r="CB83" s="2">
        <v>-0.3</v>
      </c>
      <c r="CC83" s="2">
        <v>-0.25</v>
      </c>
      <c r="CD83" s="2">
        <v>-0.23</v>
      </c>
      <c r="CE83" s="2">
        <v>-0.21</v>
      </c>
      <c r="CF83" s="2">
        <v>-0.2</v>
      </c>
      <c r="CG83" s="2">
        <v>-0.13</v>
      </c>
      <c r="CH83" s="2">
        <v>-0.14000000000000001</v>
      </c>
      <c r="CI83" s="2">
        <v>-0.1</v>
      </c>
      <c r="CJ83" s="2">
        <v>-0.08</v>
      </c>
      <c r="CK83" s="2">
        <v>-0.09</v>
      </c>
      <c r="CL83" s="2">
        <v>-0.05</v>
      </c>
    </row>
    <row r="84" spans="2:90" x14ac:dyDescent="0.3">
      <c r="B84" s="1" t="s">
        <v>71</v>
      </c>
      <c r="C84" s="2">
        <v>59.82</v>
      </c>
      <c r="D84" s="2">
        <v>22.74</v>
      </c>
      <c r="E84" s="2">
        <v>62.46</v>
      </c>
      <c r="F84" s="2">
        <v>22.55</v>
      </c>
      <c r="G84" s="2">
        <v>16.38</v>
      </c>
      <c r="H84" s="2">
        <v>12.32</v>
      </c>
      <c r="I84" s="2">
        <v>28.09</v>
      </c>
      <c r="J84" s="2">
        <v>39.9</v>
      </c>
      <c r="K84" s="2">
        <v>30.64</v>
      </c>
      <c r="L84" s="2">
        <v>74.56</v>
      </c>
      <c r="M84" s="2">
        <v>76.11</v>
      </c>
      <c r="N84" s="2">
        <v>117.8</v>
      </c>
      <c r="O84" s="2">
        <v>68.040000000000006</v>
      </c>
      <c r="P84" s="2">
        <v>77.08</v>
      </c>
      <c r="Q84" s="2">
        <v>85.39</v>
      </c>
      <c r="R84" s="2">
        <v>129.55000000000001</v>
      </c>
      <c r="S84" s="2">
        <v>79.900000000000006</v>
      </c>
      <c r="T84" s="2">
        <v>58.16</v>
      </c>
      <c r="U84" s="2">
        <v>73.319999999999993</v>
      </c>
      <c r="V84" s="2">
        <v>47.96</v>
      </c>
      <c r="X84" s="1" t="s">
        <v>71</v>
      </c>
      <c r="Y84" s="2">
        <v>1.31</v>
      </c>
      <c r="Z84" s="2">
        <v>1.31</v>
      </c>
      <c r="AA84" s="2">
        <v>1.3</v>
      </c>
      <c r="AB84" s="2">
        <v>1.3</v>
      </c>
      <c r="AC84" s="2">
        <v>0.5</v>
      </c>
      <c r="AD84" s="2">
        <v>0.5</v>
      </c>
      <c r="AE84" s="2">
        <v>1.37</v>
      </c>
      <c r="AF84" s="2">
        <v>1.37</v>
      </c>
      <c r="AG84" s="2">
        <v>1.71</v>
      </c>
      <c r="AH84" s="2">
        <v>1.73</v>
      </c>
      <c r="AI84" s="2">
        <v>3.09</v>
      </c>
      <c r="AJ84" s="2">
        <v>3.12</v>
      </c>
      <c r="AK84" s="2">
        <v>2.4900000000000002</v>
      </c>
      <c r="AL84" s="2">
        <v>2.4900000000000002</v>
      </c>
      <c r="AM84" s="2">
        <v>3.26</v>
      </c>
      <c r="AN84" s="2">
        <v>3.27</v>
      </c>
      <c r="AO84" s="2">
        <v>2.91</v>
      </c>
      <c r="AP84" s="2">
        <v>2.92</v>
      </c>
      <c r="AQ84" s="2">
        <v>3.86</v>
      </c>
      <c r="AR84" s="2">
        <v>3.86</v>
      </c>
      <c r="AU84" s="1" t="s">
        <v>71</v>
      </c>
      <c r="AV84" s="2">
        <v>2.06</v>
      </c>
      <c r="AW84" s="2">
        <v>2.06</v>
      </c>
      <c r="AX84" s="2">
        <v>2.44</v>
      </c>
      <c r="AY84" s="2">
        <v>2.4300000000000002</v>
      </c>
      <c r="AZ84" s="2">
        <v>0.77</v>
      </c>
      <c r="BA84" s="2">
        <v>0.78</v>
      </c>
      <c r="BB84" s="2">
        <v>1.65</v>
      </c>
      <c r="BC84" s="2">
        <v>2.13</v>
      </c>
      <c r="BD84" s="2">
        <v>1.94</v>
      </c>
      <c r="BE84" s="2">
        <v>2.68</v>
      </c>
      <c r="BF84" s="2">
        <v>3.71</v>
      </c>
      <c r="BG84" s="2">
        <v>4.82</v>
      </c>
      <c r="BH84" s="2">
        <v>2.96</v>
      </c>
      <c r="BI84" s="2">
        <v>3.63</v>
      </c>
      <c r="BJ84" s="2">
        <v>3.86</v>
      </c>
      <c r="BK84" s="2">
        <v>4.7300000000000004</v>
      </c>
      <c r="BL84" s="2">
        <v>3.34</v>
      </c>
      <c r="BM84" s="2">
        <v>4</v>
      </c>
      <c r="BN84" s="2">
        <v>4.22</v>
      </c>
      <c r="BO84" s="2">
        <v>4.09</v>
      </c>
      <c r="BR84" s="1" t="s">
        <v>71</v>
      </c>
      <c r="BS84" s="2">
        <v>-0.37</v>
      </c>
      <c r="BT84" s="2">
        <v>-0.37</v>
      </c>
      <c r="BU84" s="2">
        <v>-0.47</v>
      </c>
      <c r="BV84" s="2">
        <v>-0.46</v>
      </c>
      <c r="BW84" s="2">
        <v>-0.35</v>
      </c>
      <c r="BX84" s="2">
        <v>-0.36</v>
      </c>
      <c r="BY84" s="2">
        <v>-0.17</v>
      </c>
      <c r="BZ84" s="2">
        <v>-0.36</v>
      </c>
      <c r="CA84" s="2">
        <v>-0.11</v>
      </c>
      <c r="CB84" s="2">
        <v>-0.35</v>
      </c>
      <c r="CC84" s="2">
        <v>-0.17</v>
      </c>
      <c r="CD84" s="2">
        <v>-0.35</v>
      </c>
      <c r="CE84" s="2">
        <v>-0.16</v>
      </c>
      <c r="CF84" s="2">
        <v>-0.31</v>
      </c>
      <c r="CG84" s="2">
        <v>-0.15</v>
      </c>
      <c r="CH84" s="2">
        <v>-0.31</v>
      </c>
      <c r="CI84" s="2">
        <v>-0.13</v>
      </c>
      <c r="CJ84" s="2">
        <v>-0.27</v>
      </c>
      <c r="CK84" s="2">
        <v>-0.09</v>
      </c>
      <c r="CL84" s="2">
        <v>-0.06</v>
      </c>
    </row>
    <row r="85" spans="2:90" x14ac:dyDescent="0.3">
      <c r="B85" s="1" t="s">
        <v>72</v>
      </c>
      <c r="C85" s="2">
        <v>226.23</v>
      </c>
      <c r="D85" s="2">
        <v>233.68</v>
      </c>
      <c r="E85" s="2">
        <v>116.76</v>
      </c>
      <c r="F85" s="2">
        <v>178.13</v>
      </c>
      <c r="G85" s="2">
        <v>41.21</v>
      </c>
      <c r="H85" s="2">
        <v>96.8</v>
      </c>
      <c r="I85" s="2">
        <v>145.81</v>
      </c>
      <c r="J85" s="2">
        <v>170.42</v>
      </c>
      <c r="K85" s="2">
        <v>144.93</v>
      </c>
      <c r="L85" s="2">
        <v>247.59</v>
      </c>
      <c r="M85" s="2">
        <v>238.31</v>
      </c>
      <c r="N85" s="2">
        <v>426.74</v>
      </c>
      <c r="O85" s="2">
        <v>188.05</v>
      </c>
      <c r="P85" s="2">
        <v>330.43</v>
      </c>
      <c r="Q85" s="2">
        <v>330.45</v>
      </c>
      <c r="R85" s="2">
        <v>358.2</v>
      </c>
      <c r="S85" s="2">
        <v>227.2</v>
      </c>
      <c r="T85" s="2">
        <v>168.53</v>
      </c>
      <c r="U85" s="2">
        <v>221.09</v>
      </c>
      <c r="V85" s="2">
        <v>163.22</v>
      </c>
      <c r="X85" s="1" t="s">
        <v>72</v>
      </c>
      <c r="Y85" s="2">
        <v>1.33</v>
      </c>
      <c r="Z85" s="2">
        <v>1.33</v>
      </c>
      <c r="AA85" s="2">
        <v>1.3</v>
      </c>
      <c r="AB85" s="2">
        <v>1.34</v>
      </c>
      <c r="AC85" s="2">
        <v>0.5</v>
      </c>
      <c r="AD85" s="2">
        <v>0.51</v>
      </c>
      <c r="AE85" s="2">
        <v>1.38</v>
      </c>
      <c r="AF85" s="2">
        <v>1.42</v>
      </c>
      <c r="AG85" s="2">
        <v>1.72</v>
      </c>
      <c r="AH85" s="2">
        <v>1.95</v>
      </c>
      <c r="AI85" s="2">
        <v>3.09</v>
      </c>
      <c r="AJ85" s="2">
        <v>3.51</v>
      </c>
      <c r="AK85" s="2">
        <v>2.4900000000000002</v>
      </c>
      <c r="AL85" s="2">
        <v>2.64</v>
      </c>
      <c r="AM85" s="2">
        <v>3.27</v>
      </c>
      <c r="AN85" s="2">
        <v>3.28</v>
      </c>
      <c r="AO85" s="2">
        <v>2.92</v>
      </c>
      <c r="AP85" s="2">
        <v>2.92</v>
      </c>
      <c r="AQ85" s="2">
        <v>3.86</v>
      </c>
      <c r="AR85" s="2">
        <v>3.86</v>
      </c>
      <c r="AU85" s="1" t="s">
        <v>72</v>
      </c>
      <c r="AV85" s="2">
        <v>2.92</v>
      </c>
      <c r="AW85" s="2">
        <v>2.95</v>
      </c>
      <c r="AX85" s="2">
        <v>2.35</v>
      </c>
      <c r="AY85" s="2">
        <v>2.81</v>
      </c>
      <c r="AZ85" s="2">
        <v>0.73</v>
      </c>
      <c r="BA85" s="2">
        <v>1.1100000000000001</v>
      </c>
      <c r="BB85" s="2">
        <v>1.88</v>
      </c>
      <c r="BC85" s="2">
        <v>2.34</v>
      </c>
      <c r="BD85" s="2">
        <v>2.04</v>
      </c>
      <c r="BE85" s="2">
        <v>3.1</v>
      </c>
      <c r="BF85" s="2">
        <v>3.78</v>
      </c>
      <c r="BG85" s="2">
        <v>5.57</v>
      </c>
      <c r="BH85" s="2">
        <v>3.06</v>
      </c>
      <c r="BI85" s="2">
        <v>4.07</v>
      </c>
      <c r="BJ85" s="2">
        <v>4.16</v>
      </c>
      <c r="BK85" s="2">
        <v>4.47</v>
      </c>
      <c r="BL85" s="2">
        <v>3.38</v>
      </c>
      <c r="BM85" s="2">
        <v>3.43</v>
      </c>
      <c r="BN85" s="2">
        <v>4.32</v>
      </c>
      <c r="BO85" s="2">
        <v>4.2699999999999996</v>
      </c>
      <c r="BR85" s="1" t="s">
        <v>72</v>
      </c>
      <c r="BS85" s="2">
        <v>-0.55000000000000004</v>
      </c>
      <c r="BT85" s="2">
        <v>-0.55000000000000004</v>
      </c>
      <c r="BU85" s="2">
        <v>-0.45</v>
      </c>
      <c r="BV85" s="2">
        <v>-0.52</v>
      </c>
      <c r="BW85" s="2">
        <v>-0.31</v>
      </c>
      <c r="BX85" s="2">
        <v>-0.54</v>
      </c>
      <c r="BY85" s="2">
        <v>-0.27</v>
      </c>
      <c r="BZ85" s="2">
        <v>-0.39</v>
      </c>
      <c r="CA85" s="2">
        <v>-0.16</v>
      </c>
      <c r="CB85" s="2">
        <v>-0.37</v>
      </c>
      <c r="CC85" s="2">
        <v>-0.18</v>
      </c>
      <c r="CD85" s="2">
        <v>-0.37</v>
      </c>
      <c r="CE85" s="2">
        <v>-0.19</v>
      </c>
      <c r="CF85" s="2">
        <v>-0.35</v>
      </c>
      <c r="CG85" s="2">
        <v>-0.21</v>
      </c>
      <c r="CH85" s="2">
        <v>-0.27</v>
      </c>
      <c r="CI85" s="2">
        <v>-0.14000000000000001</v>
      </c>
      <c r="CJ85" s="2">
        <v>-0.15</v>
      </c>
      <c r="CK85" s="2">
        <v>-0.11</v>
      </c>
      <c r="CL85" s="2">
        <v>-0.1</v>
      </c>
    </row>
    <row r="86" spans="2:90" x14ac:dyDescent="0.3">
      <c r="B86" s="1" t="s">
        <v>73</v>
      </c>
      <c r="C86" s="2">
        <v>10.07</v>
      </c>
      <c r="D86" s="2">
        <v>23.92</v>
      </c>
      <c r="E86" s="2">
        <v>2.6</v>
      </c>
      <c r="F86" s="2">
        <v>3.68</v>
      </c>
      <c r="G86" s="2">
        <v>0.2</v>
      </c>
      <c r="H86" s="2">
        <v>1.61</v>
      </c>
      <c r="I86" s="2">
        <v>8.7200000000000006</v>
      </c>
      <c r="J86" s="2">
        <v>22.68</v>
      </c>
      <c r="K86" s="2">
        <v>18.45</v>
      </c>
      <c r="L86" s="2">
        <v>46.04</v>
      </c>
      <c r="M86" s="2">
        <v>58.21</v>
      </c>
      <c r="N86" s="2">
        <v>56.39</v>
      </c>
      <c r="O86" s="2">
        <v>53.02</v>
      </c>
      <c r="P86" s="2">
        <v>28.08</v>
      </c>
      <c r="Q86" s="2">
        <v>35.18</v>
      </c>
      <c r="R86" s="2">
        <v>15.52</v>
      </c>
      <c r="S86" s="2">
        <v>14.44</v>
      </c>
      <c r="T86" s="2">
        <v>11.62</v>
      </c>
      <c r="U86" s="2">
        <v>32.049999999999997</v>
      </c>
      <c r="V86" s="2">
        <v>29.96</v>
      </c>
      <c r="X86" s="1" t="s">
        <v>73</v>
      </c>
      <c r="Y86" s="2">
        <v>1.3</v>
      </c>
      <c r="Z86" s="2">
        <v>1.3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1.71</v>
      </c>
      <c r="AH86" s="2">
        <v>1.71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73</v>
      </c>
      <c r="AV86" s="2">
        <v>1.48</v>
      </c>
      <c r="AW86" s="2">
        <v>1.62</v>
      </c>
      <c r="AX86" s="2">
        <v>1.42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1.91</v>
      </c>
      <c r="BD86" s="2">
        <v>1.83</v>
      </c>
      <c r="BE86" s="2">
        <v>2.27</v>
      </c>
      <c r="BF86" s="2">
        <v>3.6</v>
      </c>
      <c r="BG86" s="2">
        <v>4.09</v>
      </c>
      <c r="BH86" s="2">
        <v>3.03</v>
      </c>
      <c r="BI86" s="2">
        <v>3.11</v>
      </c>
      <c r="BJ86" s="2">
        <v>3.74</v>
      </c>
      <c r="BK86" s="2">
        <v>3.65</v>
      </c>
      <c r="BL86" s="2">
        <v>3.23</v>
      </c>
      <c r="BM86" s="2">
        <v>3.08</v>
      </c>
      <c r="BN86" s="2">
        <v>4.1100000000000003</v>
      </c>
      <c r="BO86" s="2">
        <v>4</v>
      </c>
      <c r="BR86" s="1" t="s">
        <v>73</v>
      </c>
      <c r="BS86" s="2">
        <v>-0.12</v>
      </c>
      <c r="BT86" s="2">
        <v>-0.2</v>
      </c>
      <c r="BU86" s="2">
        <v>-0.08</v>
      </c>
      <c r="BV86" s="2">
        <v>-0.09</v>
      </c>
      <c r="BW86" s="2">
        <v>-0.08</v>
      </c>
      <c r="BX86" s="2">
        <v>-0.09</v>
      </c>
      <c r="BY86" s="2">
        <v>-7.0000000000000007E-2</v>
      </c>
      <c r="BZ86" s="2">
        <v>-0.28000000000000003</v>
      </c>
      <c r="CA86" s="2">
        <v>-0.06</v>
      </c>
      <c r="CB86" s="2">
        <v>-0.25</v>
      </c>
      <c r="CC86" s="2">
        <v>-0.14000000000000001</v>
      </c>
      <c r="CD86" s="2">
        <v>-0.25</v>
      </c>
      <c r="CE86" s="2">
        <v>-0.18</v>
      </c>
      <c r="CF86" s="2">
        <v>-0.2</v>
      </c>
      <c r="CG86" s="2">
        <v>-0.13</v>
      </c>
      <c r="CH86" s="2">
        <v>-0.11</v>
      </c>
      <c r="CI86" s="2">
        <v>-0.1</v>
      </c>
      <c r="CJ86" s="2">
        <v>-0.05</v>
      </c>
      <c r="CK86" s="2">
        <v>-0.06</v>
      </c>
      <c r="CL86" s="2">
        <v>-0.04</v>
      </c>
    </row>
    <row r="87" spans="2:90" x14ac:dyDescent="0.3">
      <c r="W87" s="5">
        <f>SUM(C79:V86)/$W$45</f>
        <v>1.7737661167036501E-2</v>
      </c>
    </row>
    <row r="89" spans="2:90" x14ac:dyDescent="0.3">
      <c r="B89" t="s">
        <v>28</v>
      </c>
      <c r="X89" t="s">
        <v>29</v>
      </c>
      <c r="AU89" t="s">
        <v>30</v>
      </c>
      <c r="BR89" t="s">
        <v>31</v>
      </c>
    </row>
    <row r="90" spans="2:90" x14ac:dyDescent="0.3">
      <c r="B90" s="1" t="s">
        <v>6</v>
      </c>
      <c r="C90" s="1" t="s">
        <v>63</v>
      </c>
      <c r="D90" s="1" t="s">
        <v>64</v>
      </c>
      <c r="E90" s="1" t="s">
        <v>63</v>
      </c>
      <c r="F90" s="1" t="s">
        <v>64</v>
      </c>
      <c r="G90" s="1" t="s">
        <v>63</v>
      </c>
      <c r="H90" s="1" t="s">
        <v>64</v>
      </c>
      <c r="I90" s="1" t="s">
        <v>63</v>
      </c>
      <c r="J90" s="1" t="s">
        <v>64</v>
      </c>
      <c r="K90" s="1" t="s">
        <v>63</v>
      </c>
      <c r="L90" s="1" t="s">
        <v>64</v>
      </c>
      <c r="M90" s="1" t="s">
        <v>63</v>
      </c>
      <c r="N90" s="1" t="s">
        <v>64</v>
      </c>
      <c r="O90" s="1" t="s">
        <v>63</v>
      </c>
      <c r="P90" s="1" t="s">
        <v>64</v>
      </c>
      <c r="Q90" s="1" t="s">
        <v>63</v>
      </c>
      <c r="R90" s="1" t="s">
        <v>64</v>
      </c>
      <c r="S90" s="1" t="s">
        <v>63</v>
      </c>
      <c r="T90" s="1" t="s">
        <v>64</v>
      </c>
      <c r="U90" s="1" t="s">
        <v>63</v>
      </c>
      <c r="V90" s="1" t="s">
        <v>64</v>
      </c>
      <c r="X90" s="1" t="s">
        <v>6</v>
      </c>
      <c r="Y90" s="3" t="s">
        <v>63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64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6</v>
      </c>
      <c r="AV90" s="3" t="s">
        <v>63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64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6</v>
      </c>
      <c r="BS90" s="1" t="s">
        <v>63</v>
      </c>
      <c r="BT90" s="1" t="s">
        <v>64</v>
      </c>
      <c r="BU90" s="1" t="s">
        <v>63</v>
      </c>
      <c r="BV90" s="1" t="s">
        <v>64</v>
      </c>
      <c r="BW90" s="1" t="s">
        <v>63</v>
      </c>
      <c r="BX90" s="1" t="s">
        <v>64</v>
      </c>
      <c r="BY90" s="1" t="s">
        <v>63</v>
      </c>
      <c r="BZ90" s="1" t="s">
        <v>64</v>
      </c>
      <c r="CA90" s="1" t="s">
        <v>63</v>
      </c>
      <c r="CB90" s="1" t="s">
        <v>64</v>
      </c>
      <c r="CC90" s="1" t="s">
        <v>63</v>
      </c>
      <c r="CD90" s="1" t="s">
        <v>64</v>
      </c>
      <c r="CE90" s="1" t="s">
        <v>63</v>
      </c>
      <c r="CF90" s="1" t="s">
        <v>64</v>
      </c>
      <c r="CG90" s="1" t="s">
        <v>63</v>
      </c>
      <c r="CH90" s="1" t="s">
        <v>64</v>
      </c>
      <c r="CI90" s="1" t="s">
        <v>63</v>
      </c>
      <c r="CJ90" s="1" t="s">
        <v>64</v>
      </c>
      <c r="CK90" s="1" t="s">
        <v>63</v>
      </c>
      <c r="CL90" s="1" t="s">
        <v>64</v>
      </c>
    </row>
    <row r="91" spans="2:90" x14ac:dyDescent="0.3">
      <c r="B91" s="1" t="s">
        <v>65</v>
      </c>
      <c r="C91" s="1" t="s">
        <v>53</v>
      </c>
      <c r="D91" s="1" t="s">
        <v>53</v>
      </c>
      <c r="E91" s="1" t="s">
        <v>54</v>
      </c>
      <c r="F91" s="1" t="s">
        <v>54</v>
      </c>
      <c r="G91" s="1" t="s">
        <v>55</v>
      </c>
      <c r="H91" s="1" t="s">
        <v>55</v>
      </c>
      <c r="I91" s="1" t="s">
        <v>56</v>
      </c>
      <c r="J91" s="1" t="s">
        <v>56</v>
      </c>
      <c r="K91" s="1" t="s">
        <v>57</v>
      </c>
      <c r="L91" s="1" t="s">
        <v>57</v>
      </c>
      <c r="M91" s="1" t="s">
        <v>58</v>
      </c>
      <c r="N91" s="1" t="s">
        <v>58</v>
      </c>
      <c r="O91" s="1" t="s">
        <v>59</v>
      </c>
      <c r="P91" s="1" t="s">
        <v>59</v>
      </c>
      <c r="Q91" s="1" t="s">
        <v>60</v>
      </c>
      <c r="R91" s="1" t="s">
        <v>60</v>
      </c>
      <c r="S91" s="1" t="s">
        <v>61</v>
      </c>
      <c r="T91" s="1" t="s">
        <v>61</v>
      </c>
      <c r="U91" s="1" t="s">
        <v>62</v>
      </c>
      <c r="V91" s="1" t="s">
        <v>62</v>
      </c>
      <c r="X91" s="1" t="s">
        <v>65</v>
      </c>
      <c r="Y91" s="1" t="s">
        <v>53</v>
      </c>
      <c r="Z91" s="1" t="s">
        <v>62</v>
      </c>
      <c r="AA91" s="1" t="s">
        <v>54</v>
      </c>
      <c r="AB91" s="1" t="s">
        <v>55</v>
      </c>
      <c r="AC91" s="1" t="s">
        <v>56</v>
      </c>
      <c r="AD91" s="1" t="s">
        <v>57</v>
      </c>
      <c r="AE91" s="1" t="s">
        <v>58</v>
      </c>
      <c r="AF91" s="1" t="s">
        <v>59</v>
      </c>
      <c r="AG91" s="1" t="s">
        <v>60</v>
      </c>
      <c r="AH91" s="1" t="s">
        <v>61</v>
      </c>
      <c r="AI91" s="1" t="s">
        <v>53</v>
      </c>
      <c r="AJ91" s="1" t="s">
        <v>62</v>
      </c>
      <c r="AK91" s="1" t="s">
        <v>54</v>
      </c>
      <c r="AL91" s="1" t="s">
        <v>55</v>
      </c>
      <c r="AM91" s="1" t="s">
        <v>56</v>
      </c>
      <c r="AN91" s="1" t="s">
        <v>57</v>
      </c>
      <c r="AO91" s="1" t="s">
        <v>58</v>
      </c>
      <c r="AP91" s="1" t="s">
        <v>59</v>
      </c>
      <c r="AQ91" s="1" t="s">
        <v>60</v>
      </c>
      <c r="AR91" s="1" t="s">
        <v>61</v>
      </c>
      <c r="AU91" s="1" t="s">
        <v>65</v>
      </c>
      <c r="AV91" s="1" t="s">
        <v>53</v>
      </c>
      <c r="AW91" s="1" t="s">
        <v>62</v>
      </c>
      <c r="AX91" s="1" t="s">
        <v>54</v>
      </c>
      <c r="AY91" s="1" t="s">
        <v>55</v>
      </c>
      <c r="AZ91" s="1" t="s">
        <v>56</v>
      </c>
      <c r="BA91" s="1" t="s">
        <v>57</v>
      </c>
      <c r="BB91" s="1" t="s">
        <v>58</v>
      </c>
      <c r="BC91" s="1" t="s">
        <v>59</v>
      </c>
      <c r="BD91" s="1" t="s">
        <v>60</v>
      </c>
      <c r="BE91" s="1" t="s">
        <v>61</v>
      </c>
      <c r="BF91" s="1" t="s">
        <v>53</v>
      </c>
      <c r="BG91" s="1" t="s">
        <v>62</v>
      </c>
      <c r="BH91" s="1" t="s">
        <v>54</v>
      </c>
      <c r="BI91" s="1" t="s">
        <v>55</v>
      </c>
      <c r="BJ91" s="1" t="s">
        <v>56</v>
      </c>
      <c r="BK91" s="1" t="s">
        <v>57</v>
      </c>
      <c r="BL91" s="1" t="s">
        <v>58</v>
      </c>
      <c r="BM91" s="1" t="s">
        <v>59</v>
      </c>
      <c r="BN91" s="1" t="s">
        <v>60</v>
      </c>
      <c r="BO91" s="1" t="s">
        <v>61</v>
      </c>
      <c r="BR91" s="1" t="s">
        <v>65</v>
      </c>
      <c r="BS91" s="1" t="s">
        <v>53</v>
      </c>
      <c r="BT91" s="1" t="s">
        <v>53</v>
      </c>
      <c r="BU91" s="1" t="s">
        <v>54</v>
      </c>
      <c r="BV91" s="1" t="s">
        <v>54</v>
      </c>
      <c r="BW91" s="1" t="s">
        <v>55</v>
      </c>
      <c r="BX91" s="1" t="s">
        <v>55</v>
      </c>
      <c r="BY91" s="1" t="s">
        <v>56</v>
      </c>
      <c r="BZ91" s="1" t="s">
        <v>56</v>
      </c>
      <c r="CA91" s="1" t="s">
        <v>57</v>
      </c>
      <c r="CB91" s="1" t="s">
        <v>57</v>
      </c>
      <c r="CC91" s="1" t="s">
        <v>58</v>
      </c>
      <c r="CD91" s="1" t="s">
        <v>58</v>
      </c>
      <c r="CE91" s="1" t="s">
        <v>59</v>
      </c>
      <c r="CF91" s="1" t="s">
        <v>59</v>
      </c>
      <c r="CG91" s="1" t="s">
        <v>60</v>
      </c>
      <c r="CH91" s="1" t="s">
        <v>60</v>
      </c>
      <c r="CI91" s="1" t="s">
        <v>61</v>
      </c>
      <c r="CJ91" s="1" t="s">
        <v>61</v>
      </c>
      <c r="CK91" s="1" t="s">
        <v>62</v>
      </c>
      <c r="CL91" s="1" t="s">
        <v>62</v>
      </c>
    </row>
    <row r="92" spans="2:90" x14ac:dyDescent="0.3">
      <c r="B92" s="1" t="s">
        <v>7</v>
      </c>
      <c r="X92" s="1" t="s">
        <v>7</v>
      </c>
      <c r="AU92" s="1" t="s">
        <v>7</v>
      </c>
      <c r="BR92" s="1" t="s">
        <v>7</v>
      </c>
    </row>
    <row r="93" spans="2:90" x14ac:dyDescent="0.3">
      <c r="B93" s="1" t="s">
        <v>66</v>
      </c>
      <c r="C93" s="2">
        <v>350.97</v>
      </c>
      <c r="D93" s="2">
        <v>566.73</v>
      </c>
      <c r="E93" s="2">
        <v>32.72</v>
      </c>
      <c r="F93" s="2">
        <v>33.4</v>
      </c>
      <c r="G93" s="2">
        <v>19.329999999999998</v>
      </c>
      <c r="H93" s="2">
        <v>34.99</v>
      </c>
      <c r="I93" s="2">
        <v>387.51</v>
      </c>
      <c r="J93" s="2">
        <v>226.59</v>
      </c>
      <c r="K93" s="2">
        <v>624.1</v>
      </c>
      <c r="L93" s="2">
        <v>234.93</v>
      </c>
      <c r="M93" s="2">
        <v>1167.1099999999999</v>
      </c>
      <c r="N93" s="2">
        <v>304.60000000000002</v>
      </c>
      <c r="O93" s="2">
        <v>773.58</v>
      </c>
      <c r="P93" s="2">
        <v>78.42</v>
      </c>
      <c r="Q93" s="2">
        <v>977.91</v>
      </c>
      <c r="R93" s="2">
        <v>353.86</v>
      </c>
      <c r="S93" s="2">
        <v>77.91</v>
      </c>
      <c r="T93" s="2">
        <v>81.67</v>
      </c>
      <c r="U93" s="2">
        <v>195.45</v>
      </c>
      <c r="V93" s="2">
        <v>126.16</v>
      </c>
      <c r="X93" s="1" t="s">
        <v>66</v>
      </c>
      <c r="Y93" s="2">
        <v>3665.94</v>
      </c>
      <c r="Z93" s="2">
        <v>784.96</v>
      </c>
      <c r="AA93" s="2">
        <v>889.08</v>
      </c>
      <c r="AB93" s="2">
        <v>252.27</v>
      </c>
      <c r="AC93" s="2">
        <v>2579.4</v>
      </c>
      <c r="AD93" s="2">
        <v>5195.97</v>
      </c>
      <c r="AE93" s="2">
        <v>9559.84</v>
      </c>
      <c r="AF93" s="2">
        <v>7251.22</v>
      </c>
      <c r="AG93" s="2">
        <v>6730.07</v>
      </c>
      <c r="AH93" s="2">
        <v>363.92</v>
      </c>
      <c r="AI93" s="2">
        <v>2955.22</v>
      </c>
      <c r="AJ93" s="2">
        <v>292.5</v>
      </c>
      <c r="AK93" s="2">
        <v>802.04</v>
      </c>
      <c r="AL93" s="2">
        <v>390.96</v>
      </c>
      <c r="AM93" s="2">
        <v>1248.55</v>
      </c>
      <c r="AN93" s="2">
        <v>1276.05</v>
      </c>
      <c r="AO93" s="2">
        <v>1563.52</v>
      </c>
      <c r="AP93" s="2">
        <v>289.12</v>
      </c>
      <c r="AQ93" s="2">
        <v>1507.04</v>
      </c>
      <c r="AR93" s="2">
        <v>224.96</v>
      </c>
      <c r="AU93" s="1" t="s">
        <v>66</v>
      </c>
      <c r="AV93" s="2">
        <v>12032.47</v>
      </c>
      <c r="AW93" s="2">
        <v>43217.39</v>
      </c>
      <c r="AX93" s="2">
        <v>13596.3</v>
      </c>
      <c r="AY93" s="2">
        <v>3875.98</v>
      </c>
      <c r="AZ93" s="2">
        <v>15868.12</v>
      </c>
      <c r="BA93" s="2">
        <v>19766.03</v>
      </c>
      <c r="BB93" s="2">
        <v>36649.4</v>
      </c>
      <c r="BC93" s="2">
        <v>28405.73</v>
      </c>
      <c r="BD93" s="2">
        <v>38532.49</v>
      </c>
      <c r="BE93" s="2">
        <v>35076.660000000003</v>
      </c>
      <c r="BF93" s="2">
        <v>12293.65</v>
      </c>
      <c r="BG93" s="2">
        <v>28192.95</v>
      </c>
      <c r="BH93" s="2">
        <v>12333.81</v>
      </c>
      <c r="BI93" s="2">
        <v>5134.1400000000003</v>
      </c>
      <c r="BJ93" s="2">
        <v>15423.77</v>
      </c>
      <c r="BK93" s="2">
        <v>19306.75</v>
      </c>
      <c r="BL93" s="2">
        <v>35321.72</v>
      </c>
      <c r="BM93" s="2">
        <v>27866.98</v>
      </c>
      <c r="BN93" s="2">
        <v>38174.839999999997</v>
      </c>
      <c r="BO93" s="2">
        <v>21682.94</v>
      </c>
      <c r="BR93" s="1" t="s">
        <v>66</v>
      </c>
      <c r="BS93" s="2">
        <v>0.26</v>
      </c>
      <c r="BT93" s="2">
        <v>0.26</v>
      </c>
      <c r="BU93" s="2">
        <v>0.26</v>
      </c>
      <c r="BV93" s="2">
        <v>0.26</v>
      </c>
      <c r="BW93" s="2">
        <v>0.1</v>
      </c>
      <c r="BX93" s="2">
        <v>0.1</v>
      </c>
      <c r="BY93" s="2">
        <v>0.32</v>
      </c>
      <c r="BZ93" s="2">
        <v>0.32</v>
      </c>
      <c r="CA93" s="2">
        <v>0.4</v>
      </c>
      <c r="CB93" s="2">
        <v>0.4</v>
      </c>
      <c r="CC93" s="2">
        <v>0.72</v>
      </c>
      <c r="CD93" s="2">
        <v>0.72</v>
      </c>
      <c r="CE93" s="2">
        <v>0.57999999999999996</v>
      </c>
      <c r="CF93" s="2">
        <v>0.57999999999999996</v>
      </c>
      <c r="CG93" s="2">
        <v>0.76</v>
      </c>
      <c r="CH93" s="2">
        <v>0.76</v>
      </c>
      <c r="CI93" s="2">
        <v>0.68</v>
      </c>
      <c r="CJ93" s="2">
        <v>0.68</v>
      </c>
      <c r="CK93" s="2">
        <v>0.9</v>
      </c>
      <c r="CL93" s="2">
        <v>0.9</v>
      </c>
    </row>
    <row r="94" spans="2:90" x14ac:dyDescent="0.3">
      <c r="B94" s="1" t="s">
        <v>67</v>
      </c>
      <c r="C94" s="2">
        <v>188.24</v>
      </c>
      <c r="D94" s="2">
        <v>112.8</v>
      </c>
      <c r="E94" s="2">
        <v>83.13</v>
      </c>
      <c r="F94" s="2">
        <v>62.73</v>
      </c>
      <c r="G94" s="2">
        <v>39.28</v>
      </c>
      <c r="H94" s="2">
        <v>38.549999999999997</v>
      </c>
      <c r="I94" s="2">
        <v>172.53</v>
      </c>
      <c r="J94" s="2">
        <v>247.4</v>
      </c>
      <c r="K94" s="2">
        <v>240.19</v>
      </c>
      <c r="L94" s="2">
        <v>208.13</v>
      </c>
      <c r="M94" s="2">
        <v>521.32000000000005</v>
      </c>
      <c r="N94" s="2">
        <v>421.58</v>
      </c>
      <c r="O94" s="2">
        <v>426.38</v>
      </c>
      <c r="P94" s="2">
        <v>373.31</v>
      </c>
      <c r="Q94" s="2">
        <v>549.09</v>
      </c>
      <c r="R94" s="2">
        <v>418.56</v>
      </c>
      <c r="S94" s="2">
        <v>453.08</v>
      </c>
      <c r="T94" s="2">
        <v>326.64999999999998</v>
      </c>
      <c r="U94" s="2">
        <v>720.36</v>
      </c>
      <c r="V94" s="2">
        <v>362.25</v>
      </c>
      <c r="X94" s="1" t="s">
        <v>67</v>
      </c>
      <c r="Y94" s="2">
        <v>1070.46</v>
      </c>
      <c r="Z94" s="2">
        <v>3521.98</v>
      </c>
      <c r="AA94" s="2">
        <v>1180.8499999999999</v>
      </c>
      <c r="AB94" s="2">
        <v>276.26</v>
      </c>
      <c r="AC94" s="2">
        <v>1557.65</v>
      </c>
      <c r="AD94" s="2">
        <v>1807.51</v>
      </c>
      <c r="AE94" s="2">
        <v>3190.99</v>
      </c>
      <c r="AF94" s="2">
        <v>2040.67</v>
      </c>
      <c r="AG94" s="2">
        <v>2569.4699999999998</v>
      </c>
      <c r="AH94" s="2">
        <v>2268.9299999999998</v>
      </c>
      <c r="AI94" s="2">
        <v>619.55999999999995</v>
      </c>
      <c r="AJ94" s="2">
        <v>2020.6</v>
      </c>
      <c r="AK94" s="2">
        <v>716.36</v>
      </c>
      <c r="AL94" s="2">
        <v>333.1</v>
      </c>
      <c r="AM94" s="2">
        <v>935.3</v>
      </c>
      <c r="AN94" s="2">
        <v>1069.6199999999999</v>
      </c>
      <c r="AO94" s="2">
        <v>1948.05</v>
      </c>
      <c r="AP94" s="2">
        <v>1719.22</v>
      </c>
      <c r="AQ94" s="2">
        <v>2326.08</v>
      </c>
      <c r="AR94" s="2">
        <v>1611.5</v>
      </c>
      <c r="AU94" s="1" t="s">
        <v>67</v>
      </c>
      <c r="AV94" s="2">
        <v>7402.29</v>
      </c>
      <c r="AW94" s="2">
        <v>24684.92</v>
      </c>
      <c r="AX94" s="2">
        <v>7628.34</v>
      </c>
      <c r="AY94" s="2">
        <v>1714.04</v>
      </c>
      <c r="AZ94" s="2">
        <v>10116.11</v>
      </c>
      <c r="BA94" s="2">
        <v>12603.89</v>
      </c>
      <c r="BB94" s="2">
        <v>22117.37</v>
      </c>
      <c r="BC94" s="2">
        <v>14135.24</v>
      </c>
      <c r="BD94" s="2">
        <v>17804.61</v>
      </c>
      <c r="BE94" s="2">
        <v>15698.03</v>
      </c>
      <c r="BF94" s="2">
        <v>4260.51</v>
      </c>
      <c r="BG94" s="2">
        <v>13932.8</v>
      </c>
      <c r="BH94" s="2">
        <v>4595.7</v>
      </c>
      <c r="BI94" s="2">
        <v>2135.15</v>
      </c>
      <c r="BJ94" s="2">
        <v>5713.34</v>
      </c>
      <c r="BK94" s="2">
        <v>7130.98</v>
      </c>
      <c r="BL94" s="2">
        <v>12972.51</v>
      </c>
      <c r="BM94" s="2">
        <v>11783.47</v>
      </c>
      <c r="BN94" s="2">
        <v>16076.56</v>
      </c>
      <c r="BO94" s="2">
        <v>10493.18</v>
      </c>
      <c r="BR94" s="1" t="s">
        <v>67</v>
      </c>
      <c r="BS94" s="2">
        <v>1.8</v>
      </c>
      <c r="BT94" s="2">
        <v>1.04</v>
      </c>
      <c r="BU94" s="2">
        <v>1.46</v>
      </c>
      <c r="BV94" s="2">
        <v>0.91</v>
      </c>
      <c r="BW94" s="2">
        <v>0.53</v>
      </c>
      <c r="BX94" s="2">
        <v>0.45</v>
      </c>
      <c r="BY94" s="2">
        <v>2.14</v>
      </c>
      <c r="BZ94" s="2">
        <v>2.2799999999999998</v>
      </c>
      <c r="CA94" s="2">
        <v>2.92</v>
      </c>
      <c r="CB94" s="2">
        <v>2.23</v>
      </c>
      <c r="CC94" s="2">
        <v>6.48</v>
      </c>
      <c r="CD94" s="2">
        <v>4.13</v>
      </c>
      <c r="CE94" s="2">
        <v>4.74</v>
      </c>
      <c r="CF94" s="2">
        <v>3.81</v>
      </c>
      <c r="CG94" s="2">
        <v>5.85</v>
      </c>
      <c r="CH94" s="2">
        <v>4.38</v>
      </c>
      <c r="CI94" s="2">
        <v>4.95</v>
      </c>
      <c r="CJ94" s="2">
        <v>3.07</v>
      </c>
      <c r="CK94" s="2">
        <v>5.42</v>
      </c>
      <c r="CL94" s="2">
        <v>3.12</v>
      </c>
    </row>
    <row r="95" spans="2:90" x14ac:dyDescent="0.3">
      <c r="B95" s="1" t="s">
        <v>68</v>
      </c>
      <c r="C95" s="2">
        <v>5311.14</v>
      </c>
      <c r="D95" s="2">
        <v>420.55</v>
      </c>
      <c r="E95" s="2">
        <v>2399.4699999999998</v>
      </c>
      <c r="F95" s="2">
        <v>161.79</v>
      </c>
      <c r="G95" s="2">
        <v>1369.87</v>
      </c>
      <c r="H95" s="2">
        <v>1045.8399999999999</v>
      </c>
      <c r="I95" s="2">
        <v>3206.78</v>
      </c>
      <c r="J95" s="2">
        <v>1722.32</v>
      </c>
      <c r="K95" s="2">
        <v>4437.3900000000003</v>
      </c>
      <c r="L95" s="2">
        <v>1854.51</v>
      </c>
      <c r="M95" s="2">
        <v>8737.41</v>
      </c>
      <c r="N95" s="2">
        <v>3540.9</v>
      </c>
      <c r="O95" s="2">
        <v>8076.73</v>
      </c>
      <c r="P95" s="2">
        <v>3118.22</v>
      </c>
      <c r="Q95" s="2">
        <v>10352.36</v>
      </c>
      <c r="R95" s="2">
        <v>3344.04</v>
      </c>
      <c r="S95" s="2">
        <v>3610.33</v>
      </c>
      <c r="T95" s="2">
        <v>2678.12</v>
      </c>
      <c r="U95" s="2">
        <v>3083.91</v>
      </c>
      <c r="V95" s="2">
        <v>2691.66</v>
      </c>
      <c r="X95" s="1" t="s">
        <v>68</v>
      </c>
      <c r="Y95" s="2">
        <v>6075.85</v>
      </c>
      <c r="Z95" s="2">
        <v>6873.7</v>
      </c>
      <c r="AA95" s="2">
        <v>6316.74</v>
      </c>
      <c r="AB95" s="2">
        <v>2473.98</v>
      </c>
      <c r="AC95" s="2">
        <v>8477.66</v>
      </c>
      <c r="AD95" s="2">
        <v>11037.45</v>
      </c>
      <c r="AE95" s="2">
        <v>21295.439999999999</v>
      </c>
      <c r="AF95" s="2">
        <v>15702.64</v>
      </c>
      <c r="AG95" s="2">
        <v>19902.97</v>
      </c>
      <c r="AH95" s="2">
        <v>8272.69</v>
      </c>
      <c r="AI95" s="2">
        <v>1513.77</v>
      </c>
      <c r="AJ95" s="2">
        <v>6126.82</v>
      </c>
      <c r="AK95" s="2">
        <v>1602.14</v>
      </c>
      <c r="AL95" s="2">
        <v>1508.24</v>
      </c>
      <c r="AM95" s="2">
        <v>3755.45</v>
      </c>
      <c r="AN95" s="2">
        <v>3828.87</v>
      </c>
      <c r="AO95" s="2">
        <v>6825.52</v>
      </c>
      <c r="AP95" s="2">
        <v>5769.73</v>
      </c>
      <c r="AQ95" s="2">
        <v>7134.47</v>
      </c>
      <c r="AR95" s="2">
        <v>5025.3900000000003</v>
      </c>
      <c r="AU95" s="1" t="s">
        <v>68</v>
      </c>
      <c r="AV95" s="2">
        <v>21495.54</v>
      </c>
      <c r="AW95" s="2">
        <v>43189.05</v>
      </c>
      <c r="AX95" s="2">
        <v>24018.49</v>
      </c>
      <c r="AY95" s="2">
        <v>5396.62</v>
      </c>
      <c r="AZ95" s="2">
        <v>25458.23</v>
      </c>
      <c r="BA95" s="2">
        <v>32344.95</v>
      </c>
      <c r="BB95" s="2">
        <v>59666.59</v>
      </c>
      <c r="BC95" s="2">
        <v>41547.199999999997</v>
      </c>
      <c r="BD95" s="2">
        <v>51659.35</v>
      </c>
      <c r="BE95" s="2">
        <v>42399.48</v>
      </c>
      <c r="BF95" s="2">
        <v>10386.299999999999</v>
      </c>
      <c r="BG95" s="2">
        <v>37474.230000000003</v>
      </c>
      <c r="BH95" s="2">
        <v>10275.31</v>
      </c>
      <c r="BI95" s="2">
        <v>7396.97</v>
      </c>
      <c r="BJ95" s="2">
        <v>18393.330000000002</v>
      </c>
      <c r="BK95" s="2">
        <v>21781</v>
      </c>
      <c r="BL95" s="2">
        <v>38546.120000000003</v>
      </c>
      <c r="BM95" s="2">
        <v>31662.639999999999</v>
      </c>
      <c r="BN95" s="2">
        <v>42412.58</v>
      </c>
      <c r="BO95" s="2">
        <v>30566.45</v>
      </c>
      <c r="BR95" s="1" t="s">
        <v>68</v>
      </c>
      <c r="BS95" s="2">
        <v>4.68</v>
      </c>
      <c r="BT95" s="2">
        <v>1.31</v>
      </c>
      <c r="BU95" s="2">
        <v>5.03</v>
      </c>
      <c r="BV95" s="2">
        <v>1.03</v>
      </c>
      <c r="BW95" s="2">
        <v>0.9</v>
      </c>
      <c r="BX95" s="2">
        <v>1.8</v>
      </c>
      <c r="BY95" s="2">
        <v>2.88</v>
      </c>
      <c r="BZ95" s="2">
        <v>2.88</v>
      </c>
      <c r="CA95" s="2">
        <v>3.6</v>
      </c>
      <c r="CB95" s="2">
        <v>3.6</v>
      </c>
      <c r="CC95" s="2">
        <v>6.48</v>
      </c>
      <c r="CD95" s="2">
        <v>6.48</v>
      </c>
      <c r="CE95" s="2">
        <v>5.22</v>
      </c>
      <c r="CF95" s="2">
        <v>5.22</v>
      </c>
      <c r="CG95" s="2">
        <v>6.84</v>
      </c>
      <c r="CH95" s="2">
        <v>6.84</v>
      </c>
      <c r="CI95" s="2">
        <v>6.12</v>
      </c>
      <c r="CJ95" s="2">
        <v>5.35</v>
      </c>
      <c r="CK95" s="2">
        <v>7.02</v>
      </c>
      <c r="CL95" s="2">
        <v>6.07</v>
      </c>
    </row>
    <row r="96" spans="2:90" x14ac:dyDescent="0.3">
      <c r="B96" s="1" t="s">
        <v>69</v>
      </c>
      <c r="C96" s="2">
        <v>1218.1300000000001</v>
      </c>
      <c r="D96" s="2">
        <v>214</v>
      </c>
      <c r="E96" s="2">
        <v>534.39</v>
      </c>
      <c r="F96" s="2">
        <v>74.25</v>
      </c>
      <c r="G96" s="2">
        <v>351.79</v>
      </c>
      <c r="H96" s="2">
        <v>406.67</v>
      </c>
      <c r="I96" s="2">
        <v>997.82</v>
      </c>
      <c r="J96" s="2">
        <v>590.72</v>
      </c>
      <c r="K96" s="2">
        <v>1269.93</v>
      </c>
      <c r="L96" s="2">
        <v>557.49</v>
      </c>
      <c r="M96" s="2">
        <v>2303.2199999999998</v>
      </c>
      <c r="N96" s="2">
        <v>1004.45</v>
      </c>
      <c r="O96" s="2">
        <v>2003.38</v>
      </c>
      <c r="P96" s="2">
        <v>852.21</v>
      </c>
      <c r="Q96" s="2">
        <v>1739.76</v>
      </c>
      <c r="R96" s="2">
        <v>900.89</v>
      </c>
      <c r="S96" s="2">
        <v>727.72</v>
      </c>
      <c r="T96" s="2">
        <v>811.11</v>
      </c>
      <c r="U96" s="2">
        <v>944.92</v>
      </c>
      <c r="V96" s="2">
        <v>885.37</v>
      </c>
      <c r="X96" s="1" t="s">
        <v>69</v>
      </c>
      <c r="Y96" s="2">
        <v>1073.3</v>
      </c>
      <c r="Z96" s="2">
        <v>2276.27</v>
      </c>
      <c r="AA96" s="2">
        <v>1205.79</v>
      </c>
      <c r="AB96" s="2">
        <v>564.45000000000005</v>
      </c>
      <c r="AC96" s="2">
        <v>2033.42</v>
      </c>
      <c r="AD96" s="2">
        <v>2440.19</v>
      </c>
      <c r="AE96" s="2">
        <v>4375.22</v>
      </c>
      <c r="AF96" s="2">
        <v>3446.57</v>
      </c>
      <c r="AG96" s="2">
        <v>3164.3</v>
      </c>
      <c r="AH96" s="2">
        <v>1882.9</v>
      </c>
      <c r="AI96" s="2">
        <v>610.91</v>
      </c>
      <c r="AJ96" s="2">
        <v>2169.4299999999998</v>
      </c>
      <c r="AK96" s="2">
        <v>628.73</v>
      </c>
      <c r="AL96" s="2">
        <v>454.74</v>
      </c>
      <c r="AM96" s="2">
        <v>1071.51</v>
      </c>
      <c r="AN96" s="2">
        <v>1172.47</v>
      </c>
      <c r="AO96" s="2">
        <v>2033.14</v>
      </c>
      <c r="AP96" s="2">
        <v>1672.76</v>
      </c>
      <c r="AQ96" s="2">
        <v>2078.0700000000002</v>
      </c>
      <c r="AR96" s="2">
        <v>1733.55</v>
      </c>
      <c r="AU96" s="1" t="s">
        <v>69</v>
      </c>
      <c r="AV96" s="2">
        <v>6331.6</v>
      </c>
      <c r="AW96" s="2">
        <v>13839.58</v>
      </c>
      <c r="AX96" s="2">
        <v>7355.5</v>
      </c>
      <c r="AY96" s="2">
        <v>1774.32</v>
      </c>
      <c r="AZ96" s="2">
        <v>7604.5</v>
      </c>
      <c r="BA96" s="2">
        <v>9567.19</v>
      </c>
      <c r="BB96" s="2">
        <v>17178.810000000001</v>
      </c>
      <c r="BC96" s="2">
        <v>13367.77</v>
      </c>
      <c r="BD96" s="2">
        <v>16393.919999999998</v>
      </c>
      <c r="BE96" s="2">
        <v>11950</v>
      </c>
      <c r="BF96" s="2">
        <v>3365.4</v>
      </c>
      <c r="BG96" s="2">
        <v>12942.91</v>
      </c>
      <c r="BH96" s="2">
        <v>4030.08</v>
      </c>
      <c r="BI96" s="2">
        <v>2671.15</v>
      </c>
      <c r="BJ96" s="2">
        <v>6493.89</v>
      </c>
      <c r="BK96" s="2">
        <v>7501.37</v>
      </c>
      <c r="BL96" s="2">
        <v>12739.4</v>
      </c>
      <c r="BM96" s="2">
        <v>10488.1</v>
      </c>
      <c r="BN96" s="2">
        <v>12999.57</v>
      </c>
      <c r="BO96" s="2">
        <v>10346.31</v>
      </c>
      <c r="BR96" s="1" t="s">
        <v>69</v>
      </c>
      <c r="BS96" s="2">
        <v>4.68</v>
      </c>
      <c r="BT96" s="2">
        <v>1.1599999999999999</v>
      </c>
      <c r="BU96" s="2">
        <v>4.68</v>
      </c>
      <c r="BV96" s="2">
        <v>0.88</v>
      </c>
      <c r="BW96" s="2">
        <v>0.9</v>
      </c>
      <c r="BX96" s="2">
        <v>1.8</v>
      </c>
      <c r="BY96" s="2">
        <v>2.88</v>
      </c>
      <c r="BZ96" s="2">
        <v>2.88</v>
      </c>
      <c r="CA96" s="2">
        <v>3.6</v>
      </c>
      <c r="CB96" s="2">
        <v>3.01</v>
      </c>
      <c r="CC96" s="2">
        <v>6.48</v>
      </c>
      <c r="CD96" s="2">
        <v>5.0599999999999996</v>
      </c>
      <c r="CE96" s="2">
        <v>5.22</v>
      </c>
      <c r="CF96" s="2">
        <v>4.1500000000000004</v>
      </c>
      <c r="CG96" s="2">
        <v>6.84</v>
      </c>
      <c r="CH96" s="2">
        <v>4.87</v>
      </c>
      <c r="CI96" s="2">
        <v>4.37</v>
      </c>
      <c r="CJ96" s="2">
        <v>3.79</v>
      </c>
      <c r="CK96" s="2">
        <v>4.93</v>
      </c>
      <c r="CL96" s="2">
        <v>4.5</v>
      </c>
    </row>
    <row r="97" spans="2:90" x14ac:dyDescent="0.3">
      <c r="B97" s="1" t="s">
        <v>70</v>
      </c>
      <c r="C97" s="2">
        <v>3332.59</v>
      </c>
      <c r="D97" s="2">
        <v>3204.89</v>
      </c>
      <c r="E97" s="2">
        <v>1710.9</v>
      </c>
      <c r="F97" s="2">
        <v>761.56</v>
      </c>
      <c r="G97" s="2">
        <v>1074.3800000000001</v>
      </c>
      <c r="H97" s="2">
        <v>1035.06</v>
      </c>
      <c r="I97" s="2">
        <v>1372.85</v>
      </c>
      <c r="J97" s="2">
        <v>3313.36</v>
      </c>
      <c r="K97" s="2">
        <v>3457.86</v>
      </c>
      <c r="L97" s="2">
        <v>3909.78</v>
      </c>
      <c r="M97" s="2">
        <v>5463.41</v>
      </c>
      <c r="N97" s="2">
        <v>4985.74</v>
      </c>
      <c r="O97" s="2">
        <v>3763.36</v>
      </c>
      <c r="P97" s="2">
        <v>3637.08</v>
      </c>
      <c r="Q97" s="2">
        <v>4017.75</v>
      </c>
      <c r="R97" s="2">
        <v>4000.27</v>
      </c>
      <c r="S97" s="2">
        <v>3277.18</v>
      </c>
      <c r="T97" s="2">
        <v>2865.69</v>
      </c>
      <c r="U97" s="2">
        <v>4650.01</v>
      </c>
      <c r="V97" s="2">
        <v>3623.91</v>
      </c>
      <c r="X97" s="1" t="s">
        <v>70</v>
      </c>
      <c r="Y97" s="2">
        <v>5951.01</v>
      </c>
      <c r="Z97" s="2">
        <v>12663.24</v>
      </c>
      <c r="AA97" s="2">
        <v>8208.83</v>
      </c>
      <c r="AB97" s="2">
        <v>2299.25</v>
      </c>
      <c r="AC97" s="2">
        <v>5755.52</v>
      </c>
      <c r="AD97" s="2">
        <v>8944.49</v>
      </c>
      <c r="AE97" s="2">
        <v>14094.25</v>
      </c>
      <c r="AF97" s="2">
        <v>9396.69</v>
      </c>
      <c r="AG97" s="2">
        <v>11391.84</v>
      </c>
      <c r="AH97" s="2">
        <v>9524.3799999999992</v>
      </c>
      <c r="AI97" s="2">
        <v>6128.62</v>
      </c>
      <c r="AJ97" s="2">
        <v>13802.52</v>
      </c>
      <c r="AK97" s="2">
        <v>5901.24</v>
      </c>
      <c r="AL97" s="2">
        <v>2582.1</v>
      </c>
      <c r="AM97" s="2">
        <v>7731.5</v>
      </c>
      <c r="AN97" s="2">
        <v>9642.6299999999992</v>
      </c>
      <c r="AO97" s="2">
        <v>13396.5</v>
      </c>
      <c r="AP97" s="2">
        <v>10238.15</v>
      </c>
      <c r="AQ97" s="2">
        <v>11647.33</v>
      </c>
      <c r="AR97" s="2">
        <v>9838.85</v>
      </c>
      <c r="AU97" s="1" t="s">
        <v>70</v>
      </c>
      <c r="AV97" s="2">
        <v>20578.79</v>
      </c>
      <c r="AW97" s="2">
        <v>81152.759999999995</v>
      </c>
      <c r="AX97" s="2">
        <v>31922.82</v>
      </c>
      <c r="AY97" s="2">
        <v>7825.75</v>
      </c>
      <c r="AZ97" s="2">
        <v>36650.080000000002</v>
      </c>
      <c r="BA97" s="2">
        <v>47856.51</v>
      </c>
      <c r="BB97" s="2">
        <v>84081.35</v>
      </c>
      <c r="BC97" s="2">
        <v>63726.81</v>
      </c>
      <c r="BD97" s="2">
        <v>74963.16</v>
      </c>
      <c r="BE97" s="2">
        <v>60393.22</v>
      </c>
      <c r="BF97" s="2">
        <v>27269.68</v>
      </c>
      <c r="BG97" s="2">
        <v>94624.98</v>
      </c>
      <c r="BH97" s="2">
        <v>37745.61</v>
      </c>
      <c r="BI97" s="2">
        <v>9067.08</v>
      </c>
      <c r="BJ97" s="2">
        <v>33155.699999999997</v>
      </c>
      <c r="BK97" s="2">
        <v>47614.37</v>
      </c>
      <c r="BL97" s="2">
        <v>88751.7</v>
      </c>
      <c r="BM97" s="2">
        <v>70099.100000000006</v>
      </c>
      <c r="BN97" s="2">
        <v>77631.77</v>
      </c>
      <c r="BO97" s="2">
        <v>65914.850000000006</v>
      </c>
      <c r="BR97" s="1" t="s">
        <v>70</v>
      </c>
      <c r="BS97" s="2">
        <v>2.34</v>
      </c>
      <c r="BT97" s="2">
        <v>2.34</v>
      </c>
      <c r="BU97" s="2">
        <v>2.34</v>
      </c>
      <c r="BV97" s="2">
        <v>1.64</v>
      </c>
      <c r="BW97" s="2">
        <v>0.9</v>
      </c>
      <c r="BX97" s="2">
        <v>0.9</v>
      </c>
      <c r="BY97" s="2">
        <v>1.97</v>
      </c>
      <c r="BZ97" s="2">
        <v>2.88</v>
      </c>
      <c r="CA97" s="2">
        <v>3.6</v>
      </c>
      <c r="CB97" s="2">
        <v>3.6</v>
      </c>
      <c r="CC97" s="2">
        <v>6.48</v>
      </c>
      <c r="CD97" s="2">
        <v>6.48</v>
      </c>
      <c r="CE97" s="2">
        <v>5.13</v>
      </c>
      <c r="CF97" s="2">
        <v>4.9000000000000004</v>
      </c>
      <c r="CG97" s="2">
        <v>5.41</v>
      </c>
      <c r="CH97" s="2">
        <v>5.59</v>
      </c>
      <c r="CI97" s="2">
        <v>4.29</v>
      </c>
      <c r="CJ97" s="2">
        <v>4.0599999999999996</v>
      </c>
      <c r="CK97" s="2">
        <v>5.48</v>
      </c>
      <c r="CL97" s="2">
        <v>4.28</v>
      </c>
    </row>
    <row r="98" spans="2:90" x14ac:dyDescent="0.3">
      <c r="B98" s="1" t="s">
        <v>71</v>
      </c>
      <c r="C98" s="2">
        <v>689.75</v>
      </c>
      <c r="D98" s="2">
        <v>622.32000000000005</v>
      </c>
      <c r="E98" s="2">
        <v>352.83</v>
      </c>
      <c r="F98" s="2">
        <v>226.27</v>
      </c>
      <c r="G98" s="2">
        <v>198.38</v>
      </c>
      <c r="H98" s="2">
        <v>179.68</v>
      </c>
      <c r="I98" s="2">
        <v>193.11</v>
      </c>
      <c r="J98" s="2">
        <v>517.33000000000004</v>
      </c>
      <c r="K98" s="2">
        <v>237.81</v>
      </c>
      <c r="L98" s="2">
        <v>741.6</v>
      </c>
      <c r="M98" s="2">
        <v>575.87</v>
      </c>
      <c r="N98" s="2">
        <v>1117.96</v>
      </c>
      <c r="O98" s="2">
        <v>461.14</v>
      </c>
      <c r="P98" s="2">
        <v>684.67</v>
      </c>
      <c r="Q98" s="2">
        <v>610.58000000000004</v>
      </c>
      <c r="R98" s="2">
        <v>1005.3</v>
      </c>
      <c r="S98" s="2">
        <v>548.42999999999995</v>
      </c>
      <c r="T98" s="2">
        <v>648.59</v>
      </c>
      <c r="U98" s="2">
        <v>663.45</v>
      </c>
      <c r="V98" s="2">
        <v>372.07</v>
      </c>
      <c r="X98" s="1" t="s">
        <v>71</v>
      </c>
      <c r="Y98" s="2">
        <v>1625.74</v>
      </c>
      <c r="Z98" s="2">
        <v>3034.88</v>
      </c>
      <c r="AA98" s="2">
        <v>1562.28</v>
      </c>
      <c r="AB98" s="2">
        <v>561.45000000000005</v>
      </c>
      <c r="AC98" s="2">
        <v>1328.13</v>
      </c>
      <c r="AD98" s="2">
        <v>1555.36</v>
      </c>
      <c r="AE98" s="2">
        <v>2927.47</v>
      </c>
      <c r="AF98" s="2">
        <v>2347.75</v>
      </c>
      <c r="AG98" s="2">
        <v>3011.68</v>
      </c>
      <c r="AH98" s="2">
        <v>2508.63</v>
      </c>
      <c r="AI98" s="2">
        <v>1697.47</v>
      </c>
      <c r="AJ98" s="2">
        <v>3110.91</v>
      </c>
      <c r="AK98" s="2">
        <v>1616.34</v>
      </c>
      <c r="AL98" s="2">
        <v>645.04</v>
      </c>
      <c r="AM98" s="2">
        <v>1693.17</v>
      </c>
      <c r="AN98" s="2">
        <v>2815.21</v>
      </c>
      <c r="AO98" s="2">
        <v>5248.53</v>
      </c>
      <c r="AP98" s="2">
        <v>3586.1</v>
      </c>
      <c r="AQ98" s="2">
        <v>4500.96</v>
      </c>
      <c r="AR98" s="2">
        <v>3530.64</v>
      </c>
      <c r="AU98" s="1" t="s">
        <v>71</v>
      </c>
      <c r="AV98" s="2">
        <v>4983.53</v>
      </c>
      <c r="AW98" s="2">
        <v>17106.87</v>
      </c>
      <c r="AX98" s="2">
        <v>8398.9599999999991</v>
      </c>
      <c r="AY98" s="2">
        <v>1634.58</v>
      </c>
      <c r="AZ98" s="2">
        <v>6961.95</v>
      </c>
      <c r="BA98" s="2">
        <v>8770.64</v>
      </c>
      <c r="BB98" s="2">
        <v>16632.05</v>
      </c>
      <c r="BC98" s="2">
        <v>13297.11</v>
      </c>
      <c r="BD98" s="2">
        <v>17090.439999999999</v>
      </c>
      <c r="BE98" s="2">
        <v>14165.28</v>
      </c>
      <c r="BF98" s="2">
        <v>5332.18</v>
      </c>
      <c r="BG98" s="2">
        <v>17600.34</v>
      </c>
      <c r="BH98" s="2">
        <v>8724.19</v>
      </c>
      <c r="BI98" s="2">
        <v>1990.48</v>
      </c>
      <c r="BJ98" s="2">
        <v>5291.07</v>
      </c>
      <c r="BK98" s="2">
        <v>10800.92</v>
      </c>
      <c r="BL98" s="2">
        <v>20717.47</v>
      </c>
      <c r="BM98" s="2">
        <v>16436.95</v>
      </c>
      <c r="BN98" s="2">
        <v>20703.919999999998</v>
      </c>
      <c r="BO98" s="2">
        <v>18806.71</v>
      </c>
      <c r="BR98" s="1" t="s">
        <v>71</v>
      </c>
      <c r="BS98" s="2">
        <v>2.34</v>
      </c>
      <c r="BT98" s="2">
        <v>2.34</v>
      </c>
      <c r="BU98" s="2">
        <v>4.08</v>
      </c>
      <c r="BV98" s="2">
        <v>4.04</v>
      </c>
      <c r="BW98" s="2">
        <v>0.9</v>
      </c>
      <c r="BX98" s="2">
        <v>0.9</v>
      </c>
      <c r="BY98" s="2">
        <v>2.02</v>
      </c>
      <c r="BZ98" s="2">
        <v>2.88</v>
      </c>
      <c r="CA98" s="2">
        <v>2.48</v>
      </c>
      <c r="CB98" s="2">
        <v>3.6</v>
      </c>
      <c r="CC98" s="2">
        <v>5.26</v>
      </c>
      <c r="CD98" s="2">
        <v>6.48</v>
      </c>
      <c r="CE98" s="2">
        <v>4.16</v>
      </c>
      <c r="CF98" s="2">
        <v>5.22</v>
      </c>
      <c r="CG98" s="2">
        <v>5.38</v>
      </c>
      <c r="CH98" s="2">
        <v>6.84</v>
      </c>
      <c r="CI98" s="2">
        <v>4.45</v>
      </c>
      <c r="CJ98" s="2">
        <v>6.12</v>
      </c>
      <c r="CK98" s="2">
        <v>5.15</v>
      </c>
      <c r="CL98" s="2">
        <v>4.46</v>
      </c>
    </row>
    <row r="99" spans="2:90" x14ac:dyDescent="0.3">
      <c r="B99" s="1" t="s">
        <v>72</v>
      </c>
      <c r="C99" s="2">
        <v>4236.49</v>
      </c>
      <c r="D99" s="2">
        <v>4712.9399999999996</v>
      </c>
      <c r="E99" s="2">
        <v>1178.3900000000001</v>
      </c>
      <c r="F99" s="2">
        <v>1666.81</v>
      </c>
      <c r="G99" s="2">
        <v>635.32000000000005</v>
      </c>
      <c r="H99" s="2">
        <v>1455.03</v>
      </c>
      <c r="I99" s="2">
        <v>1503.87</v>
      </c>
      <c r="J99" s="2">
        <v>2983.67</v>
      </c>
      <c r="K99" s="2">
        <v>1434.27</v>
      </c>
      <c r="L99" s="2">
        <v>4016.7</v>
      </c>
      <c r="M99" s="2">
        <v>2965.99</v>
      </c>
      <c r="N99" s="2">
        <v>6797.89</v>
      </c>
      <c r="O99" s="2">
        <v>2502.0100000000002</v>
      </c>
      <c r="P99" s="2">
        <v>4805.1499999999996</v>
      </c>
      <c r="Q99" s="2">
        <v>4080.45</v>
      </c>
      <c r="R99" s="2">
        <v>4661.4799999999996</v>
      </c>
      <c r="S99" s="2">
        <v>2903.09</v>
      </c>
      <c r="T99" s="2">
        <v>2660.67</v>
      </c>
      <c r="U99" s="2">
        <v>3401.48</v>
      </c>
      <c r="V99" s="2">
        <v>2931.52</v>
      </c>
      <c r="X99" s="1" t="s">
        <v>72</v>
      </c>
      <c r="Y99" s="2">
        <v>6257.71</v>
      </c>
      <c r="Z99" s="2">
        <v>9696.0300000000007</v>
      </c>
      <c r="AA99" s="2">
        <v>4718.68</v>
      </c>
      <c r="AB99" s="2">
        <v>2028.86</v>
      </c>
      <c r="AC99" s="2">
        <v>6075.36</v>
      </c>
      <c r="AD99" s="2">
        <v>5728.51</v>
      </c>
      <c r="AE99" s="2">
        <v>11301.32</v>
      </c>
      <c r="AF99" s="2">
        <v>9184.17</v>
      </c>
      <c r="AG99" s="2">
        <v>13170.35</v>
      </c>
      <c r="AH99" s="2">
        <v>8545.61</v>
      </c>
      <c r="AI99" s="2">
        <v>6473.19</v>
      </c>
      <c r="AJ99" s="2">
        <v>9760.48</v>
      </c>
      <c r="AK99" s="2">
        <v>7048.12</v>
      </c>
      <c r="AL99" s="2">
        <v>2448.75</v>
      </c>
      <c r="AM99" s="2">
        <v>8395.26</v>
      </c>
      <c r="AN99" s="2">
        <v>13077.88</v>
      </c>
      <c r="AO99" s="2">
        <v>23719.67</v>
      </c>
      <c r="AP99" s="2">
        <v>16790.25</v>
      </c>
      <c r="AQ99" s="2">
        <v>15773.45</v>
      </c>
      <c r="AR99" s="2">
        <v>9354.41</v>
      </c>
      <c r="AU99" s="1" t="s">
        <v>72</v>
      </c>
      <c r="AV99" s="2">
        <v>20399.77</v>
      </c>
      <c r="AW99" s="2">
        <v>54872.25</v>
      </c>
      <c r="AX99" s="2">
        <v>24412.55</v>
      </c>
      <c r="AY99" s="2">
        <v>5216.05</v>
      </c>
      <c r="AZ99" s="2">
        <v>23203.29</v>
      </c>
      <c r="BA99" s="2">
        <v>27978.97</v>
      </c>
      <c r="BB99" s="2">
        <v>51654</v>
      </c>
      <c r="BC99" s="2">
        <v>41632.370000000003</v>
      </c>
      <c r="BD99" s="2">
        <v>55009.16</v>
      </c>
      <c r="BE99" s="2">
        <v>43573.06</v>
      </c>
      <c r="BF99" s="2">
        <v>21221.57</v>
      </c>
      <c r="BG99" s="2">
        <v>55332.94</v>
      </c>
      <c r="BH99" s="2">
        <v>27118.31</v>
      </c>
      <c r="BI99" s="2">
        <v>7852.86</v>
      </c>
      <c r="BJ99" s="2">
        <v>18019.73</v>
      </c>
      <c r="BK99" s="2">
        <v>35158.03</v>
      </c>
      <c r="BL99" s="2">
        <v>64371.02</v>
      </c>
      <c r="BM99" s="2">
        <v>49918.74</v>
      </c>
      <c r="BN99" s="2">
        <v>58585.51</v>
      </c>
      <c r="BO99" s="2">
        <v>46595.33</v>
      </c>
      <c r="BR99" s="1" t="s">
        <v>72</v>
      </c>
      <c r="BS99" s="2">
        <v>4.68</v>
      </c>
      <c r="BT99" s="2">
        <v>4.68</v>
      </c>
      <c r="BU99" s="2">
        <v>4.68</v>
      </c>
      <c r="BV99" s="2">
        <v>4.68</v>
      </c>
      <c r="BW99" s="2">
        <v>0.9</v>
      </c>
      <c r="BX99" s="2">
        <v>1.8</v>
      </c>
      <c r="BY99" s="2">
        <v>2.88</v>
      </c>
      <c r="BZ99" s="2">
        <v>2.88</v>
      </c>
      <c r="CA99" s="2">
        <v>3.6</v>
      </c>
      <c r="CB99" s="2">
        <v>3.6</v>
      </c>
      <c r="CC99" s="2">
        <v>6.48</v>
      </c>
      <c r="CD99" s="2">
        <v>6.48</v>
      </c>
      <c r="CE99" s="2">
        <v>5.22</v>
      </c>
      <c r="CF99" s="2">
        <v>5.22</v>
      </c>
      <c r="CG99" s="2">
        <v>6.84</v>
      </c>
      <c r="CH99" s="2">
        <v>6.84</v>
      </c>
      <c r="CI99" s="2">
        <v>6.12</v>
      </c>
      <c r="CJ99" s="2">
        <v>6.12</v>
      </c>
      <c r="CK99" s="2">
        <v>8.08</v>
      </c>
      <c r="CL99" s="2">
        <v>7.81</v>
      </c>
    </row>
    <row r="100" spans="2:90" x14ac:dyDescent="0.3">
      <c r="B100" s="1" t="s">
        <v>73</v>
      </c>
      <c r="C100" s="2">
        <v>517.69000000000005</v>
      </c>
      <c r="D100" s="2">
        <v>720.02</v>
      </c>
      <c r="E100" s="2">
        <v>90.53</v>
      </c>
      <c r="F100" s="2">
        <v>102.43</v>
      </c>
      <c r="G100" s="2">
        <v>23.6</v>
      </c>
      <c r="H100" s="2">
        <v>75.06</v>
      </c>
      <c r="I100" s="2">
        <v>225.03</v>
      </c>
      <c r="J100" s="2">
        <v>1012.2</v>
      </c>
      <c r="K100" s="2">
        <v>660.26</v>
      </c>
      <c r="L100" s="2">
        <v>1175.98</v>
      </c>
      <c r="M100" s="2">
        <v>1922.01</v>
      </c>
      <c r="N100" s="2">
        <v>2212.66</v>
      </c>
      <c r="O100" s="2">
        <v>1754.02</v>
      </c>
      <c r="P100" s="2">
        <v>1608.27</v>
      </c>
      <c r="Q100" s="2">
        <v>2014.15</v>
      </c>
      <c r="R100" s="2">
        <v>1763.39</v>
      </c>
      <c r="S100" s="2">
        <v>1637.53</v>
      </c>
      <c r="T100" s="2">
        <v>1282.23</v>
      </c>
      <c r="U100" s="2">
        <v>1908.55</v>
      </c>
      <c r="V100" s="2">
        <v>1564.33</v>
      </c>
      <c r="X100" s="1" t="s">
        <v>73</v>
      </c>
      <c r="Y100" s="2">
        <v>2266.2800000000002</v>
      </c>
      <c r="Z100" s="2">
        <v>6529.98</v>
      </c>
      <c r="AA100" s="2">
        <v>2220.88</v>
      </c>
      <c r="AB100" s="2">
        <v>167.65</v>
      </c>
      <c r="AC100" s="2">
        <v>1711.59</v>
      </c>
      <c r="AD100" s="2">
        <v>2525.4899999999998</v>
      </c>
      <c r="AE100" s="2">
        <v>5554.66</v>
      </c>
      <c r="AF100" s="2">
        <v>4413.96</v>
      </c>
      <c r="AG100" s="2">
        <v>5696.28</v>
      </c>
      <c r="AH100" s="2">
        <v>4854.1499999999996</v>
      </c>
      <c r="AI100" s="2">
        <v>2681.4</v>
      </c>
      <c r="AJ100" s="2">
        <v>5250.31</v>
      </c>
      <c r="AK100" s="2">
        <v>2355.56</v>
      </c>
      <c r="AL100" s="2">
        <v>927.25</v>
      </c>
      <c r="AM100" s="2">
        <v>3598.98</v>
      </c>
      <c r="AN100" s="2">
        <v>4230.6099999999997</v>
      </c>
      <c r="AO100" s="2">
        <v>7795.93</v>
      </c>
      <c r="AP100" s="2">
        <v>5328.92</v>
      </c>
      <c r="AQ100" s="2">
        <v>6041.67</v>
      </c>
      <c r="AR100" s="2">
        <v>4915.38</v>
      </c>
      <c r="AU100" s="1" t="s">
        <v>73</v>
      </c>
      <c r="AV100" s="2">
        <v>10866.58</v>
      </c>
      <c r="AW100" s="2">
        <v>26989.17</v>
      </c>
      <c r="AX100" s="2">
        <v>11591.36</v>
      </c>
      <c r="AY100" s="2">
        <v>3185.3</v>
      </c>
      <c r="AZ100" s="2">
        <v>10213.530000000001</v>
      </c>
      <c r="BA100" s="2">
        <v>14112.51</v>
      </c>
      <c r="BB100" s="2">
        <v>24051.38</v>
      </c>
      <c r="BC100" s="2">
        <v>19059.509999999998</v>
      </c>
      <c r="BD100" s="2">
        <v>23902.68</v>
      </c>
      <c r="BE100" s="2">
        <v>19598.310000000001</v>
      </c>
      <c r="BF100" s="2">
        <v>14463</v>
      </c>
      <c r="BG100" s="2">
        <v>29242.19</v>
      </c>
      <c r="BH100" s="2">
        <v>12299.08</v>
      </c>
      <c r="BI100" s="2">
        <v>4831.3999999999996</v>
      </c>
      <c r="BJ100" s="2">
        <v>15073.55</v>
      </c>
      <c r="BK100" s="2">
        <v>19670.22</v>
      </c>
      <c r="BL100" s="2">
        <v>36614.550000000003</v>
      </c>
      <c r="BM100" s="2">
        <v>27592.75</v>
      </c>
      <c r="BN100" s="2">
        <v>27009.21</v>
      </c>
      <c r="BO100" s="2">
        <v>20415.3</v>
      </c>
      <c r="BR100" s="1" t="s">
        <v>73</v>
      </c>
      <c r="BS100" s="2">
        <v>1.34</v>
      </c>
      <c r="BT100" s="2">
        <v>1.99</v>
      </c>
      <c r="BU100" s="2">
        <v>0.62</v>
      </c>
      <c r="BV100" s="2">
        <v>0.65</v>
      </c>
      <c r="BW100" s="2">
        <v>0.1</v>
      </c>
      <c r="BX100" s="2">
        <v>0.28000000000000003</v>
      </c>
      <c r="BY100" s="2">
        <v>0.8</v>
      </c>
      <c r="BZ100" s="2">
        <v>2.88</v>
      </c>
      <c r="CA100" s="2">
        <v>2.38</v>
      </c>
      <c r="CB100" s="2">
        <v>3.6</v>
      </c>
      <c r="CC100" s="2">
        <v>5.07</v>
      </c>
      <c r="CD100" s="2">
        <v>6.48</v>
      </c>
      <c r="CE100" s="2">
        <v>4.55</v>
      </c>
      <c r="CF100" s="2">
        <v>4.97</v>
      </c>
      <c r="CG100" s="2">
        <v>5.12</v>
      </c>
      <c r="CH100" s="2">
        <v>4.79</v>
      </c>
      <c r="CI100" s="2">
        <v>4.0599999999999996</v>
      </c>
      <c r="CJ100" s="2">
        <v>3.35</v>
      </c>
      <c r="CK100" s="2">
        <v>4.5999999999999996</v>
      </c>
      <c r="CL100" s="2">
        <v>4.5999999999999996</v>
      </c>
    </row>
    <row r="101" spans="2:90" x14ac:dyDescent="0.3">
      <c r="W101" s="5">
        <f>SUM(C93:V100)/$W$45</f>
        <v>0.15855173715612639</v>
      </c>
    </row>
    <row r="103" spans="2:90" x14ac:dyDescent="0.3">
      <c r="B103" t="s">
        <v>32</v>
      </c>
      <c r="X103" t="s">
        <v>33</v>
      </c>
      <c r="AU103" t="s">
        <v>34</v>
      </c>
      <c r="BR103" t="s">
        <v>35</v>
      </c>
    </row>
    <row r="104" spans="2:90" x14ac:dyDescent="0.3">
      <c r="B104" s="1" t="s">
        <v>6</v>
      </c>
      <c r="C104" s="1" t="s">
        <v>63</v>
      </c>
      <c r="D104" s="1" t="s">
        <v>64</v>
      </c>
      <c r="E104" s="1" t="s">
        <v>63</v>
      </c>
      <c r="F104" s="1" t="s">
        <v>64</v>
      </c>
      <c r="G104" s="1" t="s">
        <v>63</v>
      </c>
      <c r="H104" s="1" t="s">
        <v>64</v>
      </c>
      <c r="I104" s="1" t="s">
        <v>63</v>
      </c>
      <c r="J104" s="1" t="s">
        <v>64</v>
      </c>
      <c r="K104" s="1" t="s">
        <v>63</v>
      </c>
      <c r="L104" s="1" t="s">
        <v>64</v>
      </c>
      <c r="M104" s="1" t="s">
        <v>63</v>
      </c>
      <c r="N104" s="1" t="s">
        <v>64</v>
      </c>
      <c r="O104" s="1" t="s">
        <v>63</v>
      </c>
      <c r="P104" s="1" t="s">
        <v>64</v>
      </c>
      <c r="Q104" s="1" t="s">
        <v>63</v>
      </c>
      <c r="R104" s="1" t="s">
        <v>64</v>
      </c>
      <c r="S104" s="1" t="s">
        <v>63</v>
      </c>
      <c r="T104" s="1" t="s">
        <v>64</v>
      </c>
      <c r="U104" s="1" t="s">
        <v>63</v>
      </c>
      <c r="V104" s="1" t="s">
        <v>64</v>
      </c>
      <c r="X104" s="1" t="s">
        <v>6</v>
      </c>
      <c r="Y104" s="1" t="s">
        <v>63</v>
      </c>
      <c r="Z104" s="1" t="s">
        <v>64</v>
      </c>
      <c r="AA104" s="1" t="s">
        <v>63</v>
      </c>
      <c r="AB104" s="1" t="s">
        <v>64</v>
      </c>
      <c r="AC104" s="1" t="s">
        <v>63</v>
      </c>
      <c r="AD104" s="1" t="s">
        <v>64</v>
      </c>
      <c r="AE104" s="1" t="s">
        <v>63</v>
      </c>
      <c r="AF104" s="1" t="s">
        <v>64</v>
      </c>
      <c r="AG104" s="1" t="s">
        <v>63</v>
      </c>
      <c r="AH104" s="1" t="s">
        <v>64</v>
      </c>
      <c r="AI104" s="1" t="s">
        <v>63</v>
      </c>
      <c r="AJ104" s="1" t="s">
        <v>64</v>
      </c>
      <c r="AK104" s="1" t="s">
        <v>63</v>
      </c>
      <c r="AL104" s="1" t="s">
        <v>64</v>
      </c>
      <c r="AM104" s="1" t="s">
        <v>63</v>
      </c>
      <c r="AN104" s="1" t="s">
        <v>64</v>
      </c>
      <c r="AO104" s="1" t="s">
        <v>63</v>
      </c>
      <c r="AP104" s="1" t="s">
        <v>64</v>
      </c>
      <c r="AQ104" s="1" t="s">
        <v>63</v>
      </c>
      <c r="AR104" s="1" t="s">
        <v>64</v>
      </c>
      <c r="AU104" s="1" t="s">
        <v>6</v>
      </c>
      <c r="AV104" s="1" t="s">
        <v>63</v>
      </c>
      <c r="AW104" s="1" t="s">
        <v>64</v>
      </c>
      <c r="AX104" s="1" t="s">
        <v>63</v>
      </c>
      <c r="AY104" s="1" t="s">
        <v>64</v>
      </c>
      <c r="AZ104" s="1" t="s">
        <v>63</v>
      </c>
      <c r="BA104" s="1" t="s">
        <v>64</v>
      </c>
      <c r="BB104" s="1" t="s">
        <v>63</v>
      </c>
      <c r="BC104" s="1" t="s">
        <v>64</v>
      </c>
      <c r="BD104" s="1" t="s">
        <v>63</v>
      </c>
      <c r="BE104" s="1" t="s">
        <v>64</v>
      </c>
      <c r="BF104" s="1" t="s">
        <v>63</v>
      </c>
      <c r="BG104" s="1" t="s">
        <v>64</v>
      </c>
      <c r="BH104" s="1" t="s">
        <v>63</v>
      </c>
      <c r="BI104" s="1" t="s">
        <v>64</v>
      </c>
      <c r="BJ104" s="1" t="s">
        <v>63</v>
      </c>
      <c r="BK104" s="1" t="s">
        <v>64</v>
      </c>
      <c r="BL104" s="1" t="s">
        <v>63</v>
      </c>
      <c r="BM104" s="1" t="s">
        <v>64</v>
      </c>
      <c r="BN104" s="1" t="s">
        <v>63</v>
      </c>
      <c r="BO104" s="1" t="s">
        <v>64</v>
      </c>
      <c r="BR104" s="1" t="s">
        <v>6</v>
      </c>
      <c r="BS104" s="1" t="s">
        <v>63</v>
      </c>
      <c r="BT104" s="1" t="s">
        <v>64</v>
      </c>
      <c r="BU104" s="1" t="s">
        <v>63</v>
      </c>
      <c r="BV104" s="1" t="s">
        <v>64</v>
      </c>
      <c r="BW104" s="1" t="s">
        <v>63</v>
      </c>
      <c r="BX104" s="1" t="s">
        <v>64</v>
      </c>
      <c r="BY104" s="1" t="s">
        <v>63</v>
      </c>
      <c r="BZ104" s="1" t="s">
        <v>64</v>
      </c>
      <c r="CA104" s="1" t="s">
        <v>63</v>
      </c>
      <c r="CB104" s="1" t="s">
        <v>64</v>
      </c>
      <c r="CC104" s="1" t="s">
        <v>63</v>
      </c>
      <c r="CD104" s="1" t="s">
        <v>64</v>
      </c>
      <c r="CE104" s="1" t="s">
        <v>63</v>
      </c>
      <c r="CF104" s="1" t="s">
        <v>64</v>
      </c>
      <c r="CG104" s="1" t="s">
        <v>63</v>
      </c>
      <c r="CH104" s="1" t="s">
        <v>64</v>
      </c>
      <c r="CI104" s="1" t="s">
        <v>63</v>
      </c>
      <c r="CJ104" s="1" t="s">
        <v>64</v>
      </c>
      <c r="CK104" s="1" t="s">
        <v>63</v>
      </c>
      <c r="CL104" s="1" t="s">
        <v>64</v>
      </c>
    </row>
    <row r="105" spans="2:90" x14ac:dyDescent="0.3">
      <c r="B105" s="1" t="s">
        <v>65</v>
      </c>
      <c r="C105" s="1" t="s">
        <v>53</v>
      </c>
      <c r="D105" s="1" t="s">
        <v>53</v>
      </c>
      <c r="E105" s="1" t="s">
        <v>54</v>
      </c>
      <c r="F105" s="1" t="s">
        <v>54</v>
      </c>
      <c r="G105" s="1" t="s">
        <v>55</v>
      </c>
      <c r="H105" s="1" t="s">
        <v>55</v>
      </c>
      <c r="I105" s="1" t="s">
        <v>56</v>
      </c>
      <c r="J105" s="1" t="s">
        <v>56</v>
      </c>
      <c r="K105" s="1" t="s">
        <v>57</v>
      </c>
      <c r="L105" s="1" t="s">
        <v>57</v>
      </c>
      <c r="M105" s="1" t="s">
        <v>58</v>
      </c>
      <c r="N105" s="1" t="s">
        <v>58</v>
      </c>
      <c r="O105" s="1" t="s">
        <v>59</v>
      </c>
      <c r="P105" s="1" t="s">
        <v>59</v>
      </c>
      <c r="Q105" s="1" t="s">
        <v>60</v>
      </c>
      <c r="R105" s="1" t="s">
        <v>60</v>
      </c>
      <c r="S105" s="1" t="s">
        <v>61</v>
      </c>
      <c r="T105" s="1" t="s">
        <v>61</v>
      </c>
      <c r="U105" s="1" t="s">
        <v>62</v>
      </c>
      <c r="V105" s="1" t="s">
        <v>62</v>
      </c>
      <c r="X105" s="1" t="s">
        <v>65</v>
      </c>
      <c r="Y105" s="1" t="s">
        <v>53</v>
      </c>
      <c r="Z105" s="1" t="s">
        <v>53</v>
      </c>
      <c r="AA105" s="1" t="s">
        <v>54</v>
      </c>
      <c r="AB105" s="1" t="s">
        <v>54</v>
      </c>
      <c r="AC105" s="1" t="s">
        <v>55</v>
      </c>
      <c r="AD105" s="1" t="s">
        <v>55</v>
      </c>
      <c r="AE105" s="1" t="s">
        <v>56</v>
      </c>
      <c r="AF105" s="1" t="s">
        <v>56</v>
      </c>
      <c r="AG105" s="1" t="s">
        <v>57</v>
      </c>
      <c r="AH105" s="1" t="s">
        <v>57</v>
      </c>
      <c r="AI105" s="1" t="s">
        <v>58</v>
      </c>
      <c r="AJ105" s="1" t="s">
        <v>58</v>
      </c>
      <c r="AK105" s="1" t="s">
        <v>59</v>
      </c>
      <c r="AL105" s="1" t="s">
        <v>59</v>
      </c>
      <c r="AM105" s="1" t="s">
        <v>60</v>
      </c>
      <c r="AN105" s="1" t="s">
        <v>60</v>
      </c>
      <c r="AO105" s="1" t="s">
        <v>61</v>
      </c>
      <c r="AP105" s="1" t="s">
        <v>61</v>
      </c>
      <c r="AQ105" s="1" t="s">
        <v>62</v>
      </c>
      <c r="AR105" s="1" t="s">
        <v>62</v>
      </c>
      <c r="AU105" s="1" t="s">
        <v>65</v>
      </c>
      <c r="AV105" s="1" t="s">
        <v>53</v>
      </c>
      <c r="AW105" s="1" t="s">
        <v>53</v>
      </c>
      <c r="AX105" s="1" t="s">
        <v>54</v>
      </c>
      <c r="AY105" s="1" t="s">
        <v>54</v>
      </c>
      <c r="AZ105" s="1" t="s">
        <v>55</v>
      </c>
      <c r="BA105" s="1" t="s">
        <v>55</v>
      </c>
      <c r="BB105" s="1" t="s">
        <v>56</v>
      </c>
      <c r="BC105" s="1" t="s">
        <v>56</v>
      </c>
      <c r="BD105" s="1" t="s">
        <v>57</v>
      </c>
      <c r="BE105" s="1" t="s">
        <v>57</v>
      </c>
      <c r="BF105" s="1" t="s">
        <v>58</v>
      </c>
      <c r="BG105" s="1" t="s">
        <v>58</v>
      </c>
      <c r="BH105" s="1" t="s">
        <v>59</v>
      </c>
      <c r="BI105" s="1" t="s">
        <v>59</v>
      </c>
      <c r="BJ105" s="1" t="s">
        <v>60</v>
      </c>
      <c r="BK105" s="1" t="s">
        <v>60</v>
      </c>
      <c r="BL105" s="1" t="s">
        <v>61</v>
      </c>
      <c r="BM105" s="1" t="s">
        <v>61</v>
      </c>
      <c r="BN105" s="1" t="s">
        <v>62</v>
      </c>
      <c r="BO105" s="1" t="s">
        <v>62</v>
      </c>
      <c r="BR105" s="1" t="s">
        <v>65</v>
      </c>
      <c r="BS105" s="1" t="s">
        <v>53</v>
      </c>
      <c r="BT105" s="1" t="s">
        <v>53</v>
      </c>
      <c r="BU105" s="1" t="s">
        <v>54</v>
      </c>
      <c r="BV105" s="1" t="s">
        <v>54</v>
      </c>
      <c r="BW105" s="1" t="s">
        <v>55</v>
      </c>
      <c r="BX105" s="1" t="s">
        <v>55</v>
      </c>
      <c r="BY105" s="1" t="s">
        <v>56</v>
      </c>
      <c r="BZ105" s="1" t="s">
        <v>56</v>
      </c>
      <c r="CA105" s="1" t="s">
        <v>57</v>
      </c>
      <c r="CB105" s="1" t="s">
        <v>57</v>
      </c>
      <c r="CC105" s="1" t="s">
        <v>58</v>
      </c>
      <c r="CD105" s="1" t="s">
        <v>58</v>
      </c>
      <c r="CE105" s="1" t="s">
        <v>59</v>
      </c>
      <c r="CF105" s="1" t="s">
        <v>59</v>
      </c>
      <c r="CG105" s="1" t="s">
        <v>60</v>
      </c>
      <c r="CH105" s="1" t="s">
        <v>60</v>
      </c>
      <c r="CI105" s="1" t="s">
        <v>61</v>
      </c>
      <c r="CJ105" s="1" t="s">
        <v>61</v>
      </c>
      <c r="CK105" s="1" t="s">
        <v>62</v>
      </c>
      <c r="CL105" s="1" t="s">
        <v>62</v>
      </c>
    </row>
    <row r="106" spans="2:90" x14ac:dyDescent="0.3">
      <c r="B106" s="1" t="s">
        <v>7</v>
      </c>
      <c r="X106" s="1" t="s">
        <v>7</v>
      </c>
      <c r="AU106" s="1" t="s">
        <v>7</v>
      </c>
      <c r="BR106" s="1" t="s">
        <v>7</v>
      </c>
    </row>
    <row r="107" spans="2:90" x14ac:dyDescent="0.3">
      <c r="B107" s="1" t="s">
        <v>66</v>
      </c>
      <c r="C107" s="2">
        <v>1.263393567479042E-2</v>
      </c>
      <c r="D107" s="2">
        <v>2.0502763720017629E-2</v>
      </c>
      <c r="E107" s="2">
        <v>2.7730536189545011E-3</v>
      </c>
      <c r="F107" s="2">
        <v>4.3661577104539689E-3</v>
      </c>
      <c r="G107" s="2">
        <v>3.69036421048306E-3</v>
      </c>
      <c r="H107" s="2">
        <v>4.1338518628876346E-3</v>
      </c>
      <c r="I107" s="2">
        <v>1.7157610165204389E-2</v>
      </c>
      <c r="J107" s="2">
        <v>7.7919609621627814E-3</v>
      </c>
      <c r="K107" s="2">
        <v>2.1515188658535769E-2</v>
      </c>
      <c r="L107" s="2">
        <v>6.2266789159238457E-3</v>
      </c>
      <c r="M107" s="2">
        <v>2.128185301580789E-2</v>
      </c>
      <c r="N107" s="2">
        <v>4.6685719255919128E-3</v>
      </c>
      <c r="O107" s="2">
        <v>2.0315923434335359E-2</v>
      </c>
      <c r="P107" s="2">
        <v>1.4322105087961391E-3</v>
      </c>
      <c r="Q107" s="2">
        <v>1.7633849592658169E-2</v>
      </c>
      <c r="R107" s="2">
        <v>6.5627094350505242E-3</v>
      </c>
      <c r="S107" s="2">
        <v>2.0671217599805441E-3</v>
      </c>
      <c r="T107" s="2">
        <v>1.9884225931258411E-3</v>
      </c>
      <c r="U107" s="2">
        <v>4.4522619850962388E-3</v>
      </c>
      <c r="V107" s="2">
        <v>2.863343369708764E-3</v>
      </c>
      <c r="X107" s="1" t="s">
        <v>66</v>
      </c>
      <c r="Y107" s="2">
        <v>2819.95</v>
      </c>
      <c r="Z107" s="2">
        <v>2273.2399999999998</v>
      </c>
      <c r="AA107" s="2">
        <v>683.91</v>
      </c>
      <c r="AB107" s="2">
        <v>616.96</v>
      </c>
      <c r="AC107" s="2">
        <v>504.55</v>
      </c>
      <c r="AD107" s="2">
        <v>781.93</v>
      </c>
      <c r="AE107" s="2">
        <v>1612.12</v>
      </c>
      <c r="AF107" s="2">
        <v>780.34</v>
      </c>
      <c r="AG107" s="2">
        <v>2597.9899999999998</v>
      </c>
      <c r="AH107" s="2">
        <v>638.02</v>
      </c>
      <c r="AI107" s="2">
        <v>2655.51</v>
      </c>
      <c r="AJ107" s="2">
        <v>434.31</v>
      </c>
      <c r="AK107" s="2">
        <v>2500.42</v>
      </c>
      <c r="AL107" s="2">
        <v>99.7</v>
      </c>
      <c r="AM107" s="2">
        <v>1771.07</v>
      </c>
      <c r="AN107" s="2">
        <v>396.59</v>
      </c>
      <c r="AO107" s="2">
        <v>107.04</v>
      </c>
      <c r="AP107" s="2">
        <v>66.17</v>
      </c>
      <c r="AQ107" s="2">
        <v>174.44</v>
      </c>
      <c r="AR107" s="2">
        <v>65</v>
      </c>
      <c r="AU107" s="1" t="s">
        <v>66</v>
      </c>
      <c r="AV107" s="2">
        <v>9255.75</v>
      </c>
      <c r="AW107" s="2">
        <v>9456.66</v>
      </c>
      <c r="AX107" s="2">
        <v>10458.69</v>
      </c>
      <c r="AY107" s="2">
        <v>9487.5400000000009</v>
      </c>
      <c r="AZ107" s="2">
        <v>7751.95</v>
      </c>
      <c r="BA107" s="2">
        <v>10268.27</v>
      </c>
      <c r="BB107" s="2">
        <v>9917.58</v>
      </c>
      <c r="BC107" s="2">
        <v>9639.86</v>
      </c>
      <c r="BD107" s="2">
        <v>9883.01</v>
      </c>
      <c r="BE107" s="2">
        <v>9653.3799999999992</v>
      </c>
      <c r="BF107" s="2">
        <v>10180.39</v>
      </c>
      <c r="BG107" s="2">
        <v>9811.59</v>
      </c>
      <c r="BH107" s="2">
        <v>9795.08</v>
      </c>
      <c r="BI107" s="2">
        <v>9609.2999999999993</v>
      </c>
      <c r="BJ107" s="2">
        <v>10140.129999999999</v>
      </c>
      <c r="BK107" s="2">
        <v>10046.01</v>
      </c>
      <c r="BL107" s="2">
        <v>10316.66</v>
      </c>
      <c r="BM107" s="2">
        <v>6377.33</v>
      </c>
      <c r="BN107" s="2">
        <v>9603.86</v>
      </c>
      <c r="BO107" s="2">
        <v>6265.1</v>
      </c>
      <c r="BR107" s="1" t="s">
        <v>66</v>
      </c>
      <c r="BS107" s="2">
        <v>0.91</v>
      </c>
      <c r="BT107" s="2">
        <v>0.91</v>
      </c>
      <c r="BU107" s="2">
        <v>0.91</v>
      </c>
      <c r="BV107" s="2">
        <v>0.91</v>
      </c>
      <c r="BW107" s="2">
        <v>0.35</v>
      </c>
      <c r="BX107" s="2">
        <v>0.35</v>
      </c>
      <c r="BY107" s="2">
        <v>1.1200000000000001</v>
      </c>
      <c r="BZ107" s="2">
        <v>1.1200000000000001</v>
      </c>
      <c r="CA107" s="2">
        <v>1.4</v>
      </c>
      <c r="CB107" s="2">
        <v>1.4</v>
      </c>
      <c r="CC107" s="2">
        <v>2.52</v>
      </c>
      <c r="CD107" s="2">
        <v>2.52</v>
      </c>
      <c r="CE107" s="2">
        <v>2.0299999999999998</v>
      </c>
      <c r="CF107" s="2">
        <v>2.0299999999999998</v>
      </c>
      <c r="CG107" s="2">
        <v>2.66</v>
      </c>
      <c r="CH107" s="2">
        <v>2.66</v>
      </c>
      <c r="CI107" s="2">
        <v>2.38</v>
      </c>
      <c r="CJ107" s="2">
        <v>2.38</v>
      </c>
      <c r="CK107" s="2">
        <v>3.15</v>
      </c>
      <c r="CL107" s="2">
        <v>3.15</v>
      </c>
    </row>
    <row r="108" spans="2:90" x14ac:dyDescent="0.3">
      <c r="B108" s="1" t="s">
        <v>67</v>
      </c>
      <c r="C108" s="2">
        <v>2.063819107887507E-2</v>
      </c>
      <c r="D108" s="2">
        <v>1.1502935642368759E-2</v>
      </c>
      <c r="E108" s="2">
        <v>1.8735474967843779E-2</v>
      </c>
      <c r="F108" s="2">
        <v>1.309740099755618E-2</v>
      </c>
      <c r="G108" s="2">
        <v>1.7983760192476241E-2</v>
      </c>
      <c r="H108" s="2">
        <v>1.2940977020647001E-2</v>
      </c>
      <c r="I108" s="2">
        <v>4.3913698975634928E-2</v>
      </c>
      <c r="J108" s="2">
        <v>2.7973150670537902E-2</v>
      </c>
      <c r="K108" s="2">
        <v>3.8986725111303633E-2</v>
      </c>
      <c r="L108" s="2">
        <v>1.9391895096286721E-2</v>
      </c>
      <c r="M108" s="2">
        <v>4.5135021304597303E-2</v>
      </c>
      <c r="N108" s="2">
        <v>2.1905909942402289E-2</v>
      </c>
      <c r="O108" s="2">
        <v>3.6109263947130099E-2</v>
      </c>
      <c r="P108" s="2">
        <v>2.9066267351198001E-2</v>
      </c>
      <c r="Q108" s="2">
        <v>3.612906704723156E-2</v>
      </c>
      <c r="R108" s="2">
        <v>3.2450522428922032E-2</v>
      </c>
      <c r="S108" s="2">
        <v>5.2408051992055282E-2</v>
      </c>
      <c r="T108" s="2">
        <v>2.9434845980198718E-2</v>
      </c>
      <c r="U108" s="2">
        <v>6.4720008860559355E-2</v>
      </c>
      <c r="V108" s="2">
        <v>2.8808782428675472E-2</v>
      </c>
      <c r="X108" s="1" t="s">
        <v>67</v>
      </c>
      <c r="Y108" s="2">
        <v>823.43</v>
      </c>
      <c r="Z108" s="2">
        <v>476.59</v>
      </c>
      <c r="AA108" s="2">
        <v>908.35</v>
      </c>
      <c r="AB108" s="2">
        <v>551.04</v>
      </c>
      <c r="AC108" s="2">
        <v>552.52</v>
      </c>
      <c r="AD108" s="2">
        <v>666.21</v>
      </c>
      <c r="AE108" s="2">
        <v>973.53</v>
      </c>
      <c r="AF108" s="2">
        <v>584.55999999999995</v>
      </c>
      <c r="AG108" s="2">
        <v>903.76</v>
      </c>
      <c r="AH108" s="2">
        <v>534.80999999999995</v>
      </c>
      <c r="AI108" s="2">
        <v>886.39</v>
      </c>
      <c r="AJ108" s="2">
        <v>541.12</v>
      </c>
      <c r="AK108" s="2">
        <v>703.68</v>
      </c>
      <c r="AL108" s="2">
        <v>592.83000000000004</v>
      </c>
      <c r="AM108" s="2">
        <v>676.18</v>
      </c>
      <c r="AN108" s="2">
        <v>612.13</v>
      </c>
      <c r="AO108" s="2">
        <v>667.33</v>
      </c>
      <c r="AP108" s="2">
        <v>473.97</v>
      </c>
      <c r="AQ108" s="2">
        <v>782.66</v>
      </c>
      <c r="AR108" s="2">
        <v>449.02</v>
      </c>
      <c r="AU108" s="1" t="s">
        <v>67</v>
      </c>
      <c r="AV108" s="2">
        <v>5694.07</v>
      </c>
      <c r="AW108" s="2">
        <v>3277.31</v>
      </c>
      <c r="AX108" s="2">
        <v>5867.95</v>
      </c>
      <c r="AY108" s="2">
        <v>3535.16</v>
      </c>
      <c r="AZ108" s="2">
        <v>3428.08</v>
      </c>
      <c r="BA108" s="2">
        <v>4270.29</v>
      </c>
      <c r="BB108" s="2">
        <v>6322.57</v>
      </c>
      <c r="BC108" s="2">
        <v>3570.84</v>
      </c>
      <c r="BD108" s="2">
        <v>6301.94</v>
      </c>
      <c r="BE108" s="2">
        <v>3565.49</v>
      </c>
      <c r="BF108" s="2">
        <v>6143.71</v>
      </c>
      <c r="BG108" s="2">
        <v>3603.48</v>
      </c>
      <c r="BH108" s="2">
        <v>4874.22</v>
      </c>
      <c r="BI108" s="2">
        <v>4063.27</v>
      </c>
      <c r="BJ108" s="2">
        <v>4685.42</v>
      </c>
      <c r="BK108" s="2">
        <v>4230.67</v>
      </c>
      <c r="BL108" s="2">
        <v>4617.07</v>
      </c>
      <c r="BM108" s="2">
        <v>3086.23</v>
      </c>
      <c r="BN108" s="2">
        <v>5485.54</v>
      </c>
      <c r="BO108" s="2">
        <v>3096.18</v>
      </c>
      <c r="BR108" s="1" t="s">
        <v>67</v>
      </c>
      <c r="BS108" s="2">
        <v>6.31</v>
      </c>
      <c r="BT108" s="2">
        <v>3.63</v>
      </c>
      <c r="BU108" s="2">
        <v>5.12</v>
      </c>
      <c r="BV108" s="2">
        <v>3.19</v>
      </c>
      <c r="BW108" s="2">
        <v>1.87</v>
      </c>
      <c r="BX108" s="2">
        <v>1.57</v>
      </c>
      <c r="BY108" s="2">
        <v>7.5</v>
      </c>
      <c r="BZ108" s="2">
        <v>7.97</v>
      </c>
      <c r="CA108" s="2">
        <v>10.220000000000001</v>
      </c>
      <c r="CB108" s="2">
        <v>7.81</v>
      </c>
      <c r="CC108" s="2">
        <v>22.68</v>
      </c>
      <c r="CD108" s="2">
        <v>14.47</v>
      </c>
      <c r="CE108" s="2">
        <v>16.57</v>
      </c>
      <c r="CF108" s="2">
        <v>13.33</v>
      </c>
      <c r="CG108" s="2">
        <v>20.46</v>
      </c>
      <c r="CH108" s="2">
        <v>15.33</v>
      </c>
      <c r="CI108" s="2">
        <v>17.329999999999998</v>
      </c>
      <c r="CJ108" s="2">
        <v>10.74</v>
      </c>
      <c r="CK108" s="2">
        <v>18.95</v>
      </c>
      <c r="CL108" s="2">
        <v>10.91</v>
      </c>
    </row>
    <row r="109" spans="2:90" x14ac:dyDescent="0.3">
      <c r="B109" s="1" t="s">
        <v>68</v>
      </c>
      <c r="C109" s="2">
        <v>0.33789708205534569</v>
      </c>
      <c r="D109" s="2">
        <v>3.7023682986100211E-2</v>
      </c>
      <c r="E109" s="2">
        <v>0.36675760453965489</v>
      </c>
      <c r="F109" s="2">
        <v>3.3547066781284919E-2</v>
      </c>
      <c r="G109" s="2">
        <v>0.3243421214181943</v>
      </c>
      <c r="H109" s="2">
        <v>0.25714784770848642</v>
      </c>
      <c r="I109" s="2">
        <v>0.37388224593307989</v>
      </c>
      <c r="J109" s="2">
        <v>0.1519182838432738</v>
      </c>
      <c r="K109" s="2">
        <v>0.34591145268896623</v>
      </c>
      <c r="L109" s="2">
        <v>0.1233293683744469</v>
      </c>
      <c r="M109" s="2">
        <v>0.35460228894970341</v>
      </c>
      <c r="N109" s="2">
        <v>0.13367447305474131</v>
      </c>
      <c r="O109" s="2">
        <v>0.36483080194206441</v>
      </c>
      <c r="P109" s="2">
        <v>0.15458796034432309</v>
      </c>
      <c r="Q109" s="2">
        <v>0.38590801882437059</v>
      </c>
      <c r="R109" s="2">
        <v>0.17596601804776241</v>
      </c>
      <c r="S109" s="2">
        <v>0.26848288255328973</v>
      </c>
      <c r="T109" s="2">
        <v>0.18281474964005759</v>
      </c>
      <c r="U109" s="2">
        <v>0.18834594880031569</v>
      </c>
      <c r="V109" s="2">
        <v>0.18268471695437041</v>
      </c>
      <c r="X109" s="1" t="s">
        <v>68</v>
      </c>
      <c r="Y109" s="2">
        <v>4673.7299999999996</v>
      </c>
      <c r="Z109" s="2">
        <v>1164.44</v>
      </c>
      <c r="AA109" s="2">
        <v>4859.03</v>
      </c>
      <c r="AB109" s="2">
        <v>1232.42</v>
      </c>
      <c r="AC109" s="2">
        <v>4947.97</v>
      </c>
      <c r="AD109" s="2">
        <v>3016.48</v>
      </c>
      <c r="AE109" s="2">
        <v>5298.54</v>
      </c>
      <c r="AF109" s="2">
        <v>2347.16</v>
      </c>
      <c r="AG109" s="2">
        <v>5518.73</v>
      </c>
      <c r="AH109" s="2">
        <v>1914.43</v>
      </c>
      <c r="AI109" s="2">
        <v>5915.4</v>
      </c>
      <c r="AJ109" s="2">
        <v>1895.98</v>
      </c>
      <c r="AK109" s="2">
        <v>5414.71</v>
      </c>
      <c r="AL109" s="2">
        <v>1989.56</v>
      </c>
      <c r="AM109" s="2">
        <v>5237.62</v>
      </c>
      <c r="AN109" s="2">
        <v>1877.49</v>
      </c>
      <c r="AO109" s="2">
        <v>2433.14</v>
      </c>
      <c r="AP109" s="2">
        <v>1478.06</v>
      </c>
      <c r="AQ109" s="2">
        <v>1527.49</v>
      </c>
      <c r="AR109" s="2">
        <v>1361.51</v>
      </c>
      <c r="AU109" s="1" t="s">
        <v>68</v>
      </c>
      <c r="AV109" s="2">
        <v>16535.03</v>
      </c>
      <c r="AW109" s="2">
        <v>7989.46</v>
      </c>
      <c r="AX109" s="2">
        <v>18475.759999999998</v>
      </c>
      <c r="AY109" s="2">
        <v>7904.08</v>
      </c>
      <c r="AZ109" s="2">
        <v>10793.24</v>
      </c>
      <c r="BA109" s="2">
        <v>14793.94</v>
      </c>
      <c r="BB109" s="2">
        <v>15911.4</v>
      </c>
      <c r="BC109" s="2">
        <v>11495.83</v>
      </c>
      <c r="BD109" s="2">
        <v>16172.47</v>
      </c>
      <c r="BE109" s="2">
        <v>10890.5</v>
      </c>
      <c r="BF109" s="2">
        <v>16574.05</v>
      </c>
      <c r="BG109" s="2">
        <v>10707.26</v>
      </c>
      <c r="BH109" s="2">
        <v>14326.62</v>
      </c>
      <c r="BI109" s="2">
        <v>10918.15</v>
      </c>
      <c r="BJ109" s="2">
        <v>13594.57</v>
      </c>
      <c r="BK109" s="2">
        <v>11161.2</v>
      </c>
      <c r="BL109" s="2">
        <v>12470.44</v>
      </c>
      <c r="BM109" s="2">
        <v>8990.1299999999992</v>
      </c>
      <c r="BN109" s="2">
        <v>9597.57</v>
      </c>
      <c r="BO109" s="2">
        <v>8327.61</v>
      </c>
      <c r="BR109" s="1" t="s">
        <v>68</v>
      </c>
      <c r="BS109" s="2">
        <v>16.38</v>
      </c>
      <c r="BT109" s="2">
        <v>4.58</v>
      </c>
      <c r="BU109" s="2">
        <v>17.62</v>
      </c>
      <c r="BV109" s="2">
        <v>3.6</v>
      </c>
      <c r="BW109" s="2">
        <v>3.15</v>
      </c>
      <c r="BX109" s="2">
        <v>6.3</v>
      </c>
      <c r="BY109" s="2">
        <v>10.08</v>
      </c>
      <c r="BZ109" s="2">
        <v>10.08</v>
      </c>
      <c r="CA109" s="2">
        <v>12.6</v>
      </c>
      <c r="CB109" s="2">
        <v>12.6</v>
      </c>
      <c r="CC109" s="2">
        <v>22.68</v>
      </c>
      <c r="CD109" s="2">
        <v>22.68</v>
      </c>
      <c r="CE109" s="2">
        <v>18.27</v>
      </c>
      <c r="CF109" s="2">
        <v>18.27</v>
      </c>
      <c r="CG109" s="2">
        <v>23.94</v>
      </c>
      <c r="CH109" s="2">
        <v>23.94</v>
      </c>
      <c r="CI109" s="2">
        <v>21.42</v>
      </c>
      <c r="CJ109" s="2">
        <v>18.71</v>
      </c>
      <c r="CK109" s="2">
        <v>24.58</v>
      </c>
      <c r="CL109" s="2">
        <v>21.26</v>
      </c>
    </row>
    <row r="110" spans="2:90" x14ac:dyDescent="0.3">
      <c r="B110" s="1" t="s">
        <v>69</v>
      </c>
      <c r="C110" s="2">
        <v>6.3421714311232016E-2</v>
      </c>
      <c r="D110" s="2">
        <v>1.424840596597848E-2</v>
      </c>
      <c r="E110" s="2">
        <v>6.6231944797611755E-2</v>
      </c>
      <c r="F110" s="2">
        <v>1.1764095396750621E-2</v>
      </c>
      <c r="G110" s="2">
        <v>7.5625404980388042E-2</v>
      </c>
      <c r="H110" s="2">
        <v>7.728933024407536E-2</v>
      </c>
      <c r="I110" s="2">
        <v>9.6468665426874531E-2</v>
      </c>
      <c r="J110" s="2">
        <v>4.3473477479537739E-2</v>
      </c>
      <c r="K110" s="2">
        <v>8.1301229682803108E-2</v>
      </c>
      <c r="L110" s="2">
        <v>3.1949756967770637E-2</v>
      </c>
      <c r="M110" s="2">
        <v>7.8058717530600646E-2</v>
      </c>
      <c r="N110" s="2">
        <v>3.180286123482761E-2</v>
      </c>
      <c r="O110" s="2">
        <v>8.3360465704741524E-2</v>
      </c>
      <c r="P110" s="2">
        <v>3.6274347702930212E-2</v>
      </c>
      <c r="Q110" s="2">
        <v>6.3264998592825861E-2</v>
      </c>
      <c r="R110" s="2">
        <v>3.904599894321379E-2</v>
      </c>
      <c r="S110" s="2">
        <v>4.6636714556091738E-2</v>
      </c>
      <c r="T110" s="2">
        <v>4.5505459867161993E-2</v>
      </c>
      <c r="U110" s="2">
        <v>4.7102400213928877E-2</v>
      </c>
      <c r="V110" s="2">
        <v>5.0422681571553822E-2</v>
      </c>
      <c r="X110" s="1" t="s">
        <v>69</v>
      </c>
      <c r="Y110" s="2">
        <v>825.62</v>
      </c>
      <c r="Z110" s="2">
        <v>469.93</v>
      </c>
      <c r="AA110" s="2">
        <v>927.53</v>
      </c>
      <c r="AB110" s="2">
        <v>483.64</v>
      </c>
      <c r="AC110" s="2">
        <v>1128.9100000000001</v>
      </c>
      <c r="AD110" s="2">
        <v>909.49</v>
      </c>
      <c r="AE110" s="2">
        <v>1270.8900000000001</v>
      </c>
      <c r="AF110" s="2">
        <v>669.7</v>
      </c>
      <c r="AG110" s="2">
        <v>1220.0899999999999</v>
      </c>
      <c r="AH110" s="2">
        <v>586.23</v>
      </c>
      <c r="AI110" s="2">
        <v>1215.3399999999999</v>
      </c>
      <c r="AJ110" s="2">
        <v>564.76</v>
      </c>
      <c r="AK110" s="2">
        <v>1188.47</v>
      </c>
      <c r="AL110" s="2">
        <v>576.80999999999995</v>
      </c>
      <c r="AM110" s="2">
        <v>832.71</v>
      </c>
      <c r="AN110" s="2">
        <v>546.86</v>
      </c>
      <c r="AO110" s="2">
        <v>553.79</v>
      </c>
      <c r="AP110" s="2">
        <v>509.87</v>
      </c>
      <c r="AQ110" s="2">
        <v>505.84</v>
      </c>
      <c r="AR110" s="2">
        <v>482.1</v>
      </c>
      <c r="AU110" s="1" t="s">
        <v>69</v>
      </c>
      <c r="AV110" s="2">
        <v>4870.46</v>
      </c>
      <c r="AW110" s="2">
        <v>2588.77</v>
      </c>
      <c r="AX110" s="2">
        <v>5658.08</v>
      </c>
      <c r="AY110" s="2">
        <v>3100.06</v>
      </c>
      <c r="AZ110" s="2">
        <v>3548.65</v>
      </c>
      <c r="BA110" s="2">
        <v>5342.3</v>
      </c>
      <c r="BB110" s="2">
        <v>4752.8100000000004</v>
      </c>
      <c r="BC110" s="2">
        <v>4058.68</v>
      </c>
      <c r="BD110" s="2">
        <v>4783.59</v>
      </c>
      <c r="BE110" s="2">
        <v>3750.68</v>
      </c>
      <c r="BF110" s="2">
        <v>4771.8900000000003</v>
      </c>
      <c r="BG110" s="2">
        <v>3538.72</v>
      </c>
      <c r="BH110" s="2">
        <v>4609.58</v>
      </c>
      <c r="BI110" s="2">
        <v>3616.59</v>
      </c>
      <c r="BJ110" s="2">
        <v>4314.1899999999996</v>
      </c>
      <c r="BK110" s="2">
        <v>3420.94</v>
      </c>
      <c r="BL110" s="2">
        <v>3514.71</v>
      </c>
      <c r="BM110" s="2">
        <v>3043.03</v>
      </c>
      <c r="BN110" s="2">
        <v>3075.46</v>
      </c>
      <c r="BO110" s="2">
        <v>2876.2</v>
      </c>
      <c r="BR110" s="1" t="s">
        <v>69</v>
      </c>
      <c r="BS110" s="2">
        <v>16.38</v>
      </c>
      <c r="BT110" s="2">
        <v>4.0599999999999996</v>
      </c>
      <c r="BU110" s="2">
        <v>16.38</v>
      </c>
      <c r="BV110" s="2">
        <v>3.07</v>
      </c>
      <c r="BW110" s="2">
        <v>3.15</v>
      </c>
      <c r="BX110" s="2">
        <v>6.3</v>
      </c>
      <c r="BY110" s="2">
        <v>10.08</v>
      </c>
      <c r="BZ110" s="2">
        <v>10.08</v>
      </c>
      <c r="CA110" s="2">
        <v>12.6</v>
      </c>
      <c r="CB110" s="2">
        <v>10.52</v>
      </c>
      <c r="CC110" s="2">
        <v>22.68</v>
      </c>
      <c r="CD110" s="2">
        <v>17.7</v>
      </c>
      <c r="CE110" s="2">
        <v>18.27</v>
      </c>
      <c r="CF110" s="2">
        <v>14.54</v>
      </c>
      <c r="CG110" s="2">
        <v>23.94</v>
      </c>
      <c r="CH110" s="2">
        <v>17.059999999999999</v>
      </c>
      <c r="CI110" s="2">
        <v>15.28</v>
      </c>
      <c r="CJ110" s="2">
        <v>13.25</v>
      </c>
      <c r="CK110" s="2">
        <v>17.260000000000002</v>
      </c>
      <c r="CL110" s="2">
        <v>15.77</v>
      </c>
    </row>
    <row r="111" spans="2:90" x14ac:dyDescent="0.3">
      <c r="B111" s="1" t="s">
        <v>70</v>
      </c>
      <c r="C111" s="2">
        <v>0.17247772075613491</v>
      </c>
      <c r="D111" s="2">
        <v>0.26352728721539009</v>
      </c>
      <c r="E111" s="2">
        <v>0.223906716690675</v>
      </c>
      <c r="F111" s="2">
        <v>0.18896143899226281</v>
      </c>
      <c r="G111" s="2">
        <v>0.28422920549425268</v>
      </c>
      <c r="H111" s="2">
        <v>0.2118785736669869</v>
      </c>
      <c r="I111" s="2">
        <v>0.17193341927140299</v>
      </c>
      <c r="J111" s="2">
        <v>0.29653551556244367</v>
      </c>
      <c r="K111" s="2">
        <v>0.27738017589186492</v>
      </c>
      <c r="L111" s="2">
        <v>0.28477797296193291</v>
      </c>
      <c r="M111" s="2">
        <v>0.2317134446372176</v>
      </c>
      <c r="N111" s="2">
        <v>0.2312392746245677</v>
      </c>
      <c r="O111" s="2">
        <v>0.20187130196099801</v>
      </c>
      <c r="P111" s="2">
        <v>0.22887400017439069</v>
      </c>
      <c r="Q111" s="2">
        <v>0.1674958283380498</v>
      </c>
      <c r="R111" s="2">
        <v>0.22506346226348661</v>
      </c>
      <c r="S111" s="2">
        <v>0.22385287799057729</v>
      </c>
      <c r="T111" s="2">
        <v>0.23613792163624189</v>
      </c>
      <c r="U111" s="2">
        <v>0.26905506410076008</v>
      </c>
      <c r="V111" s="2">
        <v>0.26913267049651018</v>
      </c>
      <c r="X111" s="1" t="s">
        <v>70</v>
      </c>
      <c r="Y111" s="2">
        <v>4577.7</v>
      </c>
      <c r="Z111" s="2">
        <v>4714.32</v>
      </c>
      <c r="AA111" s="2">
        <v>6314.48</v>
      </c>
      <c r="AB111" s="2">
        <v>4539.41</v>
      </c>
      <c r="AC111" s="2">
        <v>4598.49</v>
      </c>
      <c r="AD111" s="2">
        <v>5164.21</v>
      </c>
      <c r="AE111" s="2">
        <v>3597.2</v>
      </c>
      <c r="AF111" s="2">
        <v>4832.1899999999996</v>
      </c>
      <c r="AG111" s="2">
        <v>4472.24</v>
      </c>
      <c r="AH111" s="2">
        <v>4821.3100000000004</v>
      </c>
      <c r="AI111" s="2">
        <v>3915.07</v>
      </c>
      <c r="AJ111" s="2">
        <v>3721.25</v>
      </c>
      <c r="AK111" s="2">
        <v>3240.24</v>
      </c>
      <c r="AL111" s="2">
        <v>3530.4</v>
      </c>
      <c r="AM111" s="2">
        <v>2997.85</v>
      </c>
      <c r="AN111" s="2">
        <v>3065.09</v>
      </c>
      <c r="AO111" s="2">
        <v>2801.29</v>
      </c>
      <c r="AP111" s="2">
        <v>2893.78</v>
      </c>
      <c r="AQ111" s="2">
        <v>2814.05</v>
      </c>
      <c r="AR111" s="2">
        <v>3067.23</v>
      </c>
      <c r="AU111" s="1" t="s">
        <v>70</v>
      </c>
      <c r="AV111" s="2">
        <v>15829.84</v>
      </c>
      <c r="AW111" s="2">
        <v>20976.68</v>
      </c>
      <c r="AX111" s="2">
        <v>24556.02</v>
      </c>
      <c r="AY111" s="2">
        <v>29035.09</v>
      </c>
      <c r="AZ111" s="2">
        <v>15651.51</v>
      </c>
      <c r="BA111" s="2">
        <v>18134.16</v>
      </c>
      <c r="BB111" s="2">
        <v>22906.3</v>
      </c>
      <c r="BC111" s="2">
        <v>20722.310000000001</v>
      </c>
      <c r="BD111" s="2">
        <v>23928.26</v>
      </c>
      <c r="BE111" s="2">
        <v>23807.19</v>
      </c>
      <c r="BF111" s="2">
        <v>23355.93</v>
      </c>
      <c r="BG111" s="2">
        <v>24653.25</v>
      </c>
      <c r="BH111" s="2">
        <v>21974.76</v>
      </c>
      <c r="BI111" s="2">
        <v>24172.1</v>
      </c>
      <c r="BJ111" s="2">
        <v>19727.150000000001</v>
      </c>
      <c r="BK111" s="2">
        <v>20429.41</v>
      </c>
      <c r="BL111" s="2">
        <v>17762.71</v>
      </c>
      <c r="BM111" s="2">
        <v>19386.72</v>
      </c>
      <c r="BN111" s="2">
        <v>18033.95</v>
      </c>
      <c r="BO111" s="2">
        <v>21027.77</v>
      </c>
      <c r="BR111" s="1" t="s">
        <v>70</v>
      </c>
      <c r="BS111" s="2">
        <v>8.19</v>
      </c>
      <c r="BT111" s="2">
        <v>8.19</v>
      </c>
      <c r="BU111" s="2">
        <v>8.19</v>
      </c>
      <c r="BV111" s="2">
        <v>5.73</v>
      </c>
      <c r="BW111" s="2">
        <v>3.15</v>
      </c>
      <c r="BX111" s="2">
        <v>3.15</v>
      </c>
      <c r="BY111" s="2">
        <v>6.89</v>
      </c>
      <c r="BZ111" s="2">
        <v>10.08</v>
      </c>
      <c r="CA111" s="2">
        <v>12.6</v>
      </c>
      <c r="CB111" s="2">
        <v>12.6</v>
      </c>
      <c r="CC111" s="2">
        <v>22.68</v>
      </c>
      <c r="CD111" s="2">
        <v>22.68</v>
      </c>
      <c r="CE111" s="2">
        <v>17.95</v>
      </c>
      <c r="CF111" s="2">
        <v>17.14</v>
      </c>
      <c r="CG111" s="2">
        <v>18.95</v>
      </c>
      <c r="CH111" s="2">
        <v>19.579999999999998</v>
      </c>
      <c r="CI111" s="2">
        <v>15.01</v>
      </c>
      <c r="CJ111" s="2">
        <v>14.2</v>
      </c>
      <c r="CK111" s="2">
        <v>19.18</v>
      </c>
      <c r="CL111" s="2">
        <v>14.97</v>
      </c>
    </row>
    <row r="112" spans="2:90" x14ac:dyDescent="0.3">
      <c r="B112" s="1" t="s">
        <v>71</v>
      </c>
      <c r="C112" s="2">
        <v>4.3456070136132112E-2</v>
      </c>
      <c r="D112" s="2">
        <v>6.5989529110138098E-2</v>
      </c>
      <c r="E112" s="2">
        <v>6.9531048197911491E-2</v>
      </c>
      <c r="F112" s="2">
        <v>0.118015343092467</v>
      </c>
      <c r="G112" s="2">
        <v>6.4693126972282675E-2</v>
      </c>
      <c r="H112" s="2">
        <v>4.8152695651578287E-2</v>
      </c>
      <c r="I112" s="2">
        <v>3.6729523654699163E-2</v>
      </c>
      <c r="J112" s="2">
        <v>5.836839641081823E-2</v>
      </c>
      <c r="K112" s="2">
        <v>2.941326837502441E-2</v>
      </c>
      <c r="L112" s="2">
        <v>7.4950393766635717E-2</v>
      </c>
      <c r="M112" s="2">
        <v>3.5432632946225187E-2</v>
      </c>
      <c r="N112" s="2">
        <v>8.1377769629645755E-2</v>
      </c>
      <c r="O112" s="2">
        <v>3.6642768945797662E-2</v>
      </c>
      <c r="P112" s="2">
        <v>7.5201342151759831E-2</v>
      </c>
      <c r="Q112" s="2">
        <v>3.9009896016847678E-2</v>
      </c>
      <c r="R112" s="2">
        <v>9.3695738507210441E-2</v>
      </c>
      <c r="S112" s="2">
        <v>5.4397612838786587E-2</v>
      </c>
      <c r="T112" s="2">
        <v>0.1092028238444812</v>
      </c>
      <c r="U112" s="2">
        <v>5.4041440507612462E-2</v>
      </c>
      <c r="V112" s="2">
        <v>5.4268889122425903E-2</v>
      </c>
      <c r="X112" s="1" t="s">
        <v>71</v>
      </c>
      <c r="Y112" s="2">
        <v>1250.57</v>
      </c>
      <c r="Z112" s="2">
        <v>1305.75</v>
      </c>
      <c r="AA112" s="2">
        <v>1201.75</v>
      </c>
      <c r="AB112" s="2">
        <v>1243.3399999999999</v>
      </c>
      <c r="AC112" s="2">
        <v>1122.9100000000001</v>
      </c>
      <c r="AD112" s="2">
        <v>1290.0899999999999</v>
      </c>
      <c r="AE112" s="2">
        <v>830.08</v>
      </c>
      <c r="AF112" s="2">
        <v>1058.23</v>
      </c>
      <c r="AG112" s="2">
        <v>777.68</v>
      </c>
      <c r="AH112" s="2">
        <v>1407.6</v>
      </c>
      <c r="AI112" s="2">
        <v>813.19</v>
      </c>
      <c r="AJ112" s="2">
        <v>1457.92</v>
      </c>
      <c r="AK112" s="2">
        <v>809.57</v>
      </c>
      <c r="AL112" s="2">
        <v>1236.5899999999999</v>
      </c>
      <c r="AM112" s="2">
        <v>792.55</v>
      </c>
      <c r="AN112" s="2">
        <v>1184.46</v>
      </c>
      <c r="AO112" s="2">
        <v>737.83</v>
      </c>
      <c r="AP112" s="2">
        <v>1038.42</v>
      </c>
      <c r="AQ112" s="2">
        <v>674.42</v>
      </c>
      <c r="AR112" s="2">
        <v>691.31</v>
      </c>
      <c r="AU112" s="1" t="s">
        <v>71</v>
      </c>
      <c r="AV112" s="2">
        <v>3833.48</v>
      </c>
      <c r="AW112" s="2">
        <v>4101.68</v>
      </c>
      <c r="AX112" s="2">
        <v>6460.74</v>
      </c>
      <c r="AY112" s="2">
        <v>6710.92</v>
      </c>
      <c r="AZ112" s="2">
        <v>3269.16</v>
      </c>
      <c r="BA112" s="2">
        <v>3980.97</v>
      </c>
      <c r="BB112" s="2">
        <v>4351.22</v>
      </c>
      <c r="BC112" s="2">
        <v>3306.92</v>
      </c>
      <c r="BD112" s="2">
        <v>4385.32</v>
      </c>
      <c r="BE112" s="2">
        <v>5400.46</v>
      </c>
      <c r="BF112" s="2">
        <v>4620.01</v>
      </c>
      <c r="BG112" s="2">
        <v>5754.85</v>
      </c>
      <c r="BH112" s="2">
        <v>4585.21</v>
      </c>
      <c r="BI112" s="2">
        <v>5667.91</v>
      </c>
      <c r="BJ112" s="2">
        <v>4497.4799999999996</v>
      </c>
      <c r="BK112" s="2">
        <v>5448.4</v>
      </c>
      <c r="BL112" s="2">
        <v>4166.26</v>
      </c>
      <c r="BM112" s="2">
        <v>5531.38</v>
      </c>
      <c r="BN112" s="2">
        <v>3801.53</v>
      </c>
      <c r="BO112" s="2">
        <v>3911.19</v>
      </c>
      <c r="BR112" s="1" t="s">
        <v>71</v>
      </c>
      <c r="BS112" s="2">
        <v>8.19</v>
      </c>
      <c r="BT112" s="2">
        <v>8.19</v>
      </c>
      <c r="BU112" s="2">
        <v>14.3</v>
      </c>
      <c r="BV112" s="2">
        <v>14.14</v>
      </c>
      <c r="BW112" s="2">
        <v>3.15</v>
      </c>
      <c r="BX112" s="2">
        <v>3.15</v>
      </c>
      <c r="BY112" s="2">
        <v>7.08</v>
      </c>
      <c r="BZ112" s="2">
        <v>10.08</v>
      </c>
      <c r="CA112" s="2">
        <v>8.67</v>
      </c>
      <c r="CB112" s="2">
        <v>12.6</v>
      </c>
      <c r="CC112" s="2">
        <v>18.399999999999999</v>
      </c>
      <c r="CD112" s="2">
        <v>22.68</v>
      </c>
      <c r="CE112" s="2">
        <v>14.55</v>
      </c>
      <c r="CF112" s="2">
        <v>18.27</v>
      </c>
      <c r="CG112" s="2">
        <v>18.82</v>
      </c>
      <c r="CH112" s="2">
        <v>23.94</v>
      </c>
      <c r="CI112" s="2">
        <v>15.59</v>
      </c>
      <c r="CJ112" s="2">
        <v>21.42</v>
      </c>
      <c r="CK112" s="2">
        <v>18.010000000000002</v>
      </c>
      <c r="CL112" s="2">
        <v>15.6</v>
      </c>
    </row>
    <row r="113" spans="2:90" x14ac:dyDescent="0.3">
      <c r="B113" s="1" t="s">
        <v>72</v>
      </c>
      <c r="C113" s="2">
        <v>0.31601303279523191</v>
      </c>
      <c r="D113" s="2">
        <v>0.50277156568047832</v>
      </c>
      <c r="E113" s="2">
        <v>0.23735602674260439</v>
      </c>
      <c r="F113" s="2">
        <v>0.60212492631760417</v>
      </c>
      <c r="G113" s="2">
        <v>0.22647630855333609</v>
      </c>
      <c r="H113" s="2">
        <v>0.36738640897734259</v>
      </c>
      <c r="I113" s="2">
        <v>0.23957464474173029</v>
      </c>
      <c r="J113" s="2">
        <v>0.29561287890142729</v>
      </c>
      <c r="K113" s="2">
        <v>0.15742560496675059</v>
      </c>
      <c r="L113" s="2">
        <v>0.35119113487163439</v>
      </c>
      <c r="M113" s="2">
        <v>0.1662411982819049</v>
      </c>
      <c r="N113" s="2">
        <v>0.37586468324721778</v>
      </c>
      <c r="O113" s="2">
        <v>0.17754108519340481</v>
      </c>
      <c r="P113" s="2">
        <v>0.36504386262749827</v>
      </c>
      <c r="Q113" s="2">
        <v>0.21718658242827291</v>
      </c>
      <c r="R113" s="2">
        <v>0.33512041662095732</v>
      </c>
      <c r="S113" s="2">
        <v>0.25230058400639399</v>
      </c>
      <c r="T113" s="2">
        <v>0.30195035460992908</v>
      </c>
      <c r="U113" s="2">
        <v>0.26503568440513769</v>
      </c>
      <c r="V113" s="2">
        <v>0.30721862077125522</v>
      </c>
      <c r="X113" s="1" t="s">
        <v>72</v>
      </c>
      <c r="Y113" s="2">
        <v>4813.62</v>
      </c>
      <c r="Z113" s="2">
        <v>4979.38</v>
      </c>
      <c r="AA113" s="2">
        <v>3629.75</v>
      </c>
      <c r="AB113" s="2">
        <v>5421.63</v>
      </c>
      <c r="AC113" s="2">
        <v>4057.73</v>
      </c>
      <c r="AD113" s="2">
        <v>4897.51</v>
      </c>
      <c r="AE113" s="2">
        <v>3797.1</v>
      </c>
      <c r="AF113" s="2">
        <v>5247.04</v>
      </c>
      <c r="AG113" s="2">
        <v>2864.26</v>
      </c>
      <c r="AH113" s="2">
        <v>6538.94</v>
      </c>
      <c r="AI113" s="2">
        <v>3139.25</v>
      </c>
      <c r="AJ113" s="2">
        <v>6588.8</v>
      </c>
      <c r="AK113" s="2">
        <v>3166.95</v>
      </c>
      <c r="AL113" s="2">
        <v>5789.74</v>
      </c>
      <c r="AM113" s="2">
        <v>3465.88</v>
      </c>
      <c r="AN113" s="2">
        <v>4150.91</v>
      </c>
      <c r="AO113" s="2">
        <v>2513.41</v>
      </c>
      <c r="AP113" s="2">
        <v>2751.3</v>
      </c>
      <c r="AQ113" s="2">
        <v>2154.67</v>
      </c>
      <c r="AR113" s="2">
        <v>2169</v>
      </c>
      <c r="AU113" s="1" t="s">
        <v>72</v>
      </c>
      <c r="AV113" s="2">
        <v>15692.13</v>
      </c>
      <c r="AW113" s="2">
        <v>16324.29</v>
      </c>
      <c r="AX113" s="2">
        <v>18778.88</v>
      </c>
      <c r="AY113" s="2">
        <v>20860.240000000002</v>
      </c>
      <c r="AZ113" s="2">
        <v>10432.1</v>
      </c>
      <c r="BA113" s="2">
        <v>15705.72</v>
      </c>
      <c r="BB113" s="2">
        <v>14502.06</v>
      </c>
      <c r="BC113" s="2">
        <v>11262.33</v>
      </c>
      <c r="BD113" s="2">
        <v>13989.49</v>
      </c>
      <c r="BE113" s="2">
        <v>17579.009999999998</v>
      </c>
      <c r="BF113" s="2">
        <v>14348.33</v>
      </c>
      <c r="BG113" s="2">
        <v>17880.84</v>
      </c>
      <c r="BH113" s="2">
        <v>14355.99</v>
      </c>
      <c r="BI113" s="2">
        <v>17213.36</v>
      </c>
      <c r="BJ113" s="2">
        <v>14476.09</v>
      </c>
      <c r="BK113" s="2">
        <v>15417.24</v>
      </c>
      <c r="BL113" s="2">
        <v>12815.6</v>
      </c>
      <c r="BM113" s="2">
        <v>13704.51</v>
      </c>
      <c r="BN113" s="2">
        <v>12193.83</v>
      </c>
      <c r="BO113" s="2">
        <v>12296.21</v>
      </c>
      <c r="BR113" s="1" t="s">
        <v>72</v>
      </c>
      <c r="BS113" s="2">
        <v>16.38</v>
      </c>
      <c r="BT113" s="2">
        <v>16.38</v>
      </c>
      <c r="BU113" s="2">
        <v>16.38</v>
      </c>
      <c r="BV113" s="2">
        <v>16.38</v>
      </c>
      <c r="BW113" s="2">
        <v>3.15</v>
      </c>
      <c r="BX113" s="2">
        <v>6.3</v>
      </c>
      <c r="BY113" s="2">
        <v>10.08</v>
      </c>
      <c r="BZ113" s="2">
        <v>10.08</v>
      </c>
      <c r="CA113" s="2">
        <v>12.6</v>
      </c>
      <c r="CB113" s="2">
        <v>12.6</v>
      </c>
      <c r="CC113" s="2">
        <v>22.68</v>
      </c>
      <c r="CD113" s="2">
        <v>22.68</v>
      </c>
      <c r="CE113" s="2">
        <v>18.27</v>
      </c>
      <c r="CF113" s="2">
        <v>18.27</v>
      </c>
      <c r="CG113" s="2">
        <v>23.94</v>
      </c>
      <c r="CH113" s="2">
        <v>23.94</v>
      </c>
      <c r="CI113" s="2">
        <v>21.42</v>
      </c>
      <c r="CJ113" s="2">
        <v>21.42</v>
      </c>
      <c r="CK113" s="2">
        <v>28.27</v>
      </c>
      <c r="CL113" s="2">
        <v>27.35</v>
      </c>
    </row>
    <row r="114" spans="2:90" x14ac:dyDescent="0.3">
      <c r="B114" s="1" t="s">
        <v>73</v>
      </c>
      <c r="C114" s="2">
        <v>3.346225319225786E-2</v>
      </c>
      <c r="D114" s="2">
        <v>8.443382967952856E-2</v>
      </c>
      <c r="E114" s="2">
        <v>1.47081304447442E-2</v>
      </c>
      <c r="F114" s="2">
        <v>2.8123570711620239E-2</v>
      </c>
      <c r="G114" s="2">
        <v>2.959708178586767E-3</v>
      </c>
      <c r="H114" s="2">
        <v>2.1070314867995869E-2</v>
      </c>
      <c r="I114" s="2">
        <v>2.034019183137372E-2</v>
      </c>
      <c r="J114" s="2">
        <v>0.1183263361697985</v>
      </c>
      <c r="K114" s="2">
        <v>4.8066354624751263E-2</v>
      </c>
      <c r="L114" s="2">
        <v>0.1081827990453689</v>
      </c>
      <c r="M114" s="2">
        <v>6.7534843333943217E-2</v>
      </c>
      <c r="N114" s="2">
        <v>0.11946645634100569</v>
      </c>
      <c r="O114" s="2">
        <v>7.9328388871528113E-2</v>
      </c>
      <c r="P114" s="2">
        <v>0.1095200091391038</v>
      </c>
      <c r="Q114" s="2">
        <v>7.3371759159743449E-2</v>
      </c>
      <c r="R114" s="2">
        <v>9.2095133753397077E-2</v>
      </c>
      <c r="S114" s="2">
        <v>9.9854154302824835E-2</v>
      </c>
      <c r="T114" s="2">
        <v>9.2965421828803685E-2</v>
      </c>
      <c r="U114" s="2">
        <v>0.1072471911265894</v>
      </c>
      <c r="V114" s="2">
        <v>0.1046002952855002</v>
      </c>
      <c r="X114" s="1" t="s">
        <v>73</v>
      </c>
      <c r="Y114" s="2">
        <v>1743.29</v>
      </c>
      <c r="Z114" s="2">
        <v>2062.62</v>
      </c>
      <c r="AA114" s="2">
        <v>1708.37</v>
      </c>
      <c r="AB114" s="2">
        <v>1811.97</v>
      </c>
      <c r="AC114" s="2">
        <v>335.3</v>
      </c>
      <c r="AD114" s="2">
        <v>1854.5</v>
      </c>
      <c r="AE114" s="2">
        <v>1069.74</v>
      </c>
      <c r="AF114" s="2">
        <v>2249.37</v>
      </c>
      <c r="AG114" s="2">
        <v>1262.74</v>
      </c>
      <c r="AH114" s="2">
        <v>2115.31</v>
      </c>
      <c r="AI114" s="2">
        <v>1542.96</v>
      </c>
      <c r="AJ114" s="2">
        <v>2165.5300000000002</v>
      </c>
      <c r="AK114" s="2">
        <v>1522.05</v>
      </c>
      <c r="AL114" s="2">
        <v>1837.56</v>
      </c>
      <c r="AM114" s="2">
        <v>1499.02</v>
      </c>
      <c r="AN114" s="2">
        <v>1589.91</v>
      </c>
      <c r="AO114" s="2">
        <v>1427.69</v>
      </c>
      <c r="AP114" s="2">
        <v>1445.7</v>
      </c>
      <c r="AQ114" s="2">
        <v>1451.11</v>
      </c>
      <c r="AR114" s="2">
        <v>1166.74</v>
      </c>
      <c r="AU114" s="1" t="s">
        <v>73</v>
      </c>
      <c r="AV114" s="2">
        <v>8358.91</v>
      </c>
      <c r="AW114" s="2">
        <v>11125.38</v>
      </c>
      <c r="AX114" s="2">
        <v>8916.43</v>
      </c>
      <c r="AY114" s="2">
        <v>9460.83</v>
      </c>
      <c r="AZ114" s="2">
        <v>6370.6</v>
      </c>
      <c r="BA114" s="2">
        <v>9662.7999999999993</v>
      </c>
      <c r="BB114" s="2">
        <v>6383.46</v>
      </c>
      <c r="BC114" s="2">
        <v>9420.9699999999993</v>
      </c>
      <c r="BD114" s="2">
        <v>7056.26</v>
      </c>
      <c r="BE114" s="2">
        <v>9835.11</v>
      </c>
      <c r="BF114" s="2">
        <v>6680.94</v>
      </c>
      <c r="BG114" s="2">
        <v>10170.709999999999</v>
      </c>
      <c r="BH114" s="2">
        <v>6572.25</v>
      </c>
      <c r="BI114" s="2">
        <v>9514.74</v>
      </c>
      <c r="BJ114" s="2">
        <v>6290.18</v>
      </c>
      <c r="BK114" s="2">
        <v>7107.69</v>
      </c>
      <c r="BL114" s="2">
        <v>5764.21</v>
      </c>
      <c r="BM114" s="2">
        <v>6004.5</v>
      </c>
      <c r="BN114" s="2">
        <v>5997.59</v>
      </c>
      <c r="BO114" s="2">
        <v>6498.26</v>
      </c>
      <c r="BR114" s="1" t="s">
        <v>73</v>
      </c>
      <c r="BS114" s="2">
        <v>4.6900000000000004</v>
      </c>
      <c r="BT114" s="2">
        <v>6.96</v>
      </c>
      <c r="BU114" s="2">
        <v>2.16</v>
      </c>
      <c r="BV114" s="2">
        <v>2.2799999999999998</v>
      </c>
      <c r="BW114" s="2">
        <v>0.35</v>
      </c>
      <c r="BX114" s="2">
        <v>1</v>
      </c>
      <c r="BY114" s="2">
        <v>2.8</v>
      </c>
      <c r="BZ114" s="2">
        <v>10.08</v>
      </c>
      <c r="CA114" s="2">
        <v>8.34</v>
      </c>
      <c r="CB114" s="2">
        <v>12.6</v>
      </c>
      <c r="CC114" s="2">
        <v>17.739999999999998</v>
      </c>
      <c r="CD114" s="2">
        <v>22.68</v>
      </c>
      <c r="CE114" s="2">
        <v>15.94</v>
      </c>
      <c r="CF114" s="2">
        <v>17.41</v>
      </c>
      <c r="CG114" s="2">
        <v>17.920000000000002</v>
      </c>
      <c r="CH114" s="2">
        <v>16.77</v>
      </c>
      <c r="CI114" s="2">
        <v>14.2</v>
      </c>
      <c r="CJ114" s="2">
        <v>11.73</v>
      </c>
      <c r="CK114" s="2">
        <v>16.100000000000001</v>
      </c>
      <c r="CL114" s="2">
        <v>16.100000000000001</v>
      </c>
    </row>
    <row r="116" spans="2:90" x14ac:dyDescent="0.3">
      <c r="W116" s="6">
        <f>SUM(W101,W87,W73)</f>
        <v>0.23801227581261894</v>
      </c>
    </row>
    <row r="117" spans="2:90" x14ac:dyDescent="0.3">
      <c r="X117" t="s">
        <v>36</v>
      </c>
      <c r="AU117" t="s">
        <v>37</v>
      </c>
      <c r="BR117" t="s">
        <v>38</v>
      </c>
    </row>
    <row r="118" spans="2:90" x14ac:dyDescent="0.3">
      <c r="X118" s="1" t="s">
        <v>6</v>
      </c>
      <c r="Y118" s="3" t="s">
        <v>63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64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6</v>
      </c>
      <c r="AV118" s="3" t="s">
        <v>63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64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6</v>
      </c>
      <c r="BS118" s="1" t="s">
        <v>63</v>
      </c>
      <c r="BT118" s="1" t="s">
        <v>64</v>
      </c>
      <c r="BU118" s="1" t="s">
        <v>63</v>
      </c>
      <c r="BV118" s="1" t="s">
        <v>64</v>
      </c>
      <c r="BW118" s="1" t="s">
        <v>63</v>
      </c>
      <c r="BX118" s="1" t="s">
        <v>64</v>
      </c>
      <c r="BY118" s="1" t="s">
        <v>63</v>
      </c>
      <c r="BZ118" s="1" t="s">
        <v>64</v>
      </c>
      <c r="CA118" s="1" t="s">
        <v>63</v>
      </c>
      <c r="CB118" s="1" t="s">
        <v>64</v>
      </c>
      <c r="CC118" s="1" t="s">
        <v>63</v>
      </c>
      <c r="CD118" s="1" t="s">
        <v>64</v>
      </c>
      <c r="CE118" s="1" t="s">
        <v>63</v>
      </c>
      <c r="CF118" s="1" t="s">
        <v>64</v>
      </c>
      <c r="CG118" s="1" t="s">
        <v>63</v>
      </c>
      <c r="CH118" s="1" t="s">
        <v>64</v>
      </c>
      <c r="CI118" s="1" t="s">
        <v>63</v>
      </c>
      <c r="CJ118" s="1" t="s">
        <v>64</v>
      </c>
      <c r="CK118" s="1" t="s">
        <v>63</v>
      </c>
      <c r="CL118" s="1" t="s">
        <v>64</v>
      </c>
    </row>
    <row r="119" spans="2:90" x14ac:dyDescent="0.3">
      <c r="X119" s="1" t="s">
        <v>65</v>
      </c>
      <c r="Y119" s="1" t="s">
        <v>53</v>
      </c>
      <c r="Z119" s="1" t="s">
        <v>62</v>
      </c>
      <c r="AA119" s="1" t="s">
        <v>54</v>
      </c>
      <c r="AB119" s="1" t="s">
        <v>55</v>
      </c>
      <c r="AC119" s="1" t="s">
        <v>56</v>
      </c>
      <c r="AD119" s="1" t="s">
        <v>57</v>
      </c>
      <c r="AE119" s="1" t="s">
        <v>58</v>
      </c>
      <c r="AF119" s="1" t="s">
        <v>59</v>
      </c>
      <c r="AG119" s="1" t="s">
        <v>60</v>
      </c>
      <c r="AH119" s="1" t="s">
        <v>61</v>
      </c>
      <c r="AI119" s="1" t="s">
        <v>53</v>
      </c>
      <c r="AJ119" s="1" t="s">
        <v>62</v>
      </c>
      <c r="AK119" s="1" t="s">
        <v>54</v>
      </c>
      <c r="AL119" s="1" t="s">
        <v>55</v>
      </c>
      <c r="AM119" s="1" t="s">
        <v>56</v>
      </c>
      <c r="AN119" s="1" t="s">
        <v>57</v>
      </c>
      <c r="AO119" s="1" t="s">
        <v>58</v>
      </c>
      <c r="AP119" s="1" t="s">
        <v>59</v>
      </c>
      <c r="AQ119" s="1" t="s">
        <v>60</v>
      </c>
      <c r="AR119" s="1" t="s">
        <v>61</v>
      </c>
      <c r="AU119" s="1" t="s">
        <v>65</v>
      </c>
      <c r="AV119" s="1" t="s">
        <v>53</v>
      </c>
      <c r="AW119" s="1" t="s">
        <v>62</v>
      </c>
      <c r="AX119" s="1" t="s">
        <v>54</v>
      </c>
      <c r="AY119" s="1" t="s">
        <v>55</v>
      </c>
      <c r="AZ119" s="1" t="s">
        <v>56</v>
      </c>
      <c r="BA119" s="1" t="s">
        <v>57</v>
      </c>
      <c r="BB119" s="1" t="s">
        <v>58</v>
      </c>
      <c r="BC119" s="1" t="s">
        <v>59</v>
      </c>
      <c r="BD119" s="1" t="s">
        <v>60</v>
      </c>
      <c r="BE119" s="1" t="s">
        <v>61</v>
      </c>
      <c r="BF119" s="1" t="s">
        <v>53</v>
      </c>
      <c r="BG119" s="1" t="s">
        <v>62</v>
      </c>
      <c r="BH119" s="1" t="s">
        <v>54</v>
      </c>
      <c r="BI119" s="1" t="s">
        <v>55</v>
      </c>
      <c r="BJ119" s="1" t="s">
        <v>56</v>
      </c>
      <c r="BK119" s="1" t="s">
        <v>57</v>
      </c>
      <c r="BL119" s="1" t="s">
        <v>58</v>
      </c>
      <c r="BM119" s="1" t="s">
        <v>59</v>
      </c>
      <c r="BN119" s="1" t="s">
        <v>60</v>
      </c>
      <c r="BO119" s="1" t="s">
        <v>61</v>
      </c>
      <c r="BR119" s="1" t="s">
        <v>65</v>
      </c>
      <c r="BS119" s="1" t="s">
        <v>53</v>
      </c>
      <c r="BT119" s="1" t="s">
        <v>53</v>
      </c>
      <c r="BU119" s="1" t="s">
        <v>54</v>
      </c>
      <c r="BV119" s="1" t="s">
        <v>54</v>
      </c>
      <c r="BW119" s="1" t="s">
        <v>55</v>
      </c>
      <c r="BX119" s="1" t="s">
        <v>55</v>
      </c>
      <c r="BY119" s="1" t="s">
        <v>56</v>
      </c>
      <c r="BZ119" s="1" t="s">
        <v>56</v>
      </c>
      <c r="CA119" s="1" t="s">
        <v>57</v>
      </c>
      <c r="CB119" s="1" t="s">
        <v>57</v>
      </c>
      <c r="CC119" s="1" t="s">
        <v>58</v>
      </c>
      <c r="CD119" s="1" t="s">
        <v>58</v>
      </c>
      <c r="CE119" s="1" t="s">
        <v>59</v>
      </c>
      <c r="CF119" s="1" t="s">
        <v>59</v>
      </c>
      <c r="CG119" s="1" t="s">
        <v>60</v>
      </c>
      <c r="CH119" s="1" t="s">
        <v>60</v>
      </c>
      <c r="CI119" s="1" t="s">
        <v>61</v>
      </c>
      <c r="CJ119" s="1" t="s">
        <v>61</v>
      </c>
      <c r="CK119" s="1" t="s">
        <v>62</v>
      </c>
      <c r="CL119" s="1" t="s">
        <v>62</v>
      </c>
    </row>
    <row r="120" spans="2:90" x14ac:dyDescent="0.3">
      <c r="X120" s="1" t="s">
        <v>7</v>
      </c>
      <c r="AU120" s="1" t="s">
        <v>7</v>
      </c>
      <c r="BR120" s="1" t="s">
        <v>7</v>
      </c>
    </row>
    <row r="121" spans="2:90" x14ac:dyDescent="0.3">
      <c r="X121" s="1" t="s">
        <v>66</v>
      </c>
      <c r="Y121" s="2">
        <v>40.840000000000003</v>
      </c>
      <c r="Z121" s="2">
        <v>21.38</v>
      </c>
      <c r="AA121" s="2">
        <v>10.93</v>
      </c>
      <c r="AB121" s="2">
        <v>4.47</v>
      </c>
      <c r="AC121" s="2">
        <v>35.83</v>
      </c>
      <c r="AD121" s="2">
        <v>41.71</v>
      </c>
      <c r="AE121" s="2">
        <v>95.93</v>
      </c>
      <c r="AF121" s="2">
        <v>80.34</v>
      </c>
      <c r="AG121" s="2">
        <v>76.709999999999994</v>
      </c>
      <c r="AH121" s="2">
        <v>10.83</v>
      </c>
      <c r="AI121" s="2">
        <v>43.87</v>
      </c>
      <c r="AJ121" s="2">
        <v>12.87</v>
      </c>
      <c r="AK121" s="2">
        <v>10.87</v>
      </c>
      <c r="AL121" s="2">
        <v>8.2200000000000006</v>
      </c>
      <c r="AM121" s="2">
        <v>33.49</v>
      </c>
      <c r="AN121" s="2">
        <v>22.93</v>
      </c>
      <c r="AO121" s="2">
        <v>31.46</v>
      </c>
      <c r="AP121" s="2">
        <v>8.3000000000000007</v>
      </c>
      <c r="AQ121" s="2">
        <v>35.630000000000003</v>
      </c>
      <c r="AR121" s="2">
        <v>8.7200000000000006</v>
      </c>
      <c r="AU121" s="1" t="s">
        <v>66</v>
      </c>
      <c r="AV121" s="2">
        <v>375.03</v>
      </c>
      <c r="AW121" s="2">
        <v>1389.82</v>
      </c>
      <c r="AX121" s="2">
        <v>268.44</v>
      </c>
      <c r="AY121" s="2">
        <v>110.33</v>
      </c>
      <c r="AZ121" s="2">
        <v>400.97</v>
      </c>
      <c r="BA121" s="2">
        <v>596.69000000000005</v>
      </c>
      <c r="BB121" s="2">
        <v>992.71</v>
      </c>
      <c r="BC121" s="2">
        <v>954.96</v>
      </c>
      <c r="BD121" s="2">
        <v>979.31</v>
      </c>
      <c r="BE121" s="2">
        <v>1043.51</v>
      </c>
      <c r="BF121" s="2">
        <v>394.75</v>
      </c>
      <c r="BG121" s="2">
        <v>1240.83</v>
      </c>
      <c r="BH121" s="2">
        <v>268.5</v>
      </c>
      <c r="BI121" s="2">
        <v>173.08</v>
      </c>
      <c r="BJ121" s="2">
        <v>600.42999999999995</v>
      </c>
      <c r="BK121" s="2">
        <v>563.66999999999996</v>
      </c>
      <c r="BL121" s="2">
        <v>1057.18</v>
      </c>
      <c r="BM121" s="2">
        <v>799.64</v>
      </c>
      <c r="BN121" s="2">
        <v>988.47</v>
      </c>
      <c r="BO121" s="2">
        <v>840.94</v>
      </c>
      <c r="BR121" s="1" t="s">
        <v>66</v>
      </c>
      <c r="BS121" s="2">
        <v>130.86000000000001</v>
      </c>
      <c r="BT121" s="2">
        <v>130.86000000000001</v>
      </c>
      <c r="BU121" s="2">
        <v>131.55000000000001</v>
      </c>
      <c r="BV121" s="2">
        <v>131.69999999999999</v>
      </c>
      <c r="BW121" s="2">
        <v>131.68</v>
      </c>
      <c r="BX121" s="2">
        <v>130.86000000000001</v>
      </c>
      <c r="BY121" s="2">
        <v>180.16</v>
      </c>
      <c r="BZ121" s="2">
        <v>180.16</v>
      </c>
      <c r="CA121" s="2">
        <v>19329.830000000002</v>
      </c>
      <c r="CB121" s="2">
        <v>19204.43</v>
      </c>
      <c r="CC121" s="2">
        <v>19353.740000000002</v>
      </c>
      <c r="CD121" s="2">
        <v>19204.39</v>
      </c>
      <c r="CE121" s="2">
        <v>19292.91</v>
      </c>
      <c r="CF121" s="2">
        <v>19211.28</v>
      </c>
      <c r="CG121" s="2">
        <v>19463.34</v>
      </c>
      <c r="CH121" s="2">
        <v>19204.39</v>
      </c>
      <c r="CI121" s="2">
        <v>21430.31</v>
      </c>
      <c r="CJ121" s="2">
        <v>102897.06</v>
      </c>
      <c r="CK121" s="2">
        <v>19204.39</v>
      </c>
      <c r="CL121" s="2">
        <v>75263.350000000006</v>
      </c>
    </row>
    <row r="122" spans="2:90" x14ac:dyDescent="0.3">
      <c r="X122" s="1" t="s">
        <v>67</v>
      </c>
      <c r="Y122" s="2">
        <v>21.31</v>
      </c>
      <c r="Z122" s="2">
        <v>72.34</v>
      </c>
      <c r="AA122" s="2">
        <v>11.78</v>
      </c>
      <c r="AB122" s="2">
        <v>4.82</v>
      </c>
      <c r="AC122" s="2">
        <v>22.62</v>
      </c>
      <c r="AD122" s="2">
        <v>28.64</v>
      </c>
      <c r="AE122" s="2">
        <v>52.55</v>
      </c>
      <c r="AF122" s="2">
        <v>41.91</v>
      </c>
      <c r="AG122" s="2">
        <v>52.34</v>
      </c>
      <c r="AH122" s="2">
        <v>39.81</v>
      </c>
      <c r="AI122" s="2">
        <v>16.829999999999998</v>
      </c>
      <c r="AJ122" s="2">
        <v>57.67</v>
      </c>
      <c r="AK122" s="2">
        <v>13.07</v>
      </c>
      <c r="AL122" s="2">
        <v>8.52</v>
      </c>
      <c r="AM122" s="2">
        <v>31.62</v>
      </c>
      <c r="AN122" s="2">
        <v>36.04</v>
      </c>
      <c r="AO122" s="2">
        <v>72.040000000000006</v>
      </c>
      <c r="AP122" s="2">
        <v>46.71</v>
      </c>
      <c r="AQ122" s="2">
        <v>52.35</v>
      </c>
      <c r="AR122" s="2">
        <v>45.94</v>
      </c>
      <c r="AU122" s="1" t="s">
        <v>67</v>
      </c>
      <c r="AV122" s="2">
        <v>221.14</v>
      </c>
      <c r="AW122" s="2">
        <v>756.11</v>
      </c>
      <c r="AX122" s="2">
        <v>114.58</v>
      </c>
      <c r="AY122" s="2">
        <v>45.08</v>
      </c>
      <c r="AZ122" s="2">
        <v>220.74</v>
      </c>
      <c r="BA122" s="2">
        <v>298.95999999999998</v>
      </c>
      <c r="BB122" s="2">
        <v>542.16999999999996</v>
      </c>
      <c r="BC122" s="2">
        <v>434.27</v>
      </c>
      <c r="BD122" s="2">
        <v>541.98</v>
      </c>
      <c r="BE122" s="2">
        <v>412.05</v>
      </c>
      <c r="BF122" s="2">
        <v>174.14</v>
      </c>
      <c r="BG122" s="2">
        <v>597.08000000000004</v>
      </c>
      <c r="BH122" s="2">
        <v>126.55</v>
      </c>
      <c r="BI122" s="2">
        <v>82.43</v>
      </c>
      <c r="BJ122" s="2">
        <v>290.3</v>
      </c>
      <c r="BK122" s="2">
        <v>360.36</v>
      </c>
      <c r="BL122" s="2">
        <v>718.16</v>
      </c>
      <c r="BM122" s="2">
        <v>479.93</v>
      </c>
      <c r="BN122" s="2">
        <v>541.97</v>
      </c>
      <c r="BO122" s="2">
        <v>447.74</v>
      </c>
      <c r="BR122" s="1" t="s">
        <v>67</v>
      </c>
      <c r="BS122" s="2">
        <v>377.5</v>
      </c>
      <c r="BT122" s="2">
        <v>473.85</v>
      </c>
      <c r="BU122" s="2">
        <v>398.26</v>
      </c>
      <c r="BV122" s="2">
        <v>429.9</v>
      </c>
      <c r="BW122" s="2">
        <v>496.93</v>
      </c>
      <c r="BX122" s="2">
        <v>456.9</v>
      </c>
      <c r="BY122" s="2">
        <v>402.67</v>
      </c>
      <c r="BZ122" s="2">
        <v>481.18</v>
      </c>
      <c r="CA122" s="2">
        <v>515.19000000000005</v>
      </c>
      <c r="CB122" s="2">
        <v>1168.6400000000001</v>
      </c>
      <c r="CC122" s="2">
        <v>412.98</v>
      </c>
      <c r="CD122" s="2">
        <v>1080.25</v>
      </c>
      <c r="CE122" s="2">
        <v>530.25</v>
      </c>
      <c r="CF122" s="2">
        <v>816.6</v>
      </c>
      <c r="CG122" s="2">
        <v>588.84</v>
      </c>
      <c r="CH122" s="2">
        <v>1034.29</v>
      </c>
      <c r="CI122" s="2">
        <v>649.52</v>
      </c>
      <c r="CJ122" s="2">
        <v>2150.96</v>
      </c>
      <c r="CK122" s="2">
        <v>741.35</v>
      </c>
      <c r="CL122" s="2">
        <v>5050.59</v>
      </c>
    </row>
    <row r="123" spans="2:90" x14ac:dyDescent="0.3">
      <c r="X123" s="1" t="s">
        <v>68</v>
      </c>
      <c r="Y123" s="2">
        <v>176.84</v>
      </c>
      <c r="Z123" s="2">
        <v>251.22</v>
      </c>
      <c r="AA123" s="2">
        <v>134.26</v>
      </c>
      <c r="AB123" s="2">
        <v>86.87</v>
      </c>
      <c r="AC123" s="2">
        <v>248.77</v>
      </c>
      <c r="AD123" s="2">
        <v>389</v>
      </c>
      <c r="AE123" s="2">
        <v>709.27</v>
      </c>
      <c r="AF123" s="2">
        <v>610.58000000000004</v>
      </c>
      <c r="AG123" s="2">
        <v>750.61</v>
      </c>
      <c r="AH123" s="2">
        <v>274.26</v>
      </c>
      <c r="AI123" s="2">
        <v>47.65</v>
      </c>
      <c r="AJ123" s="2">
        <v>238.85</v>
      </c>
      <c r="AK123" s="2">
        <v>37.36</v>
      </c>
      <c r="AL123" s="2">
        <v>63.9</v>
      </c>
      <c r="AM123" s="2">
        <v>155.69999999999999</v>
      </c>
      <c r="AN123" s="2">
        <v>178.92</v>
      </c>
      <c r="AO123" s="2">
        <v>339.76</v>
      </c>
      <c r="AP123" s="2">
        <v>248.42</v>
      </c>
      <c r="AQ123" s="2">
        <v>264.89999999999998</v>
      </c>
      <c r="AR123" s="2">
        <v>248.77</v>
      </c>
      <c r="AU123" s="1" t="s">
        <v>68</v>
      </c>
      <c r="AV123" s="2">
        <v>900.42</v>
      </c>
      <c r="AW123" s="2">
        <v>2349.52</v>
      </c>
      <c r="AX123" s="2">
        <v>742.82</v>
      </c>
      <c r="AY123" s="2">
        <v>271.52999999999997</v>
      </c>
      <c r="AZ123" s="2">
        <v>1079.6600000000001</v>
      </c>
      <c r="BA123" s="2">
        <v>1628.2</v>
      </c>
      <c r="BB123" s="2">
        <v>2819.44</v>
      </c>
      <c r="BC123" s="2">
        <v>2293.25</v>
      </c>
      <c r="BD123" s="2">
        <v>2758.86</v>
      </c>
      <c r="BE123" s="2">
        <v>2065.0700000000002</v>
      </c>
      <c r="BF123" s="2">
        <v>491.72</v>
      </c>
      <c r="BG123" s="2">
        <v>2174.31</v>
      </c>
      <c r="BH123" s="2">
        <v>361.61</v>
      </c>
      <c r="BI123" s="2">
        <v>465.03</v>
      </c>
      <c r="BJ123" s="2">
        <v>1130.8</v>
      </c>
      <c r="BK123" s="2">
        <v>1509.87</v>
      </c>
      <c r="BL123" s="2">
        <v>2838.26</v>
      </c>
      <c r="BM123" s="2">
        <v>2014.77</v>
      </c>
      <c r="BN123" s="2">
        <v>2334.34</v>
      </c>
      <c r="BO123" s="2">
        <v>2252.2199999999998</v>
      </c>
      <c r="BR123" s="1" t="s">
        <v>68</v>
      </c>
      <c r="BS123" s="2">
        <v>162.44999999999999</v>
      </c>
      <c r="BT123" s="2">
        <v>637.58000000000004</v>
      </c>
      <c r="BU123" s="2">
        <v>174.97</v>
      </c>
      <c r="BV123" s="2">
        <v>515.65</v>
      </c>
      <c r="BW123" s="2">
        <v>151.80000000000001</v>
      </c>
      <c r="BX123" s="2">
        <v>246.45</v>
      </c>
      <c r="BY123" s="2">
        <v>187.87</v>
      </c>
      <c r="BZ123" s="2">
        <v>509.61</v>
      </c>
      <c r="CA123" s="2">
        <v>184.32</v>
      </c>
      <c r="CB123" s="2">
        <v>926.07</v>
      </c>
      <c r="CC123" s="2">
        <v>171.1</v>
      </c>
      <c r="CD123" s="2">
        <v>914.75</v>
      </c>
      <c r="CE123" s="2">
        <v>171.45</v>
      </c>
      <c r="CF123" s="2">
        <v>848.74</v>
      </c>
      <c r="CG123" s="2">
        <v>173.47</v>
      </c>
      <c r="CH123" s="2">
        <v>1024.22</v>
      </c>
      <c r="CI123" s="2">
        <v>663.31</v>
      </c>
      <c r="CJ123" s="2">
        <v>1777.36</v>
      </c>
      <c r="CK123" s="2">
        <v>1928.13</v>
      </c>
      <c r="CL123" s="2">
        <v>3107.35</v>
      </c>
    </row>
    <row r="124" spans="2:90" x14ac:dyDescent="0.3">
      <c r="X124" s="1" t="s">
        <v>69</v>
      </c>
      <c r="Y124" s="2">
        <v>33.67</v>
      </c>
      <c r="Z124" s="2">
        <v>85.8</v>
      </c>
      <c r="AA124" s="2">
        <v>22.88</v>
      </c>
      <c r="AB124" s="2">
        <v>17.899999999999999</v>
      </c>
      <c r="AC124" s="2">
        <v>72.209999999999994</v>
      </c>
      <c r="AD124" s="2">
        <v>84.26</v>
      </c>
      <c r="AE124" s="2">
        <v>160.71</v>
      </c>
      <c r="AF124" s="2">
        <v>135.71</v>
      </c>
      <c r="AG124" s="2">
        <v>123.3</v>
      </c>
      <c r="AH124" s="2">
        <v>67.94</v>
      </c>
      <c r="AI124" s="2">
        <v>17.5</v>
      </c>
      <c r="AJ124" s="2">
        <v>74.31</v>
      </c>
      <c r="AK124" s="2">
        <v>16.2</v>
      </c>
      <c r="AL124" s="2">
        <v>12.8</v>
      </c>
      <c r="AM124" s="2">
        <v>32.31</v>
      </c>
      <c r="AN124" s="2">
        <v>46.65</v>
      </c>
      <c r="AO124" s="2">
        <v>87.64</v>
      </c>
      <c r="AP124" s="2">
        <v>59.61</v>
      </c>
      <c r="AQ124" s="2">
        <v>80.400000000000006</v>
      </c>
      <c r="AR124" s="2">
        <v>62.25</v>
      </c>
      <c r="AU124" s="1" t="s">
        <v>69</v>
      </c>
      <c r="AV124" s="2">
        <v>294.37</v>
      </c>
      <c r="AW124" s="2">
        <v>776.4</v>
      </c>
      <c r="AX124" s="2">
        <v>208.39</v>
      </c>
      <c r="AY124" s="2">
        <v>81.790000000000006</v>
      </c>
      <c r="AZ124" s="2">
        <v>394.51</v>
      </c>
      <c r="BA124" s="2">
        <v>479.12</v>
      </c>
      <c r="BB124" s="2">
        <v>911.91</v>
      </c>
      <c r="BC124" s="2">
        <v>761.6</v>
      </c>
      <c r="BD124" s="2">
        <v>938.04</v>
      </c>
      <c r="BE124" s="2">
        <v>643.34</v>
      </c>
      <c r="BF124" s="2">
        <v>143.05000000000001</v>
      </c>
      <c r="BG124" s="2">
        <v>659.39</v>
      </c>
      <c r="BH124" s="2">
        <v>156.69999999999999</v>
      </c>
      <c r="BI124" s="2">
        <v>112.65</v>
      </c>
      <c r="BJ124" s="2">
        <v>293.76</v>
      </c>
      <c r="BK124" s="2">
        <v>446.11</v>
      </c>
      <c r="BL124" s="2">
        <v>818.29</v>
      </c>
      <c r="BM124" s="2">
        <v>557.22</v>
      </c>
      <c r="BN124" s="2">
        <v>749.52</v>
      </c>
      <c r="BO124" s="2">
        <v>552.80999999999995</v>
      </c>
      <c r="BR124" s="1" t="s">
        <v>69</v>
      </c>
      <c r="BS124" s="2">
        <v>207.01</v>
      </c>
      <c r="BT124" s="2">
        <v>464.36</v>
      </c>
      <c r="BU124" s="2">
        <v>218.18</v>
      </c>
      <c r="BV124" s="2">
        <v>423.61</v>
      </c>
      <c r="BW124" s="2">
        <v>177.18</v>
      </c>
      <c r="BX124" s="2">
        <v>211.88</v>
      </c>
      <c r="BY124" s="2">
        <v>194.45</v>
      </c>
      <c r="BZ124" s="2">
        <v>365.86</v>
      </c>
      <c r="CA124" s="2">
        <v>211.27</v>
      </c>
      <c r="CB124" s="2">
        <v>578.05999999999995</v>
      </c>
      <c r="CC124" s="2">
        <v>211.03</v>
      </c>
      <c r="CD124" s="2">
        <v>635.82000000000005</v>
      </c>
      <c r="CE124" s="2">
        <v>210.07</v>
      </c>
      <c r="CF124" s="2">
        <v>614.08000000000004</v>
      </c>
      <c r="CG124" s="2">
        <v>314.52</v>
      </c>
      <c r="CH124" s="2">
        <v>760.17</v>
      </c>
      <c r="CI124" s="2">
        <v>773.56</v>
      </c>
      <c r="CJ124" s="2">
        <v>988.46</v>
      </c>
      <c r="CK124" s="2">
        <v>1057.97</v>
      </c>
      <c r="CL124" s="2">
        <v>1320.98</v>
      </c>
    </row>
    <row r="125" spans="2:90" x14ac:dyDescent="0.3">
      <c r="X125" s="1" t="s">
        <v>70</v>
      </c>
      <c r="Y125" s="2">
        <v>155.91999999999999</v>
      </c>
      <c r="Z125" s="2">
        <v>383.14</v>
      </c>
      <c r="AA125" s="2">
        <v>167</v>
      </c>
      <c r="AB125" s="2">
        <v>58.02</v>
      </c>
      <c r="AC125" s="2">
        <v>169.49</v>
      </c>
      <c r="AD125" s="2">
        <v>286.83</v>
      </c>
      <c r="AE125" s="2">
        <v>445.51</v>
      </c>
      <c r="AF125" s="2">
        <v>298.39</v>
      </c>
      <c r="AG125" s="2">
        <v>360.27</v>
      </c>
      <c r="AH125" s="2">
        <v>322.83999999999997</v>
      </c>
      <c r="AI125" s="2">
        <v>146.97</v>
      </c>
      <c r="AJ125" s="2">
        <v>349.24</v>
      </c>
      <c r="AK125" s="2">
        <v>119.23</v>
      </c>
      <c r="AL125" s="2">
        <v>58.21</v>
      </c>
      <c r="AM125" s="2">
        <v>231.71</v>
      </c>
      <c r="AN125" s="2">
        <v>272.02</v>
      </c>
      <c r="AO125" s="2">
        <v>358.28</v>
      </c>
      <c r="AP125" s="2">
        <v>260.77999999999997</v>
      </c>
      <c r="AQ125" s="2">
        <v>332.5</v>
      </c>
      <c r="AR125" s="2">
        <v>226.88</v>
      </c>
      <c r="AU125" s="1" t="s">
        <v>70</v>
      </c>
      <c r="AV125" s="2">
        <v>781.93</v>
      </c>
      <c r="AW125" s="2">
        <v>3675.86</v>
      </c>
      <c r="AX125" s="2">
        <v>954.9</v>
      </c>
      <c r="AY125" s="2">
        <v>289.23</v>
      </c>
      <c r="AZ125" s="2">
        <v>1631.31</v>
      </c>
      <c r="BA125" s="2">
        <v>2274.17</v>
      </c>
      <c r="BB125" s="2">
        <v>3950.09</v>
      </c>
      <c r="BC125" s="2">
        <v>3038.06</v>
      </c>
      <c r="BD125" s="2">
        <v>3553.73</v>
      </c>
      <c r="BE125" s="2">
        <v>3066.96</v>
      </c>
      <c r="BF125" s="2">
        <v>960.63</v>
      </c>
      <c r="BG125" s="2">
        <v>3597.26</v>
      </c>
      <c r="BH125" s="2">
        <v>1152.17</v>
      </c>
      <c r="BI125" s="2">
        <v>299.79000000000002</v>
      </c>
      <c r="BJ125" s="2">
        <v>1468.29</v>
      </c>
      <c r="BK125" s="2">
        <v>1980.98</v>
      </c>
      <c r="BL125" s="2">
        <v>3547.72</v>
      </c>
      <c r="BM125" s="2">
        <v>2679.82</v>
      </c>
      <c r="BN125" s="2">
        <v>3323.1</v>
      </c>
      <c r="BO125" s="2">
        <v>2284.02</v>
      </c>
      <c r="BR125" s="1" t="s">
        <v>70</v>
      </c>
      <c r="BS125" s="2">
        <v>197.14</v>
      </c>
      <c r="BT125" s="2">
        <v>227.87</v>
      </c>
      <c r="BU125" s="2">
        <v>198.89</v>
      </c>
      <c r="BV125" s="2">
        <v>371.98</v>
      </c>
      <c r="BW125" s="2">
        <v>206.6</v>
      </c>
      <c r="BX125" s="2">
        <v>201.55</v>
      </c>
      <c r="BY125" s="2">
        <v>484.68</v>
      </c>
      <c r="BZ125" s="2">
        <v>246.47</v>
      </c>
      <c r="CA125" s="2">
        <v>318.72000000000003</v>
      </c>
      <c r="CB125" s="2">
        <v>288.95</v>
      </c>
      <c r="CC125" s="2">
        <v>373.7</v>
      </c>
      <c r="CD125" s="2">
        <v>421.54</v>
      </c>
      <c r="CE125" s="2">
        <v>470.84</v>
      </c>
      <c r="CF125" s="2">
        <v>482.21</v>
      </c>
      <c r="CG125" s="2">
        <v>645.70000000000005</v>
      </c>
      <c r="CH125" s="2">
        <v>617.26</v>
      </c>
      <c r="CI125" s="2">
        <v>796.12</v>
      </c>
      <c r="CJ125" s="2">
        <v>942.16</v>
      </c>
      <c r="CK125" s="2">
        <v>854.29</v>
      </c>
      <c r="CL125" s="2">
        <v>1394.25</v>
      </c>
    </row>
    <row r="126" spans="2:90" x14ac:dyDescent="0.3">
      <c r="X126" s="1" t="s">
        <v>71</v>
      </c>
      <c r="Y126" s="2">
        <v>28.21</v>
      </c>
      <c r="Z126" s="2">
        <v>66.67</v>
      </c>
      <c r="AA126" s="2">
        <v>18.41</v>
      </c>
      <c r="AB126" s="2">
        <v>10.41</v>
      </c>
      <c r="AC126" s="2">
        <v>27.09</v>
      </c>
      <c r="AD126" s="2">
        <v>31.2</v>
      </c>
      <c r="AE126" s="2">
        <v>66.12</v>
      </c>
      <c r="AF126" s="2">
        <v>49.2</v>
      </c>
      <c r="AG126" s="2">
        <v>65.239999999999995</v>
      </c>
      <c r="AH126" s="2">
        <v>59.28</v>
      </c>
      <c r="AI126" s="2">
        <v>26.75</v>
      </c>
      <c r="AJ126" s="2">
        <v>55.33</v>
      </c>
      <c r="AK126" s="2">
        <v>21.46</v>
      </c>
      <c r="AL126" s="2">
        <v>8.39</v>
      </c>
      <c r="AM126" s="2">
        <v>27.38</v>
      </c>
      <c r="AN126" s="2">
        <v>51.97</v>
      </c>
      <c r="AO126" s="2">
        <v>95.29</v>
      </c>
      <c r="AP126" s="2">
        <v>55.07</v>
      </c>
      <c r="AQ126" s="2">
        <v>86.15</v>
      </c>
      <c r="AR126" s="2">
        <v>49.28</v>
      </c>
      <c r="AU126" s="1" t="s">
        <v>71</v>
      </c>
      <c r="AV126" s="2">
        <v>134.13999999999999</v>
      </c>
      <c r="AW126" s="2">
        <v>605.22</v>
      </c>
      <c r="AX126" s="2">
        <v>159.44</v>
      </c>
      <c r="AY126" s="2">
        <v>47.51</v>
      </c>
      <c r="AZ126" s="2">
        <v>230.35</v>
      </c>
      <c r="BA126" s="2">
        <v>284</v>
      </c>
      <c r="BB126" s="2">
        <v>604.20000000000005</v>
      </c>
      <c r="BC126" s="2">
        <v>448.82</v>
      </c>
      <c r="BD126" s="2">
        <v>595.41</v>
      </c>
      <c r="BE126" s="2">
        <v>539.27</v>
      </c>
      <c r="BF126" s="2">
        <v>130.54</v>
      </c>
      <c r="BG126" s="2">
        <v>504.47</v>
      </c>
      <c r="BH126" s="2">
        <v>186.63</v>
      </c>
      <c r="BI126" s="2">
        <v>40.74</v>
      </c>
      <c r="BJ126" s="2">
        <v>134.46</v>
      </c>
      <c r="BK126" s="2">
        <v>312.79000000000002</v>
      </c>
      <c r="BL126" s="2">
        <v>588.13</v>
      </c>
      <c r="BM126" s="2">
        <v>399.48</v>
      </c>
      <c r="BN126" s="2">
        <v>626.01</v>
      </c>
      <c r="BO126" s="2">
        <v>419.29</v>
      </c>
      <c r="BR126" s="1" t="s">
        <v>71</v>
      </c>
      <c r="BS126" s="2">
        <v>185.47</v>
      </c>
      <c r="BT126" s="2">
        <v>185.87</v>
      </c>
      <c r="BU126" s="2">
        <v>214.66</v>
      </c>
      <c r="BV126" s="2">
        <v>214.35</v>
      </c>
      <c r="BW126" s="2">
        <v>199.62</v>
      </c>
      <c r="BX126" s="2">
        <v>195.01</v>
      </c>
      <c r="BY126" s="2">
        <v>434.25</v>
      </c>
      <c r="BZ126" s="2">
        <v>227.82</v>
      </c>
      <c r="CA126" s="2">
        <v>669.41</v>
      </c>
      <c r="CB126" s="2">
        <v>228.38</v>
      </c>
      <c r="CC126" s="2">
        <v>509.48</v>
      </c>
      <c r="CD126" s="2">
        <v>228</v>
      </c>
      <c r="CE126" s="2">
        <v>523.42999999999995</v>
      </c>
      <c r="CF126" s="2">
        <v>276.7</v>
      </c>
      <c r="CG126" s="2">
        <v>540.1</v>
      </c>
      <c r="CH126" s="2">
        <v>281.33999999999997</v>
      </c>
      <c r="CI126" s="2">
        <v>629.35</v>
      </c>
      <c r="CJ126" s="2">
        <v>339.21</v>
      </c>
      <c r="CK126" s="2">
        <v>851.98</v>
      </c>
      <c r="CL126" s="2">
        <v>1136.1199999999999</v>
      </c>
    </row>
    <row r="127" spans="2:90" x14ac:dyDescent="0.3">
      <c r="X127" s="1" t="s">
        <v>72</v>
      </c>
      <c r="Y127" s="2">
        <v>81.97</v>
      </c>
      <c r="Z127" s="2">
        <v>145.80000000000001</v>
      </c>
      <c r="AA127" s="2">
        <v>46.23</v>
      </c>
      <c r="AB127" s="2">
        <v>30.28</v>
      </c>
      <c r="AC127" s="2">
        <v>93.59</v>
      </c>
      <c r="AD127" s="2">
        <v>92.13</v>
      </c>
      <c r="AE127" s="2">
        <v>183.85</v>
      </c>
      <c r="AF127" s="2">
        <v>134.16</v>
      </c>
      <c r="AG127" s="2">
        <v>203.92</v>
      </c>
      <c r="AH127" s="2">
        <v>144.07</v>
      </c>
      <c r="AI127" s="2">
        <v>97.46</v>
      </c>
      <c r="AJ127" s="2">
        <v>140.93</v>
      </c>
      <c r="AK127" s="2">
        <v>68.45</v>
      </c>
      <c r="AL127" s="2">
        <v>28.54</v>
      </c>
      <c r="AM127" s="2">
        <v>137.38999999999999</v>
      </c>
      <c r="AN127" s="2">
        <v>206.02</v>
      </c>
      <c r="AO127" s="2">
        <v>348.48</v>
      </c>
      <c r="AP127" s="2">
        <v>215.5</v>
      </c>
      <c r="AQ127" s="2">
        <v>248.52</v>
      </c>
      <c r="AR127" s="2">
        <v>113.94</v>
      </c>
      <c r="AU127" s="1" t="s">
        <v>72</v>
      </c>
      <c r="AV127" s="2">
        <v>414.29</v>
      </c>
      <c r="AW127" s="2">
        <v>1323.3</v>
      </c>
      <c r="AX127" s="2">
        <v>385.1</v>
      </c>
      <c r="AY127" s="2">
        <v>121.33</v>
      </c>
      <c r="AZ127" s="2">
        <v>567.29</v>
      </c>
      <c r="BA127" s="2">
        <v>718.03</v>
      </c>
      <c r="BB127" s="2">
        <v>1329.12</v>
      </c>
      <c r="BC127" s="2">
        <v>963.03</v>
      </c>
      <c r="BD127" s="2">
        <v>1338.06</v>
      </c>
      <c r="BE127" s="2">
        <v>1172.45</v>
      </c>
      <c r="BF127" s="2">
        <v>495.34</v>
      </c>
      <c r="BG127" s="2">
        <v>1281.6400000000001</v>
      </c>
      <c r="BH127" s="2">
        <v>415.65</v>
      </c>
      <c r="BI127" s="2">
        <v>143.97999999999999</v>
      </c>
      <c r="BJ127" s="2">
        <v>454.73</v>
      </c>
      <c r="BK127" s="2">
        <v>849.6</v>
      </c>
      <c r="BL127" s="2">
        <v>1443.95</v>
      </c>
      <c r="BM127" s="2">
        <v>985.97</v>
      </c>
      <c r="BN127" s="2">
        <v>1438.11</v>
      </c>
      <c r="BO127" s="2">
        <v>903.74</v>
      </c>
      <c r="BR127" s="1" t="s">
        <v>72</v>
      </c>
      <c r="BS127" s="2">
        <v>176.21</v>
      </c>
      <c r="BT127" s="2">
        <v>173.28</v>
      </c>
      <c r="BU127" s="2">
        <v>267.2</v>
      </c>
      <c r="BV127" s="2">
        <v>191.15</v>
      </c>
      <c r="BW127" s="2">
        <v>238.74</v>
      </c>
      <c r="BX127" s="2">
        <v>181.4</v>
      </c>
      <c r="BY127" s="2">
        <v>346.96</v>
      </c>
      <c r="BZ127" s="2">
        <v>188.05</v>
      </c>
      <c r="CA127" s="2">
        <v>664.36</v>
      </c>
      <c r="CB127" s="2">
        <v>188.54</v>
      </c>
      <c r="CC127" s="2">
        <v>560.5</v>
      </c>
      <c r="CD127" s="2">
        <v>188.89</v>
      </c>
      <c r="CE127" s="2">
        <v>553.01</v>
      </c>
      <c r="CF127" s="2">
        <v>218.24</v>
      </c>
      <c r="CG127" s="2">
        <v>459.69</v>
      </c>
      <c r="CH127" s="2">
        <v>345.37</v>
      </c>
      <c r="CI127" s="2">
        <v>785.67</v>
      </c>
      <c r="CJ127" s="2">
        <v>711.03</v>
      </c>
      <c r="CK127" s="2">
        <v>1048.05</v>
      </c>
      <c r="CL127" s="2">
        <v>1127.23</v>
      </c>
    </row>
    <row r="128" spans="2:90" x14ac:dyDescent="0.3">
      <c r="X128" s="1" t="s">
        <v>73</v>
      </c>
      <c r="Y128" s="2">
        <v>28.34</v>
      </c>
      <c r="Z128" s="2">
        <v>73.45</v>
      </c>
      <c r="AA128" s="2">
        <v>11.56</v>
      </c>
      <c r="AB128" s="2">
        <v>2.46</v>
      </c>
      <c r="AC128" s="2">
        <v>16.420000000000002</v>
      </c>
      <c r="AD128" s="2">
        <v>28.69</v>
      </c>
      <c r="AE128" s="2">
        <v>47.37</v>
      </c>
      <c r="AF128" s="2">
        <v>41.35</v>
      </c>
      <c r="AG128" s="2">
        <v>44.47</v>
      </c>
      <c r="AH128" s="2">
        <v>57.79</v>
      </c>
      <c r="AI128" s="2">
        <v>19.39</v>
      </c>
      <c r="AJ128" s="2">
        <v>43.62</v>
      </c>
      <c r="AK128" s="2">
        <v>13.65</v>
      </c>
      <c r="AL128" s="2">
        <v>5.61</v>
      </c>
      <c r="AM128" s="2">
        <v>22.97</v>
      </c>
      <c r="AN128" s="2">
        <v>20.28</v>
      </c>
      <c r="AO128" s="2">
        <v>41.73</v>
      </c>
      <c r="AP128" s="2">
        <v>39.57</v>
      </c>
      <c r="AQ128" s="2">
        <v>48.96</v>
      </c>
      <c r="AR128" s="2">
        <v>39.729999999999997</v>
      </c>
      <c r="AU128" s="1" t="s">
        <v>73</v>
      </c>
      <c r="AV128" s="2">
        <v>217.36</v>
      </c>
      <c r="AW128" s="2">
        <v>480.05</v>
      </c>
      <c r="AX128" s="2">
        <v>98.03</v>
      </c>
      <c r="AY128" s="2">
        <v>46.74</v>
      </c>
      <c r="AZ128" s="2">
        <v>158.78</v>
      </c>
      <c r="BA128" s="2">
        <v>259.31</v>
      </c>
      <c r="BB128" s="2">
        <v>325.23</v>
      </c>
      <c r="BC128" s="2">
        <v>283.16000000000003</v>
      </c>
      <c r="BD128" s="2">
        <v>295.25</v>
      </c>
      <c r="BE128" s="2">
        <v>368.57</v>
      </c>
      <c r="BF128" s="2">
        <v>168.59</v>
      </c>
      <c r="BG128" s="2">
        <v>392.43</v>
      </c>
      <c r="BH128" s="2">
        <v>115.83</v>
      </c>
      <c r="BI128" s="2">
        <v>47.49</v>
      </c>
      <c r="BJ128" s="2">
        <v>153.82</v>
      </c>
      <c r="BK128" s="2">
        <v>150.15</v>
      </c>
      <c r="BL128" s="2">
        <v>311.45</v>
      </c>
      <c r="BM128" s="2">
        <v>328.44</v>
      </c>
      <c r="BN128" s="2">
        <v>347.76</v>
      </c>
      <c r="BO128" s="2">
        <v>261.17</v>
      </c>
      <c r="BR128" s="1" t="s">
        <v>73</v>
      </c>
      <c r="BS128" s="2">
        <v>448.19</v>
      </c>
      <c r="BT128" s="2">
        <v>370.55</v>
      </c>
      <c r="BU128" s="2">
        <v>308.91000000000003</v>
      </c>
      <c r="BV128" s="2">
        <v>323.23</v>
      </c>
      <c r="BW128" s="2">
        <v>130.87</v>
      </c>
      <c r="BX128" s="2">
        <v>359.26</v>
      </c>
      <c r="BY128" s="2">
        <v>450.56</v>
      </c>
      <c r="BZ128" s="2">
        <v>318.72000000000003</v>
      </c>
      <c r="CA128" s="2">
        <v>1236.76</v>
      </c>
      <c r="CB128" s="2">
        <v>388.12</v>
      </c>
      <c r="CC128" s="2">
        <v>592.12</v>
      </c>
      <c r="CD128" s="2">
        <v>385.43</v>
      </c>
      <c r="CE128" s="2">
        <v>500.45</v>
      </c>
      <c r="CF128" s="2">
        <v>474.73</v>
      </c>
      <c r="CG128" s="2">
        <v>629.98</v>
      </c>
      <c r="CH128" s="2">
        <v>731.33</v>
      </c>
      <c r="CI128" s="2">
        <v>777.77</v>
      </c>
      <c r="CJ128" s="2">
        <v>1218.6300000000001</v>
      </c>
      <c r="CK128" s="2">
        <v>1091.95</v>
      </c>
      <c r="CL128" s="2">
        <v>1920.86</v>
      </c>
    </row>
    <row r="131" spans="24:67" x14ac:dyDescent="0.3">
      <c r="X131" t="s">
        <v>39</v>
      </c>
      <c r="AU131" t="s">
        <v>40</v>
      </c>
    </row>
    <row r="132" spans="24:67" x14ac:dyDescent="0.3">
      <c r="X132" s="1" t="s">
        <v>6</v>
      </c>
      <c r="Y132" s="1" t="s">
        <v>63</v>
      </c>
      <c r="Z132" s="1" t="s">
        <v>64</v>
      </c>
      <c r="AA132" s="1" t="s">
        <v>63</v>
      </c>
      <c r="AB132" s="1" t="s">
        <v>64</v>
      </c>
      <c r="AC132" s="1" t="s">
        <v>63</v>
      </c>
      <c r="AD132" s="1" t="s">
        <v>64</v>
      </c>
      <c r="AE132" s="1" t="s">
        <v>63</v>
      </c>
      <c r="AF132" s="1" t="s">
        <v>64</v>
      </c>
      <c r="AG132" s="1" t="s">
        <v>63</v>
      </c>
      <c r="AH132" s="1" t="s">
        <v>64</v>
      </c>
      <c r="AI132" s="1" t="s">
        <v>63</v>
      </c>
      <c r="AJ132" s="1" t="s">
        <v>64</v>
      </c>
      <c r="AK132" s="1" t="s">
        <v>63</v>
      </c>
      <c r="AL132" s="1" t="s">
        <v>64</v>
      </c>
      <c r="AM132" s="1" t="s">
        <v>63</v>
      </c>
      <c r="AN132" s="1" t="s">
        <v>64</v>
      </c>
      <c r="AO132" s="1" t="s">
        <v>63</v>
      </c>
      <c r="AP132" s="1" t="s">
        <v>64</v>
      </c>
      <c r="AQ132" s="1" t="s">
        <v>63</v>
      </c>
      <c r="AR132" s="1" t="s">
        <v>64</v>
      </c>
      <c r="AU132" s="1" t="s">
        <v>6</v>
      </c>
      <c r="AV132" s="1" t="s">
        <v>63</v>
      </c>
      <c r="AW132" s="1" t="s">
        <v>64</v>
      </c>
      <c r="AX132" s="1" t="s">
        <v>63</v>
      </c>
      <c r="AY132" s="1" t="s">
        <v>64</v>
      </c>
      <c r="AZ132" s="1" t="s">
        <v>63</v>
      </c>
      <c r="BA132" s="1" t="s">
        <v>64</v>
      </c>
      <c r="BB132" s="1" t="s">
        <v>63</v>
      </c>
      <c r="BC132" s="1" t="s">
        <v>64</v>
      </c>
      <c r="BD132" s="1" t="s">
        <v>63</v>
      </c>
      <c r="BE132" s="1" t="s">
        <v>64</v>
      </c>
      <c r="BF132" s="1" t="s">
        <v>63</v>
      </c>
      <c r="BG132" s="1" t="s">
        <v>64</v>
      </c>
      <c r="BH132" s="1" t="s">
        <v>63</v>
      </c>
      <c r="BI132" s="1" t="s">
        <v>64</v>
      </c>
      <c r="BJ132" s="1" t="s">
        <v>63</v>
      </c>
      <c r="BK132" s="1" t="s">
        <v>64</v>
      </c>
      <c r="BL132" s="1" t="s">
        <v>63</v>
      </c>
      <c r="BM132" s="1" t="s">
        <v>64</v>
      </c>
      <c r="BN132" s="1" t="s">
        <v>63</v>
      </c>
      <c r="BO132" s="1" t="s">
        <v>64</v>
      </c>
    </row>
    <row r="133" spans="24:67" x14ac:dyDescent="0.3">
      <c r="X133" s="1" t="s">
        <v>65</v>
      </c>
      <c r="Y133" s="1" t="s">
        <v>53</v>
      </c>
      <c r="Z133" s="1" t="s">
        <v>53</v>
      </c>
      <c r="AA133" s="1" t="s">
        <v>54</v>
      </c>
      <c r="AB133" s="1" t="s">
        <v>54</v>
      </c>
      <c r="AC133" s="1" t="s">
        <v>55</v>
      </c>
      <c r="AD133" s="1" t="s">
        <v>55</v>
      </c>
      <c r="AE133" s="1" t="s">
        <v>56</v>
      </c>
      <c r="AF133" s="1" t="s">
        <v>56</v>
      </c>
      <c r="AG133" s="1" t="s">
        <v>57</v>
      </c>
      <c r="AH133" s="1" t="s">
        <v>57</v>
      </c>
      <c r="AI133" s="1" t="s">
        <v>58</v>
      </c>
      <c r="AJ133" s="1" t="s">
        <v>58</v>
      </c>
      <c r="AK133" s="1" t="s">
        <v>59</v>
      </c>
      <c r="AL133" s="1" t="s">
        <v>59</v>
      </c>
      <c r="AM133" s="1" t="s">
        <v>60</v>
      </c>
      <c r="AN133" s="1" t="s">
        <v>60</v>
      </c>
      <c r="AO133" s="1" t="s">
        <v>61</v>
      </c>
      <c r="AP133" s="1" t="s">
        <v>61</v>
      </c>
      <c r="AQ133" s="1" t="s">
        <v>62</v>
      </c>
      <c r="AR133" s="1" t="s">
        <v>62</v>
      </c>
      <c r="AU133" s="1" t="s">
        <v>65</v>
      </c>
      <c r="AV133" s="1" t="s">
        <v>53</v>
      </c>
      <c r="AW133" s="1" t="s">
        <v>53</v>
      </c>
      <c r="AX133" s="1" t="s">
        <v>54</v>
      </c>
      <c r="AY133" s="1" t="s">
        <v>54</v>
      </c>
      <c r="AZ133" s="1" t="s">
        <v>55</v>
      </c>
      <c r="BA133" s="1" t="s">
        <v>55</v>
      </c>
      <c r="BB133" s="1" t="s">
        <v>56</v>
      </c>
      <c r="BC133" s="1" t="s">
        <v>56</v>
      </c>
      <c r="BD133" s="1" t="s">
        <v>57</v>
      </c>
      <c r="BE133" s="1" t="s">
        <v>57</v>
      </c>
      <c r="BF133" s="1" t="s">
        <v>58</v>
      </c>
      <c r="BG133" s="1" t="s">
        <v>58</v>
      </c>
      <c r="BH133" s="1" t="s">
        <v>59</v>
      </c>
      <c r="BI133" s="1" t="s">
        <v>59</v>
      </c>
      <c r="BJ133" s="1" t="s">
        <v>60</v>
      </c>
      <c r="BK133" s="1" t="s">
        <v>60</v>
      </c>
      <c r="BL133" s="1" t="s">
        <v>61</v>
      </c>
      <c r="BM133" s="1" t="s">
        <v>61</v>
      </c>
      <c r="BN133" s="1" t="s">
        <v>62</v>
      </c>
      <c r="BO133" s="1" t="s">
        <v>62</v>
      </c>
    </row>
    <row r="134" spans="24:67" x14ac:dyDescent="0.3">
      <c r="X134" s="1" t="s">
        <v>7</v>
      </c>
      <c r="AU134" s="1" t="s">
        <v>7</v>
      </c>
    </row>
    <row r="135" spans="24:67" x14ac:dyDescent="0.3">
      <c r="X135" s="1" t="s">
        <v>66</v>
      </c>
      <c r="Y135" s="2">
        <v>31.42</v>
      </c>
      <c r="Z135" s="2">
        <v>33.75</v>
      </c>
      <c r="AA135" s="2">
        <v>8.41</v>
      </c>
      <c r="AB135" s="2">
        <v>8.36</v>
      </c>
      <c r="AC135" s="2">
        <v>8.94</v>
      </c>
      <c r="AD135" s="2">
        <v>16.45</v>
      </c>
      <c r="AE135" s="2">
        <v>22.39</v>
      </c>
      <c r="AF135" s="2">
        <v>20.93</v>
      </c>
      <c r="AG135" s="2">
        <v>20.86</v>
      </c>
      <c r="AH135" s="2">
        <v>11.47</v>
      </c>
      <c r="AI135" s="2">
        <v>26.65</v>
      </c>
      <c r="AJ135" s="2">
        <v>8.74</v>
      </c>
      <c r="AK135" s="2">
        <v>27.7</v>
      </c>
      <c r="AL135" s="2">
        <v>2.86</v>
      </c>
      <c r="AM135" s="2">
        <v>20.190000000000001</v>
      </c>
      <c r="AN135" s="2">
        <v>9.3800000000000008</v>
      </c>
      <c r="AO135" s="2">
        <v>3.18</v>
      </c>
      <c r="AP135" s="2">
        <v>2.57</v>
      </c>
      <c r="AQ135" s="2">
        <v>4.75</v>
      </c>
      <c r="AR135" s="2">
        <v>2.86</v>
      </c>
      <c r="AU135" s="1" t="s">
        <v>66</v>
      </c>
      <c r="AV135" s="2">
        <v>288.48</v>
      </c>
      <c r="AW135" s="2">
        <v>303.64999999999998</v>
      </c>
      <c r="AX135" s="2">
        <v>206.49</v>
      </c>
      <c r="AY135" s="2">
        <v>206.54</v>
      </c>
      <c r="AZ135" s="2">
        <v>220.66</v>
      </c>
      <c r="BA135" s="2">
        <v>346.15</v>
      </c>
      <c r="BB135" s="2">
        <v>250.61</v>
      </c>
      <c r="BC135" s="2">
        <v>375.27</v>
      </c>
      <c r="BD135" s="2">
        <v>298.33999999999997</v>
      </c>
      <c r="BE135" s="2">
        <v>281.83</v>
      </c>
      <c r="BF135" s="2">
        <v>275.75</v>
      </c>
      <c r="BG135" s="2">
        <v>293.66000000000003</v>
      </c>
      <c r="BH135" s="2">
        <v>329.3</v>
      </c>
      <c r="BI135" s="2">
        <v>275.74</v>
      </c>
      <c r="BJ135" s="2">
        <v>257.70999999999998</v>
      </c>
      <c r="BK135" s="2">
        <v>260.12</v>
      </c>
      <c r="BL135" s="2">
        <v>306.92</v>
      </c>
      <c r="BM135" s="2">
        <v>247.33</v>
      </c>
      <c r="BN135" s="2">
        <v>308.85000000000002</v>
      </c>
      <c r="BO135" s="2">
        <v>275.74</v>
      </c>
    </row>
    <row r="136" spans="24:67" x14ac:dyDescent="0.3">
      <c r="X136" s="1" t="s">
        <v>67</v>
      </c>
      <c r="Y136" s="2">
        <v>16.39</v>
      </c>
      <c r="Z136" s="2">
        <v>12.95</v>
      </c>
      <c r="AA136" s="2">
        <v>9.06</v>
      </c>
      <c r="AB136" s="2">
        <v>10.06</v>
      </c>
      <c r="AC136" s="2">
        <v>9.64</v>
      </c>
      <c r="AD136" s="2">
        <v>17.04</v>
      </c>
      <c r="AE136" s="2">
        <v>14.14</v>
      </c>
      <c r="AF136" s="2">
        <v>19.760000000000002</v>
      </c>
      <c r="AG136" s="2">
        <v>14.32</v>
      </c>
      <c r="AH136" s="2">
        <v>18.02</v>
      </c>
      <c r="AI136" s="2">
        <v>14.6</v>
      </c>
      <c r="AJ136" s="2">
        <v>20.010000000000002</v>
      </c>
      <c r="AK136" s="2">
        <v>14.45</v>
      </c>
      <c r="AL136" s="2">
        <v>16.11</v>
      </c>
      <c r="AM136" s="2">
        <v>13.77</v>
      </c>
      <c r="AN136" s="2">
        <v>13.78</v>
      </c>
      <c r="AO136" s="2">
        <v>11.71</v>
      </c>
      <c r="AP136" s="2">
        <v>13.51</v>
      </c>
      <c r="AQ136" s="2">
        <v>16.079999999999998</v>
      </c>
      <c r="AR136" s="2">
        <v>12.82</v>
      </c>
      <c r="AU136" s="1" t="s">
        <v>67</v>
      </c>
      <c r="AV136" s="2">
        <v>170.11</v>
      </c>
      <c r="AW136" s="2">
        <v>133.94999999999999</v>
      </c>
      <c r="AX136" s="2">
        <v>88.14</v>
      </c>
      <c r="AY136" s="2">
        <v>97.34</v>
      </c>
      <c r="AZ136" s="2">
        <v>90.16</v>
      </c>
      <c r="BA136" s="2">
        <v>164.86</v>
      </c>
      <c r="BB136" s="2">
        <v>137.96</v>
      </c>
      <c r="BC136" s="2">
        <v>181.44</v>
      </c>
      <c r="BD136" s="2">
        <v>149.47999999999999</v>
      </c>
      <c r="BE136" s="2">
        <v>180.18</v>
      </c>
      <c r="BF136" s="2">
        <v>150.6</v>
      </c>
      <c r="BG136" s="2">
        <v>199.49</v>
      </c>
      <c r="BH136" s="2">
        <v>149.75</v>
      </c>
      <c r="BI136" s="2">
        <v>165.49</v>
      </c>
      <c r="BJ136" s="2">
        <v>142.63</v>
      </c>
      <c r="BK136" s="2">
        <v>142.62</v>
      </c>
      <c r="BL136" s="2">
        <v>121.19</v>
      </c>
      <c r="BM136" s="2">
        <v>131.69</v>
      </c>
      <c r="BN136" s="2">
        <v>168.02</v>
      </c>
      <c r="BO136" s="2">
        <v>132.68</v>
      </c>
    </row>
    <row r="137" spans="24:67" x14ac:dyDescent="0.3">
      <c r="X137" s="1" t="s">
        <v>68</v>
      </c>
      <c r="Y137" s="2">
        <v>136.03</v>
      </c>
      <c r="Z137" s="2">
        <v>36.65</v>
      </c>
      <c r="AA137" s="2">
        <v>103.28</v>
      </c>
      <c r="AB137" s="2">
        <v>28.74</v>
      </c>
      <c r="AC137" s="2">
        <v>173.75</v>
      </c>
      <c r="AD137" s="2">
        <v>127.8</v>
      </c>
      <c r="AE137" s="2">
        <v>155.47999999999999</v>
      </c>
      <c r="AF137" s="2">
        <v>97.31</v>
      </c>
      <c r="AG137" s="2">
        <v>194.5</v>
      </c>
      <c r="AH137" s="2">
        <v>89.46</v>
      </c>
      <c r="AI137" s="2">
        <v>197.02</v>
      </c>
      <c r="AJ137" s="2">
        <v>94.38</v>
      </c>
      <c r="AK137" s="2">
        <v>210.54</v>
      </c>
      <c r="AL137" s="2">
        <v>85.66</v>
      </c>
      <c r="AM137" s="2">
        <v>197.53</v>
      </c>
      <c r="AN137" s="2">
        <v>69.709999999999994</v>
      </c>
      <c r="AO137" s="2">
        <v>80.66</v>
      </c>
      <c r="AP137" s="2">
        <v>73.17</v>
      </c>
      <c r="AQ137" s="2">
        <v>55.83</v>
      </c>
      <c r="AR137" s="2">
        <v>53.08</v>
      </c>
      <c r="AU137" s="1" t="s">
        <v>68</v>
      </c>
      <c r="AV137" s="2">
        <v>692.63</v>
      </c>
      <c r="AW137" s="2">
        <v>378.25</v>
      </c>
      <c r="AX137" s="2">
        <v>571.4</v>
      </c>
      <c r="AY137" s="2">
        <v>278.16000000000003</v>
      </c>
      <c r="AZ137" s="2">
        <v>543.04999999999995</v>
      </c>
      <c r="BA137" s="2">
        <v>930.06</v>
      </c>
      <c r="BB137" s="2">
        <v>674.79</v>
      </c>
      <c r="BC137" s="2">
        <v>706.75</v>
      </c>
      <c r="BD137" s="2">
        <v>814.1</v>
      </c>
      <c r="BE137" s="2">
        <v>754.94</v>
      </c>
      <c r="BF137" s="2">
        <v>783.18</v>
      </c>
      <c r="BG137" s="2">
        <v>788.41</v>
      </c>
      <c r="BH137" s="2">
        <v>790.77</v>
      </c>
      <c r="BI137" s="2">
        <v>694.75</v>
      </c>
      <c r="BJ137" s="2">
        <v>726.02</v>
      </c>
      <c r="BK137" s="2">
        <v>614.29999999999995</v>
      </c>
      <c r="BL137" s="2">
        <v>607.37</v>
      </c>
      <c r="BM137" s="2">
        <v>662.42</v>
      </c>
      <c r="BN137" s="2">
        <v>522.12</v>
      </c>
      <c r="BO137" s="2">
        <v>483.18</v>
      </c>
    </row>
    <row r="138" spans="24:67" x14ac:dyDescent="0.3">
      <c r="X138" s="1" t="s">
        <v>69</v>
      </c>
      <c r="Y138" s="2">
        <v>25.9</v>
      </c>
      <c r="Z138" s="2">
        <v>13.46</v>
      </c>
      <c r="AA138" s="2">
        <v>17.600000000000001</v>
      </c>
      <c r="AB138" s="2">
        <v>12.46</v>
      </c>
      <c r="AC138" s="2">
        <v>35.799999999999997</v>
      </c>
      <c r="AD138" s="2">
        <v>25.6</v>
      </c>
      <c r="AE138" s="2">
        <v>45.13</v>
      </c>
      <c r="AF138" s="2">
        <v>20.190000000000001</v>
      </c>
      <c r="AG138" s="2">
        <v>42.13</v>
      </c>
      <c r="AH138" s="2">
        <v>23.33</v>
      </c>
      <c r="AI138" s="2">
        <v>44.64</v>
      </c>
      <c r="AJ138" s="2">
        <v>24.35</v>
      </c>
      <c r="AK138" s="2">
        <v>46.8</v>
      </c>
      <c r="AL138" s="2">
        <v>20.55</v>
      </c>
      <c r="AM138" s="2">
        <v>32.450000000000003</v>
      </c>
      <c r="AN138" s="2">
        <v>21.16</v>
      </c>
      <c r="AO138" s="2">
        <v>19.98</v>
      </c>
      <c r="AP138" s="2">
        <v>18.309999999999999</v>
      </c>
      <c r="AQ138" s="2">
        <v>19.07</v>
      </c>
      <c r="AR138" s="2">
        <v>16.510000000000002</v>
      </c>
      <c r="AU138" s="1" t="s">
        <v>69</v>
      </c>
      <c r="AV138" s="2">
        <v>226.44</v>
      </c>
      <c r="AW138" s="2">
        <v>110.04</v>
      </c>
      <c r="AX138" s="2">
        <v>160.30000000000001</v>
      </c>
      <c r="AY138" s="2">
        <v>120.54</v>
      </c>
      <c r="AZ138" s="2">
        <v>163.59</v>
      </c>
      <c r="BA138" s="2">
        <v>225.3</v>
      </c>
      <c r="BB138" s="2">
        <v>246.57</v>
      </c>
      <c r="BC138" s="2">
        <v>183.6</v>
      </c>
      <c r="BD138" s="2">
        <v>239.56</v>
      </c>
      <c r="BE138" s="2">
        <v>223.05</v>
      </c>
      <c r="BF138" s="2">
        <v>253.31</v>
      </c>
      <c r="BG138" s="2">
        <v>227.3</v>
      </c>
      <c r="BH138" s="2">
        <v>262.62</v>
      </c>
      <c r="BI138" s="2">
        <v>192.15</v>
      </c>
      <c r="BJ138" s="2">
        <v>246.85</v>
      </c>
      <c r="BK138" s="2">
        <v>197.24</v>
      </c>
      <c r="BL138" s="2">
        <v>189.22</v>
      </c>
      <c r="BM138" s="2">
        <v>162.59</v>
      </c>
      <c r="BN138" s="2">
        <v>172.53</v>
      </c>
      <c r="BO138" s="2">
        <v>146.53</v>
      </c>
    </row>
    <row r="139" spans="24:67" x14ac:dyDescent="0.3">
      <c r="X139" s="1" t="s">
        <v>70</v>
      </c>
      <c r="Y139" s="2">
        <v>119.94</v>
      </c>
      <c r="Z139" s="2">
        <v>113.05</v>
      </c>
      <c r="AA139" s="2">
        <v>128.46</v>
      </c>
      <c r="AB139" s="2">
        <v>91.72</v>
      </c>
      <c r="AC139" s="2">
        <v>116.04</v>
      </c>
      <c r="AD139" s="2">
        <v>116.42</v>
      </c>
      <c r="AE139" s="2">
        <v>105.93</v>
      </c>
      <c r="AF139" s="2">
        <v>144.82</v>
      </c>
      <c r="AG139" s="2">
        <v>143.41999999999999</v>
      </c>
      <c r="AH139" s="2">
        <v>136.01</v>
      </c>
      <c r="AI139" s="2">
        <v>123.75</v>
      </c>
      <c r="AJ139" s="2">
        <v>99.52</v>
      </c>
      <c r="AK139" s="2">
        <v>102.89</v>
      </c>
      <c r="AL139" s="2">
        <v>89.92</v>
      </c>
      <c r="AM139" s="2">
        <v>94.81</v>
      </c>
      <c r="AN139" s="2">
        <v>87.5</v>
      </c>
      <c r="AO139" s="2">
        <v>94.95</v>
      </c>
      <c r="AP139" s="2">
        <v>66.73</v>
      </c>
      <c r="AQ139" s="2">
        <v>85.14</v>
      </c>
      <c r="AR139" s="2">
        <v>77.61</v>
      </c>
      <c r="AU139" s="1" t="s">
        <v>70</v>
      </c>
      <c r="AV139" s="2">
        <v>601.49</v>
      </c>
      <c r="AW139" s="2">
        <v>738.95</v>
      </c>
      <c r="AX139" s="2">
        <v>734.54</v>
      </c>
      <c r="AY139" s="2">
        <v>886.28</v>
      </c>
      <c r="AZ139" s="2">
        <v>578.46</v>
      </c>
      <c r="BA139" s="2">
        <v>599.57000000000005</v>
      </c>
      <c r="BB139" s="2">
        <v>1019.57</v>
      </c>
      <c r="BC139" s="2">
        <v>917.68</v>
      </c>
      <c r="BD139" s="2">
        <v>1137.08</v>
      </c>
      <c r="BE139" s="2">
        <v>990.49</v>
      </c>
      <c r="BF139" s="2">
        <v>1097.25</v>
      </c>
      <c r="BG139" s="2">
        <v>985.48</v>
      </c>
      <c r="BH139" s="2">
        <v>1047.6099999999999</v>
      </c>
      <c r="BI139" s="2">
        <v>924.08</v>
      </c>
      <c r="BJ139" s="2">
        <v>935.19</v>
      </c>
      <c r="BK139" s="2">
        <v>874.5</v>
      </c>
      <c r="BL139" s="2">
        <v>902.05</v>
      </c>
      <c r="BM139" s="2">
        <v>671.77</v>
      </c>
      <c r="BN139" s="2">
        <v>816.86</v>
      </c>
      <c r="BO139" s="2">
        <v>799.39</v>
      </c>
    </row>
    <row r="140" spans="24:67" x14ac:dyDescent="0.3">
      <c r="X140" s="1" t="s">
        <v>71</v>
      </c>
      <c r="Y140" s="2">
        <v>21.7</v>
      </c>
      <c r="Z140" s="2">
        <v>20.58</v>
      </c>
      <c r="AA140" s="2">
        <v>14.16</v>
      </c>
      <c r="AB140" s="2">
        <v>16.510000000000002</v>
      </c>
      <c r="AC140" s="2">
        <v>20.81</v>
      </c>
      <c r="AD140" s="2">
        <v>16.79</v>
      </c>
      <c r="AE140" s="2">
        <v>16.93</v>
      </c>
      <c r="AF140" s="2">
        <v>17.12</v>
      </c>
      <c r="AG140" s="2">
        <v>15.6</v>
      </c>
      <c r="AH140" s="2">
        <v>25.99</v>
      </c>
      <c r="AI140" s="2">
        <v>18.37</v>
      </c>
      <c r="AJ140" s="2">
        <v>26.47</v>
      </c>
      <c r="AK140" s="2">
        <v>16.97</v>
      </c>
      <c r="AL140" s="2">
        <v>18.989999999999998</v>
      </c>
      <c r="AM140" s="2">
        <v>17.170000000000002</v>
      </c>
      <c r="AN140" s="2">
        <v>22.67</v>
      </c>
      <c r="AO140" s="2">
        <v>17.440000000000001</v>
      </c>
      <c r="AP140" s="2">
        <v>14.49</v>
      </c>
      <c r="AQ140" s="2">
        <v>14.82</v>
      </c>
      <c r="AR140" s="2">
        <v>12.3</v>
      </c>
      <c r="AU140" s="1" t="s">
        <v>71</v>
      </c>
      <c r="AV140" s="2">
        <v>103.19</v>
      </c>
      <c r="AW140" s="2">
        <v>100.42</v>
      </c>
      <c r="AX140" s="2">
        <v>122.65</v>
      </c>
      <c r="AY140" s="2">
        <v>143.56</v>
      </c>
      <c r="AZ140" s="2">
        <v>95.03</v>
      </c>
      <c r="BA140" s="2">
        <v>81.47</v>
      </c>
      <c r="BB140" s="2">
        <v>143.97</v>
      </c>
      <c r="BC140" s="2">
        <v>84.04</v>
      </c>
      <c r="BD140" s="2">
        <v>142</v>
      </c>
      <c r="BE140" s="2">
        <v>156.38999999999999</v>
      </c>
      <c r="BF140" s="2">
        <v>167.83</v>
      </c>
      <c r="BG140" s="2">
        <v>163.37</v>
      </c>
      <c r="BH140" s="2">
        <v>154.77000000000001</v>
      </c>
      <c r="BI140" s="2">
        <v>137.75</v>
      </c>
      <c r="BJ140" s="2">
        <v>156.69</v>
      </c>
      <c r="BK140" s="2">
        <v>164.74</v>
      </c>
      <c r="BL140" s="2">
        <v>158.61000000000001</v>
      </c>
      <c r="BM140" s="2">
        <v>123.32</v>
      </c>
      <c r="BN140" s="2">
        <v>134.49</v>
      </c>
      <c r="BO140" s="2">
        <v>112.1</v>
      </c>
    </row>
    <row r="141" spans="24:67" x14ac:dyDescent="0.3">
      <c r="X141" s="1" t="s">
        <v>72</v>
      </c>
      <c r="Y141" s="2">
        <v>63.06</v>
      </c>
      <c r="Z141" s="2">
        <v>74.97</v>
      </c>
      <c r="AA141" s="2">
        <v>35.56</v>
      </c>
      <c r="AB141" s="2">
        <v>52.66</v>
      </c>
      <c r="AC141" s="2">
        <v>60.56</v>
      </c>
      <c r="AD141" s="2">
        <v>57.08</v>
      </c>
      <c r="AE141" s="2">
        <v>58.49</v>
      </c>
      <c r="AF141" s="2">
        <v>85.87</v>
      </c>
      <c r="AG141" s="2">
        <v>46.07</v>
      </c>
      <c r="AH141" s="2">
        <v>103.01</v>
      </c>
      <c r="AI141" s="2">
        <v>51.07</v>
      </c>
      <c r="AJ141" s="2">
        <v>96.8</v>
      </c>
      <c r="AK141" s="2">
        <v>46.26</v>
      </c>
      <c r="AL141" s="2">
        <v>74.31</v>
      </c>
      <c r="AM141" s="2">
        <v>53.66</v>
      </c>
      <c r="AN141" s="2">
        <v>65.400000000000006</v>
      </c>
      <c r="AO141" s="2">
        <v>42.37</v>
      </c>
      <c r="AP141" s="2">
        <v>33.51</v>
      </c>
      <c r="AQ141" s="2">
        <v>32.4</v>
      </c>
      <c r="AR141" s="2">
        <v>31.32</v>
      </c>
      <c r="AU141" s="1" t="s">
        <v>72</v>
      </c>
      <c r="AV141" s="2">
        <v>318.69</v>
      </c>
      <c r="AW141" s="2">
        <v>381.03</v>
      </c>
      <c r="AX141" s="2">
        <v>296.23</v>
      </c>
      <c r="AY141" s="2">
        <v>319.73</v>
      </c>
      <c r="AZ141" s="2">
        <v>242.66</v>
      </c>
      <c r="BA141" s="2">
        <v>287.97000000000003</v>
      </c>
      <c r="BB141" s="2">
        <v>354.56</v>
      </c>
      <c r="BC141" s="2">
        <v>284.2</v>
      </c>
      <c r="BD141" s="2">
        <v>359.01</v>
      </c>
      <c r="BE141" s="2">
        <v>424.8</v>
      </c>
      <c r="BF141" s="2">
        <v>369.2</v>
      </c>
      <c r="BG141" s="2">
        <v>401.1</v>
      </c>
      <c r="BH141" s="2">
        <v>332.08</v>
      </c>
      <c r="BI141" s="2">
        <v>339.99</v>
      </c>
      <c r="BJ141" s="2">
        <v>352.12</v>
      </c>
      <c r="BK141" s="2">
        <v>378.45</v>
      </c>
      <c r="BL141" s="2">
        <v>344.84</v>
      </c>
      <c r="BM141" s="2">
        <v>265.81</v>
      </c>
      <c r="BN141" s="2">
        <v>294.07</v>
      </c>
      <c r="BO141" s="2">
        <v>284.81</v>
      </c>
    </row>
    <row r="142" spans="24:67" x14ac:dyDescent="0.3">
      <c r="X142" s="1" t="s">
        <v>73</v>
      </c>
      <c r="Y142" s="2">
        <v>21.8</v>
      </c>
      <c r="Z142" s="2">
        <v>14.92</v>
      </c>
      <c r="AA142" s="2">
        <v>8.89</v>
      </c>
      <c r="AB142" s="2">
        <v>10.5</v>
      </c>
      <c r="AC142" s="2">
        <v>4.92</v>
      </c>
      <c r="AD142" s="2">
        <v>11.21</v>
      </c>
      <c r="AE142" s="2">
        <v>10.26</v>
      </c>
      <c r="AF142" s="2">
        <v>14.36</v>
      </c>
      <c r="AG142" s="2">
        <v>14.35</v>
      </c>
      <c r="AH142" s="2">
        <v>10.14</v>
      </c>
      <c r="AI142" s="2">
        <v>13.16</v>
      </c>
      <c r="AJ142" s="2">
        <v>11.59</v>
      </c>
      <c r="AK142" s="2">
        <v>14.26</v>
      </c>
      <c r="AL142" s="2">
        <v>13.64</v>
      </c>
      <c r="AM142" s="2">
        <v>11.7</v>
      </c>
      <c r="AN142" s="2">
        <v>12.88</v>
      </c>
      <c r="AO142" s="2">
        <v>17</v>
      </c>
      <c r="AP142" s="2">
        <v>11.68</v>
      </c>
      <c r="AQ142" s="2">
        <v>16.32</v>
      </c>
      <c r="AR142" s="2">
        <v>9.69</v>
      </c>
      <c r="AU142" s="1" t="s">
        <v>73</v>
      </c>
      <c r="AV142" s="2">
        <v>167.2</v>
      </c>
      <c r="AW142" s="2">
        <v>129.68</v>
      </c>
      <c r="AX142" s="2">
        <v>75.41</v>
      </c>
      <c r="AY142" s="2">
        <v>89.1</v>
      </c>
      <c r="AZ142" s="2">
        <v>93.48</v>
      </c>
      <c r="BA142" s="2">
        <v>94.99</v>
      </c>
      <c r="BB142" s="2">
        <v>99.24</v>
      </c>
      <c r="BC142" s="2">
        <v>96.14</v>
      </c>
      <c r="BD142" s="2">
        <v>129.65</v>
      </c>
      <c r="BE142" s="2">
        <v>75.069999999999993</v>
      </c>
      <c r="BF142" s="2">
        <v>90.34</v>
      </c>
      <c r="BG142" s="2">
        <v>86.51</v>
      </c>
      <c r="BH142" s="2">
        <v>97.64</v>
      </c>
      <c r="BI142" s="2">
        <v>113.26</v>
      </c>
      <c r="BJ142" s="2">
        <v>77.7</v>
      </c>
      <c r="BK142" s="2">
        <v>91.52</v>
      </c>
      <c r="BL142" s="2">
        <v>108.4</v>
      </c>
      <c r="BM142" s="2">
        <v>76.819999999999993</v>
      </c>
      <c r="BN142" s="2">
        <v>106.68</v>
      </c>
      <c r="BO142" s="2">
        <v>87.21</v>
      </c>
    </row>
    <row r="145" spans="24:67" x14ac:dyDescent="0.3">
      <c r="X145" t="s">
        <v>41</v>
      </c>
      <c r="AU145" t="s">
        <v>42</v>
      </c>
    </row>
    <row r="146" spans="24:67" x14ac:dyDescent="0.3">
      <c r="X146" s="1" t="s">
        <v>6</v>
      </c>
      <c r="Y146" s="3" t="s">
        <v>63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64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6</v>
      </c>
      <c r="AV146" s="3" t="s">
        <v>63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64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65</v>
      </c>
      <c r="Y147" s="1" t="s">
        <v>53</v>
      </c>
      <c r="Z147" s="1" t="s">
        <v>62</v>
      </c>
      <c r="AA147" s="1" t="s">
        <v>54</v>
      </c>
      <c r="AB147" s="1" t="s">
        <v>55</v>
      </c>
      <c r="AC147" s="1" t="s">
        <v>56</v>
      </c>
      <c r="AD147" s="1" t="s">
        <v>57</v>
      </c>
      <c r="AE147" s="1" t="s">
        <v>58</v>
      </c>
      <c r="AF147" s="1" t="s">
        <v>59</v>
      </c>
      <c r="AG147" s="1" t="s">
        <v>60</v>
      </c>
      <c r="AH147" s="1" t="s">
        <v>61</v>
      </c>
      <c r="AI147" s="1" t="s">
        <v>53</v>
      </c>
      <c r="AJ147" s="1" t="s">
        <v>62</v>
      </c>
      <c r="AK147" s="1" t="s">
        <v>54</v>
      </c>
      <c r="AL147" s="1" t="s">
        <v>55</v>
      </c>
      <c r="AM147" s="1" t="s">
        <v>56</v>
      </c>
      <c r="AN147" s="1" t="s">
        <v>57</v>
      </c>
      <c r="AO147" s="1" t="s">
        <v>58</v>
      </c>
      <c r="AP147" s="1" t="s">
        <v>59</v>
      </c>
      <c r="AQ147" s="1" t="s">
        <v>60</v>
      </c>
      <c r="AR147" s="1" t="s">
        <v>61</v>
      </c>
      <c r="AU147" s="1" t="s">
        <v>65</v>
      </c>
      <c r="AV147" s="1" t="s">
        <v>53</v>
      </c>
      <c r="AW147" s="1" t="s">
        <v>62</v>
      </c>
      <c r="AX147" s="1" t="s">
        <v>54</v>
      </c>
      <c r="AY147" s="1" t="s">
        <v>55</v>
      </c>
      <c r="AZ147" s="1" t="s">
        <v>56</v>
      </c>
      <c r="BA147" s="1" t="s">
        <v>57</v>
      </c>
      <c r="BB147" s="1" t="s">
        <v>58</v>
      </c>
      <c r="BC147" s="1" t="s">
        <v>59</v>
      </c>
      <c r="BD147" s="1" t="s">
        <v>60</v>
      </c>
      <c r="BE147" s="1" t="s">
        <v>61</v>
      </c>
      <c r="BF147" s="1" t="s">
        <v>53</v>
      </c>
      <c r="BG147" s="1" t="s">
        <v>62</v>
      </c>
      <c r="BH147" s="1" t="s">
        <v>54</v>
      </c>
      <c r="BI147" s="1" t="s">
        <v>55</v>
      </c>
      <c r="BJ147" s="1" t="s">
        <v>56</v>
      </c>
      <c r="BK147" s="1" t="s">
        <v>57</v>
      </c>
      <c r="BL147" s="1" t="s">
        <v>58</v>
      </c>
      <c r="BM147" s="1" t="s">
        <v>59</v>
      </c>
      <c r="BN147" s="1" t="s">
        <v>60</v>
      </c>
      <c r="BO147" s="1" t="s">
        <v>61</v>
      </c>
    </row>
    <row r="148" spans="24:67" x14ac:dyDescent="0.3">
      <c r="X148" s="1" t="s">
        <v>7</v>
      </c>
      <c r="AU148" s="1" t="s">
        <v>7</v>
      </c>
    </row>
    <row r="149" spans="24:67" x14ac:dyDescent="0.3">
      <c r="X149" s="1" t="s">
        <v>66</v>
      </c>
      <c r="Y149" s="2">
        <v>10.86</v>
      </c>
      <c r="Z149" s="2">
        <v>1.74</v>
      </c>
      <c r="AA149" s="2">
        <v>3.17</v>
      </c>
      <c r="AB149" s="2">
        <v>1.04</v>
      </c>
      <c r="AC149" s="2">
        <v>21.54</v>
      </c>
      <c r="AD149" s="2">
        <v>17</v>
      </c>
      <c r="AE149" s="2">
        <v>23.48</v>
      </c>
      <c r="AF149" s="2">
        <v>23.1</v>
      </c>
      <c r="AG149" s="2">
        <v>13.73</v>
      </c>
      <c r="AH149" s="2">
        <v>1.2</v>
      </c>
      <c r="AI149" s="2">
        <v>19.46</v>
      </c>
      <c r="AJ149" s="2">
        <v>1.62</v>
      </c>
      <c r="AK149" s="2">
        <v>3.15</v>
      </c>
      <c r="AL149" s="2">
        <v>2.52</v>
      </c>
      <c r="AM149" s="2">
        <v>6.48</v>
      </c>
      <c r="AN149" s="2">
        <v>14</v>
      </c>
      <c r="AO149" s="2">
        <v>11.42</v>
      </c>
      <c r="AP149" s="2">
        <v>2.86</v>
      </c>
      <c r="AQ149" s="2">
        <v>6.81</v>
      </c>
      <c r="AR149" s="2">
        <v>2.1</v>
      </c>
      <c r="AU149" s="1" t="s">
        <v>66</v>
      </c>
      <c r="AV149" s="2">
        <v>101.07</v>
      </c>
      <c r="AW149" s="2">
        <v>114.81</v>
      </c>
      <c r="AX149" s="2">
        <v>77.819999999999993</v>
      </c>
      <c r="AY149" s="2">
        <v>25.56</v>
      </c>
      <c r="AZ149" s="2">
        <v>246.14</v>
      </c>
      <c r="BA149" s="2">
        <v>258.8</v>
      </c>
      <c r="BB149" s="2">
        <v>256.24</v>
      </c>
      <c r="BC149" s="2">
        <v>228.62</v>
      </c>
      <c r="BD149" s="2">
        <v>183.11</v>
      </c>
      <c r="BE149" s="2">
        <v>115.42</v>
      </c>
      <c r="BF149" s="2">
        <v>160.72</v>
      </c>
      <c r="BG149" s="2">
        <v>155.88</v>
      </c>
      <c r="BH149" s="2">
        <v>77.84</v>
      </c>
      <c r="BI149" s="2">
        <v>54.88</v>
      </c>
      <c r="BJ149" s="2">
        <v>120.08</v>
      </c>
      <c r="BK149" s="2">
        <v>348.6</v>
      </c>
      <c r="BL149" s="2">
        <v>391.78</v>
      </c>
      <c r="BM149" s="2">
        <v>275.25</v>
      </c>
      <c r="BN149" s="2">
        <v>190.03</v>
      </c>
      <c r="BO149" s="2">
        <v>202.58</v>
      </c>
    </row>
    <row r="150" spans="24:67" x14ac:dyDescent="0.3">
      <c r="X150" s="1" t="s">
        <v>67</v>
      </c>
      <c r="Y150" s="2">
        <v>11.15</v>
      </c>
      <c r="Z150" s="2">
        <v>22.49</v>
      </c>
      <c r="AA150" s="2">
        <v>7.9</v>
      </c>
      <c r="AB150" s="2">
        <v>1.89</v>
      </c>
      <c r="AC150" s="2">
        <v>10.84</v>
      </c>
      <c r="AD150" s="2">
        <v>12.28</v>
      </c>
      <c r="AE150" s="2">
        <v>17.670000000000002</v>
      </c>
      <c r="AF150" s="2">
        <v>14.6</v>
      </c>
      <c r="AG150" s="2">
        <v>19.96</v>
      </c>
      <c r="AH150" s="2">
        <v>14.38</v>
      </c>
      <c r="AI150" s="2">
        <v>7.49</v>
      </c>
      <c r="AJ150" s="2">
        <v>24.19</v>
      </c>
      <c r="AK150" s="2">
        <v>5.92</v>
      </c>
      <c r="AL150" s="2">
        <v>4.1399999999999997</v>
      </c>
      <c r="AM150" s="2">
        <v>14.82</v>
      </c>
      <c r="AN150" s="2">
        <v>16.350000000000001</v>
      </c>
      <c r="AO150" s="2">
        <v>22.26</v>
      </c>
      <c r="AP150" s="2">
        <v>16.96</v>
      </c>
      <c r="AQ150" s="2">
        <v>18.72</v>
      </c>
      <c r="AR150" s="2">
        <v>19.079999999999998</v>
      </c>
      <c r="AU150" s="1" t="s">
        <v>67</v>
      </c>
      <c r="AV150" s="2">
        <v>115.73</v>
      </c>
      <c r="AW150" s="2">
        <v>234.91</v>
      </c>
      <c r="AX150" s="2">
        <v>76.86</v>
      </c>
      <c r="AY150" s="2">
        <v>17.66</v>
      </c>
      <c r="AZ150" s="2">
        <v>105.8</v>
      </c>
      <c r="BA150" s="2">
        <v>128.12</v>
      </c>
      <c r="BB150" s="2">
        <v>182.13</v>
      </c>
      <c r="BC150" s="2">
        <v>151.28</v>
      </c>
      <c r="BD150" s="2">
        <v>206.52</v>
      </c>
      <c r="BE150" s="2">
        <v>148.82</v>
      </c>
      <c r="BF150" s="2">
        <v>77.53</v>
      </c>
      <c r="BG150" s="2">
        <v>250.31</v>
      </c>
      <c r="BH150" s="2">
        <v>57.26</v>
      </c>
      <c r="BI150" s="2">
        <v>40.06</v>
      </c>
      <c r="BJ150" s="2">
        <v>136.06</v>
      </c>
      <c r="BK150" s="2">
        <v>163.44999999999999</v>
      </c>
      <c r="BL150" s="2">
        <v>221.82</v>
      </c>
      <c r="BM150" s="2">
        <v>174.15</v>
      </c>
      <c r="BN150" s="2">
        <v>193.7</v>
      </c>
      <c r="BO150" s="2">
        <v>185.94</v>
      </c>
    </row>
    <row r="151" spans="24:67" x14ac:dyDescent="0.3">
      <c r="X151" s="1" t="s">
        <v>68</v>
      </c>
      <c r="Y151" s="2">
        <v>43.78</v>
      </c>
      <c r="Z151" s="2">
        <v>75.05</v>
      </c>
      <c r="AA151" s="2">
        <v>34.44</v>
      </c>
      <c r="AB151" s="2">
        <v>16.16</v>
      </c>
      <c r="AC151" s="2">
        <v>83.67</v>
      </c>
      <c r="AD151" s="2">
        <v>102.68</v>
      </c>
      <c r="AE151" s="2">
        <v>184.03</v>
      </c>
      <c r="AF151" s="2">
        <v>166.24</v>
      </c>
      <c r="AG151" s="2">
        <v>212.18</v>
      </c>
      <c r="AH151" s="2">
        <v>69.31</v>
      </c>
      <c r="AI151" s="2">
        <v>16.61</v>
      </c>
      <c r="AJ151" s="2">
        <v>71.87</v>
      </c>
      <c r="AK151" s="2">
        <v>10.74</v>
      </c>
      <c r="AL151" s="2">
        <v>18.059999999999999</v>
      </c>
      <c r="AM151" s="2">
        <v>58.51</v>
      </c>
      <c r="AN151" s="2">
        <v>54.97</v>
      </c>
      <c r="AO151" s="2">
        <v>90.04</v>
      </c>
      <c r="AP151" s="2">
        <v>76.11</v>
      </c>
      <c r="AQ151" s="2">
        <v>81.14</v>
      </c>
      <c r="AR151" s="2">
        <v>71.260000000000005</v>
      </c>
      <c r="AU151" s="1" t="s">
        <v>68</v>
      </c>
      <c r="AV151" s="2">
        <v>222.78</v>
      </c>
      <c r="AW151" s="2">
        <v>701.37</v>
      </c>
      <c r="AX151" s="2">
        <v>190.4</v>
      </c>
      <c r="AY151" s="2">
        <v>50.5</v>
      </c>
      <c r="AZ151" s="2">
        <v>362.98</v>
      </c>
      <c r="BA151" s="2">
        <v>429.52</v>
      </c>
      <c r="BB151" s="2">
        <v>730.78</v>
      </c>
      <c r="BC151" s="2">
        <v>623.84</v>
      </c>
      <c r="BD151" s="2">
        <v>779.12</v>
      </c>
      <c r="BE151" s="2">
        <v>521.4</v>
      </c>
      <c r="BF151" s="2">
        <v>171.37</v>
      </c>
      <c r="BG151" s="2">
        <v>653.84</v>
      </c>
      <c r="BH151" s="2">
        <v>103.92</v>
      </c>
      <c r="BI151" s="2">
        <v>131.37</v>
      </c>
      <c r="BJ151" s="2">
        <v>424.77</v>
      </c>
      <c r="BK151" s="2">
        <v>463.64</v>
      </c>
      <c r="BL151" s="2">
        <v>751.3</v>
      </c>
      <c r="BM151" s="2">
        <v>616.78</v>
      </c>
      <c r="BN151" s="2">
        <v>714.32</v>
      </c>
      <c r="BO151" s="2">
        <v>644.62</v>
      </c>
    </row>
    <row r="152" spans="24:67" x14ac:dyDescent="0.3">
      <c r="X152" s="1" t="s">
        <v>69</v>
      </c>
      <c r="Y152" s="2">
        <v>9.35</v>
      </c>
      <c r="Z152" s="2">
        <v>34.01</v>
      </c>
      <c r="AA152" s="2">
        <v>7.98</v>
      </c>
      <c r="AB152" s="2">
        <v>4.5199999999999996</v>
      </c>
      <c r="AC152" s="2">
        <v>30.51</v>
      </c>
      <c r="AD152" s="2">
        <v>39.270000000000003</v>
      </c>
      <c r="AE152" s="2">
        <v>64.94</v>
      </c>
      <c r="AF152" s="2">
        <v>57.1</v>
      </c>
      <c r="AG152" s="2">
        <v>55.93</v>
      </c>
      <c r="AH152" s="2">
        <v>30.8</v>
      </c>
      <c r="AI152" s="2">
        <v>6.83</v>
      </c>
      <c r="AJ152" s="2">
        <v>32.33</v>
      </c>
      <c r="AK152" s="2">
        <v>4.82</v>
      </c>
      <c r="AL152" s="2">
        <v>4.0999999999999996</v>
      </c>
      <c r="AM152" s="2">
        <v>14.36</v>
      </c>
      <c r="AN152" s="2">
        <v>15.63</v>
      </c>
      <c r="AO152" s="2">
        <v>24.09</v>
      </c>
      <c r="AP152" s="2">
        <v>20.21</v>
      </c>
      <c r="AQ152" s="2">
        <v>32.93</v>
      </c>
      <c r="AR152" s="2">
        <v>22.44</v>
      </c>
      <c r="AU152" s="1" t="s">
        <v>69</v>
      </c>
      <c r="AV152" s="2">
        <v>81.7</v>
      </c>
      <c r="AW152" s="2">
        <v>307.54000000000002</v>
      </c>
      <c r="AX152" s="2">
        <v>72.680000000000007</v>
      </c>
      <c r="AY152" s="2">
        <v>20.67</v>
      </c>
      <c r="AZ152" s="2">
        <v>166.61</v>
      </c>
      <c r="BA152" s="2">
        <v>223.22</v>
      </c>
      <c r="BB152" s="2">
        <v>368.2</v>
      </c>
      <c r="BC152" s="2">
        <v>320.24</v>
      </c>
      <c r="BD152" s="2">
        <v>425.15</v>
      </c>
      <c r="BE152" s="2">
        <v>291.52</v>
      </c>
      <c r="BF152" s="2">
        <v>55.83</v>
      </c>
      <c r="BG152" s="2">
        <v>286.8</v>
      </c>
      <c r="BH152" s="2">
        <v>46.66</v>
      </c>
      <c r="BI152" s="2">
        <v>36.07</v>
      </c>
      <c r="BJ152" s="2">
        <v>130.51</v>
      </c>
      <c r="BK152" s="2">
        <v>149.41999999999999</v>
      </c>
      <c r="BL152" s="2">
        <v>224.72</v>
      </c>
      <c r="BM152" s="2">
        <v>188.88</v>
      </c>
      <c r="BN152" s="2">
        <v>306.79000000000002</v>
      </c>
      <c r="BO152" s="2">
        <v>199.24</v>
      </c>
    </row>
    <row r="153" spans="24:67" x14ac:dyDescent="0.3">
      <c r="X153" s="1" t="s">
        <v>70</v>
      </c>
      <c r="Y153" s="2">
        <v>42.57</v>
      </c>
      <c r="Z153" s="2">
        <v>134.72</v>
      </c>
      <c r="AA153" s="2">
        <v>40.840000000000003</v>
      </c>
      <c r="AB153" s="2">
        <v>14.79</v>
      </c>
      <c r="AC153" s="2">
        <v>63.42</v>
      </c>
      <c r="AD153" s="2">
        <v>96.59</v>
      </c>
      <c r="AE153" s="2">
        <v>126.18</v>
      </c>
      <c r="AF153" s="2">
        <v>95.25</v>
      </c>
      <c r="AG153" s="2">
        <v>125.99</v>
      </c>
      <c r="AH153" s="2">
        <v>115.65</v>
      </c>
      <c r="AI153" s="2">
        <v>45.81</v>
      </c>
      <c r="AJ153" s="2">
        <v>121.52</v>
      </c>
      <c r="AK153" s="2">
        <v>21.83</v>
      </c>
      <c r="AL153" s="2">
        <v>21.72</v>
      </c>
      <c r="AM153" s="2">
        <v>79.510000000000005</v>
      </c>
      <c r="AN153" s="2">
        <v>98.2</v>
      </c>
      <c r="AO153" s="2">
        <v>112.03</v>
      </c>
      <c r="AP153" s="2">
        <v>94.44</v>
      </c>
      <c r="AQ153" s="2">
        <v>122.25</v>
      </c>
      <c r="AR153" s="2">
        <v>92.65</v>
      </c>
      <c r="AU153" s="1" t="s">
        <v>70</v>
      </c>
      <c r="AV153" s="2">
        <v>213.47</v>
      </c>
      <c r="AW153" s="2">
        <v>1291.78</v>
      </c>
      <c r="AX153" s="2">
        <v>233.46</v>
      </c>
      <c r="AY153" s="2">
        <v>73.709999999999994</v>
      </c>
      <c r="AZ153" s="2">
        <v>610.17999999999995</v>
      </c>
      <c r="BA153" s="2">
        <v>765.41</v>
      </c>
      <c r="BB153" s="2">
        <v>1117.6199999999999</v>
      </c>
      <c r="BC153" s="2">
        <v>969.05</v>
      </c>
      <c r="BD153" s="2">
        <v>1242.01</v>
      </c>
      <c r="BE153" s="2">
        <v>1098.1500000000001</v>
      </c>
      <c r="BF153" s="2">
        <v>299.33999999999997</v>
      </c>
      <c r="BG153" s="2">
        <v>1250.98</v>
      </c>
      <c r="BH153" s="2">
        <v>210.87</v>
      </c>
      <c r="BI153" s="2">
        <v>111.85</v>
      </c>
      <c r="BJ153" s="2">
        <v>503.69</v>
      </c>
      <c r="BK153" s="2">
        <v>714.8</v>
      </c>
      <c r="BL153" s="2">
        <v>1108.3699999999999</v>
      </c>
      <c r="BM153" s="2">
        <v>969.86</v>
      </c>
      <c r="BN153" s="2">
        <v>1221.05</v>
      </c>
      <c r="BO153" s="2">
        <v>932.45</v>
      </c>
    </row>
    <row r="154" spans="24:67" x14ac:dyDescent="0.3">
      <c r="X154" s="1" t="s">
        <v>71</v>
      </c>
      <c r="Y154" s="2">
        <v>9.49</v>
      </c>
      <c r="Z154" s="2">
        <v>18.32</v>
      </c>
      <c r="AA154" s="2">
        <v>5.68</v>
      </c>
      <c r="AB154" s="2">
        <v>2.6</v>
      </c>
      <c r="AC154" s="2">
        <v>6.35</v>
      </c>
      <c r="AD154" s="2">
        <v>7.07</v>
      </c>
      <c r="AE154" s="2">
        <v>14.89</v>
      </c>
      <c r="AF154" s="2">
        <v>13.56</v>
      </c>
      <c r="AG154" s="2">
        <v>17.239999999999998</v>
      </c>
      <c r="AH154" s="2">
        <v>17.420000000000002</v>
      </c>
      <c r="AI154" s="2">
        <v>3.61</v>
      </c>
      <c r="AJ154" s="2">
        <v>13.84</v>
      </c>
      <c r="AK154" s="2">
        <v>2.0699999999999998</v>
      </c>
      <c r="AL154" s="2">
        <v>1.96</v>
      </c>
      <c r="AM154" s="2">
        <v>6.33</v>
      </c>
      <c r="AN154" s="2">
        <v>11.83</v>
      </c>
      <c r="AO154" s="2">
        <v>18.7</v>
      </c>
      <c r="AP154" s="2">
        <v>12.24</v>
      </c>
      <c r="AQ154" s="2">
        <v>20.56</v>
      </c>
      <c r="AR154" s="2">
        <v>9.23</v>
      </c>
      <c r="AU154" s="1" t="s">
        <v>71</v>
      </c>
      <c r="AV154" s="2">
        <v>45.15</v>
      </c>
      <c r="AW154" s="2">
        <v>166.19</v>
      </c>
      <c r="AX154" s="2">
        <v>49.18</v>
      </c>
      <c r="AY154" s="2">
        <v>11.87</v>
      </c>
      <c r="AZ154" s="2">
        <v>53.97</v>
      </c>
      <c r="BA154" s="2">
        <v>64.33</v>
      </c>
      <c r="BB154" s="2">
        <v>135.94999999999999</v>
      </c>
      <c r="BC154" s="2">
        <v>123.63</v>
      </c>
      <c r="BD154" s="2">
        <v>157.22999999999999</v>
      </c>
      <c r="BE154" s="2">
        <v>158.4</v>
      </c>
      <c r="BF154" s="2">
        <v>17.61</v>
      </c>
      <c r="BG154" s="2">
        <v>126.11</v>
      </c>
      <c r="BH154" s="2">
        <v>18.02</v>
      </c>
      <c r="BI154" s="2">
        <v>9.49</v>
      </c>
      <c r="BJ154" s="2">
        <v>31.09</v>
      </c>
      <c r="BK154" s="2">
        <v>71.19</v>
      </c>
      <c r="BL154" s="2">
        <v>115.32</v>
      </c>
      <c r="BM154" s="2">
        <v>88.71</v>
      </c>
      <c r="BN154" s="2">
        <v>149.31</v>
      </c>
      <c r="BO154" s="2">
        <v>78.5</v>
      </c>
    </row>
    <row r="155" spans="24:67" x14ac:dyDescent="0.3">
      <c r="X155" s="1" t="s">
        <v>72</v>
      </c>
      <c r="Y155" s="2">
        <v>17.95</v>
      </c>
      <c r="Z155" s="2">
        <v>35.19</v>
      </c>
      <c r="AA155" s="2">
        <v>9.27</v>
      </c>
      <c r="AB155" s="2">
        <v>6.54</v>
      </c>
      <c r="AC155" s="2">
        <v>23.14</v>
      </c>
      <c r="AD155" s="2">
        <v>23</v>
      </c>
      <c r="AE155" s="2">
        <v>37.83</v>
      </c>
      <c r="AF155" s="2">
        <v>29.85</v>
      </c>
      <c r="AG155" s="2">
        <v>52.45</v>
      </c>
      <c r="AH155" s="2">
        <v>36.06</v>
      </c>
      <c r="AI155" s="2">
        <v>18.55</v>
      </c>
      <c r="AJ155" s="2">
        <v>26.85</v>
      </c>
      <c r="AK155" s="2">
        <v>14.14</v>
      </c>
      <c r="AL155" s="2">
        <v>7.68</v>
      </c>
      <c r="AM155" s="2">
        <v>27.05</v>
      </c>
      <c r="AN155" s="2">
        <v>39.299999999999997</v>
      </c>
      <c r="AO155" s="2">
        <v>67.739999999999995</v>
      </c>
      <c r="AP155" s="2">
        <v>52.45</v>
      </c>
      <c r="AQ155" s="2">
        <v>56.86</v>
      </c>
      <c r="AR155" s="2">
        <v>26.75</v>
      </c>
      <c r="AU155" s="1" t="s">
        <v>72</v>
      </c>
      <c r="AV155" s="2">
        <v>90.71</v>
      </c>
      <c r="AW155" s="2">
        <v>319.18</v>
      </c>
      <c r="AX155" s="2">
        <v>77.17</v>
      </c>
      <c r="AY155" s="2">
        <v>26.21</v>
      </c>
      <c r="AZ155" s="2">
        <v>140.25</v>
      </c>
      <c r="BA155" s="2">
        <v>179.23</v>
      </c>
      <c r="BB155" s="2">
        <v>273.31</v>
      </c>
      <c r="BC155" s="2">
        <v>214.17</v>
      </c>
      <c r="BD155" s="2">
        <v>343.99</v>
      </c>
      <c r="BE155" s="2">
        <v>293.33</v>
      </c>
      <c r="BF155" s="2">
        <v>94.22</v>
      </c>
      <c r="BG155" s="2">
        <v>244.05</v>
      </c>
      <c r="BH155" s="2">
        <v>85.81</v>
      </c>
      <c r="BI155" s="2">
        <v>38.75</v>
      </c>
      <c r="BJ155" s="2">
        <v>89.52</v>
      </c>
      <c r="BK155" s="2">
        <v>162.01</v>
      </c>
      <c r="BL155" s="2">
        <v>280.5</v>
      </c>
      <c r="BM155" s="2">
        <v>239.87</v>
      </c>
      <c r="BN155" s="2">
        <v>328.82</v>
      </c>
      <c r="BO155" s="2">
        <v>212.1</v>
      </c>
    </row>
    <row r="156" spans="24:67" x14ac:dyDescent="0.3">
      <c r="X156" s="1" t="s">
        <v>73</v>
      </c>
      <c r="Y156" s="2">
        <v>2.79</v>
      </c>
      <c r="Z156" s="2">
        <v>8.9600000000000009</v>
      </c>
      <c r="AA156" s="2">
        <v>1.56</v>
      </c>
      <c r="AB156" s="2">
        <v>0.28999999999999998</v>
      </c>
      <c r="AC156" s="2">
        <v>4.9800000000000004</v>
      </c>
      <c r="AD156" s="2">
        <v>4.42</v>
      </c>
      <c r="AE156" s="2">
        <v>11.81</v>
      </c>
      <c r="AF156" s="2">
        <v>9.65</v>
      </c>
      <c r="AG156" s="2">
        <v>7.46</v>
      </c>
      <c r="AH156" s="2">
        <v>3.46</v>
      </c>
      <c r="AI156" s="2">
        <v>4.47</v>
      </c>
      <c r="AJ156" s="2">
        <v>8.3699999999999992</v>
      </c>
      <c r="AK156" s="2">
        <v>2.1</v>
      </c>
      <c r="AL156" s="2">
        <v>0.81</v>
      </c>
      <c r="AM156" s="2">
        <v>3.6</v>
      </c>
      <c r="AN156" s="2">
        <v>7.31</v>
      </c>
      <c r="AO156" s="2">
        <v>8.9499999999999993</v>
      </c>
      <c r="AP156" s="2">
        <v>4.68</v>
      </c>
      <c r="AQ156" s="2">
        <v>3.52</v>
      </c>
      <c r="AR156" s="2">
        <v>3.37</v>
      </c>
      <c r="AU156" s="1" t="s">
        <v>73</v>
      </c>
      <c r="AV156" s="2">
        <v>21.39</v>
      </c>
      <c r="AW156" s="2">
        <v>58.54</v>
      </c>
      <c r="AX156" s="2">
        <v>13.26</v>
      </c>
      <c r="AY156" s="2">
        <v>5.41</v>
      </c>
      <c r="AZ156" s="2">
        <v>49.26</v>
      </c>
      <c r="BA156" s="2">
        <v>39.979999999999997</v>
      </c>
      <c r="BB156" s="2">
        <v>81.069999999999993</v>
      </c>
      <c r="BC156" s="2">
        <v>66.040000000000006</v>
      </c>
      <c r="BD156" s="2">
        <v>49.54</v>
      </c>
      <c r="BE156" s="2">
        <v>22.04</v>
      </c>
      <c r="BF156" s="2">
        <v>38.82</v>
      </c>
      <c r="BG156" s="2">
        <v>75.33</v>
      </c>
      <c r="BH156" s="2">
        <v>17.79</v>
      </c>
      <c r="BI156" s="2">
        <v>6.84</v>
      </c>
      <c r="BJ156" s="2">
        <v>24.11</v>
      </c>
      <c r="BK156" s="2">
        <v>54.11</v>
      </c>
      <c r="BL156" s="2">
        <v>66.8</v>
      </c>
      <c r="BM156" s="2">
        <v>38.82</v>
      </c>
      <c r="BN156" s="2">
        <v>24.98</v>
      </c>
      <c r="BO156" s="2">
        <v>22.13</v>
      </c>
    </row>
    <row r="159" spans="24:67" x14ac:dyDescent="0.3">
      <c r="X159" t="s">
        <v>43</v>
      </c>
      <c r="AU159" t="s">
        <v>44</v>
      </c>
    </row>
    <row r="160" spans="24:67" x14ac:dyDescent="0.3">
      <c r="X160" s="1" t="s">
        <v>6</v>
      </c>
      <c r="Y160" s="1" t="s">
        <v>63</v>
      </c>
      <c r="Z160" s="1" t="s">
        <v>64</v>
      </c>
      <c r="AA160" s="1" t="s">
        <v>63</v>
      </c>
      <c r="AB160" s="1" t="s">
        <v>64</v>
      </c>
      <c r="AC160" s="1" t="s">
        <v>63</v>
      </c>
      <c r="AD160" s="1" t="s">
        <v>64</v>
      </c>
      <c r="AE160" s="1" t="s">
        <v>63</v>
      </c>
      <c r="AF160" s="1" t="s">
        <v>64</v>
      </c>
      <c r="AG160" s="1" t="s">
        <v>63</v>
      </c>
      <c r="AH160" s="1" t="s">
        <v>64</v>
      </c>
      <c r="AI160" s="1" t="s">
        <v>63</v>
      </c>
      <c r="AJ160" s="1" t="s">
        <v>64</v>
      </c>
      <c r="AK160" s="1" t="s">
        <v>63</v>
      </c>
      <c r="AL160" s="1" t="s">
        <v>64</v>
      </c>
      <c r="AM160" s="1" t="s">
        <v>63</v>
      </c>
      <c r="AN160" s="1" t="s">
        <v>64</v>
      </c>
      <c r="AO160" s="1" t="s">
        <v>63</v>
      </c>
      <c r="AP160" s="1" t="s">
        <v>64</v>
      </c>
      <c r="AQ160" s="1" t="s">
        <v>63</v>
      </c>
      <c r="AR160" s="1" t="s">
        <v>64</v>
      </c>
      <c r="AU160" s="1" t="s">
        <v>6</v>
      </c>
      <c r="AV160" s="1" t="s">
        <v>63</v>
      </c>
      <c r="AW160" s="1" t="s">
        <v>64</v>
      </c>
      <c r="AX160" s="1" t="s">
        <v>63</v>
      </c>
      <c r="AY160" s="1" t="s">
        <v>64</v>
      </c>
      <c r="AZ160" s="1" t="s">
        <v>63</v>
      </c>
      <c r="BA160" s="1" t="s">
        <v>64</v>
      </c>
      <c r="BB160" s="1" t="s">
        <v>63</v>
      </c>
      <c r="BC160" s="1" t="s">
        <v>64</v>
      </c>
      <c r="BD160" s="1" t="s">
        <v>63</v>
      </c>
      <c r="BE160" s="1" t="s">
        <v>64</v>
      </c>
      <c r="BF160" s="1" t="s">
        <v>63</v>
      </c>
      <c r="BG160" s="1" t="s">
        <v>64</v>
      </c>
      <c r="BH160" s="1" t="s">
        <v>63</v>
      </c>
      <c r="BI160" s="1" t="s">
        <v>64</v>
      </c>
      <c r="BJ160" s="1" t="s">
        <v>63</v>
      </c>
      <c r="BK160" s="1" t="s">
        <v>64</v>
      </c>
      <c r="BL160" s="1" t="s">
        <v>63</v>
      </c>
      <c r="BM160" s="1" t="s">
        <v>64</v>
      </c>
      <c r="BN160" s="1" t="s">
        <v>63</v>
      </c>
      <c r="BO160" s="1" t="s">
        <v>64</v>
      </c>
    </row>
    <row r="161" spans="24:67" x14ac:dyDescent="0.3">
      <c r="X161" s="1" t="s">
        <v>65</v>
      </c>
      <c r="Y161" s="1" t="s">
        <v>53</v>
      </c>
      <c r="Z161" s="1" t="s">
        <v>53</v>
      </c>
      <c r="AA161" s="1" t="s">
        <v>54</v>
      </c>
      <c r="AB161" s="1" t="s">
        <v>54</v>
      </c>
      <c r="AC161" s="1" t="s">
        <v>55</v>
      </c>
      <c r="AD161" s="1" t="s">
        <v>55</v>
      </c>
      <c r="AE161" s="1" t="s">
        <v>56</v>
      </c>
      <c r="AF161" s="1" t="s">
        <v>56</v>
      </c>
      <c r="AG161" s="1" t="s">
        <v>57</v>
      </c>
      <c r="AH161" s="1" t="s">
        <v>57</v>
      </c>
      <c r="AI161" s="1" t="s">
        <v>58</v>
      </c>
      <c r="AJ161" s="1" t="s">
        <v>58</v>
      </c>
      <c r="AK161" s="1" t="s">
        <v>59</v>
      </c>
      <c r="AL161" s="1" t="s">
        <v>59</v>
      </c>
      <c r="AM161" s="1" t="s">
        <v>60</v>
      </c>
      <c r="AN161" s="1" t="s">
        <v>60</v>
      </c>
      <c r="AO161" s="1" t="s">
        <v>61</v>
      </c>
      <c r="AP161" s="1" t="s">
        <v>61</v>
      </c>
      <c r="AQ161" s="1" t="s">
        <v>62</v>
      </c>
      <c r="AR161" s="1" t="s">
        <v>62</v>
      </c>
      <c r="AU161" s="1" t="s">
        <v>65</v>
      </c>
      <c r="AV161" s="1" t="s">
        <v>53</v>
      </c>
      <c r="AW161" s="1" t="s">
        <v>53</v>
      </c>
      <c r="AX161" s="1" t="s">
        <v>54</v>
      </c>
      <c r="AY161" s="1" t="s">
        <v>54</v>
      </c>
      <c r="AZ161" s="1" t="s">
        <v>55</v>
      </c>
      <c r="BA161" s="1" t="s">
        <v>55</v>
      </c>
      <c r="BB161" s="1" t="s">
        <v>56</v>
      </c>
      <c r="BC161" s="1" t="s">
        <v>56</v>
      </c>
      <c r="BD161" s="1" t="s">
        <v>57</v>
      </c>
      <c r="BE161" s="1" t="s">
        <v>57</v>
      </c>
      <c r="BF161" s="1" t="s">
        <v>58</v>
      </c>
      <c r="BG161" s="1" t="s">
        <v>58</v>
      </c>
      <c r="BH161" s="1" t="s">
        <v>59</v>
      </c>
      <c r="BI161" s="1" t="s">
        <v>59</v>
      </c>
      <c r="BJ161" s="1" t="s">
        <v>60</v>
      </c>
      <c r="BK161" s="1" t="s">
        <v>60</v>
      </c>
      <c r="BL161" s="1" t="s">
        <v>61</v>
      </c>
      <c r="BM161" s="1" t="s">
        <v>61</v>
      </c>
      <c r="BN161" s="1" t="s">
        <v>62</v>
      </c>
      <c r="BO161" s="1" t="s">
        <v>62</v>
      </c>
    </row>
    <row r="162" spans="24:67" x14ac:dyDescent="0.3">
      <c r="X162" s="1" t="s">
        <v>7</v>
      </c>
      <c r="AU162" s="1" t="s">
        <v>7</v>
      </c>
    </row>
    <row r="163" spans="24:67" x14ac:dyDescent="0.3">
      <c r="X163" s="1" t="s">
        <v>66</v>
      </c>
      <c r="Y163" s="2">
        <v>8.35</v>
      </c>
      <c r="Z163" s="2">
        <v>14.97</v>
      </c>
      <c r="AA163" s="2">
        <v>2.44</v>
      </c>
      <c r="AB163" s="2">
        <v>2.42</v>
      </c>
      <c r="AC163" s="2">
        <v>2.0699999999999998</v>
      </c>
      <c r="AD163" s="2">
        <v>5.03</v>
      </c>
      <c r="AE163" s="2">
        <v>13.46</v>
      </c>
      <c r="AF163" s="2">
        <v>4.05</v>
      </c>
      <c r="AG163" s="2">
        <v>8.5</v>
      </c>
      <c r="AH163" s="2">
        <v>7</v>
      </c>
      <c r="AI163" s="2">
        <v>6.52</v>
      </c>
      <c r="AJ163" s="2">
        <v>3.17</v>
      </c>
      <c r="AK163" s="2">
        <v>7.97</v>
      </c>
      <c r="AL163" s="2">
        <v>0.98</v>
      </c>
      <c r="AM163" s="2">
        <v>3.61</v>
      </c>
      <c r="AN163" s="2">
        <v>1.79</v>
      </c>
      <c r="AO163" s="2">
        <v>0.35</v>
      </c>
      <c r="AP163" s="2">
        <v>0.62</v>
      </c>
      <c r="AQ163" s="2">
        <v>0.39</v>
      </c>
      <c r="AR163" s="2">
        <v>0.36</v>
      </c>
      <c r="AU163" s="1" t="s">
        <v>66</v>
      </c>
      <c r="AV163" s="2">
        <v>77.75</v>
      </c>
      <c r="AW163" s="2">
        <v>123.63</v>
      </c>
      <c r="AX163" s="2">
        <v>59.86</v>
      </c>
      <c r="AY163" s="2">
        <v>59.88</v>
      </c>
      <c r="AZ163" s="2">
        <v>51.13</v>
      </c>
      <c r="BA163" s="2">
        <v>109.77</v>
      </c>
      <c r="BB163" s="2">
        <v>153.84</v>
      </c>
      <c r="BC163" s="2">
        <v>75.05</v>
      </c>
      <c r="BD163" s="2">
        <v>129.4</v>
      </c>
      <c r="BE163" s="2">
        <v>174.3</v>
      </c>
      <c r="BF163" s="2">
        <v>71.180000000000007</v>
      </c>
      <c r="BG163" s="2">
        <v>108.83</v>
      </c>
      <c r="BH163" s="2">
        <v>78.83</v>
      </c>
      <c r="BI163" s="2">
        <v>94.92</v>
      </c>
      <c r="BJ163" s="2">
        <v>48.19</v>
      </c>
      <c r="BK163" s="2">
        <v>50.01</v>
      </c>
      <c r="BL163" s="2">
        <v>33.950000000000003</v>
      </c>
      <c r="BM163" s="2">
        <v>59.58</v>
      </c>
      <c r="BN163" s="2">
        <v>25.51</v>
      </c>
      <c r="BO163" s="2">
        <v>34.64</v>
      </c>
    </row>
    <row r="164" spans="24:67" x14ac:dyDescent="0.3">
      <c r="X164" s="1" t="s">
        <v>67</v>
      </c>
      <c r="Y164" s="2">
        <v>8.58</v>
      </c>
      <c r="Z164" s="2">
        <v>5.77</v>
      </c>
      <c r="AA164" s="2">
        <v>6.08</v>
      </c>
      <c r="AB164" s="2">
        <v>4.55</v>
      </c>
      <c r="AC164" s="2">
        <v>3.78</v>
      </c>
      <c r="AD164" s="2">
        <v>8.2799999999999994</v>
      </c>
      <c r="AE164" s="2">
        <v>6.78</v>
      </c>
      <c r="AF164" s="2">
        <v>9.26</v>
      </c>
      <c r="AG164" s="2">
        <v>6.14</v>
      </c>
      <c r="AH164" s="2">
        <v>8.18</v>
      </c>
      <c r="AI164" s="2">
        <v>4.91</v>
      </c>
      <c r="AJ164" s="2">
        <v>6.18</v>
      </c>
      <c r="AK164" s="2">
        <v>5.04</v>
      </c>
      <c r="AL164" s="2">
        <v>5.85</v>
      </c>
      <c r="AM164" s="2">
        <v>5.25</v>
      </c>
      <c r="AN164" s="2">
        <v>4.93</v>
      </c>
      <c r="AO164" s="2">
        <v>4.2300000000000004</v>
      </c>
      <c r="AP164" s="2">
        <v>5.61</v>
      </c>
      <c r="AQ164" s="2">
        <v>5</v>
      </c>
      <c r="AR164" s="2">
        <v>5.37</v>
      </c>
      <c r="AU164" s="1" t="s">
        <v>67</v>
      </c>
      <c r="AV164" s="2">
        <v>89.02</v>
      </c>
      <c r="AW164" s="2">
        <v>59.63</v>
      </c>
      <c r="AX164" s="2">
        <v>59.12</v>
      </c>
      <c r="AY164" s="2">
        <v>44.05</v>
      </c>
      <c r="AZ164" s="2">
        <v>35.32</v>
      </c>
      <c r="BA164" s="2">
        <v>80.12</v>
      </c>
      <c r="BB164" s="2">
        <v>66.12</v>
      </c>
      <c r="BC164" s="2">
        <v>85.04</v>
      </c>
      <c r="BD164" s="2">
        <v>64.06</v>
      </c>
      <c r="BE164" s="2">
        <v>81.72</v>
      </c>
      <c r="BF164" s="2">
        <v>50.59</v>
      </c>
      <c r="BG164" s="2">
        <v>61.62</v>
      </c>
      <c r="BH164" s="2">
        <v>52.16</v>
      </c>
      <c r="BI164" s="2">
        <v>60.05</v>
      </c>
      <c r="BJ164" s="2">
        <v>54.35</v>
      </c>
      <c r="BK164" s="2">
        <v>50.97</v>
      </c>
      <c r="BL164" s="2">
        <v>43.77</v>
      </c>
      <c r="BM164" s="2">
        <v>54.69</v>
      </c>
      <c r="BN164" s="2">
        <v>52.2</v>
      </c>
      <c r="BO164" s="2">
        <v>55.63</v>
      </c>
    </row>
    <row r="165" spans="24:67" x14ac:dyDescent="0.3">
      <c r="X165" s="1" t="s">
        <v>68</v>
      </c>
      <c r="Y165" s="2">
        <v>33.68</v>
      </c>
      <c r="Z165" s="2">
        <v>12.78</v>
      </c>
      <c r="AA165" s="2">
        <v>26.49</v>
      </c>
      <c r="AB165" s="2">
        <v>8.26</v>
      </c>
      <c r="AC165" s="2">
        <v>32.32</v>
      </c>
      <c r="AD165" s="2">
        <v>36.119999999999997</v>
      </c>
      <c r="AE165" s="2">
        <v>52.29</v>
      </c>
      <c r="AF165" s="2">
        <v>36.57</v>
      </c>
      <c r="AG165" s="2">
        <v>51.34</v>
      </c>
      <c r="AH165" s="2">
        <v>27.49</v>
      </c>
      <c r="AI165" s="2">
        <v>51.12</v>
      </c>
      <c r="AJ165" s="2">
        <v>25.01</v>
      </c>
      <c r="AK165" s="2">
        <v>57.32</v>
      </c>
      <c r="AL165" s="2">
        <v>26.24</v>
      </c>
      <c r="AM165" s="2">
        <v>55.84</v>
      </c>
      <c r="AN165" s="2">
        <v>21.35</v>
      </c>
      <c r="AO165" s="2">
        <v>20.38</v>
      </c>
      <c r="AP165" s="2">
        <v>20.96</v>
      </c>
      <c r="AQ165" s="2">
        <v>16.68</v>
      </c>
      <c r="AR165" s="2">
        <v>15.97</v>
      </c>
      <c r="AU165" s="1" t="s">
        <v>68</v>
      </c>
      <c r="AV165" s="2">
        <v>171.37</v>
      </c>
      <c r="AW165" s="2">
        <v>131.82</v>
      </c>
      <c r="AX165" s="2">
        <v>146.46</v>
      </c>
      <c r="AY165" s="2">
        <v>79.94</v>
      </c>
      <c r="AZ165" s="2">
        <v>101.01</v>
      </c>
      <c r="BA165" s="2">
        <v>262.75</v>
      </c>
      <c r="BB165" s="2">
        <v>226.86</v>
      </c>
      <c r="BC165" s="2">
        <v>265.48</v>
      </c>
      <c r="BD165" s="2">
        <v>214.76</v>
      </c>
      <c r="BE165" s="2">
        <v>231.82</v>
      </c>
      <c r="BF165" s="2">
        <v>202.99</v>
      </c>
      <c r="BG165" s="2">
        <v>208.69</v>
      </c>
      <c r="BH165" s="2">
        <v>215.12</v>
      </c>
      <c r="BI165" s="2">
        <v>212.68</v>
      </c>
      <c r="BJ165" s="2">
        <v>205.03</v>
      </c>
      <c r="BK165" s="2">
        <v>187.98</v>
      </c>
      <c r="BL165" s="2">
        <v>153.35</v>
      </c>
      <c r="BM165" s="2">
        <v>189.59</v>
      </c>
      <c r="BN165" s="2">
        <v>155.86000000000001</v>
      </c>
      <c r="BO165" s="2">
        <v>145.30000000000001</v>
      </c>
    </row>
    <row r="166" spans="24:67" x14ac:dyDescent="0.3">
      <c r="X166" s="1" t="s">
        <v>69</v>
      </c>
      <c r="Y166" s="2">
        <v>7.19</v>
      </c>
      <c r="Z166" s="2">
        <v>5.25</v>
      </c>
      <c r="AA166" s="2">
        <v>6.14</v>
      </c>
      <c r="AB166" s="2">
        <v>3.71</v>
      </c>
      <c r="AC166" s="2">
        <v>9.0500000000000007</v>
      </c>
      <c r="AD166" s="2">
        <v>8.1999999999999993</v>
      </c>
      <c r="AE166" s="2">
        <v>19.07</v>
      </c>
      <c r="AF166" s="2">
        <v>8.9700000000000006</v>
      </c>
      <c r="AG166" s="2">
        <v>19.64</v>
      </c>
      <c r="AH166" s="2">
        <v>7.82</v>
      </c>
      <c r="AI166" s="2">
        <v>18.04</v>
      </c>
      <c r="AJ166" s="2">
        <v>6.69</v>
      </c>
      <c r="AK166" s="2">
        <v>19.690000000000001</v>
      </c>
      <c r="AL166" s="2">
        <v>6.97</v>
      </c>
      <c r="AM166" s="2">
        <v>14.72</v>
      </c>
      <c r="AN166" s="2">
        <v>8.66</v>
      </c>
      <c r="AO166" s="2">
        <v>9.06</v>
      </c>
      <c r="AP166" s="2">
        <v>6.6</v>
      </c>
      <c r="AQ166" s="2">
        <v>7.56</v>
      </c>
      <c r="AR166" s="2">
        <v>7.19</v>
      </c>
      <c r="AU166" s="1" t="s">
        <v>69</v>
      </c>
      <c r="AV166" s="2">
        <v>62.84</v>
      </c>
      <c r="AW166" s="2">
        <v>42.95</v>
      </c>
      <c r="AX166" s="2">
        <v>55.91</v>
      </c>
      <c r="AY166" s="2">
        <v>35.89</v>
      </c>
      <c r="AZ166" s="2">
        <v>41.33</v>
      </c>
      <c r="BA166" s="2">
        <v>72.14</v>
      </c>
      <c r="BB166" s="2">
        <v>104.13</v>
      </c>
      <c r="BC166" s="2">
        <v>81.569999999999993</v>
      </c>
      <c r="BD166" s="2">
        <v>111.61</v>
      </c>
      <c r="BE166" s="2">
        <v>74.709999999999994</v>
      </c>
      <c r="BF166" s="2">
        <v>102.28</v>
      </c>
      <c r="BG166" s="2">
        <v>62.42</v>
      </c>
      <c r="BH166" s="2">
        <v>110.43</v>
      </c>
      <c r="BI166" s="2">
        <v>65.13</v>
      </c>
      <c r="BJ166" s="2">
        <v>111.88</v>
      </c>
      <c r="BK166" s="2">
        <v>80.739999999999995</v>
      </c>
      <c r="BL166" s="2">
        <v>85.74</v>
      </c>
      <c r="BM166" s="2">
        <v>58.6</v>
      </c>
      <c r="BN166" s="2">
        <v>68.34</v>
      </c>
      <c r="BO166" s="2">
        <v>63.73</v>
      </c>
    </row>
    <row r="167" spans="24:67" x14ac:dyDescent="0.3">
      <c r="X167" s="1" t="s">
        <v>70</v>
      </c>
      <c r="Y167" s="2">
        <v>32.75</v>
      </c>
      <c r="Z167" s="2">
        <v>35.24</v>
      </c>
      <c r="AA167" s="2">
        <v>31.41</v>
      </c>
      <c r="AB167" s="2">
        <v>16.79</v>
      </c>
      <c r="AC167" s="2">
        <v>29.58</v>
      </c>
      <c r="AD167" s="2">
        <v>43.44</v>
      </c>
      <c r="AE167" s="2">
        <v>39.630000000000003</v>
      </c>
      <c r="AF167" s="2">
        <v>49.7</v>
      </c>
      <c r="AG167" s="2">
        <v>48.29</v>
      </c>
      <c r="AH167" s="2">
        <v>49.1</v>
      </c>
      <c r="AI167" s="2">
        <v>35.049999999999997</v>
      </c>
      <c r="AJ167" s="2">
        <v>31.12</v>
      </c>
      <c r="AK167" s="2">
        <v>32.840000000000003</v>
      </c>
      <c r="AL167" s="2">
        <v>32.56</v>
      </c>
      <c r="AM167" s="2">
        <v>33.159999999999997</v>
      </c>
      <c r="AN167" s="2">
        <v>32.17</v>
      </c>
      <c r="AO167" s="2">
        <v>34.01</v>
      </c>
      <c r="AP167" s="2">
        <v>27.25</v>
      </c>
      <c r="AQ167" s="2">
        <v>29.94</v>
      </c>
      <c r="AR167" s="2">
        <v>27</v>
      </c>
      <c r="AU167" s="1" t="s">
        <v>70</v>
      </c>
      <c r="AV167" s="2">
        <v>164.2</v>
      </c>
      <c r="AW167" s="2">
        <v>230.26</v>
      </c>
      <c r="AX167" s="2">
        <v>179.59</v>
      </c>
      <c r="AY167" s="2">
        <v>162.21</v>
      </c>
      <c r="AZ167" s="2">
        <v>147.41999999999999</v>
      </c>
      <c r="BA167" s="2">
        <v>223.71</v>
      </c>
      <c r="BB167" s="2">
        <v>381.37</v>
      </c>
      <c r="BC167" s="2">
        <v>314.8</v>
      </c>
      <c r="BD167" s="2">
        <v>382.71</v>
      </c>
      <c r="BE167" s="2">
        <v>357.4</v>
      </c>
      <c r="BF167" s="2">
        <v>310.45</v>
      </c>
      <c r="BG167" s="2">
        <v>307.88</v>
      </c>
      <c r="BH167" s="2">
        <v>334.16</v>
      </c>
      <c r="BI167" s="2">
        <v>334.44</v>
      </c>
      <c r="BJ167" s="2">
        <v>326.83999999999997</v>
      </c>
      <c r="BK167" s="2">
        <v>321.33</v>
      </c>
      <c r="BL167" s="2">
        <v>322.99</v>
      </c>
      <c r="BM167" s="2">
        <v>274.25</v>
      </c>
      <c r="BN167" s="2">
        <v>287.06</v>
      </c>
      <c r="BO167" s="2">
        <v>278</v>
      </c>
    </row>
    <row r="168" spans="24:67" x14ac:dyDescent="0.3">
      <c r="X168" s="1" t="s">
        <v>71</v>
      </c>
      <c r="Y168" s="2">
        <v>7.3</v>
      </c>
      <c r="Z168" s="2">
        <v>2.78</v>
      </c>
      <c r="AA168" s="2">
        <v>4.37</v>
      </c>
      <c r="AB168" s="2">
        <v>1.6</v>
      </c>
      <c r="AC168" s="2">
        <v>5.2</v>
      </c>
      <c r="AD168" s="2">
        <v>3.91</v>
      </c>
      <c r="AE168" s="2">
        <v>3.97</v>
      </c>
      <c r="AF168" s="2">
        <v>3.96</v>
      </c>
      <c r="AG168" s="2">
        <v>3.53</v>
      </c>
      <c r="AH168" s="2">
        <v>5.92</v>
      </c>
      <c r="AI168" s="2">
        <v>4.1399999999999997</v>
      </c>
      <c r="AJ168" s="2">
        <v>5.19</v>
      </c>
      <c r="AK168" s="2">
        <v>4.68</v>
      </c>
      <c r="AL168" s="2">
        <v>4.22</v>
      </c>
      <c r="AM168" s="2">
        <v>4.54</v>
      </c>
      <c r="AN168" s="2">
        <v>5.41</v>
      </c>
      <c r="AO168" s="2">
        <v>5.12</v>
      </c>
      <c r="AP168" s="2">
        <v>2.72</v>
      </c>
      <c r="AQ168" s="2">
        <v>4.07</v>
      </c>
      <c r="AR168" s="2">
        <v>3.08</v>
      </c>
      <c r="AU168" s="1" t="s">
        <v>71</v>
      </c>
      <c r="AV168" s="2">
        <v>34.729999999999997</v>
      </c>
      <c r="AW168" s="2">
        <v>13.55</v>
      </c>
      <c r="AX168" s="2">
        <v>37.83</v>
      </c>
      <c r="AY168" s="2">
        <v>13.86</v>
      </c>
      <c r="AZ168" s="2">
        <v>23.74</v>
      </c>
      <c r="BA168" s="2">
        <v>18.989999999999998</v>
      </c>
      <c r="BB168" s="2">
        <v>33.729999999999997</v>
      </c>
      <c r="BC168" s="2">
        <v>19.43</v>
      </c>
      <c r="BD168" s="2">
        <v>32.17</v>
      </c>
      <c r="BE168" s="2">
        <v>35.6</v>
      </c>
      <c r="BF168" s="2">
        <v>37.76</v>
      </c>
      <c r="BG168" s="2">
        <v>32.03</v>
      </c>
      <c r="BH168" s="2">
        <v>42.63</v>
      </c>
      <c r="BI168" s="2">
        <v>30.59</v>
      </c>
      <c r="BJ168" s="2">
        <v>41.38</v>
      </c>
      <c r="BK168" s="2">
        <v>39.29</v>
      </c>
      <c r="BL168" s="2">
        <v>46.59</v>
      </c>
      <c r="BM168" s="2">
        <v>23.09</v>
      </c>
      <c r="BN168" s="2">
        <v>36.93</v>
      </c>
      <c r="BO168" s="2">
        <v>28.02</v>
      </c>
    </row>
    <row r="169" spans="24:67" x14ac:dyDescent="0.3">
      <c r="X169" s="1" t="s">
        <v>72</v>
      </c>
      <c r="Y169" s="2">
        <v>13.81</v>
      </c>
      <c r="Z169" s="2">
        <v>14.27</v>
      </c>
      <c r="AA169" s="2">
        <v>7.13</v>
      </c>
      <c r="AB169" s="2">
        <v>10.87</v>
      </c>
      <c r="AC169" s="2">
        <v>13.08</v>
      </c>
      <c r="AD169" s="2">
        <v>15.36</v>
      </c>
      <c r="AE169" s="2">
        <v>14.47</v>
      </c>
      <c r="AF169" s="2">
        <v>16.91</v>
      </c>
      <c r="AG169" s="2">
        <v>11.5</v>
      </c>
      <c r="AH169" s="2">
        <v>19.649999999999999</v>
      </c>
      <c r="AI169" s="2">
        <v>10.51</v>
      </c>
      <c r="AJ169" s="2">
        <v>18.82</v>
      </c>
      <c r="AK169" s="2">
        <v>10.29</v>
      </c>
      <c r="AL169" s="2">
        <v>18.09</v>
      </c>
      <c r="AM169" s="2">
        <v>13.8</v>
      </c>
      <c r="AN169" s="2">
        <v>14.96</v>
      </c>
      <c r="AO169" s="2">
        <v>10.61</v>
      </c>
      <c r="AP169" s="2">
        <v>7.87</v>
      </c>
      <c r="AQ169" s="2">
        <v>7.82</v>
      </c>
      <c r="AR169" s="2">
        <v>5.97</v>
      </c>
      <c r="AU169" s="1" t="s">
        <v>72</v>
      </c>
      <c r="AV169" s="2">
        <v>69.78</v>
      </c>
      <c r="AW169" s="2">
        <v>72.48</v>
      </c>
      <c r="AX169" s="2">
        <v>59.36</v>
      </c>
      <c r="AY169" s="2">
        <v>66</v>
      </c>
      <c r="AZ169" s="2">
        <v>52.42</v>
      </c>
      <c r="BA169" s="2">
        <v>77.510000000000005</v>
      </c>
      <c r="BB169" s="2">
        <v>87.66</v>
      </c>
      <c r="BC169" s="2">
        <v>55.95</v>
      </c>
      <c r="BD169" s="2">
        <v>89.62</v>
      </c>
      <c r="BE169" s="2">
        <v>81.010000000000005</v>
      </c>
      <c r="BF169" s="2">
        <v>75.92</v>
      </c>
      <c r="BG169" s="2">
        <v>77.92</v>
      </c>
      <c r="BH169" s="2">
        <v>73.849999999999994</v>
      </c>
      <c r="BI169" s="2">
        <v>82.71</v>
      </c>
      <c r="BJ169" s="2">
        <v>90.52</v>
      </c>
      <c r="BK169" s="2">
        <v>86.53</v>
      </c>
      <c r="BL169" s="2">
        <v>86.27</v>
      </c>
      <c r="BM169" s="2">
        <v>62.38</v>
      </c>
      <c r="BN169" s="2">
        <v>70.930000000000007</v>
      </c>
      <c r="BO169" s="2">
        <v>54.23</v>
      </c>
    </row>
    <row r="170" spans="24:67" x14ac:dyDescent="0.3">
      <c r="X170" s="1" t="s">
        <v>73</v>
      </c>
      <c r="Y170" s="2">
        <v>2.15</v>
      </c>
      <c r="Z170" s="2">
        <v>3.44</v>
      </c>
      <c r="AA170" s="2">
        <v>1.2</v>
      </c>
      <c r="AB170" s="2">
        <v>1.61</v>
      </c>
      <c r="AC170" s="2">
        <v>0.56999999999999995</v>
      </c>
      <c r="AD170" s="2">
        <v>1.62</v>
      </c>
      <c r="AE170" s="2">
        <v>3.11</v>
      </c>
      <c r="AF170" s="2">
        <v>2.25</v>
      </c>
      <c r="AG170" s="2">
        <v>2.21</v>
      </c>
      <c r="AH170" s="2">
        <v>3.65</v>
      </c>
      <c r="AI170" s="2">
        <v>3.28</v>
      </c>
      <c r="AJ170" s="2">
        <v>2.4900000000000002</v>
      </c>
      <c r="AK170" s="2">
        <v>3.33</v>
      </c>
      <c r="AL170" s="2">
        <v>1.61</v>
      </c>
      <c r="AM170" s="2">
        <v>1.96</v>
      </c>
      <c r="AN170" s="2">
        <v>0.93</v>
      </c>
      <c r="AO170" s="2">
        <v>1.02</v>
      </c>
      <c r="AP170" s="2">
        <v>0.99</v>
      </c>
      <c r="AQ170" s="2">
        <v>1.99</v>
      </c>
      <c r="AR170" s="2">
        <v>1.86</v>
      </c>
      <c r="AU170" s="1" t="s">
        <v>73</v>
      </c>
      <c r="AV170" s="2">
        <v>16.45</v>
      </c>
      <c r="AW170" s="2">
        <v>29.86</v>
      </c>
      <c r="AX170" s="2">
        <v>10.199999999999999</v>
      </c>
      <c r="AY170" s="2">
        <v>13.69</v>
      </c>
      <c r="AZ170" s="2">
        <v>10.83</v>
      </c>
      <c r="BA170" s="2">
        <v>13.68</v>
      </c>
      <c r="BB170" s="2">
        <v>30.79</v>
      </c>
      <c r="BC170" s="2">
        <v>15.07</v>
      </c>
      <c r="BD170" s="2">
        <v>19.989999999999998</v>
      </c>
      <c r="BE170" s="2">
        <v>27.06</v>
      </c>
      <c r="BF170" s="2">
        <v>22.52</v>
      </c>
      <c r="BG170" s="2">
        <v>18.559999999999999</v>
      </c>
      <c r="BH170" s="2">
        <v>22.77</v>
      </c>
      <c r="BI170" s="2">
        <v>13.39</v>
      </c>
      <c r="BJ170" s="2">
        <v>13.04</v>
      </c>
      <c r="BK170" s="2">
        <v>6.57</v>
      </c>
      <c r="BL170" s="2">
        <v>6.48</v>
      </c>
      <c r="BM170" s="2">
        <v>6.51</v>
      </c>
      <c r="BN170" s="2">
        <v>13.01</v>
      </c>
      <c r="BO170" s="2">
        <v>16.739999999999998</v>
      </c>
    </row>
    <row r="173" spans="24:67" x14ac:dyDescent="0.3">
      <c r="X173" t="s">
        <v>45</v>
      </c>
      <c r="AU173" t="s">
        <v>46</v>
      </c>
    </row>
    <row r="174" spans="24:67" x14ac:dyDescent="0.3">
      <c r="X174" s="1" t="s">
        <v>6</v>
      </c>
      <c r="Y174" s="3" t="s">
        <v>63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64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6</v>
      </c>
      <c r="AV174" s="3" t="s">
        <v>63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64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65</v>
      </c>
      <c r="Y175" s="1" t="s">
        <v>53</v>
      </c>
      <c r="Z175" s="1" t="s">
        <v>62</v>
      </c>
      <c r="AA175" s="1" t="s">
        <v>54</v>
      </c>
      <c r="AB175" s="1" t="s">
        <v>55</v>
      </c>
      <c r="AC175" s="1" t="s">
        <v>56</v>
      </c>
      <c r="AD175" s="1" t="s">
        <v>57</v>
      </c>
      <c r="AE175" s="1" t="s">
        <v>58</v>
      </c>
      <c r="AF175" s="1" t="s">
        <v>59</v>
      </c>
      <c r="AG175" s="1" t="s">
        <v>60</v>
      </c>
      <c r="AH175" s="1" t="s">
        <v>61</v>
      </c>
      <c r="AI175" s="1" t="s">
        <v>53</v>
      </c>
      <c r="AJ175" s="1" t="s">
        <v>62</v>
      </c>
      <c r="AK175" s="1" t="s">
        <v>54</v>
      </c>
      <c r="AL175" s="1" t="s">
        <v>55</v>
      </c>
      <c r="AM175" s="1" t="s">
        <v>56</v>
      </c>
      <c r="AN175" s="1" t="s">
        <v>57</v>
      </c>
      <c r="AO175" s="1" t="s">
        <v>58</v>
      </c>
      <c r="AP175" s="1" t="s">
        <v>59</v>
      </c>
      <c r="AQ175" s="1" t="s">
        <v>60</v>
      </c>
      <c r="AR175" s="1" t="s">
        <v>61</v>
      </c>
      <c r="AU175" s="1" t="s">
        <v>65</v>
      </c>
      <c r="AV175" s="1" t="s">
        <v>53</v>
      </c>
      <c r="AW175" s="1" t="s">
        <v>62</v>
      </c>
      <c r="AX175" s="1" t="s">
        <v>54</v>
      </c>
      <c r="AY175" s="1" t="s">
        <v>55</v>
      </c>
      <c r="AZ175" s="1" t="s">
        <v>56</v>
      </c>
      <c r="BA175" s="1" t="s">
        <v>57</v>
      </c>
      <c r="BB175" s="1" t="s">
        <v>58</v>
      </c>
      <c r="BC175" s="1" t="s">
        <v>59</v>
      </c>
      <c r="BD175" s="1" t="s">
        <v>60</v>
      </c>
      <c r="BE175" s="1" t="s">
        <v>61</v>
      </c>
      <c r="BF175" s="1" t="s">
        <v>53</v>
      </c>
      <c r="BG175" s="1" t="s">
        <v>62</v>
      </c>
      <c r="BH175" s="1" t="s">
        <v>54</v>
      </c>
      <c r="BI175" s="1" t="s">
        <v>55</v>
      </c>
      <c r="BJ175" s="1" t="s">
        <v>56</v>
      </c>
      <c r="BK175" s="1" t="s">
        <v>57</v>
      </c>
      <c r="BL175" s="1" t="s">
        <v>58</v>
      </c>
      <c r="BM175" s="1" t="s">
        <v>59</v>
      </c>
      <c r="BN175" s="1" t="s">
        <v>60</v>
      </c>
      <c r="BO175" s="1" t="s">
        <v>61</v>
      </c>
    </row>
    <row r="176" spans="24:67" x14ac:dyDescent="0.3">
      <c r="X176" s="1" t="s">
        <v>7</v>
      </c>
      <c r="AU176" s="1" t="s">
        <v>7</v>
      </c>
    </row>
    <row r="177" spans="24:67" x14ac:dyDescent="0.3">
      <c r="X177" s="1" t="s">
        <v>66</v>
      </c>
      <c r="Y177" s="2">
        <v>250.7</v>
      </c>
      <c r="Z177" s="2">
        <v>139.61000000000001</v>
      </c>
      <c r="AA177" s="2">
        <v>23.37</v>
      </c>
      <c r="AB177" s="2">
        <v>13.81</v>
      </c>
      <c r="AC177" s="2">
        <v>276.79000000000002</v>
      </c>
      <c r="AD177" s="2">
        <v>445.79</v>
      </c>
      <c r="AE177" s="2">
        <v>833.65</v>
      </c>
      <c r="AF177" s="2">
        <v>552.55999999999995</v>
      </c>
      <c r="AG177" s="2">
        <v>698.5</v>
      </c>
      <c r="AH177" s="2">
        <v>55.65</v>
      </c>
      <c r="AI177" s="2">
        <v>404.81</v>
      </c>
      <c r="AJ177" s="2">
        <v>90.12</v>
      </c>
      <c r="AK177" s="2">
        <v>23.86</v>
      </c>
      <c r="AL177" s="2">
        <v>25</v>
      </c>
      <c r="AM177" s="2">
        <v>161.85</v>
      </c>
      <c r="AN177" s="2">
        <v>167.81</v>
      </c>
      <c r="AO177" s="2">
        <v>217.57</v>
      </c>
      <c r="AP177" s="2">
        <v>56.01</v>
      </c>
      <c r="AQ177" s="2">
        <v>252.76</v>
      </c>
      <c r="AR177" s="2">
        <v>58.34</v>
      </c>
      <c r="AU177" s="1" t="s">
        <v>66</v>
      </c>
      <c r="AV177" s="2">
        <v>2535.7199999999998</v>
      </c>
      <c r="AW177" s="2">
        <v>8481.94</v>
      </c>
      <c r="AX177" s="2">
        <v>1256.0899999999999</v>
      </c>
      <c r="AY177" s="2">
        <v>746.39</v>
      </c>
      <c r="AZ177" s="2">
        <v>2596.0100000000002</v>
      </c>
      <c r="BA177" s="2">
        <v>3243.21</v>
      </c>
      <c r="BB177" s="2">
        <v>5940.11</v>
      </c>
      <c r="BC177" s="2">
        <v>4800.55</v>
      </c>
      <c r="BD177" s="2">
        <v>6464.88</v>
      </c>
      <c r="BE177" s="2">
        <v>5363.61</v>
      </c>
      <c r="BF177" s="2">
        <v>2404.36</v>
      </c>
      <c r="BG177" s="2">
        <v>8685.7800000000007</v>
      </c>
      <c r="BH177" s="2">
        <v>1291.0899999999999</v>
      </c>
      <c r="BI177" s="2">
        <v>797.15</v>
      </c>
      <c r="BJ177" s="2">
        <v>2753.51</v>
      </c>
      <c r="BK177" s="2">
        <v>3400.79</v>
      </c>
      <c r="BL177" s="2">
        <v>6183.23</v>
      </c>
      <c r="BM177" s="2">
        <v>5398.6</v>
      </c>
      <c r="BN177" s="2">
        <v>6713.78</v>
      </c>
      <c r="BO177" s="2">
        <v>5622.72</v>
      </c>
    </row>
    <row r="178" spans="24:67" x14ac:dyDescent="0.3">
      <c r="X178" s="1" t="s">
        <v>67</v>
      </c>
      <c r="Y178" s="2">
        <v>19.39</v>
      </c>
      <c r="Z178" s="2">
        <v>85.51</v>
      </c>
      <c r="AA178" s="2">
        <v>10.56</v>
      </c>
      <c r="AB178" s="2">
        <v>5.26</v>
      </c>
      <c r="AC178" s="2">
        <v>18.41</v>
      </c>
      <c r="AD178" s="2">
        <v>23.5</v>
      </c>
      <c r="AE178" s="2">
        <v>41.37</v>
      </c>
      <c r="AF178" s="2">
        <v>37.31</v>
      </c>
      <c r="AG178" s="2">
        <v>50.99</v>
      </c>
      <c r="AH178" s="2">
        <v>44.44</v>
      </c>
      <c r="AI178" s="2">
        <v>20.22</v>
      </c>
      <c r="AJ178" s="2">
        <v>74.73</v>
      </c>
      <c r="AK178" s="2">
        <v>12.8</v>
      </c>
      <c r="AL178" s="2">
        <v>6.13</v>
      </c>
      <c r="AM178" s="2">
        <v>24.83</v>
      </c>
      <c r="AN178" s="2">
        <v>26.63</v>
      </c>
      <c r="AO178" s="2">
        <v>52.45</v>
      </c>
      <c r="AP178" s="2">
        <v>40.61</v>
      </c>
      <c r="AQ178" s="2">
        <v>51.87</v>
      </c>
      <c r="AR178" s="2">
        <v>51.68</v>
      </c>
      <c r="AU178" s="1" t="s">
        <v>67</v>
      </c>
      <c r="AV178" s="2">
        <v>393.23</v>
      </c>
      <c r="AW178" s="2">
        <v>1733.84</v>
      </c>
      <c r="AX178" s="2">
        <v>200.56</v>
      </c>
      <c r="AY178" s="2">
        <v>96.39</v>
      </c>
      <c r="AZ178" s="2">
        <v>349.75</v>
      </c>
      <c r="BA178" s="2">
        <v>476.5</v>
      </c>
      <c r="BB178" s="2">
        <v>837.75</v>
      </c>
      <c r="BC178" s="2">
        <v>756.42</v>
      </c>
      <c r="BD178" s="2">
        <v>1033.9100000000001</v>
      </c>
      <c r="BE178" s="2">
        <v>901.1</v>
      </c>
      <c r="BF178" s="2">
        <v>409.95</v>
      </c>
      <c r="BG178" s="2">
        <v>1515.12</v>
      </c>
      <c r="BH178" s="2">
        <v>243.17</v>
      </c>
      <c r="BI178" s="2">
        <v>116.37</v>
      </c>
      <c r="BJ178" s="2">
        <v>445.89</v>
      </c>
      <c r="BK178" s="2">
        <v>520.16999999999996</v>
      </c>
      <c r="BL178" s="2">
        <v>1021.79</v>
      </c>
      <c r="BM178" s="2">
        <v>818.08</v>
      </c>
      <c r="BN178" s="2">
        <v>1051.6500000000001</v>
      </c>
      <c r="BO178" s="2">
        <v>981.92</v>
      </c>
    </row>
    <row r="179" spans="24:67" x14ac:dyDescent="0.3">
      <c r="X179" s="1" t="s">
        <v>68</v>
      </c>
      <c r="Y179" s="2">
        <v>210.76</v>
      </c>
      <c r="Z179" s="2">
        <v>282.27999999999997</v>
      </c>
      <c r="AA179" s="2">
        <v>88.51</v>
      </c>
      <c r="AB179" s="2">
        <v>108.72</v>
      </c>
      <c r="AC179" s="2">
        <v>254.51</v>
      </c>
      <c r="AD179" s="2">
        <v>352.17</v>
      </c>
      <c r="AE179" s="2">
        <v>693.45</v>
      </c>
      <c r="AF179" s="2">
        <v>641.01</v>
      </c>
      <c r="AG179" s="2">
        <v>821.62</v>
      </c>
      <c r="AH179" s="2">
        <v>286.52999999999997</v>
      </c>
      <c r="AI179" s="2">
        <v>59.68</v>
      </c>
      <c r="AJ179" s="2">
        <v>284.89</v>
      </c>
      <c r="AK179" s="2">
        <v>29.17</v>
      </c>
      <c r="AL179" s="2">
        <v>41.5</v>
      </c>
      <c r="AM179" s="2">
        <v>136.69</v>
      </c>
      <c r="AN179" s="2">
        <v>147.18</v>
      </c>
      <c r="AO179" s="2">
        <v>281.02</v>
      </c>
      <c r="AP179" s="2">
        <v>247.48</v>
      </c>
      <c r="AQ179" s="2">
        <v>265.39999999999998</v>
      </c>
      <c r="AR179" s="2">
        <v>243.3</v>
      </c>
      <c r="AU179" s="1" t="s">
        <v>68</v>
      </c>
      <c r="AV179" s="2">
        <v>1963.73</v>
      </c>
      <c r="AW179" s="2">
        <v>5137.72</v>
      </c>
      <c r="AX179" s="2">
        <v>912.49</v>
      </c>
      <c r="AY179" s="2">
        <v>603.95000000000005</v>
      </c>
      <c r="AZ179" s="2">
        <v>2015.73</v>
      </c>
      <c r="BA179" s="2">
        <v>2647.23</v>
      </c>
      <c r="BB179" s="2">
        <v>4934.33</v>
      </c>
      <c r="BC179" s="2">
        <v>4287.63</v>
      </c>
      <c r="BD179" s="2">
        <v>5371.26</v>
      </c>
      <c r="BE179" s="2">
        <v>4102.8999999999996</v>
      </c>
      <c r="BF179" s="2">
        <v>1207.04</v>
      </c>
      <c r="BG179" s="2">
        <v>5029.7700000000004</v>
      </c>
      <c r="BH179" s="2">
        <v>554.27</v>
      </c>
      <c r="BI179" s="2">
        <v>577.35</v>
      </c>
      <c r="BJ179" s="2">
        <v>1898.76</v>
      </c>
      <c r="BK179" s="2">
        <v>2386.31</v>
      </c>
      <c r="BL179" s="2">
        <v>4512.55</v>
      </c>
      <c r="BM179" s="2">
        <v>3845.42</v>
      </c>
      <c r="BN179" s="2">
        <v>4522.2</v>
      </c>
      <c r="BO179" s="2">
        <v>4268.49</v>
      </c>
    </row>
    <row r="180" spans="24:67" x14ac:dyDescent="0.3">
      <c r="X180" s="1" t="s">
        <v>69</v>
      </c>
      <c r="Y180" s="2">
        <v>48.34</v>
      </c>
      <c r="Z180" s="2">
        <v>123.14</v>
      </c>
      <c r="AA180" s="2">
        <v>21.21</v>
      </c>
      <c r="AB180" s="2">
        <v>27.92</v>
      </c>
      <c r="AC180" s="2">
        <v>79.19</v>
      </c>
      <c r="AD180" s="2">
        <v>100.79</v>
      </c>
      <c r="AE180" s="2">
        <v>182.8</v>
      </c>
      <c r="AF180" s="2">
        <v>159</v>
      </c>
      <c r="AG180" s="2">
        <v>138.08000000000001</v>
      </c>
      <c r="AH180" s="2">
        <v>80.95</v>
      </c>
      <c r="AI180" s="2">
        <v>34.24</v>
      </c>
      <c r="AJ180" s="2">
        <v>126.36</v>
      </c>
      <c r="AK180" s="2">
        <v>15.7</v>
      </c>
      <c r="AL180" s="2">
        <v>16.14</v>
      </c>
      <c r="AM180" s="2">
        <v>46.88</v>
      </c>
      <c r="AN180" s="2">
        <v>52.98</v>
      </c>
      <c r="AO180" s="2">
        <v>102.15</v>
      </c>
      <c r="AP180" s="2">
        <v>84.99</v>
      </c>
      <c r="AQ180" s="2">
        <v>100.33</v>
      </c>
      <c r="AR180" s="2">
        <v>104.03</v>
      </c>
      <c r="AU180" s="1" t="s">
        <v>69</v>
      </c>
      <c r="AV180" s="2">
        <v>817.34</v>
      </c>
      <c r="AW180" s="2">
        <v>2160.61</v>
      </c>
      <c r="AX180" s="2">
        <v>378.12</v>
      </c>
      <c r="AY180" s="2">
        <v>233.64</v>
      </c>
      <c r="AZ180" s="2">
        <v>805.93</v>
      </c>
      <c r="BA180" s="2">
        <v>1059.31</v>
      </c>
      <c r="BB180" s="2">
        <v>1920.15</v>
      </c>
      <c r="BC180" s="2">
        <v>1649.27</v>
      </c>
      <c r="BD180" s="2">
        <v>2003.22</v>
      </c>
      <c r="BE180" s="2">
        <v>1492.23</v>
      </c>
      <c r="BF180" s="2">
        <v>535.67999999999995</v>
      </c>
      <c r="BG180" s="2">
        <v>2169.2600000000002</v>
      </c>
      <c r="BH180" s="2">
        <v>298.38</v>
      </c>
      <c r="BI180" s="2">
        <v>276.93</v>
      </c>
      <c r="BJ180" s="2">
        <v>834.64</v>
      </c>
      <c r="BK180" s="2">
        <v>986.56</v>
      </c>
      <c r="BL180" s="2">
        <v>1855.9</v>
      </c>
      <c r="BM180" s="2">
        <v>1545.68</v>
      </c>
      <c r="BN180" s="2">
        <v>1819.05</v>
      </c>
      <c r="BO180" s="2">
        <v>1787.05</v>
      </c>
    </row>
    <row r="181" spans="24:67" x14ac:dyDescent="0.3">
      <c r="X181" s="1" t="s">
        <v>70</v>
      </c>
      <c r="Y181" s="2">
        <v>264.49</v>
      </c>
      <c r="Z181" s="2">
        <v>545.55999999999995</v>
      </c>
      <c r="AA181" s="2">
        <v>135.79</v>
      </c>
      <c r="AB181" s="2">
        <v>85.27</v>
      </c>
      <c r="AC181" s="2">
        <v>159.44</v>
      </c>
      <c r="AD181" s="2">
        <v>274.43</v>
      </c>
      <c r="AE181" s="2">
        <v>433.6</v>
      </c>
      <c r="AF181" s="2">
        <v>304.02</v>
      </c>
      <c r="AG181" s="2">
        <v>402.81</v>
      </c>
      <c r="AH181" s="2">
        <v>371.06</v>
      </c>
      <c r="AI181" s="2">
        <v>254.36</v>
      </c>
      <c r="AJ181" s="2">
        <v>544.61</v>
      </c>
      <c r="AK181" s="2">
        <v>86.42</v>
      </c>
      <c r="AL181" s="2">
        <v>82.15</v>
      </c>
      <c r="AM181" s="2">
        <v>262.97000000000003</v>
      </c>
      <c r="AN181" s="2">
        <v>310.3</v>
      </c>
      <c r="AO181" s="2">
        <v>395.69</v>
      </c>
      <c r="AP181" s="2">
        <v>307.77</v>
      </c>
      <c r="AQ181" s="2">
        <v>388.17</v>
      </c>
      <c r="AR181" s="2">
        <v>343.04</v>
      </c>
      <c r="AU181" s="1" t="s">
        <v>70</v>
      </c>
      <c r="AV181" s="2">
        <v>2435.15</v>
      </c>
      <c r="AW181" s="2">
        <v>10285.94</v>
      </c>
      <c r="AX181" s="2">
        <v>1459.96</v>
      </c>
      <c r="AY181" s="2">
        <v>789.23</v>
      </c>
      <c r="AZ181" s="2">
        <v>3029.36</v>
      </c>
      <c r="BA181" s="2">
        <v>4182.57</v>
      </c>
      <c r="BB181" s="2">
        <v>7490</v>
      </c>
      <c r="BC181" s="2">
        <v>6116.58</v>
      </c>
      <c r="BD181" s="2">
        <v>7826.09</v>
      </c>
      <c r="BE181" s="2">
        <v>6910.04</v>
      </c>
      <c r="BF181" s="2">
        <v>3132.79</v>
      </c>
      <c r="BG181" s="2">
        <v>11042.89</v>
      </c>
      <c r="BH181" s="2">
        <v>1641.93</v>
      </c>
      <c r="BI181" s="2">
        <v>787.79</v>
      </c>
      <c r="BJ181" s="2">
        <v>3166.63</v>
      </c>
      <c r="BK181" s="2">
        <v>4306.7</v>
      </c>
      <c r="BL181" s="2">
        <v>7727.71</v>
      </c>
      <c r="BM181" s="2">
        <v>6240.43</v>
      </c>
      <c r="BN181" s="2">
        <v>7652.63</v>
      </c>
      <c r="BO181" s="2">
        <v>6812.26</v>
      </c>
    </row>
    <row r="182" spans="24:67" x14ac:dyDescent="0.3">
      <c r="X182" s="1" t="s">
        <v>71</v>
      </c>
      <c r="Y182" s="2">
        <v>54.74</v>
      </c>
      <c r="Z182" s="2">
        <v>82.88</v>
      </c>
      <c r="AA182" s="2">
        <v>16.04</v>
      </c>
      <c r="AB182" s="2">
        <v>15.74</v>
      </c>
      <c r="AC182" s="2">
        <v>21.82</v>
      </c>
      <c r="AD182" s="2">
        <v>27.43</v>
      </c>
      <c r="AE182" s="2">
        <v>56.33</v>
      </c>
      <c r="AF182" s="2">
        <v>45.96</v>
      </c>
      <c r="AG182" s="2">
        <v>61.64</v>
      </c>
      <c r="AH182" s="2">
        <v>59.8</v>
      </c>
      <c r="AI182" s="2">
        <v>49.39</v>
      </c>
      <c r="AJ182" s="2">
        <v>53.68</v>
      </c>
      <c r="AK182" s="2">
        <v>10.4</v>
      </c>
      <c r="AL182" s="2">
        <v>14.26</v>
      </c>
      <c r="AM182" s="2">
        <v>41.06</v>
      </c>
      <c r="AN182" s="2">
        <v>58.86</v>
      </c>
      <c r="AO182" s="2">
        <v>88.73</v>
      </c>
      <c r="AP182" s="2">
        <v>54.34</v>
      </c>
      <c r="AQ182" s="2">
        <v>79.790000000000006</v>
      </c>
      <c r="AR182" s="2">
        <v>51.48</v>
      </c>
      <c r="AU182" s="1" t="s">
        <v>71</v>
      </c>
      <c r="AV182" s="2">
        <v>538.87</v>
      </c>
      <c r="AW182" s="2">
        <v>1680.32</v>
      </c>
      <c r="AX182" s="2">
        <v>304.81</v>
      </c>
      <c r="AY182" s="2">
        <v>150.25</v>
      </c>
      <c r="AZ182" s="2">
        <v>414.66</v>
      </c>
      <c r="BA182" s="2">
        <v>556.16999999999996</v>
      </c>
      <c r="BB182" s="2">
        <v>1142.1099999999999</v>
      </c>
      <c r="BC182" s="2">
        <v>931.81</v>
      </c>
      <c r="BD182" s="2">
        <v>1249.77</v>
      </c>
      <c r="BE182" s="2">
        <v>1212.45</v>
      </c>
      <c r="BF182" s="2">
        <v>500.27</v>
      </c>
      <c r="BG182" s="2">
        <v>1088.42</v>
      </c>
      <c r="BH182" s="2">
        <v>197.68</v>
      </c>
      <c r="BI182" s="2">
        <v>145.61000000000001</v>
      </c>
      <c r="BJ182" s="2">
        <v>424.94</v>
      </c>
      <c r="BK182" s="2">
        <v>753.86</v>
      </c>
      <c r="BL182" s="2">
        <v>1170.05</v>
      </c>
      <c r="BM182" s="2">
        <v>858.53</v>
      </c>
      <c r="BN182" s="2">
        <v>1264.3499999999999</v>
      </c>
      <c r="BO182" s="2">
        <v>973.74</v>
      </c>
    </row>
    <row r="183" spans="24:67" x14ac:dyDescent="0.3">
      <c r="X183" s="1" t="s">
        <v>72</v>
      </c>
      <c r="Y183" s="2">
        <v>168.11</v>
      </c>
      <c r="Z183" s="2">
        <v>270.7</v>
      </c>
      <c r="AA183" s="2">
        <v>46.76</v>
      </c>
      <c r="AB183" s="2">
        <v>50.42</v>
      </c>
      <c r="AC183" s="2">
        <v>119.35</v>
      </c>
      <c r="AD183" s="2">
        <v>113.83</v>
      </c>
      <c r="AE183" s="2">
        <v>235.4</v>
      </c>
      <c r="AF183" s="2">
        <v>198.57</v>
      </c>
      <c r="AG183" s="2">
        <v>323.85000000000002</v>
      </c>
      <c r="AH183" s="2">
        <v>230.4</v>
      </c>
      <c r="AI183" s="2">
        <v>187.02</v>
      </c>
      <c r="AJ183" s="2">
        <v>241.15</v>
      </c>
      <c r="AK183" s="2">
        <v>66.14</v>
      </c>
      <c r="AL183" s="2">
        <v>57.74</v>
      </c>
      <c r="AM183" s="2">
        <v>236.8</v>
      </c>
      <c r="AN183" s="2">
        <v>318.79000000000002</v>
      </c>
      <c r="AO183" s="2">
        <v>539.51</v>
      </c>
      <c r="AP183" s="2">
        <v>381.36</v>
      </c>
      <c r="AQ183" s="2">
        <v>369.96</v>
      </c>
      <c r="AR183" s="2">
        <v>211.17</v>
      </c>
      <c r="AU183" s="1" t="s">
        <v>72</v>
      </c>
      <c r="AV183" s="2">
        <v>1773.71</v>
      </c>
      <c r="AW183" s="2">
        <v>5488.91</v>
      </c>
      <c r="AX183" s="2">
        <v>874.92</v>
      </c>
      <c r="AY183" s="2">
        <v>416.55</v>
      </c>
      <c r="AZ183" s="2">
        <v>1561.99</v>
      </c>
      <c r="BA183" s="2">
        <v>1948.72</v>
      </c>
      <c r="BB183" s="2">
        <v>3709.72</v>
      </c>
      <c r="BC183" s="2">
        <v>3102.81</v>
      </c>
      <c r="BD183" s="2">
        <v>4581.37</v>
      </c>
      <c r="BE183" s="2">
        <v>4152.3</v>
      </c>
      <c r="BF183" s="2">
        <v>1986.42</v>
      </c>
      <c r="BG183" s="2">
        <v>4889.6000000000004</v>
      </c>
      <c r="BH183" s="2">
        <v>867.31</v>
      </c>
      <c r="BI183" s="2">
        <v>615.89</v>
      </c>
      <c r="BJ183" s="2">
        <v>1587.79</v>
      </c>
      <c r="BK183" s="2">
        <v>2680.59</v>
      </c>
      <c r="BL183" s="2">
        <v>4566.93</v>
      </c>
      <c r="BM183" s="2">
        <v>3601.5</v>
      </c>
      <c r="BN183" s="2">
        <v>4544.8599999999997</v>
      </c>
      <c r="BO183" s="2">
        <v>3695.2</v>
      </c>
    </row>
    <row r="184" spans="24:67" x14ac:dyDescent="0.3">
      <c r="X184" s="1" t="s">
        <v>73</v>
      </c>
      <c r="Y184" s="2">
        <v>71.709999999999994</v>
      </c>
      <c r="Z184" s="2">
        <v>266.69</v>
      </c>
      <c r="AA184" s="2">
        <v>27.18</v>
      </c>
      <c r="AB184" s="2">
        <v>16.86</v>
      </c>
      <c r="AC184" s="2">
        <v>64.27</v>
      </c>
      <c r="AD184" s="2">
        <v>79.16</v>
      </c>
      <c r="AE184" s="2">
        <v>194.97</v>
      </c>
      <c r="AF184" s="2">
        <v>159.56</v>
      </c>
      <c r="AG184" s="2">
        <v>213.58</v>
      </c>
      <c r="AH184" s="2">
        <v>196.03</v>
      </c>
      <c r="AI184" s="2">
        <v>67.23</v>
      </c>
      <c r="AJ184" s="2">
        <v>218.65</v>
      </c>
      <c r="AK184" s="2">
        <v>29.17</v>
      </c>
      <c r="AL184" s="2">
        <v>18.850000000000001</v>
      </c>
      <c r="AM184" s="2">
        <v>80.33</v>
      </c>
      <c r="AN184" s="2">
        <v>93.33</v>
      </c>
      <c r="AO184" s="2">
        <v>175.61</v>
      </c>
      <c r="AP184" s="2">
        <v>133.93</v>
      </c>
      <c r="AQ184" s="2">
        <v>199.8</v>
      </c>
      <c r="AR184" s="2">
        <v>185.83</v>
      </c>
      <c r="AU184" s="1" t="s">
        <v>73</v>
      </c>
      <c r="AV184" s="2">
        <v>1204.3699999999999</v>
      </c>
      <c r="AW184" s="2">
        <v>3746.86</v>
      </c>
      <c r="AX184" s="2">
        <v>516.48</v>
      </c>
      <c r="AY184" s="2">
        <v>320.33999999999997</v>
      </c>
      <c r="AZ184" s="2">
        <v>1221.17</v>
      </c>
      <c r="BA184" s="2">
        <v>1605.04</v>
      </c>
      <c r="BB184" s="2">
        <v>2894.91</v>
      </c>
      <c r="BC184" s="2">
        <v>2361.6999999999998</v>
      </c>
      <c r="BD184" s="2">
        <v>3054.8</v>
      </c>
      <c r="BE184" s="2">
        <v>2678.33</v>
      </c>
      <c r="BF184" s="2">
        <v>1300.5</v>
      </c>
      <c r="BG184" s="2">
        <v>4433.45</v>
      </c>
      <c r="BH184" s="2">
        <v>554.27</v>
      </c>
      <c r="BI184" s="2">
        <v>358.1</v>
      </c>
      <c r="BJ184" s="2">
        <v>1174.79</v>
      </c>
      <c r="BK184" s="2">
        <v>1507.99</v>
      </c>
      <c r="BL184" s="2">
        <v>2866.85</v>
      </c>
      <c r="BM184" s="2">
        <v>2463.02</v>
      </c>
      <c r="BN184" s="2">
        <v>3082.26</v>
      </c>
      <c r="BO184" s="2">
        <v>2626.31</v>
      </c>
    </row>
    <row r="187" spans="24:67" x14ac:dyDescent="0.3">
      <c r="X187" t="s">
        <v>47</v>
      </c>
      <c r="AU187" t="s">
        <v>48</v>
      </c>
    </row>
    <row r="188" spans="24:67" x14ac:dyDescent="0.3">
      <c r="X188" s="1" t="s">
        <v>6</v>
      </c>
      <c r="Y188" s="1" t="s">
        <v>63</v>
      </c>
      <c r="Z188" s="1" t="s">
        <v>64</v>
      </c>
      <c r="AA188" s="1" t="s">
        <v>63</v>
      </c>
      <c r="AB188" s="1" t="s">
        <v>64</v>
      </c>
      <c r="AC188" s="1" t="s">
        <v>63</v>
      </c>
      <c r="AD188" s="1" t="s">
        <v>64</v>
      </c>
      <c r="AE188" s="1" t="s">
        <v>63</v>
      </c>
      <c r="AF188" s="1" t="s">
        <v>64</v>
      </c>
      <c r="AG188" s="1" t="s">
        <v>63</v>
      </c>
      <c r="AH188" s="1" t="s">
        <v>64</v>
      </c>
      <c r="AI188" s="1" t="s">
        <v>63</v>
      </c>
      <c r="AJ188" s="1" t="s">
        <v>64</v>
      </c>
      <c r="AK188" s="1" t="s">
        <v>63</v>
      </c>
      <c r="AL188" s="1" t="s">
        <v>64</v>
      </c>
      <c r="AM188" s="1" t="s">
        <v>63</v>
      </c>
      <c r="AN188" s="1" t="s">
        <v>64</v>
      </c>
      <c r="AO188" s="1" t="s">
        <v>63</v>
      </c>
      <c r="AP188" s="1" t="s">
        <v>64</v>
      </c>
      <c r="AQ188" s="1" t="s">
        <v>63</v>
      </c>
      <c r="AR188" s="1" t="s">
        <v>64</v>
      </c>
      <c r="AU188" s="1" t="s">
        <v>6</v>
      </c>
      <c r="AV188" s="1" t="s">
        <v>63</v>
      </c>
      <c r="AW188" s="1" t="s">
        <v>64</v>
      </c>
      <c r="AX188" s="1" t="s">
        <v>63</v>
      </c>
      <c r="AY188" s="1" t="s">
        <v>64</v>
      </c>
      <c r="AZ188" s="1" t="s">
        <v>63</v>
      </c>
      <c r="BA188" s="1" t="s">
        <v>64</v>
      </c>
      <c r="BB188" s="1" t="s">
        <v>63</v>
      </c>
      <c r="BC188" s="1" t="s">
        <v>64</v>
      </c>
      <c r="BD188" s="1" t="s">
        <v>63</v>
      </c>
      <c r="BE188" s="1" t="s">
        <v>64</v>
      </c>
      <c r="BF188" s="1" t="s">
        <v>63</v>
      </c>
      <c r="BG188" s="1" t="s">
        <v>64</v>
      </c>
      <c r="BH188" s="1" t="s">
        <v>63</v>
      </c>
      <c r="BI188" s="1" t="s">
        <v>64</v>
      </c>
      <c r="BJ188" s="1" t="s">
        <v>63</v>
      </c>
      <c r="BK188" s="1" t="s">
        <v>64</v>
      </c>
      <c r="BL188" s="1" t="s">
        <v>63</v>
      </c>
      <c r="BM188" s="1" t="s">
        <v>64</v>
      </c>
      <c r="BN188" s="1" t="s">
        <v>63</v>
      </c>
      <c r="BO188" s="1" t="s">
        <v>64</v>
      </c>
    </row>
    <row r="189" spans="24:67" x14ac:dyDescent="0.3">
      <c r="X189" s="1" t="s">
        <v>65</v>
      </c>
      <c r="Y189" s="1" t="s">
        <v>53</v>
      </c>
      <c r="Z189" s="1" t="s">
        <v>53</v>
      </c>
      <c r="AA189" s="1" t="s">
        <v>54</v>
      </c>
      <c r="AB189" s="1" t="s">
        <v>54</v>
      </c>
      <c r="AC189" s="1" t="s">
        <v>55</v>
      </c>
      <c r="AD189" s="1" t="s">
        <v>55</v>
      </c>
      <c r="AE189" s="1" t="s">
        <v>56</v>
      </c>
      <c r="AF189" s="1" t="s">
        <v>56</v>
      </c>
      <c r="AG189" s="1" t="s">
        <v>57</v>
      </c>
      <c r="AH189" s="1" t="s">
        <v>57</v>
      </c>
      <c r="AI189" s="1" t="s">
        <v>58</v>
      </c>
      <c r="AJ189" s="1" t="s">
        <v>58</v>
      </c>
      <c r="AK189" s="1" t="s">
        <v>59</v>
      </c>
      <c r="AL189" s="1" t="s">
        <v>59</v>
      </c>
      <c r="AM189" s="1" t="s">
        <v>60</v>
      </c>
      <c r="AN189" s="1" t="s">
        <v>60</v>
      </c>
      <c r="AO189" s="1" t="s">
        <v>61</v>
      </c>
      <c r="AP189" s="1" t="s">
        <v>61</v>
      </c>
      <c r="AQ189" s="1" t="s">
        <v>62</v>
      </c>
      <c r="AR189" s="1" t="s">
        <v>62</v>
      </c>
      <c r="AU189" s="1" t="s">
        <v>65</v>
      </c>
      <c r="AV189" s="1" t="s">
        <v>53</v>
      </c>
      <c r="AW189" s="1" t="s">
        <v>53</v>
      </c>
      <c r="AX189" s="1" t="s">
        <v>54</v>
      </c>
      <c r="AY189" s="1" t="s">
        <v>54</v>
      </c>
      <c r="AZ189" s="1" t="s">
        <v>55</v>
      </c>
      <c r="BA189" s="1" t="s">
        <v>55</v>
      </c>
      <c r="BB189" s="1" t="s">
        <v>56</v>
      </c>
      <c r="BC189" s="1" t="s">
        <v>56</v>
      </c>
      <c r="BD189" s="1" t="s">
        <v>57</v>
      </c>
      <c r="BE189" s="1" t="s">
        <v>57</v>
      </c>
      <c r="BF189" s="1" t="s">
        <v>58</v>
      </c>
      <c r="BG189" s="1" t="s">
        <v>58</v>
      </c>
      <c r="BH189" s="1" t="s">
        <v>59</v>
      </c>
      <c r="BI189" s="1" t="s">
        <v>59</v>
      </c>
      <c r="BJ189" s="1" t="s">
        <v>60</v>
      </c>
      <c r="BK189" s="1" t="s">
        <v>60</v>
      </c>
      <c r="BL189" s="1" t="s">
        <v>61</v>
      </c>
      <c r="BM189" s="1" t="s">
        <v>61</v>
      </c>
      <c r="BN189" s="1" t="s">
        <v>62</v>
      </c>
      <c r="BO189" s="1" t="s">
        <v>62</v>
      </c>
    </row>
    <row r="190" spans="24:67" x14ac:dyDescent="0.3">
      <c r="X190" s="1" t="s">
        <v>7</v>
      </c>
      <c r="AU190" s="1" t="s">
        <v>7</v>
      </c>
    </row>
    <row r="191" spans="24:67" x14ac:dyDescent="0.3">
      <c r="X191" s="1" t="s">
        <v>66</v>
      </c>
      <c r="Y191" s="2">
        <v>192.84</v>
      </c>
      <c r="Z191" s="2">
        <v>311.39</v>
      </c>
      <c r="AA191" s="2">
        <v>17.98</v>
      </c>
      <c r="AB191" s="2">
        <v>18.350000000000001</v>
      </c>
      <c r="AC191" s="2">
        <v>27.62</v>
      </c>
      <c r="AD191" s="2">
        <v>49.99</v>
      </c>
      <c r="AE191" s="2">
        <v>173</v>
      </c>
      <c r="AF191" s="2">
        <v>101.15</v>
      </c>
      <c r="AG191" s="2">
        <v>222.89</v>
      </c>
      <c r="AH191" s="2">
        <v>83.9</v>
      </c>
      <c r="AI191" s="2">
        <v>231.57</v>
      </c>
      <c r="AJ191" s="2">
        <v>60.44</v>
      </c>
      <c r="AK191" s="2">
        <v>190.54</v>
      </c>
      <c r="AL191" s="2">
        <v>19.309999999999999</v>
      </c>
      <c r="AM191" s="2">
        <v>183.82</v>
      </c>
      <c r="AN191" s="2">
        <v>66.52</v>
      </c>
      <c r="AO191" s="2">
        <v>16.37</v>
      </c>
      <c r="AP191" s="2">
        <v>17.16</v>
      </c>
      <c r="AQ191" s="2">
        <v>31.02</v>
      </c>
      <c r="AR191" s="2">
        <v>20.03</v>
      </c>
      <c r="AU191" s="1" t="s">
        <v>66</v>
      </c>
      <c r="AV191" s="2">
        <v>1950.56</v>
      </c>
      <c r="AW191" s="2">
        <v>1849.51</v>
      </c>
      <c r="AX191" s="2">
        <v>966.22</v>
      </c>
      <c r="AY191" s="2">
        <v>993.15</v>
      </c>
      <c r="AZ191" s="2">
        <v>1492.78</v>
      </c>
      <c r="BA191" s="2">
        <v>1594.31</v>
      </c>
      <c r="BB191" s="2">
        <v>1622.5</v>
      </c>
      <c r="BC191" s="2">
        <v>1720.95</v>
      </c>
      <c r="BD191" s="2">
        <v>1621.61</v>
      </c>
      <c r="BE191" s="2">
        <v>1700.4</v>
      </c>
      <c r="BF191" s="2">
        <v>1650.03</v>
      </c>
      <c r="BG191" s="2">
        <v>1717.56</v>
      </c>
      <c r="BH191" s="2">
        <v>1655.36</v>
      </c>
      <c r="BI191" s="2">
        <v>1861.59</v>
      </c>
      <c r="BJ191" s="2">
        <v>1701.28</v>
      </c>
      <c r="BK191" s="2">
        <v>1766.78</v>
      </c>
      <c r="BL191" s="2">
        <v>1577.53</v>
      </c>
      <c r="BM191" s="2">
        <v>1653.74</v>
      </c>
      <c r="BN191" s="2">
        <v>1884.88</v>
      </c>
      <c r="BO191" s="2">
        <v>1930.17</v>
      </c>
    </row>
    <row r="192" spans="24:67" x14ac:dyDescent="0.3">
      <c r="X192" s="1" t="s">
        <v>67</v>
      </c>
      <c r="Y192" s="2">
        <v>14.92</v>
      </c>
      <c r="Z192" s="2">
        <v>15.55</v>
      </c>
      <c r="AA192" s="2">
        <v>8.1199999999999992</v>
      </c>
      <c r="AB192" s="2">
        <v>9.85</v>
      </c>
      <c r="AC192" s="2">
        <v>10.53</v>
      </c>
      <c r="AD192" s="2">
        <v>12.25</v>
      </c>
      <c r="AE192" s="2">
        <v>11.51</v>
      </c>
      <c r="AF192" s="2">
        <v>15.52</v>
      </c>
      <c r="AG192" s="2">
        <v>11.75</v>
      </c>
      <c r="AH192" s="2">
        <v>13.32</v>
      </c>
      <c r="AI192" s="2">
        <v>11.49</v>
      </c>
      <c r="AJ192" s="2">
        <v>14.57</v>
      </c>
      <c r="AK192" s="2">
        <v>12.86</v>
      </c>
      <c r="AL192" s="2">
        <v>14</v>
      </c>
      <c r="AM192" s="2">
        <v>13.42</v>
      </c>
      <c r="AN192" s="2">
        <v>13.65</v>
      </c>
      <c r="AO192" s="2">
        <v>13.07</v>
      </c>
      <c r="AP192" s="2">
        <v>15.2</v>
      </c>
      <c r="AQ192" s="2">
        <v>19</v>
      </c>
      <c r="AR192" s="2">
        <v>16.61</v>
      </c>
      <c r="AU192" s="1" t="s">
        <v>67</v>
      </c>
      <c r="AV192" s="2">
        <v>302.48</v>
      </c>
      <c r="AW192" s="2">
        <v>315.35000000000002</v>
      </c>
      <c r="AX192" s="2">
        <v>154.28</v>
      </c>
      <c r="AY192" s="2">
        <v>187.05</v>
      </c>
      <c r="AZ192" s="2">
        <v>192.77</v>
      </c>
      <c r="BA192" s="2">
        <v>232.75</v>
      </c>
      <c r="BB192" s="2">
        <v>218.59</v>
      </c>
      <c r="BC192" s="2">
        <v>278.68</v>
      </c>
      <c r="BD192" s="2">
        <v>238.25</v>
      </c>
      <c r="BE192" s="2">
        <v>260.08</v>
      </c>
      <c r="BF192" s="2">
        <v>232.71</v>
      </c>
      <c r="BG192" s="2">
        <v>283.83</v>
      </c>
      <c r="BH192" s="2">
        <v>260.83999999999997</v>
      </c>
      <c r="BI192" s="2">
        <v>282.10000000000002</v>
      </c>
      <c r="BJ192" s="2">
        <v>272.08</v>
      </c>
      <c r="BK192" s="2">
        <v>276.75</v>
      </c>
      <c r="BL192" s="2">
        <v>265.02999999999997</v>
      </c>
      <c r="BM192" s="2">
        <v>288.8</v>
      </c>
      <c r="BN192" s="2">
        <v>385.3</v>
      </c>
      <c r="BO192" s="2">
        <v>336.69</v>
      </c>
    </row>
    <row r="193" spans="24:67" x14ac:dyDescent="0.3">
      <c r="X193" s="1" t="s">
        <v>68</v>
      </c>
      <c r="Y193" s="2">
        <v>162.12</v>
      </c>
      <c r="Z193" s="2">
        <v>45.91</v>
      </c>
      <c r="AA193" s="2">
        <v>68.08</v>
      </c>
      <c r="AB193" s="2">
        <v>22.44</v>
      </c>
      <c r="AC193" s="2">
        <v>217.44</v>
      </c>
      <c r="AD193" s="2">
        <v>83</v>
      </c>
      <c r="AE193" s="2">
        <v>159.07</v>
      </c>
      <c r="AF193" s="2">
        <v>85.43</v>
      </c>
      <c r="AG193" s="2">
        <v>176.09</v>
      </c>
      <c r="AH193" s="2">
        <v>73.59</v>
      </c>
      <c r="AI193" s="2">
        <v>192.62</v>
      </c>
      <c r="AJ193" s="2">
        <v>78.06</v>
      </c>
      <c r="AK193" s="2">
        <v>221.04</v>
      </c>
      <c r="AL193" s="2">
        <v>85.34</v>
      </c>
      <c r="AM193" s="2">
        <v>216.21</v>
      </c>
      <c r="AN193" s="2">
        <v>69.84</v>
      </c>
      <c r="AO193" s="2">
        <v>84.27</v>
      </c>
      <c r="AP193" s="2">
        <v>71.56</v>
      </c>
      <c r="AQ193" s="2">
        <v>62.73</v>
      </c>
      <c r="AR193" s="2">
        <v>63.31</v>
      </c>
      <c r="AU193" s="1" t="s">
        <v>68</v>
      </c>
      <c r="AV193" s="2">
        <v>1510.56</v>
      </c>
      <c r="AW193" s="2">
        <v>928.49</v>
      </c>
      <c r="AX193" s="2">
        <v>701.91</v>
      </c>
      <c r="AY193" s="2">
        <v>426.36</v>
      </c>
      <c r="AZ193" s="2">
        <v>1207.9100000000001</v>
      </c>
      <c r="BA193" s="2">
        <v>1154.7</v>
      </c>
      <c r="BB193" s="2">
        <v>1259.83</v>
      </c>
      <c r="BC193" s="2">
        <v>1186.72</v>
      </c>
      <c r="BD193" s="2">
        <v>1323.61</v>
      </c>
      <c r="BE193" s="2">
        <v>1193.1500000000001</v>
      </c>
      <c r="BF193" s="2">
        <v>1370.65</v>
      </c>
      <c r="BG193" s="2">
        <v>1253.49</v>
      </c>
      <c r="BH193" s="2">
        <v>1478.49</v>
      </c>
      <c r="BI193" s="2">
        <v>1326.01</v>
      </c>
      <c r="BJ193" s="2">
        <v>1413.49</v>
      </c>
      <c r="BK193" s="2">
        <v>1190.05</v>
      </c>
      <c r="BL193" s="2">
        <v>1206.74</v>
      </c>
      <c r="BM193" s="2">
        <v>1255.44</v>
      </c>
      <c r="BN193" s="2">
        <v>1141.72</v>
      </c>
      <c r="BO193" s="2">
        <v>1117.73</v>
      </c>
    </row>
    <row r="194" spans="24:67" x14ac:dyDescent="0.3">
      <c r="X194" s="1" t="s">
        <v>69</v>
      </c>
      <c r="Y194" s="2">
        <v>37.18</v>
      </c>
      <c r="Z194" s="2">
        <v>26.34</v>
      </c>
      <c r="AA194" s="2">
        <v>16.309999999999999</v>
      </c>
      <c r="AB194" s="2">
        <v>12.08</v>
      </c>
      <c r="AC194" s="2">
        <v>55.84</v>
      </c>
      <c r="AD194" s="2">
        <v>32.28</v>
      </c>
      <c r="AE194" s="2">
        <v>49.49</v>
      </c>
      <c r="AF194" s="2">
        <v>29.3</v>
      </c>
      <c r="AG194" s="2">
        <v>50.39</v>
      </c>
      <c r="AH194" s="2">
        <v>26.49</v>
      </c>
      <c r="AI194" s="2">
        <v>50.78</v>
      </c>
      <c r="AJ194" s="2">
        <v>28.38</v>
      </c>
      <c r="AK194" s="2">
        <v>54.83</v>
      </c>
      <c r="AL194" s="2">
        <v>29.31</v>
      </c>
      <c r="AM194" s="2">
        <v>36.340000000000003</v>
      </c>
      <c r="AN194" s="2">
        <v>26.4</v>
      </c>
      <c r="AO194" s="2">
        <v>23.81</v>
      </c>
      <c r="AP194" s="2">
        <v>30.6</v>
      </c>
      <c r="AQ194" s="2">
        <v>27.37</v>
      </c>
      <c r="AR194" s="2">
        <v>28.08</v>
      </c>
      <c r="AU194" s="1" t="s">
        <v>69</v>
      </c>
      <c r="AV194" s="2">
        <v>628.72</v>
      </c>
      <c r="AW194" s="2">
        <v>412.06</v>
      </c>
      <c r="AX194" s="2">
        <v>290.86</v>
      </c>
      <c r="AY194" s="2">
        <v>229.52</v>
      </c>
      <c r="AZ194" s="2">
        <v>467.29</v>
      </c>
      <c r="BA194" s="2">
        <v>553.87</v>
      </c>
      <c r="BB194" s="2">
        <v>503.71</v>
      </c>
      <c r="BC194" s="2">
        <v>521.65</v>
      </c>
      <c r="BD194" s="2">
        <v>529.66</v>
      </c>
      <c r="BE194" s="2">
        <v>493.28</v>
      </c>
      <c r="BF194" s="2">
        <v>533.38</v>
      </c>
      <c r="BG194" s="2">
        <v>515.53</v>
      </c>
      <c r="BH194" s="2">
        <v>568.71</v>
      </c>
      <c r="BI194" s="2">
        <v>532.99</v>
      </c>
      <c r="BJ194" s="2">
        <v>527.16</v>
      </c>
      <c r="BK194" s="2">
        <v>478.7</v>
      </c>
      <c r="BL194" s="2">
        <v>438.89</v>
      </c>
      <c r="BM194" s="2">
        <v>525.6</v>
      </c>
      <c r="BN194" s="2">
        <v>480.13</v>
      </c>
      <c r="BO194" s="2">
        <v>482.06</v>
      </c>
    </row>
    <row r="195" spans="24:67" x14ac:dyDescent="0.3">
      <c r="X195" s="1" t="s">
        <v>70</v>
      </c>
      <c r="Y195" s="2">
        <v>203.46</v>
      </c>
      <c r="Z195" s="2">
        <v>195.66</v>
      </c>
      <c r="AA195" s="2">
        <v>104.45</v>
      </c>
      <c r="AB195" s="2">
        <v>66.48</v>
      </c>
      <c r="AC195" s="2">
        <v>170.54</v>
      </c>
      <c r="AD195" s="2">
        <v>164.3</v>
      </c>
      <c r="AE195" s="2">
        <v>99.65</v>
      </c>
      <c r="AF195" s="2">
        <v>164.35</v>
      </c>
      <c r="AG195" s="2">
        <v>137.22</v>
      </c>
      <c r="AH195" s="2">
        <v>155.15</v>
      </c>
      <c r="AI195" s="2">
        <v>120.45</v>
      </c>
      <c r="AJ195" s="2">
        <v>109.91</v>
      </c>
      <c r="AK195" s="2">
        <v>104.83</v>
      </c>
      <c r="AL195" s="2">
        <v>106.13</v>
      </c>
      <c r="AM195" s="2">
        <v>106</v>
      </c>
      <c r="AN195" s="2">
        <v>102.15</v>
      </c>
      <c r="AO195" s="2">
        <v>109.14</v>
      </c>
      <c r="AP195" s="2">
        <v>100.9</v>
      </c>
      <c r="AQ195" s="2">
        <v>121.24</v>
      </c>
      <c r="AR195" s="2">
        <v>121.03</v>
      </c>
      <c r="AU195" s="1" t="s">
        <v>70</v>
      </c>
      <c r="AV195" s="2">
        <v>1873.19</v>
      </c>
      <c r="AW195" s="2">
        <v>2409.84</v>
      </c>
      <c r="AX195" s="2">
        <v>1123.05</v>
      </c>
      <c r="AY195" s="2">
        <v>1263.02</v>
      </c>
      <c r="AZ195" s="2">
        <v>1578.46</v>
      </c>
      <c r="BA195" s="2">
        <v>1575.57</v>
      </c>
      <c r="BB195" s="2">
        <v>1893.35</v>
      </c>
      <c r="BC195" s="2">
        <v>1979.15</v>
      </c>
      <c r="BD195" s="2">
        <v>2091.2800000000002</v>
      </c>
      <c r="BE195" s="2">
        <v>2153.35</v>
      </c>
      <c r="BF195" s="2">
        <v>2080.5500000000002</v>
      </c>
      <c r="BG195" s="2">
        <v>2146.59</v>
      </c>
      <c r="BH195" s="2">
        <v>2109.17</v>
      </c>
      <c r="BI195" s="2">
        <v>2151.87</v>
      </c>
      <c r="BJ195" s="2">
        <v>2059.5</v>
      </c>
      <c r="BK195" s="2">
        <v>2013.85</v>
      </c>
      <c r="BL195" s="2">
        <v>2032.36</v>
      </c>
      <c r="BM195" s="2">
        <v>2003.6</v>
      </c>
      <c r="BN195" s="2">
        <v>2285.7600000000002</v>
      </c>
      <c r="BO195" s="2">
        <v>2453.9699999999998</v>
      </c>
    </row>
    <row r="196" spans="24:67" x14ac:dyDescent="0.3">
      <c r="X196" s="1" t="s">
        <v>71</v>
      </c>
      <c r="Y196" s="2">
        <v>42.11</v>
      </c>
      <c r="Z196" s="2">
        <v>37.99</v>
      </c>
      <c r="AA196" s="2">
        <v>12.34</v>
      </c>
      <c r="AB196" s="2">
        <v>8</v>
      </c>
      <c r="AC196" s="2">
        <v>31.49</v>
      </c>
      <c r="AD196" s="2">
        <v>28.52</v>
      </c>
      <c r="AE196" s="2">
        <v>13.64</v>
      </c>
      <c r="AF196" s="2">
        <v>25.66</v>
      </c>
      <c r="AG196" s="2">
        <v>13.71</v>
      </c>
      <c r="AH196" s="2">
        <v>29.43</v>
      </c>
      <c r="AI196" s="2">
        <v>15.65</v>
      </c>
      <c r="AJ196" s="2">
        <v>24.65</v>
      </c>
      <c r="AK196" s="2">
        <v>15.85</v>
      </c>
      <c r="AL196" s="2">
        <v>18.739999999999998</v>
      </c>
      <c r="AM196" s="2">
        <v>16.22</v>
      </c>
      <c r="AN196" s="2">
        <v>21</v>
      </c>
      <c r="AO196" s="2">
        <v>17.59</v>
      </c>
      <c r="AP196" s="2">
        <v>15.14</v>
      </c>
      <c r="AQ196" s="2">
        <v>18.420000000000002</v>
      </c>
      <c r="AR196" s="2">
        <v>11.93</v>
      </c>
      <c r="AU196" s="1" t="s">
        <v>71</v>
      </c>
      <c r="AV196" s="2">
        <v>414.52</v>
      </c>
      <c r="AW196" s="2">
        <v>384.82</v>
      </c>
      <c r="AX196" s="2">
        <v>234.47</v>
      </c>
      <c r="AY196" s="2">
        <v>152.06</v>
      </c>
      <c r="AZ196" s="2">
        <v>300.51</v>
      </c>
      <c r="BA196" s="2">
        <v>291.22000000000003</v>
      </c>
      <c r="BB196" s="2">
        <v>259.16000000000003</v>
      </c>
      <c r="BC196" s="2">
        <v>265.58999999999997</v>
      </c>
      <c r="BD196" s="2">
        <v>278.08999999999997</v>
      </c>
      <c r="BE196" s="2">
        <v>376.93</v>
      </c>
      <c r="BF196" s="2">
        <v>317.25</v>
      </c>
      <c r="BG196" s="2">
        <v>325.01</v>
      </c>
      <c r="BH196" s="2">
        <v>321.31</v>
      </c>
      <c r="BI196" s="2">
        <v>296.04000000000002</v>
      </c>
      <c r="BJ196" s="2">
        <v>328.89</v>
      </c>
      <c r="BK196" s="2">
        <v>332.72</v>
      </c>
      <c r="BL196" s="2">
        <v>356.6</v>
      </c>
      <c r="BM196" s="2">
        <v>286.39</v>
      </c>
      <c r="BN196" s="2">
        <v>373.4</v>
      </c>
      <c r="BO196" s="2">
        <v>241.87</v>
      </c>
    </row>
    <row r="197" spans="24:67" x14ac:dyDescent="0.3">
      <c r="X197" s="1" t="s">
        <v>72</v>
      </c>
      <c r="Y197" s="2">
        <v>129.32</v>
      </c>
      <c r="Z197" s="2">
        <v>143.86000000000001</v>
      </c>
      <c r="AA197" s="2">
        <v>35.97</v>
      </c>
      <c r="AB197" s="2">
        <v>50.88</v>
      </c>
      <c r="AC197" s="2">
        <v>100.85</v>
      </c>
      <c r="AD197" s="2">
        <v>115.48</v>
      </c>
      <c r="AE197" s="2">
        <v>74.599999999999994</v>
      </c>
      <c r="AF197" s="2">
        <v>148</v>
      </c>
      <c r="AG197" s="2">
        <v>56.92</v>
      </c>
      <c r="AH197" s="2">
        <v>159.38999999999999</v>
      </c>
      <c r="AI197" s="2">
        <v>65.39</v>
      </c>
      <c r="AJ197" s="2">
        <v>149.87</v>
      </c>
      <c r="AK197" s="2">
        <v>68.47</v>
      </c>
      <c r="AL197" s="2">
        <v>131.5</v>
      </c>
      <c r="AM197" s="2">
        <v>85.22</v>
      </c>
      <c r="AN197" s="2">
        <v>97.36</v>
      </c>
      <c r="AO197" s="2">
        <v>67.77</v>
      </c>
      <c r="AP197" s="2">
        <v>62.11</v>
      </c>
      <c r="AQ197" s="2">
        <v>60.16</v>
      </c>
      <c r="AR197" s="2">
        <v>53.59</v>
      </c>
      <c r="AU197" s="1" t="s">
        <v>72</v>
      </c>
      <c r="AV197" s="2">
        <v>1364.39</v>
      </c>
      <c r="AW197" s="2">
        <v>1528.02</v>
      </c>
      <c r="AX197" s="2">
        <v>673.02</v>
      </c>
      <c r="AY197" s="2">
        <v>667.16</v>
      </c>
      <c r="AZ197" s="2">
        <v>833.1</v>
      </c>
      <c r="BA197" s="2">
        <v>1231.78</v>
      </c>
      <c r="BB197" s="2">
        <v>976.25</v>
      </c>
      <c r="BC197" s="2">
        <v>992.37</v>
      </c>
      <c r="BD197" s="2">
        <v>974.36</v>
      </c>
      <c r="BE197" s="2">
        <v>1340.3</v>
      </c>
      <c r="BF197" s="2">
        <v>1030.48</v>
      </c>
      <c r="BG197" s="2">
        <v>1268.5899999999999</v>
      </c>
      <c r="BH197" s="2">
        <v>1069.93</v>
      </c>
      <c r="BI197" s="2">
        <v>1241.9000000000001</v>
      </c>
      <c r="BJ197" s="2">
        <v>1205.6199999999999</v>
      </c>
      <c r="BK197" s="2">
        <v>1196.02</v>
      </c>
      <c r="BL197" s="2">
        <v>1221.26</v>
      </c>
      <c r="BM197" s="2">
        <v>1086.82</v>
      </c>
      <c r="BN197" s="2">
        <v>1219.76</v>
      </c>
      <c r="BO197" s="2">
        <v>1086.58</v>
      </c>
    </row>
    <row r="198" spans="24:67" x14ac:dyDescent="0.3">
      <c r="X198" s="1" t="s">
        <v>73</v>
      </c>
      <c r="Y198" s="2">
        <v>55.16</v>
      </c>
      <c r="Z198" s="2">
        <v>51.71</v>
      </c>
      <c r="AA198" s="2">
        <v>20.91</v>
      </c>
      <c r="AB198" s="2">
        <v>22.44</v>
      </c>
      <c r="AC198" s="2">
        <v>33.72</v>
      </c>
      <c r="AD198" s="2">
        <v>37.71</v>
      </c>
      <c r="AE198" s="2">
        <v>40.17</v>
      </c>
      <c r="AF198" s="2">
        <v>50.21</v>
      </c>
      <c r="AG198" s="2">
        <v>39.58</v>
      </c>
      <c r="AH198" s="2">
        <v>46.67</v>
      </c>
      <c r="AI198" s="2">
        <v>54.16</v>
      </c>
      <c r="AJ198" s="2">
        <v>48.78</v>
      </c>
      <c r="AK198" s="2">
        <v>55.02</v>
      </c>
      <c r="AL198" s="2">
        <v>46.18</v>
      </c>
      <c r="AM198" s="2">
        <v>56.21</v>
      </c>
      <c r="AN198" s="2">
        <v>52.58</v>
      </c>
      <c r="AO198" s="2">
        <v>57.66</v>
      </c>
      <c r="AP198" s="2">
        <v>54.65</v>
      </c>
      <c r="AQ198" s="2">
        <v>59.26</v>
      </c>
      <c r="AR198" s="2">
        <v>48.59</v>
      </c>
      <c r="AU198" s="1" t="s">
        <v>73</v>
      </c>
      <c r="AV198" s="2">
        <v>926.44</v>
      </c>
      <c r="AW198" s="2">
        <v>1000.39</v>
      </c>
      <c r="AX198" s="2">
        <v>397.29</v>
      </c>
      <c r="AY198" s="2">
        <v>426.36</v>
      </c>
      <c r="AZ198" s="2">
        <v>640.67999999999995</v>
      </c>
      <c r="BA198" s="2">
        <v>716.19</v>
      </c>
      <c r="BB198" s="2">
        <v>763.23</v>
      </c>
      <c r="BC198" s="2">
        <v>734.24</v>
      </c>
      <c r="BD198" s="2">
        <v>802.52</v>
      </c>
      <c r="BE198" s="2">
        <v>753.99</v>
      </c>
      <c r="BF198" s="2">
        <v>804.14</v>
      </c>
      <c r="BG198" s="2">
        <v>796.35</v>
      </c>
      <c r="BH198" s="2">
        <v>814.38</v>
      </c>
      <c r="BI198" s="2">
        <v>849.32</v>
      </c>
      <c r="BJ198" s="2">
        <v>803.89</v>
      </c>
      <c r="BK198" s="2">
        <v>811.12</v>
      </c>
      <c r="BL198" s="2">
        <v>787.74</v>
      </c>
      <c r="BM198" s="2">
        <v>772.45</v>
      </c>
      <c r="BN198" s="2">
        <v>832.64</v>
      </c>
      <c r="BO198" s="2">
        <v>985.21</v>
      </c>
    </row>
    <row r="201" spans="24:67" x14ac:dyDescent="0.3">
      <c r="X201" t="s">
        <v>49</v>
      </c>
      <c r="AU201" t="s">
        <v>50</v>
      </c>
    </row>
    <row r="202" spans="24:67" x14ac:dyDescent="0.3">
      <c r="X202" s="1" t="s">
        <v>6</v>
      </c>
      <c r="Y202" s="1" t="s">
        <v>63</v>
      </c>
      <c r="Z202" s="1" t="s">
        <v>64</v>
      </c>
      <c r="AA202" s="1" t="s">
        <v>63</v>
      </c>
      <c r="AB202" s="1" t="s">
        <v>64</v>
      </c>
      <c r="AC202" s="1" t="s">
        <v>63</v>
      </c>
      <c r="AD202" s="1" t="s">
        <v>64</v>
      </c>
      <c r="AE202" s="1" t="s">
        <v>63</v>
      </c>
      <c r="AF202" s="1" t="s">
        <v>64</v>
      </c>
      <c r="AG202" s="1" t="s">
        <v>63</v>
      </c>
      <c r="AH202" s="1" t="s">
        <v>64</v>
      </c>
      <c r="AI202" s="1" t="s">
        <v>63</v>
      </c>
      <c r="AJ202" s="1" t="s">
        <v>64</v>
      </c>
      <c r="AK202" s="1" t="s">
        <v>63</v>
      </c>
      <c r="AL202" s="1" t="s">
        <v>64</v>
      </c>
      <c r="AM202" s="1" t="s">
        <v>63</v>
      </c>
      <c r="AN202" s="1" t="s">
        <v>64</v>
      </c>
      <c r="AO202" s="1" t="s">
        <v>63</v>
      </c>
      <c r="AP202" s="1" t="s">
        <v>64</v>
      </c>
      <c r="AQ202" s="1" t="s">
        <v>63</v>
      </c>
      <c r="AR202" s="1" t="s">
        <v>64</v>
      </c>
      <c r="AU202" s="1" t="s">
        <v>6</v>
      </c>
      <c r="AV202" s="3" t="s">
        <v>63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64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65</v>
      </c>
      <c r="Y203" s="1" t="s">
        <v>53</v>
      </c>
      <c r="Z203" s="1" t="s">
        <v>53</v>
      </c>
      <c r="AA203" s="1" t="s">
        <v>54</v>
      </c>
      <c r="AB203" s="1" t="s">
        <v>54</v>
      </c>
      <c r="AC203" s="1" t="s">
        <v>55</v>
      </c>
      <c r="AD203" s="1" t="s">
        <v>55</v>
      </c>
      <c r="AE203" s="1" t="s">
        <v>56</v>
      </c>
      <c r="AF203" s="1" t="s">
        <v>56</v>
      </c>
      <c r="AG203" s="1" t="s">
        <v>57</v>
      </c>
      <c r="AH203" s="1" t="s">
        <v>57</v>
      </c>
      <c r="AI203" s="1" t="s">
        <v>58</v>
      </c>
      <c r="AJ203" s="1" t="s">
        <v>58</v>
      </c>
      <c r="AK203" s="1" t="s">
        <v>59</v>
      </c>
      <c r="AL203" s="1" t="s">
        <v>59</v>
      </c>
      <c r="AM203" s="1" t="s">
        <v>60</v>
      </c>
      <c r="AN203" s="1" t="s">
        <v>60</v>
      </c>
      <c r="AO203" s="1" t="s">
        <v>61</v>
      </c>
      <c r="AP203" s="1" t="s">
        <v>61</v>
      </c>
      <c r="AQ203" s="1" t="s">
        <v>62</v>
      </c>
      <c r="AR203" s="1" t="s">
        <v>62</v>
      </c>
      <c r="AU203" s="1" t="s">
        <v>65</v>
      </c>
      <c r="AV203" s="1" t="s">
        <v>53</v>
      </c>
      <c r="AW203" s="1" t="s">
        <v>62</v>
      </c>
      <c r="AX203" s="1" t="s">
        <v>54</v>
      </c>
      <c r="AY203" s="1" t="s">
        <v>55</v>
      </c>
      <c r="AZ203" s="1" t="s">
        <v>56</v>
      </c>
      <c r="BA203" s="1" t="s">
        <v>57</v>
      </c>
      <c r="BB203" s="1" t="s">
        <v>58</v>
      </c>
      <c r="BC203" s="1" t="s">
        <v>59</v>
      </c>
      <c r="BD203" s="1" t="s">
        <v>60</v>
      </c>
      <c r="BE203" s="1" t="s">
        <v>61</v>
      </c>
      <c r="BF203" s="1" t="s">
        <v>53</v>
      </c>
      <c r="BG203" s="1" t="s">
        <v>62</v>
      </c>
      <c r="BH203" s="1" t="s">
        <v>54</v>
      </c>
      <c r="BI203" s="1" t="s">
        <v>55</v>
      </c>
      <c r="BJ203" s="1" t="s">
        <v>56</v>
      </c>
      <c r="BK203" s="1" t="s">
        <v>57</v>
      </c>
      <c r="BL203" s="1" t="s">
        <v>58</v>
      </c>
      <c r="BM203" s="1" t="s">
        <v>59</v>
      </c>
      <c r="BN203" s="1" t="s">
        <v>60</v>
      </c>
      <c r="BO203" s="1" t="s">
        <v>61</v>
      </c>
    </row>
    <row r="204" spans="24:67" x14ac:dyDescent="0.3">
      <c r="X204" s="1" t="s">
        <v>7</v>
      </c>
      <c r="AU204" s="1" t="s">
        <v>7</v>
      </c>
    </row>
    <row r="205" spans="24:67" x14ac:dyDescent="0.3">
      <c r="X205" s="1" t="s">
        <v>66</v>
      </c>
      <c r="Y205" s="2">
        <v>0.99</v>
      </c>
      <c r="Z205" s="2">
        <v>0.99</v>
      </c>
      <c r="AA205" s="2">
        <v>1</v>
      </c>
      <c r="AB205" s="2">
        <v>1</v>
      </c>
      <c r="AC205" s="2">
        <v>1</v>
      </c>
      <c r="AD205" s="2">
        <v>0.99</v>
      </c>
      <c r="AE205" s="2">
        <v>0.99</v>
      </c>
      <c r="AF205" s="2">
        <v>0.99</v>
      </c>
      <c r="AG205" s="2">
        <v>0.59</v>
      </c>
      <c r="AH205" s="2">
        <v>0.59</v>
      </c>
      <c r="AI205" s="2">
        <v>0.59</v>
      </c>
      <c r="AJ205" s="2">
        <v>0.59</v>
      </c>
      <c r="AK205" s="2">
        <v>0.59</v>
      </c>
      <c r="AL205" s="2">
        <v>0.59</v>
      </c>
      <c r="AM205" s="2">
        <v>0.59</v>
      </c>
      <c r="AN205" s="2">
        <v>0.59</v>
      </c>
      <c r="AO205" s="2">
        <v>0.59</v>
      </c>
      <c r="AP205" s="2">
        <v>0.59</v>
      </c>
      <c r="AQ205" s="2">
        <v>0.59</v>
      </c>
      <c r="AR205" s="2">
        <v>0.59</v>
      </c>
      <c r="AU205" s="1" t="s">
        <v>66</v>
      </c>
      <c r="AV205" s="2">
        <v>336.7</v>
      </c>
      <c r="AW205" s="2">
        <v>1058.4000000000001</v>
      </c>
      <c r="AX205" s="2">
        <v>139.22999999999999</v>
      </c>
      <c r="AY205" s="2">
        <v>114.8</v>
      </c>
      <c r="AZ205" s="2">
        <v>535.36</v>
      </c>
      <c r="BA205" s="2">
        <v>655.20000000000005</v>
      </c>
      <c r="BB205" s="2">
        <v>962.64</v>
      </c>
      <c r="BC205" s="2">
        <v>984.55</v>
      </c>
      <c r="BD205" s="2">
        <v>957.6</v>
      </c>
      <c r="BE205" s="2">
        <v>673.54</v>
      </c>
      <c r="BF205" s="2">
        <v>314.86</v>
      </c>
      <c r="BG205" s="2">
        <v>822.15</v>
      </c>
      <c r="BH205" s="2">
        <v>128.31</v>
      </c>
      <c r="BI205" s="2">
        <v>101.5</v>
      </c>
      <c r="BJ205" s="2">
        <v>464.8</v>
      </c>
      <c r="BK205" s="2">
        <v>603.4</v>
      </c>
      <c r="BL205" s="2">
        <v>995.4</v>
      </c>
      <c r="BM205" s="2">
        <v>655.69</v>
      </c>
      <c r="BN205" s="2">
        <v>859.18</v>
      </c>
      <c r="BO205" s="2">
        <v>673.54</v>
      </c>
    </row>
    <row r="206" spans="24:67" x14ac:dyDescent="0.3">
      <c r="X206" s="1" t="s">
        <v>67</v>
      </c>
      <c r="Y206" s="2">
        <v>0.22</v>
      </c>
      <c r="Z206" s="2">
        <v>0.17</v>
      </c>
      <c r="AA206" s="2">
        <v>0.21</v>
      </c>
      <c r="AB206" s="2">
        <v>0.19</v>
      </c>
      <c r="AC206" s="2">
        <v>0.16</v>
      </c>
      <c r="AD206" s="2">
        <v>0.18</v>
      </c>
      <c r="AE206" s="2">
        <v>0.2</v>
      </c>
      <c r="AF206" s="2">
        <v>0.17</v>
      </c>
      <c r="AG206" s="2">
        <v>0.16</v>
      </c>
      <c r="AH206" s="2">
        <v>7.0000000000000007E-2</v>
      </c>
      <c r="AI206" s="2">
        <v>0.2</v>
      </c>
      <c r="AJ206" s="2">
        <v>7.0000000000000007E-2</v>
      </c>
      <c r="AK206" s="2">
        <v>0.15</v>
      </c>
      <c r="AL206" s="2">
        <v>0.1</v>
      </c>
      <c r="AM206" s="2">
        <v>0.14000000000000001</v>
      </c>
      <c r="AN206" s="2">
        <v>0.08</v>
      </c>
      <c r="AO206" s="2">
        <v>0.13</v>
      </c>
      <c r="AP206" s="2">
        <v>0.04</v>
      </c>
      <c r="AQ206" s="2">
        <v>0.11</v>
      </c>
      <c r="AR206" s="2">
        <v>0.02</v>
      </c>
      <c r="AU206" s="1" t="s">
        <v>67</v>
      </c>
      <c r="AV206" s="2">
        <v>19.239999999999998</v>
      </c>
      <c r="AW206" s="2">
        <v>72.900000000000006</v>
      </c>
      <c r="AX206" s="2">
        <v>6.63</v>
      </c>
      <c r="AY206" s="2">
        <v>5.7</v>
      </c>
      <c r="AZ206" s="2">
        <v>28.16</v>
      </c>
      <c r="BA206" s="2">
        <v>34.4</v>
      </c>
      <c r="BB206" s="2">
        <v>44.28</v>
      </c>
      <c r="BC206" s="2">
        <v>32.479999999999997</v>
      </c>
      <c r="BD206" s="2">
        <v>42.56</v>
      </c>
      <c r="BE206" s="2">
        <v>58.48</v>
      </c>
      <c r="BF206" s="2">
        <v>22.49</v>
      </c>
      <c r="BG206" s="2">
        <v>33.75</v>
      </c>
      <c r="BH206" s="2">
        <v>6.63</v>
      </c>
      <c r="BI206" s="2">
        <v>6.95</v>
      </c>
      <c r="BJ206" s="2">
        <v>32.159999999999997</v>
      </c>
      <c r="BK206" s="2">
        <v>64</v>
      </c>
      <c r="BL206" s="2">
        <v>93.24</v>
      </c>
      <c r="BM206" s="2">
        <v>82.94</v>
      </c>
      <c r="BN206" s="2">
        <v>61.18</v>
      </c>
      <c r="BO206" s="2">
        <v>29.24</v>
      </c>
    </row>
    <row r="207" spans="24:67" x14ac:dyDescent="0.3">
      <c r="X207" s="1" t="s">
        <v>68</v>
      </c>
      <c r="Y207" s="2">
        <v>0.38</v>
      </c>
      <c r="Z207" s="2">
        <v>0.13</v>
      </c>
      <c r="AA207" s="2">
        <v>0.38</v>
      </c>
      <c r="AB207" s="2">
        <v>0.16</v>
      </c>
      <c r="AC207" s="2">
        <v>0.34</v>
      </c>
      <c r="AD207" s="2">
        <v>0.3</v>
      </c>
      <c r="AE207" s="2">
        <v>0.32</v>
      </c>
      <c r="AF207" s="2">
        <v>0.14000000000000001</v>
      </c>
      <c r="AG207" s="2">
        <v>0.31</v>
      </c>
      <c r="AH207" s="2">
        <v>0.08</v>
      </c>
      <c r="AI207" s="2">
        <v>0.33</v>
      </c>
      <c r="AJ207" s="2">
        <v>0.08</v>
      </c>
      <c r="AK207" s="2">
        <v>0.32</v>
      </c>
      <c r="AL207" s="2">
        <v>0.09</v>
      </c>
      <c r="AM207" s="2">
        <v>0.31</v>
      </c>
      <c r="AN207" s="2">
        <v>7.0000000000000007E-2</v>
      </c>
      <c r="AO207" s="2">
        <v>0.11</v>
      </c>
      <c r="AP207" s="2">
        <v>0.04</v>
      </c>
      <c r="AQ207" s="2">
        <v>0.04</v>
      </c>
      <c r="AR207" s="2">
        <v>0.03</v>
      </c>
      <c r="AU207" s="1" t="s">
        <v>68</v>
      </c>
      <c r="AV207" s="2">
        <v>50.13</v>
      </c>
      <c r="AW207" s="2">
        <v>236.18</v>
      </c>
      <c r="AX207" s="2">
        <v>18.32</v>
      </c>
      <c r="AY207" s="2">
        <v>16.670000000000002</v>
      </c>
      <c r="AZ207" s="2">
        <v>54.27</v>
      </c>
      <c r="BA207" s="2">
        <v>140.4</v>
      </c>
      <c r="BB207" s="2">
        <v>257.94</v>
      </c>
      <c r="BC207" s="2">
        <v>246.95</v>
      </c>
      <c r="BD207" s="2">
        <v>261.69</v>
      </c>
      <c r="BE207" s="2">
        <v>239.15</v>
      </c>
      <c r="BF207" s="2">
        <v>47.97</v>
      </c>
      <c r="BG207" s="2">
        <v>236.03</v>
      </c>
      <c r="BH207" s="2">
        <v>24.96</v>
      </c>
      <c r="BI207" s="2">
        <v>21.36</v>
      </c>
      <c r="BJ207" s="2">
        <v>90.8</v>
      </c>
      <c r="BK207" s="2">
        <v>185.3</v>
      </c>
      <c r="BL207" s="2">
        <v>347.58</v>
      </c>
      <c r="BM207" s="2">
        <v>292.47000000000003</v>
      </c>
      <c r="BN207" s="2">
        <v>241.5</v>
      </c>
      <c r="BO207" s="2">
        <v>238.97</v>
      </c>
    </row>
    <row r="208" spans="24:67" x14ac:dyDescent="0.3">
      <c r="X208" s="1" t="s">
        <v>69</v>
      </c>
      <c r="Y208" s="2">
        <v>0.37</v>
      </c>
      <c r="Z208" s="2">
        <v>0.16</v>
      </c>
      <c r="AA208" s="2">
        <v>0.37</v>
      </c>
      <c r="AB208" s="2">
        <v>0.19</v>
      </c>
      <c r="AC208" s="2">
        <v>0.35</v>
      </c>
      <c r="AD208" s="2">
        <v>0.37</v>
      </c>
      <c r="AE208" s="2">
        <v>0.34</v>
      </c>
      <c r="AF208" s="2">
        <v>0.22</v>
      </c>
      <c r="AG208" s="2">
        <v>0.31</v>
      </c>
      <c r="AH208" s="2">
        <v>0.14000000000000001</v>
      </c>
      <c r="AI208" s="2">
        <v>0.31</v>
      </c>
      <c r="AJ208" s="2">
        <v>0.12</v>
      </c>
      <c r="AK208" s="2">
        <v>0.31</v>
      </c>
      <c r="AL208" s="2">
        <v>0.13</v>
      </c>
      <c r="AM208" s="2">
        <v>0.23</v>
      </c>
      <c r="AN208" s="2">
        <v>0.1</v>
      </c>
      <c r="AO208" s="2">
        <v>0.1</v>
      </c>
      <c r="AP208" s="2">
        <v>0.08</v>
      </c>
      <c r="AQ208" s="2">
        <v>7.0000000000000007E-2</v>
      </c>
      <c r="AR208" s="2">
        <v>0.06</v>
      </c>
      <c r="AU208" s="1" t="s">
        <v>69</v>
      </c>
      <c r="AV208" s="2">
        <v>25.98</v>
      </c>
      <c r="AW208" s="2">
        <v>72.900000000000006</v>
      </c>
      <c r="AX208" s="2">
        <v>5.36</v>
      </c>
      <c r="AY208" s="2">
        <v>11.22</v>
      </c>
      <c r="AZ208" s="2">
        <v>40.159999999999997</v>
      </c>
      <c r="BA208" s="2">
        <v>69.209999999999994</v>
      </c>
      <c r="BB208" s="2">
        <v>113.57</v>
      </c>
      <c r="BC208" s="2">
        <v>108.75</v>
      </c>
      <c r="BD208" s="2">
        <v>99.18</v>
      </c>
      <c r="BE208" s="2">
        <v>79.56</v>
      </c>
      <c r="BF208" s="2">
        <v>17.68</v>
      </c>
      <c r="BG208" s="2">
        <v>84.17</v>
      </c>
      <c r="BH208" s="2">
        <v>11.57</v>
      </c>
      <c r="BI208" s="2">
        <v>6.95</v>
      </c>
      <c r="BJ208" s="2">
        <v>30.25</v>
      </c>
      <c r="BK208" s="2">
        <v>32.01</v>
      </c>
      <c r="BL208" s="2">
        <v>62.29</v>
      </c>
      <c r="BM208" s="2">
        <v>54.23</v>
      </c>
      <c r="BN208" s="2">
        <v>66.12</v>
      </c>
      <c r="BO208" s="2">
        <v>75.48</v>
      </c>
    </row>
    <row r="209" spans="24:67" x14ac:dyDescent="0.3">
      <c r="X209" s="1" t="s">
        <v>70</v>
      </c>
      <c r="Y209" s="2">
        <v>0.31</v>
      </c>
      <c r="Z209" s="2">
        <v>0.3</v>
      </c>
      <c r="AA209" s="2">
        <v>0.33</v>
      </c>
      <c r="AB209" s="2">
        <v>0.22</v>
      </c>
      <c r="AC209" s="2">
        <v>0.31</v>
      </c>
      <c r="AD209" s="2">
        <v>0.32</v>
      </c>
      <c r="AE209" s="2">
        <v>0.17</v>
      </c>
      <c r="AF209" s="2">
        <v>0.28000000000000003</v>
      </c>
      <c r="AG209" s="2">
        <v>0.23</v>
      </c>
      <c r="AH209" s="2">
        <v>0.25</v>
      </c>
      <c r="AI209" s="2">
        <v>0.2</v>
      </c>
      <c r="AJ209" s="2">
        <v>0.19</v>
      </c>
      <c r="AK209" s="2">
        <v>0.17</v>
      </c>
      <c r="AL209" s="2">
        <v>0.17</v>
      </c>
      <c r="AM209" s="2">
        <v>0.12</v>
      </c>
      <c r="AN209" s="2">
        <v>0.13</v>
      </c>
      <c r="AO209" s="2">
        <v>0.1</v>
      </c>
      <c r="AP209" s="2">
        <v>0.09</v>
      </c>
      <c r="AQ209" s="2">
        <v>0.09</v>
      </c>
      <c r="AR209" s="2">
        <v>0.06</v>
      </c>
      <c r="AU209" s="1" t="s">
        <v>70</v>
      </c>
      <c r="AV209" s="2">
        <v>78.25</v>
      </c>
      <c r="AW209" s="2">
        <v>391.5</v>
      </c>
      <c r="AX209" s="2">
        <v>74.75</v>
      </c>
      <c r="AY209" s="2">
        <v>25.25</v>
      </c>
      <c r="AZ209" s="2">
        <v>100.8</v>
      </c>
      <c r="BA209" s="2">
        <v>185</v>
      </c>
      <c r="BB209" s="2">
        <v>311.39999999999998</v>
      </c>
      <c r="BC209" s="2">
        <v>252.3</v>
      </c>
      <c r="BD209" s="2">
        <v>305.89999999999998</v>
      </c>
      <c r="BE209" s="2">
        <v>292.39999999999998</v>
      </c>
      <c r="BF209" s="2">
        <v>79.95</v>
      </c>
      <c r="BG209" s="2">
        <v>364.5</v>
      </c>
      <c r="BH209" s="2">
        <v>74.75</v>
      </c>
      <c r="BI209" s="2">
        <v>22.76</v>
      </c>
      <c r="BJ209" s="2">
        <v>110.4</v>
      </c>
      <c r="BK209" s="2">
        <v>197</v>
      </c>
      <c r="BL209" s="2">
        <v>333</v>
      </c>
      <c r="BM209" s="2">
        <v>271.14999999999998</v>
      </c>
      <c r="BN209" s="2">
        <v>283.10000000000002</v>
      </c>
      <c r="BO209" s="2">
        <v>272</v>
      </c>
    </row>
    <row r="210" spans="24:67" x14ac:dyDescent="0.3">
      <c r="X210" s="1" t="s">
        <v>71</v>
      </c>
      <c r="Y210" s="2">
        <v>0.34</v>
      </c>
      <c r="Z210" s="2">
        <v>0.35</v>
      </c>
      <c r="AA210" s="2">
        <v>0.37</v>
      </c>
      <c r="AB210" s="2">
        <v>0.37</v>
      </c>
      <c r="AC210" s="2">
        <v>0.32</v>
      </c>
      <c r="AD210" s="2">
        <v>0.34</v>
      </c>
      <c r="AE210" s="2">
        <v>0.18</v>
      </c>
      <c r="AF210" s="2">
        <v>0.28999999999999998</v>
      </c>
      <c r="AG210" s="2">
        <v>0.12</v>
      </c>
      <c r="AH210" s="2">
        <v>0.3</v>
      </c>
      <c r="AI210" s="2">
        <v>0.15</v>
      </c>
      <c r="AJ210" s="2">
        <v>0.31</v>
      </c>
      <c r="AK210" s="2">
        <v>0.15</v>
      </c>
      <c r="AL210" s="2">
        <v>0.27</v>
      </c>
      <c r="AM210" s="2">
        <v>0.15</v>
      </c>
      <c r="AN210" s="2">
        <v>0.26</v>
      </c>
      <c r="AO210" s="2">
        <v>0.13</v>
      </c>
      <c r="AP210" s="2">
        <v>0.23</v>
      </c>
      <c r="AQ210" s="2">
        <v>0.09</v>
      </c>
      <c r="AR210" s="2">
        <v>7.0000000000000007E-2</v>
      </c>
      <c r="AU210" s="1" t="s">
        <v>71</v>
      </c>
      <c r="AV210" s="2">
        <v>15.42</v>
      </c>
      <c r="AW210" s="2">
        <v>67.05</v>
      </c>
      <c r="AX210" s="2">
        <v>6.63</v>
      </c>
      <c r="AY210" s="2">
        <v>4.46</v>
      </c>
      <c r="AZ210" s="2">
        <v>16.16</v>
      </c>
      <c r="BA210" s="2">
        <v>24.6</v>
      </c>
      <c r="BB210" s="2">
        <v>44.28</v>
      </c>
      <c r="BC210" s="2">
        <v>32.49</v>
      </c>
      <c r="BD210" s="2">
        <v>66.14</v>
      </c>
      <c r="BE210" s="2">
        <v>62.92</v>
      </c>
      <c r="BF210" s="2">
        <v>8.49</v>
      </c>
      <c r="BG210" s="2">
        <v>50.4</v>
      </c>
      <c r="BH210" s="2">
        <v>2.92</v>
      </c>
      <c r="BI210" s="2">
        <v>3.8</v>
      </c>
      <c r="BJ210" s="2">
        <v>10.49</v>
      </c>
      <c r="BK210" s="2">
        <v>48.08</v>
      </c>
      <c r="BL210" s="2">
        <v>60.69</v>
      </c>
      <c r="BM210" s="2">
        <v>46.99</v>
      </c>
      <c r="BN210" s="2">
        <v>61.18</v>
      </c>
      <c r="BO210" s="2">
        <v>33.32</v>
      </c>
    </row>
    <row r="211" spans="24:67" x14ac:dyDescent="0.3">
      <c r="X211" s="1" t="s">
        <v>72</v>
      </c>
      <c r="Y211" s="2">
        <v>0.37</v>
      </c>
      <c r="Z211" s="2">
        <v>0.38</v>
      </c>
      <c r="AA211" s="2">
        <v>0.28999999999999998</v>
      </c>
      <c r="AB211" s="2">
        <v>0.37</v>
      </c>
      <c r="AC211" s="2">
        <v>0.26</v>
      </c>
      <c r="AD211" s="2">
        <v>0.37</v>
      </c>
      <c r="AE211" s="2">
        <v>0.2</v>
      </c>
      <c r="AF211" s="2">
        <v>0.31</v>
      </c>
      <c r="AG211" s="2">
        <v>0.11</v>
      </c>
      <c r="AH211" s="2">
        <v>0.32</v>
      </c>
      <c r="AI211" s="2">
        <v>0.13</v>
      </c>
      <c r="AJ211" s="2">
        <v>0.32</v>
      </c>
      <c r="AK211" s="2">
        <v>0.13</v>
      </c>
      <c r="AL211" s="2">
        <v>0.28999999999999998</v>
      </c>
      <c r="AM211" s="2">
        <v>0.15</v>
      </c>
      <c r="AN211" s="2">
        <v>0.2</v>
      </c>
      <c r="AO211" s="2">
        <v>0.1</v>
      </c>
      <c r="AP211" s="2">
        <v>0.11</v>
      </c>
      <c r="AQ211" s="2">
        <v>0.08</v>
      </c>
      <c r="AR211" s="2">
        <v>7.0000000000000007E-2</v>
      </c>
      <c r="AU211" s="1" t="s">
        <v>72</v>
      </c>
      <c r="AV211" s="2">
        <v>66.19</v>
      </c>
      <c r="AW211" s="2">
        <v>135.78</v>
      </c>
      <c r="AX211" s="2">
        <v>26.98</v>
      </c>
      <c r="AY211" s="2">
        <v>15.56</v>
      </c>
      <c r="AZ211" s="2">
        <v>78.58</v>
      </c>
      <c r="BA211" s="2">
        <v>112.69</v>
      </c>
      <c r="BB211" s="2">
        <v>215.83</v>
      </c>
      <c r="BC211" s="2">
        <v>187.91</v>
      </c>
      <c r="BD211" s="2">
        <v>220.11</v>
      </c>
      <c r="BE211" s="2">
        <v>158.28</v>
      </c>
      <c r="BF211" s="2">
        <v>94.1</v>
      </c>
      <c r="BG211" s="2">
        <v>236.87</v>
      </c>
      <c r="BH211" s="2">
        <v>39.82</v>
      </c>
      <c r="BI211" s="2">
        <v>35.270000000000003</v>
      </c>
      <c r="BJ211" s="2">
        <v>116.57</v>
      </c>
      <c r="BK211" s="2">
        <v>194.55</v>
      </c>
      <c r="BL211" s="2">
        <v>322.08999999999997</v>
      </c>
      <c r="BM211" s="2">
        <v>260.13</v>
      </c>
      <c r="BN211" s="2">
        <v>242.92</v>
      </c>
      <c r="BO211" s="2">
        <v>238.85</v>
      </c>
    </row>
    <row r="212" spans="24:67" x14ac:dyDescent="0.3">
      <c r="X212" s="1" t="s">
        <v>73</v>
      </c>
      <c r="Y212" s="2">
        <v>0.17</v>
      </c>
      <c r="Z212" s="2">
        <v>0.21</v>
      </c>
      <c r="AA212" s="2">
        <v>0.26</v>
      </c>
      <c r="AB212" s="2">
        <v>0.24</v>
      </c>
      <c r="AC212" s="2">
        <v>0.99</v>
      </c>
      <c r="AD212" s="2">
        <v>0.22</v>
      </c>
      <c r="AE212" s="2">
        <v>0.18</v>
      </c>
      <c r="AF212" s="2">
        <v>0.23</v>
      </c>
      <c r="AG212" s="2">
        <v>0.06</v>
      </c>
      <c r="AH212" s="2">
        <v>0.19</v>
      </c>
      <c r="AI212" s="2">
        <v>0.12</v>
      </c>
      <c r="AJ212" s="2">
        <v>0.19</v>
      </c>
      <c r="AK212" s="2">
        <v>0.14000000000000001</v>
      </c>
      <c r="AL212" s="2">
        <v>0.16</v>
      </c>
      <c r="AM212" s="2">
        <v>0.11</v>
      </c>
      <c r="AN212" s="2">
        <v>0.1</v>
      </c>
      <c r="AO212" s="2">
        <v>0.09</v>
      </c>
      <c r="AP212" s="2">
        <v>0.06</v>
      </c>
      <c r="AQ212" s="2">
        <v>7.0000000000000007E-2</v>
      </c>
      <c r="AR212" s="2">
        <v>0.04</v>
      </c>
      <c r="AU212" s="1" t="s">
        <v>73</v>
      </c>
      <c r="AV212" s="2">
        <v>139.62</v>
      </c>
      <c r="AW212" s="2">
        <v>336.15</v>
      </c>
      <c r="AX212" s="2">
        <v>44.85</v>
      </c>
      <c r="AY212" s="2">
        <v>43.5</v>
      </c>
      <c r="AZ212" s="2">
        <v>192.96</v>
      </c>
      <c r="BA212" s="2">
        <v>280.8</v>
      </c>
      <c r="BB212" s="2">
        <v>359.64</v>
      </c>
      <c r="BC212" s="2">
        <v>346.26</v>
      </c>
      <c r="BD212" s="2">
        <v>339.72</v>
      </c>
      <c r="BE212" s="2">
        <v>175.44</v>
      </c>
      <c r="BF212" s="2">
        <v>110.76</v>
      </c>
      <c r="BG212" s="2">
        <v>336.15</v>
      </c>
      <c r="BH212" s="2">
        <v>49.92</v>
      </c>
      <c r="BI212" s="2">
        <v>37.950000000000003</v>
      </c>
      <c r="BJ212" s="2">
        <v>143.81</v>
      </c>
      <c r="BK212" s="2">
        <v>149.94999999999999</v>
      </c>
      <c r="BL212" s="2">
        <v>201.67</v>
      </c>
      <c r="BM212" s="2">
        <v>227.07</v>
      </c>
      <c r="BN212" s="2">
        <v>254.22</v>
      </c>
      <c r="BO212" s="2">
        <v>288.66000000000003</v>
      </c>
    </row>
    <row r="215" spans="24:67" x14ac:dyDescent="0.3">
      <c r="X215" t="s">
        <v>51</v>
      </c>
      <c r="AU215" t="s">
        <v>52</v>
      </c>
    </row>
    <row r="216" spans="24:67" x14ac:dyDescent="0.3">
      <c r="X216" s="1" t="s">
        <v>6</v>
      </c>
      <c r="Y216" s="1" t="s">
        <v>63</v>
      </c>
      <c r="Z216" s="1" t="s">
        <v>64</v>
      </c>
      <c r="AA216" s="1" t="s">
        <v>63</v>
      </c>
      <c r="AB216" s="1" t="s">
        <v>64</v>
      </c>
      <c r="AC216" s="1" t="s">
        <v>63</v>
      </c>
      <c r="AD216" s="1" t="s">
        <v>64</v>
      </c>
      <c r="AE216" s="1" t="s">
        <v>63</v>
      </c>
      <c r="AF216" s="1" t="s">
        <v>64</v>
      </c>
      <c r="AG216" s="1" t="s">
        <v>63</v>
      </c>
      <c r="AH216" s="1" t="s">
        <v>64</v>
      </c>
      <c r="AI216" s="1" t="s">
        <v>63</v>
      </c>
      <c r="AJ216" s="1" t="s">
        <v>64</v>
      </c>
      <c r="AK216" s="1" t="s">
        <v>63</v>
      </c>
      <c r="AL216" s="1" t="s">
        <v>64</v>
      </c>
      <c r="AM216" s="1" t="s">
        <v>63</v>
      </c>
      <c r="AN216" s="1" t="s">
        <v>64</v>
      </c>
      <c r="AO216" s="1" t="s">
        <v>63</v>
      </c>
      <c r="AP216" s="1" t="s">
        <v>64</v>
      </c>
      <c r="AQ216" s="1" t="s">
        <v>63</v>
      </c>
      <c r="AR216" s="1" t="s">
        <v>64</v>
      </c>
      <c r="AU216" s="1" t="s">
        <v>6</v>
      </c>
      <c r="AV216" s="1" t="s">
        <v>63</v>
      </c>
      <c r="AW216" s="1" t="s">
        <v>64</v>
      </c>
      <c r="AX216" s="1" t="s">
        <v>63</v>
      </c>
      <c r="AY216" s="1" t="s">
        <v>64</v>
      </c>
      <c r="AZ216" s="1" t="s">
        <v>63</v>
      </c>
      <c r="BA216" s="1" t="s">
        <v>64</v>
      </c>
      <c r="BB216" s="1" t="s">
        <v>63</v>
      </c>
      <c r="BC216" s="1" t="s">
        <v>64</v>
      </c>
      <c r="BD216" s="1" t="s">
        <v>63</v>
      </c>
      <c r="BE216" s="1" t="s">
        <v>64</v>
      </c>
      <c r="BF216" s="1" t="s">
        <v>63</v>
      </c>
      <c r="BG216" s="1" t="s">
        <v>64</v>
      </c>
      <c r="BH216" s="1" t="s">
        <v>63</v>
      </c>
      <c r="BI216" s="1" t="s">
        <v>64</v>
      </c>
      <c r="BJ216" s="1" t="s">
        <v>63</v>
      </c>
      <c r="BK216" s="1" t="s">
        <v>64</v>
      </c>
      <c r="BL216" s="1" t="s">
        <v>63</v>
      </c>
      <c r="BM216" s="1" t="s">
        <v>64</v>
      </c>
      <c r="BN216" s="1" t="s">
        <v>63</v>
      </c>
      <c r="BO216" s="1" t="s">
        <v>64</v>
      </c>
    </row>
    <row r="217" spans="24:67" x14ac:dyDescent="0.3">
      <c r="X217" s="1" t="s">
        <v>65</v>
      </c>
      <c r="Y217" s="1" t="s">
        <v>53</v>
      </c>
      <c r="Z217" s="1" t="s">
        <v>53</v>
      </c>
      <c r="AA217" s="1" t="s">
        <v>54</v>
      </c>
      <c r="AB217" s="1" t="s">
        <v>54</v>
      </c>
      <c r="AC217" s="1" t="s">
        <v>55</v>
      </c>
      <c r="AD217" s="1" t="s">
        <v>55</v>
      </c>
      <c r="AE217" s="1" t="s">
        <v>56</v>
      </c>
      <c r="AF217" s="1" t="s">
        <v>56</v>
      </c>
      <c r="AG217" s="1" t="s">
        <v>57</v>
      </c>
      <c r="AH217" s="1" t="s">
        <v>57</v>
      </c>
      <c r="AI217" s="1" t="s">
        <v>58</v>
      </c>
      <c r="AJ217" s="1" t="s">
        <v>58</v>
      </c>
      <c r="AK217" s="1" t="s">
        <v>59</v>
      </c>
      <c r="AL217" s="1" t="s">
        <v>59</v>
      </c>
      <c r="AM217" s="1" t="s">
        <v>60</v>
      </c>
      <c r="AN217" s="1" t="s">
        <v>60</v>
      </c>
      <c r="AO217" s="1" t="s">
        <v>61</v>
      </c>
      <c r="AP217" s="1" t="s">
        <v>61</v>
      </c>
      <c r="AQ217" s="1" t="s">
        <v>62</v>
      </c>
      <c r="AR217" s="1" t="s">
        <v>62</v>
      </c>
      <c r="AU217" s="1" t="s">
        <v>65</v>
      </c>
      <c r="AV217" s="1" t="s">
        <v>53</v>
      </c>
      <c r="AW217" s="1" t="s">
        <v>53</v>
      </c>
      <c r="AX217" s="1" t="s">
        <v>54</v>
      </c>
      <c r="AY217" s="1" t="s">
        <v>54</v>
      </c>
      <c r="AZ217" s="1" t="s">
        <v>55</v>
      </c>
      <c r="BA217" s="1" t="s">
        <v>55</v>
      </c>
      <c r="BB217" s="1" t="s">
        <v>56</v>
      </c>
      <c r="BC217" s="1" t="s">
        <v>56</v>
      </c>
      <c r="BD217" s="1" t="s">
        <v>57</v>
      </c>
      <c r="BE217" s="1" t="s">
        <v>57</v>
      </c>
      <c r="BF217" s="1" t="s">
        <v>58</v>
      </c>
      <c r="BG217" s="1" t="s">
        <v>58</v>
      </c>
      <c r="BH217" s="1" t="s">
        <v>59</v>
      </c>
      <c r="BI217" s="1" t="s">
        <v>59</v>
      </c>
      <c r="BJ217" s="1" t="s">
        <v>60</v>
      </c>
      <c r="BK217" s="1" t="s">
        <v>60</v>
      </c>
      <c r="BL217" s="1" t="s">
        <v>61</v>
      </c>
      <c r="BM217" s="1" t="s">
        <v>61</v>
      </c>
      <c r="BN217" s="1" t="s">
        <v>62</v>
      </c>
      <c r="BO217" s="1" t="s">
        <v>62</v>
      </c>
    </row>
    <row r="218" spans="24:67" x14ac:dyDescent="0.3">
      <c r="X218" s="1" t="s">
        <v>7</v>
      </c>
      <c r="AU218" s="1" t="s">
        <v>7</v>
      </c>
    </row>
    <row r="219" spans="24:67" x14ac:dyDescent="0.3">
      <c r="X219" s="1" t="s">
        <v>66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U219" s="1" t="s">
        <v>66</v>
      </c>
      <c r="AV219" s="2">
        <v>259</v>
      </c>
      <c r="AW219" s="2">
        <v>242.2</v>
      </c>
      <c r="AX219" s="2">
        <v>107.1</v>
      </c>
      <c r="AY219" s="2">
        <v>98.7</v>
      </c>
      <c r="AZ219" s="2">
        <v>229.6</v>
      </c>
      <c r="BA219" s="2">
        <v>203</v>
      </c>
      <c r="BB219" s="2">
        <v>334.6</v>
      </c>
      <c r="BC219" s="2">
        <v>290.5</v>
      </c>
      <c r="BD219" s="2">
        <v>327.60000000000002</v>
      </c>
      <c r="BE219" s="2">
        <v>301.7</v>
      </c>
      <c r="BF219" s="2">
        <v>267.39999999999998</v>
      </c>
      <c r="BG219" s="2">
        <v>276.5</v>
      </c>
      <c r="BH219" s="2">
        <v>339.5</v>
      </c>
      <c r="BI219" s="2">
        <v>226.1</v>
      </c>
      <c r="BJ219" s="2">
        <v>252</v>
      </c>
      <c r="BK219" s="2">
        <v>226.1</v>
      </c>
      <c r="BL219" s="2">
        <v>198.1</v>
      </c>
      <c r="BM219" s="2">
        <v>198.1</v>
      </c>
      <c r="BN219" s="2">
        <v>235.2</v>
      </c>
      <c r="BO219" s="2">
        <v>182.7</v>
      </c>
    </row>
    <row r="220" spans="24:67" x14ac:dyDescent="0.3">
      <c r="X220" s="1" t="s">
        <v>67</v>
      </c>
      <c r="Y220" s="2">
        <v>0.12</v>
      </c>
      <c r="Z220" s="2">
        <v>0.01</v>
      </c>
      <c r="AA220" s="2">
        <v>7.0000000000000007E-2</v>
      </c>
      <c r="AB220" s="2">
        <v>0.01</v>
      </c>
      <c r="AC220" s="2">
        <v>0.01</v>
      </c>
      <c r="AD220" s="2">
        <v>0.01</v>
      </c>
      <c r="AE220" s="2">
        <v>0.15</v>
      </c>
      <c r="AF220" s="2">
        <v>0.13</v>
      </c>
      <c r="AG220" s="2">
        <v>0.24</v>
      </c>
      <c r="AH220" s="2">
        <v>0.08</v>
      </c>
      <c r="AI220" s="2">
        <v>0.66</v>
      </c>
      <c r="AJ220" s="2">
        <v>0.16</v>
      </c>
      <c r="AK220" s="2">
        <v>0.38</v>
      </c>
      <c r="AL220" s="2">
        <v>0.2</v>
      </c>
      <c r="AM220" s="2">
        <v>0.42</v>
      </c>
      <c r="AN220" s="2">
        <v>0.18</v>
      </c>
      <c r="AO220" s="2">
        <v>0.32</v>
      </c>
      <c r="AP220" s="2">
        <v>0.06</v>
      </c>
      <c r="AQ220" s="2">
        <v>0.31</v>
      </c>
      <c r="AR220" s="2">
        <v>0.03</v>
      </c>
      <c r="AU220" s="1" t="s">
        <v>67</v>
      </c>
      <c r="AV220" s="2">
        <v>14.8</v>
      </c>
      <c r="AW220" s="2">
        <v>17.3</v>
      </c>
      <c r="AX220" s="2">
        <v>5.0999999999999996</v>
      </c>
      <c r="AY220" s="2">
        <v>5.0999999999999996</v>
      </c>
      <c r="AZ220" s="2">
        <v>11.4</v>
      </c>
      <c r="BA220" s="2">
        <v>13.9</v>
      </c>
      <c r="BB220" s="2">
        <v>17.600000000000001</v>
      </c>
      <c r="BC220" s="2">
        <v>20.100000000000001</v>
      </c>
      <c r="BD220" s="2">
        <v>17.2</v>
      </c>
      <c r="BE220" s="2">
        <v>32</v>
      </c>
      <c r="BF220" s="2">
        <v>12.3</v>
      </c>
      <c r="BG220" s="2">
        <v>25.9</v>
      </c>
      <c r="BH220" s="2">
        <v>11.2</v>
      </c>
      <c r="BI220" s="2">
        <v>28.6</v>
      </c>
      <c r="BJ220" s="2">
        <v>11.2</v>
      </c>
      <c r="BK220" s="2">
        <v>16.100000000000001</v>
      </c>
      <c r="BL220" s="2">
        <v>17.2</v>
      </c>
      <c r="BM220" s="2">
        <v>8.6</v>
      </c>
      <c r="BN220" s="2">
        <v>16.2</v>
      </c>
      <c r="BO220" s="2">
        <v>7.5</v>
      </c>
    </row>
    <row r="221" spans="24:67" x14ac:dyDescent="0.3">
      <c r="X221" s="1" t="s">
        <v>68</v>
      </c>
      <c r="Y221" s="2">
        <v>1.1499999999999999</v>
      </c>
      <c r="Z221" s="2">
        <v>0</v>
      </c>
      <c r="AA221" s="2">
        <v>1.1399999999999999</v>
      </c>
      <c r="AB221" s="2">
        <v>0</v>
      </c>
      <c r="AC221" s="2">
        <v>0.23</v>
      </c>
      <c r="AD221" s="2">
        <v>0.28000000000000003</v>
      </c>
      <c r="AE221" s="2">
        <v>0.62</v>
      </c>
      <c r="AF221" s="2">
        <v>0.16</v>
      </c>
      <c r="AG221" s="2">
        <v>0.91</v>
      </c>
      <c r="AH221" s="2">
        <v>0.16</v>
      </c>
      <c r="AI221" s="2">
        <v>1.84</v>
      </c>
      <c r="AJ221" s="2">
        <v>0.3</v>
      </c>
      <c r="AK221" s="2">
        <v>1.42</v>
      </c>
      <c r="AL221" s="2">
        <v>0.26</v>
      </c>
      <c r="AM221" s="2">
        <v>1.81</v>
      </c>
      <c r="AN221" s="2">
        <v>0.28000000000000003</v>
      </c>
      <c r="AO221" s="2">
        <v>0.39</v>
      </c>
      <c r="AP221" s="2">
        <v>0.13</v>
      </c>
      <c r="AQ221" s="2">
        <v>0.15</v>
      </c>
      <c r="AR221" s="2">
        <v>0.08</v>
      </c>
      <c r="AU221" s="1" t="s">
        <v>68</v>
      </c>
      <c r="AV221" s="2">
        <v>38.56</v>
      </c>
      <c r="AW221" s="2">
        <v>36.9</v>
      </c>
      <c r="AX221" s="2">
        <v>14.09</v>
      </c>
      <c r="AY221" s="2">
        <v>19.2</v>
      </c>
      <c r="AZ221" s="2">
        <v>33.33</v>
      </c>
      <c r="BA221" s="2">
        <v>42.73</v>
      </c>
      <c r="BB221" s="2">
        <v>33.92</v>
      </c>
      <c r="BC221" s="2">
        <v>56.75</v>
      </c>
      <c r="BD221" s="2">
        <v>70.2</v>
      </c>
      <c r="BE221" s="2">
        <v>92.65</v>
      </c>
      <c r="BF221" s="2">
        <v>71.650000000000006</v>
      </c>
      <c r="BG221" s="2">
        <v>96.55</v>
      </c>
      <c r="BH221" s="2">
        <v>85.15</v>
      </c>
      <c r="BI221" s="2">
        <v>100.85</v>
      </c>
      <c r="BJ221" s="2">
        <v>68.86</v>
      </c>
      <c r="BK221" s="2">
        <v>63.55</v>
      </c>
      <c r="BL221" s="2">
        <v>70.34</v>
      </c>
      <c r="BM221" s="2">
        <v>70.28</v>
      </c>
      <c r="BN221" s="2">
        <v>52.49</v>
      </c>
      <c r="BO221" s="2">
        <v>52.45</v>
      </c>
    </row>
    <row r="222" spans="24:67" x14ac:dyDescent="0.3">
      <c r="X222" s="1" t="s">
        <v>69</v>
      </c>
      <c r="Y222" s="2">
        <v>0.87</v>
      </c>
      <c r="Z222" s="2">
        <v>0.02</v>
      </c>
      <c r="AA222" s="2">
        <v>0.82</v>
      </c>
      <c r="AB222" s="2">
        <v>0</v>
      </c>
      <c r="AC222" s="2">
        <v>0.18</v>
      </c>
      <c r="AD222" s="2">
        <v>0.33</v>
      </c>
      <c r="AE222" s="2">
        <v>0.56000000000000005</v>
      </c>
      <c r="AF222" s="2">
        <v>0.26</v>
      </c>
      <c r="AG222" s="2">
        <v>0.72</v>
      </c>
      <c r="AH222" s="2">
        <v>0.22</v>
      </c>
      <c r="AI222" s="2">
        <v>1.31</v>
      </c>
      <c r="AJ222" s="2">
        <v>0.33</v>
      </c>
      <c r="AK222" s="2">
        <v>1.06</v>
      </c>
      <c r="AL222" s="2">
        <v>0.28000000000000003</v>
      </c>
      <c r="AM222" s="2">
        <v>0.92</v>
      </c>
      <c r="AN222" s="2">
        <v>0.27</v>
      </c>
      <c r="AO222" s="2">
        <v>0.24</v>
      </c>
      <c r="AP222" s="2">
        <v>0.16</v>
      </c>
      <c r="AQ222" s="2">
        <v>0.2</v>
      </c>
      <c r="AR222" s="2">
        <v>0.14000000000000001</v>
      </c>
      <c r="AU222" s="1" t="s">
        <v>69</v>
      </c>
      <c r="AV222" s="2">
        <v>19.989999999999998</v>
      </c>
      <c r="AW222" s="2">
        <v>13.6</v>
      </c>
      <c r="AX222" s="2">
        <v>4.13</v>
      </c>
      <c r="AY222" s="2">
        <v>8.9</v>
      </c>
      <c r="AZ222" s="2">
        <v>22.44</v>
      </c>
      <c r="BA222" s="2">
        <v>13.9</v>
      </c>
      <c r="BB222" s="2">
        <v>25.1</v>
      </c>
      <c r="BC222" s="2">
        <v>18.91</v>
      </c>
      <c r="BD222" s="2">
        <v>34.61</v>
      </c>
      <c r="BE222" s="2">
        <v>16.010000000000002</v>
      </c>
      <c r="BF222" s="2">
        <v>31.55</v>
      </c>
      <c r="BG222" s="2">
        <v>17.3</v>
      </c>
      <c r="BH222" s="2">
        <v>37.5</v>
      </c>
      <c r="BI222" s="2">
        <v>18.7</v>
      </c>
      <c r="BJ222" s="2">
        <v>26.1</v>
      </c>
      <c r="BK222" s="2">
        <v>17.399999999999999</v>
      </c>
      <c r="BL222" s="2">
        <v>23.4</v>
      </c>
      <c r="BM222" s="2">
        <v>22.2</v>
      </c>
      <c r="BN222" s="2">
        <v>16.2</v>
      </c>
      <c r="BO222" s="2">
        <v>18.71</v>
      </c>
    </row>
    <row r="223" spans="24:67" x14ac:dyDescent="0.3">
      <c r="X223" s="1" t="s">
        <v>70</v>
      </c>
      <c r="Y223" s="2">
        <v>0.42</v>
      </c>
      <c r="Z223" s="2">
        <v>0.35</v>
      </c>
      <c r="AA223" s="2">
        <v>0.42</v>
      </c>
      <c r="AB223" s="2">
        <v>0.1</v>
      </c>
      <c r="AC223" s="2">
        <v>0.15</v>
      </c>
      <c r="AD223" s="2">
        <v>0.16</v>
      </c>
      <c r="AE223" s="2">
        <v>0.1</v>
      </c>
      <c r="AF223" s="2">
        <v>0.42</v>
      </c>
      <c r="AG223" s="2">
        <v>0.48</v>
      </c>
      <c r="AH223" s="2">
        <v>0.52</v>
      </c>
      <c r="AI223" s="2">
        <v>0.73</v>
      </c>
      <c r="AJ223" s="2">
        <v>0.65</v>
      </c>
      <c r="AK223" s="2">
        <v>0.46</v>
      </c>
      <c r="AL223" s="2">
        <v>0.43</v>
      </c>
      <c r="AM223" s="2">
        <v>0.35</v>
      </c>
      <c r="AN223" s="2">
        <v>0.38</v>
      </c>
      <c r="AO223" s="2">
        <v>0.23</v>
      </c>
      <c r="AP223" s="2">
        <v>0.18</v>
      </c>
      <c r="AQ223" s="2">
        <v>0.27</v>
      </c>
      <c r="AR223" s="2">
        <v>0.13</v>
      </c>
      <c r="AU223" s="1" t="s">
        <v>70</v>
      </c>
      <c r="AV223" s="2">
        <v>60.19</v>
      </c>
      <c r="AW223" s="2">
        <v>61.5</v>
      </c>
      <c r="AX223" s="2">
        <v>57.5</v>
      </c>
      <c r="AY223" s="2">
        <v>57.5</v>
      </c>
      <c r="AZ223" s="2">
        <v>50.5</v>
      </c>
      <c r="BA223" s="2">
        <v>45.52</v>
      </c>
      <c r="BB223" s="2">
        <v>63</v>
      </c>
      <c r="BC223" s="2">
        <v>69</v>
      </c>
      <c r="BD223" s="2">
        <v>92.5</v>
      </c>
      <c r="BE223" s="2">
        <v>98.5</v>
      </c>
      <c r="BF223" s="2">
        <v>86.5</v>
      </c>
      <c r="BG223" s="2">
        <v>92.5</v>
      </c>
      <c r="BH223" s="2">
        <v>87</v>
      </c>
      <c r="BI223" s="2">
        <v>93.5</v>
      </c>
      <c r="BJ223" s="2">
        <v>80.5</v>
      </c>
      <c r="BK223" s="2">
        <v>74.5</v>
      </c>
      <c r="BL223" s="2">
        <v>86</v>
      </c>
      <c r="BM223" s="2">
        <v>80</v>
      </c>
      <c r="BN223" s="2">
        <v>87</v>
      </c>
      <c r="BO223" s="2">
        <v>81</v>
      </c>
    </row>
    <row r="224" spans="24:67" x14ac:dyDescent="0.3">
      <c r="X224" s="1" t="s">
        <v>71</v>
      </c>
      <c r="Y224" s="2">
        <v>0.45</v>
      </c>
      <c r="Z224" s="2">
        <v>0.45</v>
      </c>
      <c r="AA224" s="2">
        <v>0.72</v>
      </c>
      <c r="AB224" s="2">
        <v>0.71</v>
      </c>
      <c r="AC224" s="2">
        <v>0.16</v>
      </c>
      <c r="AD224" s="2">
        <v>0.16</v>
      </c>
      <c r="AE224" s="2">
        <v>0.12</v>
      </c>
      <c r="AF224" s="2">
        <v>0.46</v>
      </c>
      <c r="AG224" s="2">
        <v>0.16</v>
      </c>
      <c r="AH224" s="2">
        <v>0.67</v>
      </c>
      <c r="AI224" s="2">
        <v>0.43</v>
      </c>
      <c r="AJ224" s="2">
        <v>1.22</v>
      </c>
      <c r="AK224" s="2">
        <v>0.33</v>
      </c>
      <c r="AL224" s="2">
        <v>0.8</v>
      </c>
      <c r="AM224" s="2">
        <v>0.42</v>
      </c>
      <c r="AN224" s="2">
        <v>1.03</v>
      </c>
      <c r="AO224" s="2">
        <v>0.3</v>
      </c>
      <c r="AP224" s="2">
        <v>0.76</v>
      </c>
      <c r="AQ224" s="2">
        <v>0.25</v>
      </c>
      <c r="AR224" s="2">
        <v>0.16</v>
      </c>
      <c r="AU224" s="1" t="s">
        <v>71</v>
      </c>
      <c r="AV224" s="2">
        <v>11.86</v>
      </c>
      <c r="AW224" s="2">
        <v>6.53</v>
      </c>
      <c r="AX224" s="2">
        <v>5.0999999999999996</v>
      </c>
      <c r="AY224" s="2">
        <v>2.2400000000000002</v>
      </c>
      <c r="AZ224" s="2">
        <v>8.91</v>
      </c>
      <c r="BA224" s="2">
        <v>7.6</v>
      </c>
      <c r="BB224" s="2">
        <v>10.1</v>
      </c>
      <c r="BC224" s="2">
        <v>6.55</v>
      </c>
      <c r="BD224" s="2">
        <v>12.3</v>
      </c>
      <c r="BE224" s="2">
        <v>24.04</v>
      </c>
      <c r="BF224" s="2">
        <v>12.3</v>
      </c>
      <c r="BG224" s="2">
        <v>16.86</v>
      </c>
      <c r="BH224" s="2">
        <v>11.2</v>
      </c>
      <c r="BI224" s="2">
        <v>16.2</v>
      </c>
      <c r="BJ224" s="2">
        <v>17.41</v>
      </c>
      <c r="BK224" s="2">
        <v>16.100000000000001</v>
      </c>
      <c r="BL224" s="2">
        <v>18.5</v>
      </c>
      <c r="BM224" s="2">
        <v>9.8000000000000007</v>
      </c>
      <c r="BN224" s="2">
        <v>14.9</v>
      </c>
      <c r="BO224" s="2">
        <v>11.2</v>
      </c>
    </row>
    <row r="225" spans="24:67" x14ac:dyDescent="0.3">
      <c r="X225" s="1" t="s">
        <v>72</v>
      </c>
      <c r="Y225" s="2">
        <v>1.05</v>
      </c>
      <c r="Z225" s="2">
        <v>1.08</v>
      </c>
      <c r="AA225" s="2">
        <v>0.66</v>
      </c>
      <c r="AB225" s="2">
        <v>0.97</v>
      </c>
      <c r="AC225" s="2">
        <v>0.13</v>
      </c>
      <c r="AD225" s="2">
        <v>0.39</v>
      </c>
      <c r="AE225" s="2">
        <v>0.28000000000000003</v>
      </c>
      <c r="AF225" s="2">
        <v>0.61</v>
      </c>
      <c r="AG225" s="2">
        <v>0.23</v>
      </c>
      <c r="AH225" s="2">
        <v>0.97</v>
      </c>
      <c r="AI225" s="2">
        <v>0.49</v>
      </c>
      <c r="AJ225" s="2">
        <v>1.74</v>
      </c>
      <c r="AK225" s="2">
        <v>0.4</v>
      </c>
      <c r="AL225" s="2">
        <v>1.1100000000000001</v>
      </c>
      <c r="AM225" s="2">
        <v>0.63</v>
      </c>
      <c r="AN225" s="2">
        <v>0.85</v>
      </c>
      <c r="AO225" s="2">
        <v>0.33</v>
      </c>
      <c r="AP225" s="2">
        <v>0.36</v>
      </c>
      <c r="AQ225" s="2">
        <v>0.32</v>
      </c>
      <c r="AR225" s="2">
        <v>0.28999999999999998</v>
      </c>
      <c r="AU225" s="1" t="s">
        <v>72</v>
      </c>
      <c r="AV225" s="2">
        <v>50.92</v>
      </c>
      <c r="AW225" s="2">
        <v>72.38</v>
      </c>
      <c r="AX225" s="2">
        <v>20.76</v>
      </c>
      <c r="AY225" s="2">
        <v>30.63</v>
      </c>
      <c r="AZ225" s="2">
        <v>31.11</v>
      </c>
      <c r="BA225" s="2">
        <v>70.540000000000006</v>
      </c>
      <c r="BB225" s="2">
        <v>49.11</v>
      </c>
      <c r="BC225" s="2">
        <v>72.86</v>
      </c>
      <c r="BD225" s="2">
        <v>56.35</v>
      </c>
      <c r="BE225" s="2">
        <v>97.27</v>
      </c>
      <c r="BF225" s="2">
        <v>59.95</v>
      </c>
      <c r="BG225" s="2">
        <v>89.47</v>
      </c>
      <c r="BH225" s="2">
        <v>64.8</v>
      </c>
      <c r="BI225" s="2">
        <v>89.7</v>
      </c>
      <c r="BJ225" s="2">
        <v>57.92</v>
      </c>
      <c r="BK225" s="2">
        <v>63.93</v>
      </c>
      <c r="BL225" s="2">
        <v>46.55</v>
      </c>
      <c r="BM225" s="2">
        <v>70.25</v>
      </c>
      <c r="BN225" s="2">
        <v>30.17</v>
      </c>
      <c r="BO225" s="2">
        <v>52.64</v>
      </c>
    </row>
    <row r="226" spans="24:67" x14ac:dyDescent="0.3">
      <c r="X226" s="1" t="s">
        <v>73</v>
      </c>
      <c r="Y226" s="2">
        <v>0.04</v>
      </c>
      <c r="Z226" s="2">
        <v>0.14000000000000001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0.31</v>
      </c>
      <c r="AG226" s="2">
        <v>0.08</v>
      </c>
      <c r="AH226" s="2">
        <v>0.39</v>
      </c>
      <c r="AI226" s="2">
        <v>0.36</v>
      </c>
      <c r="AJ226" s="2">
        <v>0.71</v>
      </c>
      <c r="AK226" s="2">
        <v>0.38</v>
      </c>
      <c r="AL226" s="2">
        <v>0.44</v>
      </c>
      <c r="AM226" s="2">
        <v>0.34</v>
      </c>
      <c r="AN226" s="2">
        <v>0.28000000000000003</v>
      </c>
      <c r="AO226" s="2">
        <v>0.22</v>
      </c>
      <c r="AP226" s="2">
        <v>0.12</v>
      </c>
      <c r="AQ226" s="2">
        <v>0.18</v>
      </c>
      <c r="AR226" s="2">
        <v>0.1</v>
      </c>
      <c r="AU226" s="1" t="s">
        <v>73</v>
      </c>
      <c r="AV226" s="2">
        <v>107.4</v>
      </c>
      <c r="AW226" s="2">
        <v>85.2</v>
      </c>
      <c r="AX226" s="2">
        <v>34.5</v>
      </c>
      <c r="AY226" s="2">
        <v>38.4</v>
      </c>
      <c r="AZ226" s="2">
        <v>87</v>
      </c>
      <c r="BA226" s="2">
        <v>75.900000000000006</v>
      </c>
      <c r="BB226" s="2">
        <v>120.6</v>
      </c>
      <c r="BC226" s="2">
        <v>89.88</v>
      </c>
      <c r="BD226" s="2">
        <v>140.4</v>
      </c>
      <c r="BE226" s="2">
        <v>74.98</v>
      </c>
      <c r="BF226" s="2">
        <v>99.9</v>
      </c>
      <c r="BG226" s="2">
        <v>56.02</v>
      </c>
      <c r="BH226" s="2">
        <v>119.4</v>
      </c>
      <c r="BI226" s="2">
        <v>78.3</v>
      </c>
      <c r="BJ226" s="2">
        <v>89.4</v>
      </c>
      <c r="BK226" s="2">
        <v>66.900000000000006</v>
      </c>
      <c r="BL226" s="2">
        <v>51.6</v>
      </c>
      <c r="BM226" s="2">
        <v>84.9</v>
      </c>
      <c r="BN226" s="2">
        <v>74.7</v>
      </c>
      <c r="BO226" s="2">
        <v>74.7</v>
      </c>
    </row>
    <row r="229" spans="24:67" x14ac:dyDescent="0.3">
      <c r="X229" t="s">
        <v>74</v>
      </c>
    </row>
    <row r="230" spans="24:67" x14ac:dyDescent="0.3">
      <c r="X230" s="1" t="s">
        <v>6</v>
      </c>
      <c r="Y230" s="1" t="s">
        <v>63</v>
      </c>
      <c r="Z230" s="1" t="s">
        <v>64</v>
      </c>
      <c r="AA230" s="1" t="s">
        <v>63</v>
      </c>
      <c r="AB230" s="1" t="s">
        <v>64</v>
      </c>
      <c r="AC230" s="1" t="s">
        <v>63</v>
      </c>
      <c r="AD230" s="1" t="s">
        <v>64</v>
      </c>
      <c r="AE230" s="1" t="s">
        <v>63</v>
      </c>
      <c r="AF230" s="1" t="s">
        <v>64</v>
      </c>
      <c r="AG230" s="1" t="s">
        <v>63</v>
      </c>
      <c r="AH230" s="1" t="s">
        <v>64</v>
      </c>
      <c r="AI230" s="1" t="s">
        <v>63</v>
      </c>
      <c r="AJ230" s="1" t="s">
        <v>64</v>
      </c>
      <c r="AK230" s="1" t="s">
        <v>63</v>
      </c>
      <c r="AL230" s="1" t="s">
        <v>64</v>
      </c>
      <c r="AM230" s="1" t="s">
        <v>63</v>
      </c>
      <c r="AN230" s="1" t="s">
        <v>64</v>
      </c>
      <c r="AO230" s="1" t="s">
        <v>63</v>
      </c>
      <c r="AP230" s="1" t="s">
        <v>64</v>
      </c>
      <c r="AQ230" s="1" t="s">
        <v>63</v>
      </c>
      <c r="AR230" s="1" t="s">
        <v>64</v>
      </c>
    </row>
    <row r="231" spans="24:67" x14ac:dyDescent="0.3">
      <c r="X231" s="1" t="s">
        <v>65</v>
      </c>
      <c r="Y231" s="1" t="s">
        <v>53</v>
      </c>
      <c r="Z231" s="1" t="s">
        <v>53</v>
      </c>
      <c r="AA231" s="1" t="s">
        <v>54</v>
      </c>
      <c r="AB231" s="1" t="s">
        <v>54</v>
      </c>
      <c r="AC231" s="1" t="s">
        <v>55</v>
      </c>
      <c r="AD231" s="1" t="s">
        <v>55</v>
      </c>
      <c r="AE231" s="1" t="s">
        <v>56</v>
      </c>
      <c r="AF231" s="1" t="s">
        <v>56</v>
      </c>
      <c r="AG231" s="1" t="s">
        <v>57</v>
      </c>
      <c r="AH231" s="1" t="s">
        <v>57</v>
      </c>
      <c r="AI231" s="1" t="s">
        <v>58</v>
      </c>
      <c r="AJ231" s="1" t="s">
        <v>58</v>
      </c>
      <c r="AK231" s="1" t="s">
        <v>59</v>
      </c>
      <c r="AL231" s="1" t="s">
        <v>59</v>
      </c>
      <c r="AM231" s="1" t="s">
        <v>60</v>
      </c>
      <c r="AN231" s="1" t="s">
        <v>60</v>
      </c>
      <c r="AO231" s="1" t="s">
        <v>61</v>
      </c>
      <c r="AP231" s="1" t="s">
        <v>61</v>
      </c>
      <c r="AQ231" s="1" t="s">
        <v>62</v>
      </c>
      <c r="AR231" s="1" t="s">
        <v>62</v>
      </c>
    </row>
    <row r="232" spans="24:67" x14ac:dyDescent="0.3">
      <c r="X232" s="1" t="s">
        <v>7</v>
      </c>
      <c r="Y232">
        <v>1.3</v>
      </c>
      <c r="Z232">
        <v>1.3</v>
      </c>
      <c r="AA232">
        <v>1.3</v>
      </c>
      <c r="AB232">
        <v>1.3</v>
      </c>
      <c r="AC232">
        <v>0.5</v>
      </c>
      <c r="AD232">
        <v>0.5</v>
      </c>
      <c r="AE232">
        <v>1.6</v>
      </c>
      <c r="AF232">
        <v>1.6</v>
      </c>
      <c r="AG232">
        <v>2</v>
      </c>
      <c r="AH232">
        <v>2</v>
      </c>
      <c r="AI232">
        <v>3.6</v>
      </c>
      <c r="AJ232">
        <v>3.6</v>
      </c>
      <c r="AK232">
        <v>2.9</v>
      </c>
      <c r="AL232">
        <v>2.9</v>
      </c>
      <c r="AM232">
        <v>3.8</v>
      </c>
      <c r="AN232">
        <v>3.8</v>
      </c>
      <c r="AO232">
        <v>3.4</v>
      </c>
      <c r="AP232">
        <v>3.4</v>
      </c>
      <c r="AQ232">
        <v>4.5</v>
      </c>
      <c r="AR232">
        <v>4.5</v>
      </c>
    </row>
    <row r="233" spans="24:67" x14ac:dyDescent="0.3">
      <c r="X233" s="1" t="s">
        <v>66</v>
      </c>
      <c r="Y233" s="7">
        <f>Y191/(AV191+AV219)</f>
        <v>8.7275294628794881E-2</v>
      </c>
      <c r="Z233" s="7">
        <f t="shared" ref="Z233:AR240" si="0">Z191/(AW191+AW219)</f>
        <v>0.14886862901645065</v>
      </c>
      <c r="AA233" s="7">
        <f t="shared" si="0"/>
        <v>1.6751760891439645E-2</v>
      </c>
      <c r="AB233" s="7">
        <f t="shared" si="0"/>
        <v>1.6806337866923114E-2</v>
      </c>
      <c r="AC233" s="7">
        <f t="shared" si="0"/>
        <v>1.6035950254879878E-2</v>
      </c>
      <c r="AD233" s="7">
        <f t="shared" si="0"/>
        <v>2.7813788383751276E-2</v>
      </c>
      <c r="AE233" s="7">
        <f t="shared" si="0"/>
        <v>8.8396096264881721E-2</v>
      </c>
      <c r="AF233" s="7">
        <f t="shared" si="0"/>
        <v>5.028710631633896E-2</v>
      </c>
      <c r="AG233" s="7">
        <f t="shared" si="0"/>
        <v>0.11434889006315378</v>
      </c>
      <c r="AH233" s="7">
        <f t="shared" si="0"/>
        <v>4.1905998701363571E-2</v>
      </c>
      <c r="AI233" s="7">
        <f t="shared" si="0"/>
        <v>0.12077103205853669</v>
      </c>
      <c r="AJ233" s="7">
        <f t="shared" si="0"/>
        <v>3.0310020761662136E-2</v>
      </c>
      <c r="AK233" s="7">
        <f t="shared" si="0"/>
        <v>9.5515474770159314E-2</v>
      </c>
      <c r="AL233" s="7">
        <f t="shared" si="0"/>
        <v>9.2494575344040531E-3</v>
      </c>
      <c r="AM233" s="7">
        <f t="shared" si="0"/>
        <v>9.4108371559633031E-2</v>
      </c>
      <c r="AN233" s="7">
        <f t="shared" si="0"/>
        <v>3.3378828629922523E-2</v>
      </c>
      <c r="AO233" s="7">
        <f t="shared" si="0"/>
        <v>9.2192630221386226E-3</v>
      </c>
      <c r="AP233" s="7">
        <f t="shared" si="0"/>
        <v>9.2664593053395552E-3</v>
      </c>
      <c r="AQ233" s="7">
        <f t="shared" si="0"/>
        <v>1.4631523338741934E-2</v>
      </c>
      <c r="AR233" s="7">
        <f t="shared" si="0"/>
        <v>9.4799964029968729E-3</v>
      </c>
    </row>
    <row r="234" spans="24:67" x14ac:dyDescent="0.3">
      <c r="X234" s="1" t="s">
        <v>67</v>
      </c>
      <c r="Y234" s="7">
        <f t="shared" ref="Y234:Y240" si="1">Y192/(AV192+AV220)</f>
        <v>4.7024710035300045E-2</v>
      </c>
      <c r="Z234" s="7">
        <f t="shared" si="0"/>
        <v>4.674582894934616E-2</v>
      </c>
      <c r="AA234" s="7">
        <f t="shared" si="0"/>
        <v>5.0947421257372318E-2</v>
      </c>
      <c r="AB234" s="7">
        <f t="shared" si="0"/>
        <v>5.1262034868592245E-2</v>
      </c>
      <c r="AC234" s="7">
        <f t="shared" si="0"/>
        <v>5.1574668168682954E-2</v>
      </c>
      <c r="AD234" s="7">
        <f t="shared" si="0"/>
        <v>4.9665517940401374E-2</v>
      </c>
      <c r="AE234" s="7">
        <f t="shared" si="0"/>
        <v>4.8731953088615096E-2</v>
      </c>
      <c r="AF234" s="7">
        <f t="shared" si="0"/>
        <v>5.1944574603387104E-2</v>
      </c>
      <c r="AG234" s="7">
        <f t="shared" si="0"/>
        <v>4.5997259737717754E-2</v>
      </c>
      <c r="AH234" s="7">
        <f t="shared" si="0"/>
        <v>4.5603944124897294E-2</v>
      </c>
      <c r="AI234" s="7">
        <f t="shared" si="0"/>
        <v>4.6896045059385327E-2</v>
      </c>
      <c r="AJ234" s="7">
        <f t="shared" si="0"/>
        <v>4.7040971168437036E-2</v>
      </c>
      <c r="AK234" s="7">
        <f t="shared" si="0"/>
        <v>4.7272459932362891E-2</v>
      </c>
      <c r="AL234" s="7">
        <f t="shared" si="0"/>
        <v>4.5059542967492754E-2</v>
      </c>
      <c r="AM234" s="7">
        <f t="shared" si="0"/>
        <v>4.7373623270262642E-2</v>
      </c>
      <c r="AN234" s="7">
        <f t="shared" si="0"/>
        <v>4.6610892948608498E-2</v>
      </c>
      <c r="AO234" s="7">
        <f t="shared" si="0"/>
        <v>4.6309747369167001E-2</v>
      </c>
      <c r="AP234" s="7">
        <f t="shared" si="0"/>
        <v>5.1109616677874906E-2</v>
      </c>
      <c r="AQ234" s="7">
        <f t="shared" si="0"/>
        <v>4.7322540473225407E-2</v>
      </c>
      <c r="AR234" s="7">
        <f t="shared" si="0"/>
        <v>4.8258229466283158E-2</v>
      </c>
    </row>
    <row r="235" spans="24:67" x14ac:dyDescent="0.3">
      <c r="X235" s="1" t="s">
        <v>68</v>
      </c>
      <c r="Y235" s="7">
        <f t="shared" si="1"/>
        <v>0.10465296426358192</v>
      </c>
      <c r="Z235" s="7">
        <f t="shared" si="0"/>
        <v>4.7555910046716866E-2</v>
      </c>
      <c r="AA235" s="7">
        <f t="shared" si="0"/>
        <v>9.5083798882681564E-2</v>
      </c>
      <c r="AB235" s="7">
        <f t="shared" si="0"/>
        <v>5.0363587395636955E-2</v>
      </c>
      <c r="AC235" s="7">
        <f t="shared" si="0"/>
        <v>0.1751796590506268</v>
      </c>
      <c r="AD235" s="7">
        <f t="shared" si="0"/>
        <v>6.9315116541259186E-2</v>
      </c>
      <c r="AE235" s="7">
        <f t="shared" si="0"/>
        <v>0.12295265700483091</v>
      </c>
      <c r="AF235" s="7">
        <f t="shared" si="0"/>
        <v>6.8702903970341067E-2</v>
      </c>
      <c r="AG235" s="7">
        <f t="shared" si="0"/>
        <v>0.12633716216700985</v>
      </c>
      <c r="AH235" s="7">
        <f t="shared" si="0"/>
        <v>5.7232851143257109E-2</v>
      </c>
      <c r="AI235" s="7">
        <f t="shared" si="0"/>
        <v>0.13355057893642097</v>
      </c>
      <c r="AJ235" s="7">
        <f t="shared" si="0"/>
        <v>5.7820509021954909E-2</v>
      </c>
      <c r="AK235" s="7">
        <f t="shared" si="0"/>
        <v>0.14136246194776289</v>
      </c>
      <c r="AL235" s="7">
        <f t="shared" si="0"/>
        <v>5.9809651963051741E-2</v>
      </c>
      <c r="AM235" s="7">
        <f t="shared" si="0"/>
        <v>0.14585624177825751</v>
      </c>
      <c r="AN235" s="7">
        <f t="shared" si="0"/>
        <v>5.5711550733886415E-2</v>
      </c>
      <c r="AO235" s="7">
        <f t="shared" si="0"/>
        <v>6.5986469132708989E-2</v>
      </c>
      <c r="AP235" s="7">
        <f t="shared" si="0"/>
        <v>5.3978215611139607E-2</v>
      </c>
      <c r="AQ235" s="7">
        <f t="shared" si="0"/>
        <v>5.2528449770140928E-2</v>
      </c>
      <c r="AR235" s="7">
        <f t="shared" si="0"/>
        <v>5.4102787605325678E-2</v>
      </c>
    </row>
    <row r="236" spans="24:67" x14ac:dyDescent="0.3">
      <c r="X236" s="1" t="s">
        <v>69</v>
      </c>
      <c r="Y236" s="7">
        <f t="shared" si="1"/>
        <v>5.7313745741548607E-2</v>
      </c>
      <c r="Z236" s="7">
        <f t="shared" si="0"/>
        <v>6.1880374007423765E-2</v>
      </c>
      <c r="AA236" s="7">
        <f t="shared" si="0"/>
        <v>5.5290009830841716E-2</v>
      </c>
      <c r="AB236" s="7">
        <f t="shared" si="0"/>
        <v>5.0666890361546847E-2</v>
      </c>
      <c r="AC236" s="7">
        <f t="shared" si="0"/>
        <v>0.11402201212913238</v>
      </c>
      <c r="AD236" s="7">
        <f t="shared" si="0"/>
        <v>5.685400778484246E-2</v>
      </c>
      <c r="AE236" s="7">
        <f t="shared" si="0"/>
        <v>9.3587488890149589E-2</v>
      </c>
      <c r="AF236" s="7">
        <f t="shared" si="0"/>
        <v>5.4203048690247155E-2</v>
      </c>
      <c r="AG236" s="7">
        <f t="shared" si="0"/>
        <v>8.9301221046662063E-2</v>
      </c>
      <c r="AH236" s="7">
        <f t="shared" si="0"/>
        <v>5.2013587543442832E-2</v>
      </c>
      <c r="AI236" s="7">
        <f t="shared" si="0"/>
        <v>8.9887242667233122E-2</v>
      </c>
      <c r="AJ236" s="7">
        <f t="shared" si="0"/>
        <v>5.3262766736107206E-2</v>
      </c>
      <c r="AK236" s="7">
        <f t="shared" si="0"/>
        <v>9.0447204764025665E-2</v>
      </c>
      <c r="AL236" s="7">
        <f t="shared" si="0"/>
        <v>5.3127662274103205E-2</v>
      </c>
      <c r="AM236" s="7">
        <f t="shared" si="0"/>
        <v>6.5683403824603262E-2</v>
      </c>
      <c r="AN236" s="7">
        <f t="shared" si="0"/>
        <v>5.3215077605321508E-2</v>
      </c>
      <c r="AO236" s="7">
        <f t="shared" si="0"/>
        <v>5.1504466893075779E-2</v>
      </c>
      <c r="AP236" s="7">
        <f t="shared" si="0"/>
        <v>5.5859802847754651E-2</v>
      </c>
      <c r="AQ236" s="7">
        <f t="shared" si="0"/>
        <v>5.514476255716963E-2</v>
      </c>
      <c r="AR236" s="7">
        <f t="shared" si="0"/>
        <v>5.6073646584260235E-2</v>
      </c>
    </row>
    <row r="237" spans="24:67" x14ac:dyDescent="0.3">
      <c r="X237" s="1" t="s">
        <v>70</v>
      </c>
      <c r="Y237" s="7">
        <f t="shared" si="1"/>
        <v>0.10523539086987556</v>
      </c>
      <c r="Z237" s="7">
        <f t="shared" si="0"/>
        <v>7.9171623491708948E-2</v>
      </c>
      <c r="AA237" s="7">
        <f t="shared" si="0"/>
        <v>8.8475710473931643E-2</v>
      </c>
      <c r="AB237" s="7">
        <f t="shared" si="0"/>
        <v>5.0343803956017327E-2</v>
      </c>
      <c r="AC237" s="7">
        <f t="shared" si="0"/>
        <v>0.10469256458108241</v>
      </c>
      <c r="AD237" s="7">
        <f t="shared" si="0"/>
        <v>0.10135155975300571</v>
      </c>
      <c r="AE237" s="7">
        <f t="shared" si="0"/>
        <v>5.0936693331970255E-2</v>
      </c>
      <c r="AF237" s="7">
        <f t="shared" si="0"/>
        <v>8.024314625393647E-2</v>
      </c>
      <c r="AG237" s="7">
        <f t="shared" si="0"/>
        <v>6.2835999963366265E-2</v>
      </c>
      <c r="AH237" s="7">
        <f t="shared" si="0"/>
        <v>6.8898905344494527E-2</v>
      </c>
      <c r="AI237" s="7">
        <f t="shared" si="0"/>
        <v>5.5582473870007608E-2</v>
      </c>
      <c r="AJ237" s="7">
        <f t="shared" si="0"/>
        <v>4.9086905841212274E-2</v>
      </c>
      <c r="AK237" s="7">
        <f t="shared" si="0"/>
        <v>4.7733098985961925E-2</v>
      </c>
      <c r="AL237" s="7">
        <f t="shared" si="0"/>
        <v>4.726615212637561E-2</v>
      </c>
      <c r="AM237" s="7">
        <f t="shared" si="0"/>
        <v>4.9532710280373829E-2</v>
      </c>
      <c r="AN237" s="7">
        <f t="shared" si="0"/>
        <v>4.8914214571312287E-2</v>
      </c>
      <c r="AO237" s="7">
        <f t="shared" si="0"/>
        <v>5.1520987934062207E-2</v>
      </c>
      <c r="AP237" s="7">
        <f t="shared" si="0"/>
        <v>4.8425801497408334E-2</v>
      </c>
      <c r="AQ237" s="7">
        <f t="shared" si="0"/>
        <v>5.1096613226790738E-2</v>
      </c>
      <c r="AR237" s="7">
        <f t="shared" si="0"/>
        <v>4.7744154763172744E-2</v>
      </c>
    </row>
    <row r="238" spans="24:67" x14ac:dyDescent="0.3">
      <c r="X238" s="1" t="s">
        <v>71</v>
      </c>
      <c r="Y238" s="7">
        <f t="shared" si="1"/>
        <v>9.8761667995684602E-2</v>
      </c>
      <c r="Z238" s="7">
        <f t="shared" si="0"/>
        <v>9.707423022869556E-2</v>
      </c>
      <c r="AA238" s="7">
        <f t="shared" si="0"/>
        <v>5.1508953541762326E-2</v>
      </c>
      <c r="AB238" s="7">
        <f t="shared" si="0"/>
        <v>5.1847051198963053E-2</v>
      </c>
      <c r="AC238" s="7">
        <f t="shared" si="0"/>
        <v>0.10177105552323701</v>
      </c>
      <c r="AD238" s="7">
        <f t="shared" si="0"/>
        <v>9.5442072150458454E-2</v>
      </c>
      <c r="AE238" s="7">
        <f t="shared" si="0"/>
        <v>5.0657357201218146E-2</v>
      </c>
      <c r="AF238" s="7">
        <f t="shared" si="0"/>
        <v>9.4289703828911595E-2</v>
      </c>
      <c r="AG238" s="7">
        <f t="shared" si="0"/>
        <v>4.721236957195496E-2</v>
      </c>
      <c r="AH238" s="7">
        <f t="shared" si="0"/>
        <v>7.3397012245305135E-2</v>
      </c>
      <c r="AI238" s="7">
        <f t="shared" si="0"/>
        <v>4.7489000151722048E-2</v>
      </c>
      <c r="AJ238" s="7">
        <f t="shared" si="0"/>
        <v>7.210343112879164E-2</v>
      </c>
      <c r="AK238" s="7">
        <f t="shared" si="0"/>
        <v>4.7667739316110791E-2</v>
      </c>
      <c r="AL238" s="7">
        <f t="shared" si="0"/>
        <v>6.0017934921854976E-2</v>
      </c>
      <c r="AM238" s="7">
        <f t="shared" si="0"/>
        <v>4.6838001732601789E-2</v>
      </c>
      <c r="AN238" s="7">
        <f t="shared" si="0"/>
        <v>6.0202970013187307E-2</v>
      </c>
      <c r="AO238" s="7">
        <f t="shared" si="0"/>
        <v>4.6894161556918154E-2</v>
      </c>
      <c r="AP238" s="7">
        <f t="shared" si="0"/>
        <v>5.1115837806813197E-2</v>
      </c>
      <c r="AQ238" s="7">
        <f t="shared" si="0"/>
        <v>4.7437548287406657E-2</v>
      </c>
      <c r="AR238" s="7">
        <f t="shared" si="0"/>
        <v>4.7141107203540519E-2</v>
      </c>
    </row>
    <row r="239" spans="24:67" x14ac:dyDescent="0.3">
      <c r="X239" s="1" t="s">
        <v>72</v>
      </c>
      <c r="Y239" s="7">
        <f t="shared" si="1"/>
        <v>9.1372208208802291E-2</v>
      </c>
      <c r="Z239" s="7">
        <f t="shared" si="0"/>
        <v>8.9890027493126717E-2</v>
      </c>
      <c r="AA239" s="7">
        <f t="shared" si="0"/>
        <v>5.1846406641874947E-2</v>
      </c>
      <c r="AB239" s="7">
        <f t="shared" si="0"/>
        <v>7.2915920262543177E-2</v>
      </c>
      <c r="AC239" s="7">
        <f t="shared" si="0"/>
        <v>0.11669617338378402</v>
      </c>
      <c r="AD239" s="7">
        <f t="shared" si="0"/>
        <v>8.8672522882240937E-2</v>
      </c>
      <c r="AE239" s="7">
        <f t="shared" si="0"/>
        <v>7.2754934852149497E-2</v>
      </c>
      <c r="AF239" s="7">
        <f t="shared" si="0"/>
        <v>0.13893713094824592</v>
      </c>
      <c r="AG239" s="7">
        <f t="shared" si="0"/>
        <v>5.5224068845747105E-2</v>
      </c>
      <c r="AH239" s="7">
        <f t="shared" si="0"/>
        <v>0.11087460088900018</v>
      </c>
      <c r="AI239" s="7">
        <f t="shared" si="0"/>
        <v>5.9967168915015176E-2</v>
      </c>
      <c r="AJ239" s="7">
        <f t="shared" si="0"/>
        <v>0.11035594892714608</v>
      </c>
      <c r="AK239" s="7">
        <f t="shared" si="0"/>
        <v>6.0340345280375067E-2</v>
      </c>
      <c r="AL239" s="7">
        <f t="shared" si="0"/>
        <v>9.875337939321116E-2</v>
      </c>
      <c r="AM239" s="7">
        <f t="shared" si="0"/>
        <v>6.7445431090428484E-2</v>
      </c>
      <c r="AN239" s="7">
        <f t="shared" si="0"/>
        <v>7.727290765506567E-2</v>
      </c>
      <c r="AO239" s="7">
        <f t="shared" si="0"/>
        <v>5.3454381965751967E-2</v>
      </c>
      <c r="AP239" s="7">
        <f t="shared" si="0"/>
        <v>5.3678688411245651E-2</v>
      </c>
      <c r="AQ239" s="7">
        <f t="shared" si="0"/>
        <v>4.8130695318937856E-2</v>
      </c>
      <c r="AR239" s="7">
        <f t="shared" si="0"/>
        <v>4.7040957848352383E-2</v>
      </c>
    </row>
    <row r="240" spans="24:67" x14ac:dyDescent="0.3">
      <c r="X240" s="1" t="s">
        <v>73</v>
      </c>
      <c r="Y240" s="7">
        <f t="shared" si="1"/>
        <v>5.3354484252882445E-2</v>
      </c>
      <c r="Z240" s="7">
        <f t="shared" si="0"/>
        <v>4.7633084313599063E-2</v>
      </c>
      <c r="AA240" s="7">
        <f t="shared" si="0"/>
        <v>4.8426318349197528E-2</v>
      </c>
      <c r="AB240" s="7">
        <f t="shared" si="0"/>
        <v>4.8282984766331014E-2</v>
      </c>
      <c r="AC240" s="7">
        <f t="shared" si="0"/>
        <v>4.6339050131926122E-2</v>
      </c>
      <c r="AD240" s="7">
        <f t="shared" si="0"/>
        <v>4.7608226337916143E-2</v>
      </c>
      <c r="AE240" s="7">
        <f t="shared" si="0"/>
        <v>4.5449916839211159E-2</v>
      </c>
      <c r="AF240" s="7">
        <f t="shared" si="0"/>
        <v>6.0925593360190267E-2</v>
      </c>
      <c r="AG240" s="7">
        <f t="shared" si="0"/>
        <v>4.1975989479489245E-2</v>
      </c>
      <c r="AH240" s="7">
        <f t="shared" si="0"/>
        <v>5.629878041424901E-2</v>
      </c>
      <c r="AI240" s="7">
        <f t="shared" si="0"/>
        <v>5.9908853590549087E-2</v>
      </c>
      <c r="AJ240" s="7">
        <f t="shared" si="0"/>
        <v>5.7228668301324545E-2</v>
      </c>
      <c r="AK240" s="7">
        <f t="shared" si="0"/>
        <v>5.8921801709182042E-2</v>
      </c>
      <c r="AL240" s="7">
        <f t="shared" si="0"/>
        <v>4.978331644423363E-2</v>
      </c>
      <c r="AM240" s="7">
        <f t="shared" si="0"/>
        <v>6.2924694108296306E-2</v>
      </c>
      <c r="AN240" s="7">
        <f t="shared" si="0"/>
        <v>5.9884740666499625E-2</v>
      </c>
      <c r="AO240" s="7">
        <f t="shared" si="0"/>
        <v>6.8696833226106216E-2</v>
      </c>
      <c r="AP240" s="7">
        <f t="shared" si="0"/>
        <v>6.3742928792208553E-2</v>
      </c>
      <c r="AQ240" s="7">
        <f t="shared" si="0"/>
        <v>6.5311790508519402E-2</v>
      </c>
      <c r="AR240" s="7">
        <f t="shared" si="0"/>
        <v>4.5843515015425836E-2</v>
      </c>
    </row>
    <row r="241" spans="24:45" x14ac:dyDescent="0.3">
      <c r="AS241" s="8">
        <f>AVERAGE(Y233:AR240)</f>
        <v>6.4229481238541192E-2</v>
      </c>
    </row>
    <row r="242" spans="24:45" x14ac:dyDescent="0.3">
      <c r="AS242" s="8"/>
    </row>
    <row r="243" spans="24:45" x14ac:dyDescent="0.3">
      <c r="AS243" s="8"/>
    </row>
    <row r="244" spans="24:45" x14ac:dyDescent="0.3">
      <c r="X244" t="s">
        <v>75</v>
      </c>
      <c r="AS244" s="8"/>
    </row>
    <row r="245" spans="24:45" x14ac:dyDescent="0.3">
      <c r="X245" s="1" t="s">
        <v>6</v>
      </c>
      <c r="Y245" s="1" t="s">
        <v>63</v>
      </c>
      <c r="Z245" s="1" t="s">
        <v>64</v>
      </c>
      <c r="AA245" s="1" t="s">
        <v>63</v>
      </c>
      <c r="AB245" s="1" t="s">
        <v>64</v>
      </c>
      <c r="AC245" s="1" t="s">
        <v>63</v>
      </c>
      <c r="AD245" s="1" t="s">
        <v>64</v>
      </c>
      <c r="AE245" s="1" t="s">
        <v>63</v>
      </c>
      <c r="AF245" s="1" t="s">
        <v>64</v>
      </c>
      <c r="AG245" s="1" t="s">
        <v>63</v>
      </c>
      <c r="AH245" s="1" t="s">
        <v>64</v>
      </c>
      <c r="AI245" s="1" t="s">
        <v>63</v>
      </c>
      <c r="AJ245" s="1" t="s">
        <v>64</v>
      </c>
      <c r="AK245" s="1" t="s">
        <v>63</v>
      </c>
      <c r="AL245" s="1" t="s">
        <v>64</v>
      </c>
      <c r="AM245" s="1" t="s">
        <v>63</v>
      </c>
      <c r="AN245" s="1" t="s">
        <v>64</v>
      </c>
      <c r="AO245" s="1" t="s">
        <v>63</v>
      </c>
      <c r="AP245" s="1" t="s">
        <v>64</v>
      </c>
      <c r="AQ245" s="1" t="s">
        <v>63</v>
      </c>
      <c r="AR245" s="1" t="s">
        <v>64</v>
      </c>
      <c r="AS245" s="8"/>
    </row>
    <row r="246" spans="24:45" x14ac:dyDescent="0.3">
      <c r="X246" s="1" t="s">
        <v>65</v>
      </c>
      <c r="Y246" s="1" t="s">
        <v>53</v>
      </c>
      <c r="Z246" s="1" t="s">
        <v>53</v>
      </c>
      <c r="AA246" s="1" t="s">
        <v>54</v>
      </c>
      <c r="AB246" s="1" t="s">
        <v>54</v>
      </c>
      <c r="AC246" s="1" t="s">
        <v>55</v>
      </c>
      <c r="AD246" s="1" t="s">
        <v>55</v>
      </c>
      <c r="AE246" s="1" t="s">
        <v>56</v>
      </c>
      <c r="AF246" s="1" t="s">
        <v>56</v>
      </c>
      <c r="AG246" s="1" t="s">
        <v>57</v>
      </c>
      <c r="AH246" s="1" t="s">
        <v>57</v>
      </c>
      <c r="AI246" s="1" t="s">
        <v>58</v>
      </c>
      <c r="AJ246" s="1" t="s">
        <v>58</v>
      </c>
      <c r="AK246" s="1" t="s">
        <v>59</v>
      </c>
      <c r="AL246" s="1" t="s">
        <v>59</v>
      </c>
      <c r="AM246" s="1" t="s">
        <v>60</v>
      </c>
      <c r="AN246" s="1" t="s">
        <v>60</v>
      </c>
      <c r="AO246" s="1" t="s">
        <v>61</v>
      </c>
      <c r="AP246" s="1" t="s">
        <v>61</v>
      </c>
      <c r="AQ246" s="1" t="s">
        <v>62</v>
      </c>
      <c r="AR246" s="1" t="s">
        <v>62</v>
      </c>
      <c r="AS246" s="8"/>
    </row>
    <row r="247" spans="24:45" x14ac:dyDescent="0.3">
      <c r="X247" s="1" t="s">
        <v>7</v>
      </c>
      <c r="Y247">
        <v>1.3</v>
      </c>
      <c r="Z247">
        <v>1.3</v>
      </c>
      <c r="AA247">
        <v>1.3</v>
      </c>
      <c r="AB247">
        <v>1.3</v>
      </c>
      <c r="AC247">
        <v>0.5</v>
      </c>
      <c r="AD247">
        <v>0.5</v>
      </c>
      <c r="AE247">
        <v>1.6</v>
      </c>
      <c r="AF247">
        <v>1.6</v>
      </c>
      <c r="AG247">
        <v>2</v>
      </c>
      <c r="AH247">
        <v>2</v>
      </c>
      <c r="AI247">
        <v>3.6</v>
      </c>
      <c r="AJ247">
        <v>3.6</v>
      </c>
      <c r="AK247">
        <v>2.9</v>
      </c>
      <c r="AL247">
        <v>2.9</v>
      </c>
      <c r="AM247">
        <v>3.8</v>
      </c>
      <c r="AN247">
        <v>3.8</v>
      </c>
      <c r="AO247">
        <v>3.4</v>
      </c>
      <c r="AP247">
        <v>3.4</v>
      </c>
      <c r="AQ247">
        <v>4.5</v>
      </c>
      <c r="AR247">
        <v>4.5</v>
      </c>
      <c r="AS247" s="8"/>
    </row>
    <row r="248" spans="24:45" x14ac:dyDescent="0.3">
      <c r="X248" s="1" t="s">
        <v>66</v>
      </c>
      <c r="Y248" s="7">
        <f>(Y163+Y135)/(Y163+Y135+AV135+AV163)</f>
        <v>9.7955665024630545E-2</v>
      </c>
      <c r="Z248" s="7">
        <f t="shared" ref="Z248:AO255" si="2">(Z163+Z135)/(Z163+Z135+AW135+AW163)</f>
        <v>0.10235294117647059</v>
      </c>
      <c r="AA248" s="7">
        <f t="shared" si="2"/>
        <v>3.9141414141414144E-2</v>
      </c>
      <c r="AB248" s="7">
        <f t="shared" si="2"/>
        <v>3.888888888888889E-2</v>
      </c>
      <c r="AC248" s="7">
        <f t="shared" si="2"/>
        <v>3.8932107496463933E-2</v>
      </c>
      <c r="AD248" s="7">
        <f t="shared" si="2"/>
        <v>4.4993715961457903E-2</v>
      </c>
      <c r="AE248" s="7">
        <f t="shared" si="2"/>
        <v>8.1421757892346125E-2</v>
      </c>
      <c r="AF248" s="7">
        <f t="shared" si="2"/>
        <v>5.2556280244056383E-2</v>
      </c>
      <c r="AG248" s="7">
        <f t="shared" si="2"/>
        <v>6.4231021658280457E-2</v>
      </c>
      <c r="AH248" s="7">
        <f t="shared" si="2"/>
        <v>3.8916982722292458E-2</v>
      </c>
      <c r="AI248" s="7">
        <f t="shared" si="2"/>
        <v>8.7266508813470145E-2</v>
      </c>
      <c r="AJ248" s="7">
        <f t="shared" si="2"/>
        <v>2.8740347490347488E-2</v>
      </c>
      <c r="AK248" s="7">
        <f t="shared" si="2"/>
        <v>8.0374042361424064E-2</v>
      </c>
      <c r="AL248" s="7">
        <f t="shared" si="2"/>
        <v>1.0253671562082777E-2</v>
      </c>
      <c r="AM248" s="7">
        <f t="shared" si="2"/>
        <v>7.2186836518046707E-2</v>
      </c>
      <c r="AN248" s="7">
        <f t="shared" si="2"/>
        <v>3.4765017117958298E-2</v>
      </c>
      <c r="AO248" s="7">
        <f>(AO163+AO135)/(AO163+AO135+BL135+BL163)</f>
        <v>1.0249709639953544E-2</v>
      </c>
      <c r="AP248" s="7">
        <f t="shared" ref="AP248:AR255" si="3">(AP163+AP135)/(AP163+AP135+BM135+BM163)</f>
        <v>1.0287004192196065E-2</v>
      </c>
      <c r="AQ248" s="7">
        <f t="shared" si="3"/>
        <v>1.5139911634756994E-2</v>
      </c>
      <c r="AR248" s="7">
        <f t="shared" si="3"/>
        <v>1.0267857142857141E-2</v>
      </c>
      <c r="AS248" s="8"/>
    </row>
    <row r="249" spans="24:45" x14ac:dyDescent="0.3">
      <c r="X249" s="1" t="s">
        <v>67</v>
      </c>
      <c r="Y249" s="7">
        <f t="shared" ref="Y249:Y255" si="4">(Y164+Y136)/(Y164+Y136+AV136+AV164)</f>
        <v>8.7891587469200977E-2</v>
      </c>
      <c r="Z249" s="7">
        <f t="shared" si="2"/>
        <v>8.8177107866227039E-2</v>
      </c>
      <c r="AA249" s="7">
        <f t="shared" si="2"/>
        <v>9.3226600985221675E-2</v>
      </c>
      <c r="AB249" s="7">
        <f t="shared" si="2"/>
        <v>9.3653846153846157E-2</v>
      </c>
      <c r="AC249" s="7">
        <f t="shared" si="2"/>
        <v>9.6616270698344123E-2</v>
      </c>
      <c r="AD249" s="7">
        <f t="shared" si="2"/>
        <v>9.3673695893451717E-2</v>
      </c>
      <c r="AE249" s="7">
        <f t="shared" si="2"/>
        <v>9.2977777777777784E-2</v>
      </c>
      <c r="AF249" s="7">
        <f t="shared" si="2"/>
        <v>9.8206429780033855E-2</v>
      </c>
      <c r="AG249" s="7">
        <f t="shared" si="2"/>
        <v>8.7435897435897442E-2</v>
      </c>
      <c r="AH249" s="7">
        <f t="shared" si="2"/>
        <v>9.094064560916347E-2</v>
      </c>
      <c r="AI249" s="7">
        <f t="shared" si="2"/>
        <v>8.8400543724512906E-2</v>
      </c>
      <c r="AJ249" s="7">
        <f t="shared" si="2"/>
        <v>9.1159067177166722E-2</v>
      </c>
      <c r="AK249" s="7">
        <f t="shared" si="2"/>
        <v>8.8030713640469729E-2</v>
      </c>
      <c r="AL249" s="7">
        <f t="shared" si="2"/>
        <v>8.8727272727272724E-2</v>
      </c>
      <c r="AM249" s="7">
        <f t="shared" si="2"/>
        <v>8.8055555555555554E-2</v>
      </c>
      <c r="AN249" s="7">
        <f t="shared" si="2"/>
        <v>8.8130004710315596E-2</v>
      </c>
      <c r="AO249" s="7">
        <f t="shared" si="2"/>
        <v>8.8114980652294089E-2</v>
      </c>
      <c r="AP249" s="7">
        <f t="shared" si="3"/>
        <v>9.3041362530413632E-2</v>
      </c>
      <c r="AQ249" s="7">
        <f t="shared" si="3"/>
        <v>8.7360132615002056E-2</v>
      </c>
      <c r="AR249" s="7">
        <f t="shared" si="3"/>
        <v>8.8087167070217923E-2</v>
      </c>
      <c r="AS249" s="8"/>
    </row>
    <row r="250" spans="24:45" x14ac:dyDescent="0.3">
      <c r="X250" s="1" t="s">
        <v>68</v>
      </c>
      <c r="Y250" s="7">
        <f t="shared" si="4"/>
        <v>0.16417563920248426</v>
      </c>
      <c r="Z250" s="7">
        <f t="shared" si="2"/>
        <v>8.8346738159070598E-2</v>
      </c>
      <c r="AA250" s="7">
        <f t="shared" si="2"/>
        <v>0.15309745997664076</v>
      </c>
      <c r="AB250" s="7">
        <f t="shared" si="2"/>
        <v>9.3647177929638059E-2</v>
      </c>
      <c r="AC250" s="7">
        <f t="shared" si="2"/>
        <v>0.24239822144848439</v>
      </c>
      <c r="AD250" s="7">
        <f t="shared" si="2"/>
        <v>0.12081991258393342</v>
      </c>
      <c r="AE250" s="7">
        <f t="shared" si="2"/>
        <v>0.18727803717257663</v>
      </c>
      <c r="AF250" s="7">
        <f t="shared" si="2"/>
        <v>0.12103678657638027</v>
      </c>
      <c r="AG250" s="7">
        <f t="shared" si="2"/>
        <v>0.1928610653487095</v>
      </c>
      <c r="AH250" s="7">
        <f t="shared" si="2"/>
        <v>0.10596080492158265</v>
      </c>
      <c r="AI250" s="7">
        <f t="shared" si="2"/>
        <v>0.20103539629428591</v>
      </c>
      <c r="AJ250" s="7">
        <f t="shared" si="2"/>
        <v>0.10693333572177091</v>
      </c>
      <c r="AK250" s="7">
        <f t="shared" si="2"/>
        <v>0.21029244357212956</v>
      </c>
      <c r="AL250" s="7">
        <f t="shared" si="2"/>
        <v>0.10977799142574043</v>
      </c>
      <c r="AM250" s="7">
        <f t="shared" si="2"/>
        <v>0.21391904898600159</v>
      </c>
      <c r="AN250" s="7">
        <f t="shared" si="2"/>
        <v>0.10193207513376767</v>
      </c>
      <c r="AO250" s="7">
        <f t="shared" si="2"/>
        <v>0.11724842183438544</v>
      </c>
      <c r="AP250" s="7">
        <f t="shared" si="3"/>
        <v>9.9488447798423058E-2</v>
      </c>
      <c r="AQ250" s="7">
        <f t="shared" si="3"/>
        <v>9.6616876973710492E-2</v>
      </c>
      <c r="AR250" s="7">
        <f t="shared" si="3"/>
        <v>9.8992158043381642E-2</v>
      </c>
      <c r="AS250" s="8"/>
    </row>
    <row r="251" spans="24:45" x14ac:dyDescent="0.3">
      <c r="X251" s="1" t="s">
        <v>69</v>
      </c>
      <c r="Y251" s="7">
        <f t="shared" si="4"/>
        <v>0.10264602785619008</v>
      </c>
      <c r="Z251" s="7">
        <f t="shared" si="2"/>
        <v>0.10896913220733839</v>
      </c>
      <c r="AA251" s="7">
        <f t="shared" si="2"/>
        <v>9.8937278599708273E-2</v>
      </c>
      <c r="AB251" s="7">
        <f t="shared" si="2"/>
        <v>9.3684820393974508E-2</v>
      </c>
      <c r="AC251" s="7">
        <f t="shared" si="2"/>
        <v>0.17956519998398526</v>
      </c>
      <c r="AD251" s="7">
        <f t="shared" si="2"/>
        <v>0.1020408163265306</v>
      </c>
      <c r="AE251" s="7">
        <f t="shared" si="2"/>
        <v>0.1547360809833695</v>
      </c>
      <c r="AF251" s="7">
        <f t="shared" si="2"/>
        <v>9.9072469676893302E-2</v>
      </c>
      <c r="AG251" s="7">
        <f t="shared" si="2"/>
        <v>0.14958589625611471</v>
      </c>
      <c r="AH251" s="7">
        <f t="shared" si="2"/>
        <v>9.4706758687786927E-2</v>
      </c>
      <c r="AI251" s="7">
        <f t="shared" si="2"/>
        <v>0.14985535658784996</v>
      </c>
      <c r="AJ251" s="7">
        <f t="shared" si="2"/>
        <v>9.6770170844244913E-2</v>
      </c>
      <c r="AK251" s="7">
        <f t="shared" si="2"/>
        <v>0.15127178413796238</v>
      </c>
      <c r="AL251" s="7">
        <f t="shared" si="2"/>
        <v>9.6629213483146056E-2</v>
      </c>
      <c r="AM251" s="7">
        <f t="shared" si="2"/>
        <v>0.11621088938162109</v>
      </c>
      <c r="AN251" s="7">
        <f t="shared" si="2"/>
        <v>9.6881091617933721E-2</v>
      </c>
      <c r="AO251" s="7">
        <f t="shared" si="2"/>
        <v>9.5526315789473681E-2</v>
      </c>
      <c r="AP251" s="7">
        <f t="shared" si="3"/>
        <v>0.10121901665989434</v>
      </c>
      <c r="AQ251" s="7">
        <f t="shared" si="3"/>
        <v>9.9551401869158881E-2</v>
      </c>
      <c r="AR251" s="7">
        <f t="shared" si="3"/>
        <v>0.10129936741323305</v>
      </c>
      <c r="AS251" s="8"/>
    </row>
    <row r="252" spans="24:45" x14ac:dyDescent="0.3">
      <c r="X252" s="1" t="s">
        <v>70</v>
      </c>
      <c r="Y252" s="7">
        <f t="shared" si="4"/>
        <v>0.16626015374899278</v>
      </c>
      <c r="Z252" s="7">
        <f t="shared" si="2"/>
        <v>0.13269798657718121</v>
      </c>
      <c r="AA252" s="7">
        <f t="shared" si="2"/>
        <v>0.14885474860335196</v>
      </c>
      <c r="AB252" s="7">
        <f t="shared" si="2"/>
        <v>9.3785652549697479E-2</v>
      </c>
      <c r="AC252" s="7">
        <f t="shared" si="2"/>
        <v>0.16709122203098106</v>
      </c>
      <c r="AD252" s="7">
        <f t="shared" si="2"/>
        <v>0.16260146062615702</v>
      </c>
      <c r="AE252" s="7">
        <f t="shared" si="2"/>
        <v>9.4122211445198833E-2</v>
      </c>
      <c r="AF252" s="7">
        <f t="shared" si="2"/>
        <v>0.13631394533987387</v>
      </c>
      <c r="AG252" s="7">
        <f t="shared" si="2"/>
        <v>0.11201285422144316</v>
      </c>
      <c r="AH252" s="7">
        <f t="shared" si="2"/>
        <v>0.12075016307893019</v>
      </c>
      <c r="AI252" s="7">
        <f t="shared" si="2"/>
        <v>0.1013724864347271</v>
      </c>
      <c r="AJ252" s="7">
        <f t="shared" si="2"/>
        <v>9.1741573033707849E-2</v>
      </c>
      <c r="AK252" s="7">
        <f t="shared" si="2"/>
        <v>8.9443163097199352E-2</v>
      </c>
      <c r="AL252" s="7">
        <f t="shared" si="2"/>
        <v>8.8689355539464165E-2</v>
      </c>
      <c r="AM252" s="7">
        <f t="shared" si="2"/>
        <v>9.2064748201438854E-2</v>
      </c>
      <c r="AN252" s="7">
        <f t="shared" si="2"/>
        <v>9.0969213226909915E-2</v>
      </c>
      <c r="AO252" s="7">
        <f t="shared" si="2"/>
        <v>9.5243722304283615E-2</v>
      </c>
      <c r="AP252" s="7">
        <f t="shared" si="3"/>
        <v>9.0365384615384625E-2</v>
      </c>
      <c r="AQ252" s="7">
        <f t="shared" si="3"/>
        <v>9.4405250205086139E-2</v>
      </c>
      <c r="AR252" s="7">
        <f t="shared" si="3"/>
        <v>8.8502538071065992E-2</v>
      </c>
      <c r="AS252" s="8"/>
    </row>
    <row r="253" spans="24:45" x14ac:dyDescent="0.3">
      <c r="X253" s="1" t="s">
        <v>71</v>
      </c>
      <c r="Y253" s="7">
        <f t="shared" si="4"/>
        <v>0.1737359213994728</v>
      </c>
      <c r="Z253" s="7">
        <f t="shared" si="2"/>
        <v>0.17010121604893322</v>
      </c>
      <c r="AA253" s="7">
        <f t="shared" si="2"/>
        <v>0.10351377018043686</v>
      </c>
      <c r="AB253" s="7">
        <f t="shared" si="2"/>
        <v>0.10317324673844927</v>
      </c>
      <c r="AC253" s="7">
        <f t="shared" si="2"/>
        <v>0.17965188561956069</v>
      </c>
      <c r="AD253" s="7">
        <f t="shared" si="2"/>
        <v>0.17084846483988114</v>
      </c>
      <c r="AE253" s="7">
        <f t="shared" si="2"/>
        <v>0.10523665659617321</v>
      </c>
      <c r="AF253" s="7">
        <f t="shared" si="2"/>
        <v>0.16924929747089523</v>
      </c>
      <c r="AG253" s="7">
        <f t="shared" si="2"/>
        <v>9.8965338851526113E-2</v>
      </c>
      <c r="AH253" s="7">
        <f t="shared" si="2"/>
        <v>0.14251898168825369</v>
      </c>
      <c r="AI253" s="7">
        <f t="shared" si="2"/>
        <v>9.8684787373958804E-2</v>
      </c>
      <c r="AJ253" s="7">
        <f t="shared" si="2"/>
        <v>0.13943451070201709</v>
      </c>
      <c r="AK253" s="7">
        <f t="shared" si="2"/>
        <v>9.8835882218671525E-2</v>
      </c>
      <c r="AL253" s="7">
        <f t="shared" si="2"/>
        <v>0.12116940746541371</v>
      </c>
      <c r="AM253" s="7">
        <f t="shared" si="2"/>
        <v>9.8780598780598777E-2</v>
      </c>
      <c r="AN253" s="7">
        <f t="shared" si="2"/>
        <v>0.12097712291585887</v>
      </c>
      <c r="AO253" s="7">
        <f t="shared" si="2"/>
        <v>9.9051633298208638E-2</v>
      </c>
      <c r="AP253" s="7">
        <f t="shared" si="3"/>
        <v>0.10518274049627185</v>
      </c>
      <c r="AQ253" s="7">
        <f t="shared" si="3"/>
        <v>9.9259103567862966E-2</v>
      </c>
      <c r="AR253" s="7">
        <f t="shared" si="3"/>
        <v>9.8906752411575566E-2</v>
      </c>
      <c r="AS253" s="8"/>
    </row>
    <row r="254" spans="24:45" x14ac:dyDescent="0.3">
      <c r="X254" s="1" t="s">
        <v>72</v>
      </c>
      <c r="Y254" s="7">
        <f t="shared" si="4"/>
        <v>0.16519104310826493</v>
      </c>
      <c r="Z254" s="7">
        <f t="shared" si="2"/>
        <v>0.16442192538000922</v>
      </c>
      <c r="AA254" s="7">
        <f t="shared" si="2"/>
        <v>0.10718589936727931</v>
      </c>
      <c r="AB254" s="7">
        <f t="shared" si="2"/>
        <v>0.14141031919155944</v>
      </c>
      <c r="AC254" s="7">
        <f t="shared" si="2"/>
        <v>0.19971794315469732</v>
      </c>
      <c r="AD254" s="7">
        <f t="shared" si="2"/>
        <v>0.16541834124954327</v>
      </c>
      <c r="AE254" s="7">
        <f t="shared" si="2"/>
        <v>0.141620404518809</v>
      </c>
      <c r="AF254" s="7">
        <f t="shared" si="2"/>
        <v>0.23204569570812544</v>
      </c>
      <c r="AG254" s="7">
        <f t="shared" si="2"/>
        <v>0.11372975108652707</v>
      </c>
      <c r="AH254" s="7">
        <f t="shared" si="2"/>
        <v>0.19517240281954587</v>
      </c>
      <c r="AI254" s="7">
        <f t="shared" si="2"/>
        <v>0.12153147819222419</v>
      </c>
      <c r="AJ254" s="7">
        <f t="shared" si="2"/>
        <v>0.19443697026772502</v>
      </c>
      <c r="AK254" s="7">
        <f t="shared" si="2"/>
        <v>0.12227555786196159</v>
      </c>
      <c r="AL254" s="7">
        <f t="shared" si="2"/>
        <v>0.17938264414676763</v>
      </c>
      <c r="AM254" s="7">
        <f t="shared" si="2"/>
        <v>0.13224857871005685</v>
      </c>
      <c r="AN254" s="7">
        <f t="shared" si="2"/>
        <v>0.14735761176513737</v>
      </c>
      <c r="AO254" s="7">
        <f t="shared" si="2"/>
        <v>0.10944245904687144</v>
      </c>
      <c r="AP254" s="7">
        <f t="shared" si="3"/>
        <v>0.11196796276754065</v>
      </c>
      <c r="AQ254" s="7">
        <f t="shared" si="3"/>
        <v>9.9254725827945312E-2</v>
      </c>
      <c r="AR254" s="7">
        <f t="shared" si="3"/>
        <v>9.9088565886323157E-2</v>
      </c>
      <c r="AS254" s="8"/>
    </row>
    <row r="255" spans="24:45" x14ac:dyDescent="0.3">
      <c r="X255" s="1" t="s">
        <v>73</v>
      </c>
      <c r="Y255" s="7">
        <f t="shared" si="4"/>
        <v>0.1153660886319846</v>
      </c>
      <c r="Z255" s="7">
        <f t="shared" si="2"/>
        <v>0.10320404721753793</v>
      </c>
      <c r="AA255" s="7">
        <f t="shared" si="2"/>
        <v>0.10543364681295715</v>
      </c>
      <c r="AB255" s="7">
        <f t="shared" si="2"/>
        <v>0.10539599651871193</v>
      </c>
      <c r="AC255" s="7">
        <f t="shared" si="2"/>
        <v>0.05</v>
      </c>
      <c r="AD255" s="7">
        <f t="shared" si="2"/>
        <v>0.10559670781893006</v>
      </c>
      <c r="AE255" s="7">
        <f t="shared" si="2"/>
        <v>9.3235704323570423E-2</v>
      </c>
      <c r="AF255" s="7">
        <f t="shared" si="2"/>
        <v>0.12994836488812392</v>
      </c>
      <c r="AG255" s="7">
        <f t="shared" si="2"/>
        <v>9.9638989169675077E-2</v>
      </c>
      <c r="AH255" s="7">
        <f t="shared" si="2"/>
        <v>0.11896135265700483</v>
      </c>
      <c r="AI255" s="7">
        <f t="shared" si="2"/>
        <v>0.12714617169373549</v>
      </c>
      <c r="AJ255" s="7">
        <f t="shared" si="2"/>
        <v>0.11817037347880822</v>
      </c>
      <c r="AK255" s="7">
        <f t="shared" si="2"/>
        <v>0.12746376811594204</v>
      </c>
      <c r="AL255" s="7">
        <f t="shared" si="2"/>
        <v>0.10747004933051446</v>
      </c>
      <c r="AM255" s="7">
        <f t="shared" si="2"/>
        <v>0.13084291187739464</v>
      </c>
      <c r="AN255" s="7">
        <f t="shared" si="2"/>
        <v>0.12341376228775693</v>
      </c>
      <c r="AO255" s="7">
        <f t="shared" si="2"/>
        <v>0.13559066967644845</v>
      </c>
      <c r="AP255" s="7">
        <f t="shared" si="3"/>
        <v>0.13197916666666668</v>
      </c>
      <c r="AQ255" s="7">
        <f t="shared" si="3"/>
        <v>0.13268115942028985</v>
      </c>
      <c r="AR255" s="7">
        <f t="shared" si="3"/>
        <v>0.1</v>
      </c>
      <c r="AS255" s="8"/>
    </row>
    <row r="256" spans="24:45" x14ac:dyDescent="0.3">
      <c r="AS256" s="8">
        <f>AVERAGE(Y248:AR255)</f>
        <v>0.11153031144918349</v>
      </c>
    </row>
    <row r="258" spans="24:45" x14ac:dyDescent="0.3">
      <c r="X258" s="9" t="s">
        <v>76</v>
      </c>
    </row>
    <row r="259" spans="24:45" x14ac:dyDescent="0.3">
      <c r="X259" s="1" t="s">
        <v>6</v>
      </c>
      <c r="Y259" s="1" t="s">
        <v>63</v>
      </c>
      <c r="Z259" s="1" t="s">
        <v>64</v>
      </c>
      <c r="AA259" s="1" t="s">
        <v>63</v>
      </c>
      <c r="AB259" s="1" t="s">
        <v>64</v>
      </c>
      <c r="AC259" s="1" t="s">
        <v>63</v>
      </c>
      <c r="AD259" s="1" t="s">
        <v>64</v>
      </c>
      <c r="AE259" s="1" t="s">
        <v>63</v>
      </c>
      <c r="AF259" s="1" t="s">
        <v>64</v>
      </c>
      <c r="AG259" s="1" t="s">
        <v>63</v>
      </c>
      <c r="AH259" s="1" t="s">
        <v>64</v>
      </c>
      <c r="AI259" s="1" t="s">
        <v>63</v>
      </c>
      <c r="AJ259" s="1" t="s">
        <v>64</v>
      </c>
      <c r="AK259" s="1" t="s">
        <v>63</v>
      </c>
      <c r="AL259" s="1" t="s">
        <v>64</v>
      </c>
      <c r="AM259" s="1" t="s">
        <v>63</v>
      </c>
      <c r="AN259" s="1" t="s">
        <v>64</v>
      </c>
      <c r="AO259" s="1" t="s">
        <v>63</v>
      </c>
      <c r="AP259" s="1" t="s">
        <v>64</v>
      </c>
      <c r="AQ259" s="1" t="s">
        <v>63</v>
      </c>
      <c r="AR259" s="1" t="s">
        <v>64</v>
      </c>
    </row>
    <row r="260" spans="24:45" x14ac:dyDescent="0.3">
      <c r="X260" s="1" t="s">
        <v>65</v>
      </c>
      <c r="Y260" s="1" t="s">
        <v>53</v>
      </c>
      <c r="Z260" s="1" t="s">
        <v>53</v>
      </c>
      <c r="AA260" s="1" t="s">
        <v>54</v>
      </c>
      <c r="AB260" s="1" t="s">
        <v>54</v>
      </c>
      <c r="AC260" s="1" t="s">
        <v>55</v>
      </c>
      <c r="AD260" s="1" t="s">
        <v>55</v>
      </c>
      <c r="AE260" s="1" t="s">
        <v>56</v>
      </c>
      <c r="AF260" s="1" t="s">
        <v>56</v>
      </c>
      <c r="AG260" s="1" t="s">
        <v>57</v>
      </c>
      <c r="AH260" s="1" t="s">
        <v>57</v>
      </c>
      <c r="AI260" s="1" t="s">
        <v>58</v>
      </c>
      <c r="AJ260" s="1" t="s">
        <v>58</v>
      </c>
      <c r="AK260" s="1" t="s">
        <v>59</v>
      </c>
      <c r="AL260" s="1" t="s">
        <v>59</v>
      </c>
      <c r="AM260" s="1" t="s">
        <v>60</v>
      </c>
      <c r="AN260" s="1" t="s">
        <v>60</v>
      </c>
      <c r="AO260" s="1" t="s">
        <v>61</v>
      </c>
      <c r="AP260" s="1" t="s">
        <v>61</v>
      </c>
      <c r="AQ260" s="1" t="s">
        <v>62</v>
      </c>
      <c r="AR260" s="1" t="s">
        <v>62</v>
      </c>
    </row>
    <row r="261" spans="24:45" x14ac:dyDescent="0.3">
      <c r="X261" s="1" t="s">
        <v>7</v>
      </c>
      <c r="Y261">
        <v>1.3</v>
      </c>
      <c r="Z261">
        <v>1.3</v>
      </c>
      <c r="AA261">
        <v>1.3</v>
      </c>
      <c r="AB261">
        <v>1.3</v>
      </c>
      <c r="AC261">
        <v>0.5</v>
      </c>
      <c r="AD261">
        <v>0.5</v>
      </c>
      <c r="AE261">
        <v>1.6</v>
      </c>
      <c r="AF261">
        <v>1.6</v>
      </c>
      <c r="AG261">
        <v>2</v>
      </c>
      <c r="AH261">
        <v>2</v>
      </c>
      <c r="AI261">
        <v>3.6</v>
      </c>
      <c r="AJ261">
        <v>3.6</v>
      </c>
      <c r="AK261">
        <v>2.9</v>
      </c>
      <c r="AL261">
        <v>2.9</v>
      </c>
      <c r="AM261">
        <v>3.8</v>
      </c>
      <c r="AN261">
        <v>3.8</v>
      </c>
      <c r="AO261">
        <v>3.4</v>
      </c>
      <c r="AP261">
        <v>3.4</v>
      </c>
      <c r="AQ261">
        <v>4.5</v>
      </c>
      <c r="AR261">
        <v>4.5</v>
      </c>
    </row>
    <row r="262" spans="24:45" x14ac:dyDescent="0.3">
      <c r="X262" s="1" t="s">
        <v>66</v>
      </c>
      <c r="Y262" s="10">
        <f>Y135/(Y135+Y163+Y191+Y107)</f>
        <v>1.029299997379249E-2</v>
      </c>
      <c r="Z262" s="10">
        <f t="shared" ref="Z262:AP269" si="5">Z135/(Z135+Z163+Z191+Z107)</f>
        <v>1.2816374579907723E-2</v>
      </c>
      <c r="AA262" s="10">
        <f t="shared" si="5"/>
        <v>1.179953419199147E-2</v>
      </c>
      <c r="AB262" s="10">
        <f t="shared" si="5"/>
        <v>1.2939373771455988E-2</v>
      </c>
      <c r="AC262" s="10">
        <f t="shared" si="5"/>
        <v>1.6458632497514634E-2</v>
      </c>
      <c r="AD262" s="10">
        <f t="shared" si="5"/>
        <v>1.9275837825169909E-2</v>
      </c>
      <c r="AE262" s="10">
        <f t="shared" si="5"/>
        <v>1.2295644628961488E-2</v>
      </c>
      <c r="AF262" s="10">
        <f t="shared" si="5"/>
        <v>2.3089567222301894E-2</v>
      </c>
      <c r="AG262" s="10">
        <f t="shared" si="5"/>
        <v>7.3186819355563048E-3</v>
      </c>
      <c r="AH262" s="10">
        <f t="shared" si="5"/>
        <v>1.5491835384054351E-2</v>
      </c>
      <c r="AI262" s="10">
        <f t="shared" si="5"/>
        <v>9.1259309990582987E-3</v>
      </c>
      <c r="AJ262" s="10">
        <f t="shared" si="5"/>
        <v>1.7250226976670748E-2</v>
      </c>
      <c r="AK262" s="10">
        <f t="shared" si="5"/>
        <v>1.0159060818666264E-2</v>
      </c>
      <c r="AL262" s="10">
        <f t="shared" si="5"/>
        <v>2.328042328042328E-2</v>
      </c>
      <c r="AM262" s="10">
        <f t="shared" si="5"/>
        <v>1.0203720643456024E-2</v>
      </c>
      <c r="AN262" s="10">
        <f t="shared" si="5"/>
        <v>1.9777346715020665E-2</v>
      </c>
      <c r="AO262" s="10">
        <f t="shared" si="5"/>
        <v>2.5051205293839609E-2</v>
      </c>
      <c r="AP262" s="10">
        <f t="shared" si="5"/>
        <v>2.9704114655570962E-2</v>
      </c>
      <c r="AQ262" s="10">
        <f>AQ135/(AQ135+AQ163+AQ191+AQ107)</f>
        <v>2.2554605887939221E-2</v>
      </c>
      <c r="AR262" s="10">
        <f t="shared" ref="AR262" si="6">AR135/(AR135+AR163+AR191+AR107)</f>
        <v>3.2407932011331443E-2</v>
      </c>
    </row>
    <row r="263" spans="24:45" x14ac:dyDescent="0.3">
      <c r="X263" s="1" t="s">
        <v>67</v>
      </c>
      <c r="Y263" s="10">
        <f t="shared" ref="Y263:AN269" si="7">Y136/(Y136+Y164+Y192+Y108)</f>
        <v>1.8984849186860032E-2</v>
      </c>
      <c r="Z263" s="10">
        <f t="shared" si="7"/>
        <v>2.5349410797478763E-2</v>
      </c>
      <c r="AA263" s="10">
        <f t="shared" si="7"/>
        <v>9.7250995588282658E-3</v>
      </c>
      <c r="AB263" s="10">
        <f t="shared" si="7"/>
        <v>1.748045178105995E-2</v>
      </c>
      <c r="AC263" s="10">
        <f t="shared" si="7"/>
        <v>1.6722466043332697E-2</v>
      </c>
      <c r="AD263" s="10">
        <f t="shared" si="7"/>
        <v>2.4212111739464033E-2</v>
      </c>
      <c r="AE263" s="10">
        <f t="shared" si="7"/>
        <v>1.4056224899598395E-2</v>
      </c>
      <c r="AF263" s="10">
        <f t="shared" si="7"/>
        <v>3.1409950723255455E-2</v>
      </c>
      <c r="AG263" s="10">
        <f t="shared" si="7"/>
        <v>1.5299635672083508E-2</v>
      </c>
      <c r="AH263" s="10">
        <f t="shared" si="7"/>
        <v>3.1375689934358297E-2</v>
      </c>
      <c r="AI263" s="10">
        <f t="shared" si="7"/>
        <v>1.5914714570684222E-2</v>
      </c>
      <c r="AJ263" s="10">
        <f t="shared" si="7"/>
        <v>3.4388533718292431E-2</v>
      </c>
      <c r="AK263" s="10">
        <f t="shared" si="7"/>
        <v>1.963235194217627E-2</v>
      </c>
      <c r="AL263" s="10">
        <f t="shared" si="7"/>
        <v>2.5620636460503502E-2</v>
      </c>
      <c r="AM263" s="10">
        <f t="shared" si="7"/>
        <v>1.9432135700375379E-2</v>
      </c>
      <c r="AN263" s="10">
        <f t="shared" si="7"/>
        <v>2.13812471876988E-2</v>
      </c>
      <c r="AO263" s="10">
        <f t="shared" si="5"/>
        <v>1.6816497687911078E-2</v>
      </c>
      <c r="AP263" s="10">
        <f t="shared" si="5"/>
        <v>2.6579314957996418E-2</v>
      </c>
      <c r="AQ263" s="10">
        <f t="shared" ref="AQ263:AR269" si="8">AQ136/(AQ136+AQ164+AQ192+AQ108)</f>
        <v>1.9544449036147504E-2</v>
      </c>
      <c r="AR263" s="10">
        <f t="shared" si="8"/>
        <v>2.6497457732214461E-2</v>
      </c>
    </row>
    <row r="264" spans="24:45" x14ac:dyDescent="0.3">
      <c r="X264" s="1" t="s">
        <v>68</v>
      </c>
      <c r="Y264" s="10">
        <f t="shared" si="7"/>
        <v>2.7175780532048364E-2</v>
      </c>
      <c r="Z264" s="10">
        <f t="shared" si="5"/>
        <v>2.9092381209417519E-2</v>
      </c>
      <c r="AA264" s="10">
        <f t="shared" si="5"/>
        <v>2.042366043884767E-2</v>
      </c>
      <c r="AB264" s="10">
        <f t="shared" si="5"/>
        <v>2.2246992708188189E-2</v>
      </c>
      <c r="AC264" s="10">
        <f t="shared" si="5"/>
        <v>3.2346764765018202E-2</v>
      </c>
      <c r="AD264" s="10">
        <f t="shared" si="5"/>
        <v>3.9161610590182014E-2</v>
      </c>
      <c r="AE264" s="10">
        <f t="shared" si="5"/>
        <v>2.7443878433573737E-2</v>
      </c>
      <c r="AF264" s="10">
        <f t="shared" si="5"/>
        <v>3.7915892256679413E-2</v>
      </c>
      <c r="AG264" s="10">
        <f t="shared" si="5"/>
        <v>3.274046991411729E-2</v>
      </c>
      <c r="AH264" s="10">
        <f t="shared" si="5"/>
        <v>4.2499418043962615E-2</v>
      </c>
      <c r="AI264" s="10">
        <f t="shared" si="5"/>
        <v>3.0996702411518907E-2</v>
      </c>
      <c r="AJ264" s="10">
        <f t="shared" si="5"/>
        <v>4.508390536105817E-2</v>
      </c>
      <c r="AK264" s="10">
        <f t="shared" si="5"/>
        <v>3.5662924888331039E-2</v>
      </c>
      <c r="AL264" s="10">
        <f t="shared" si="5"/>
        <v>3.9171391988293391E-2</v>
      </c>
      <c r="AM264" s="10">
        <f t="shared" si="5"/>
        <v>3.4610667227361933E-2</v>
      </c>
      <c r="AN264" s="10">
        <f t="shared" si="5"/>
        <v>3.4198558666398475E-2</v>
      </c>
      <c r="AO264" s="10">
        <f t="shared" si="5"/>
        <v>3.0804483568523364E-2</v>
      </c>
      <c r="AP264" s="10">
        <f t="shared" si="5"/>
        <v>4.451406844106464E-2</v>
      </c>
      <c r="AQ264" s="10">
        <f t="shared" si="8"/>
        <v>3.3577309605287688E-2</v>
      </c>
      <c r="AR264" s="10">
        <f t="shared" si="8"/>
        <v>3.5531873590071428E-2</v>
      </c>
    </row>
    <row r="265" spans="24:45" x14ac:dyDescent="0.3">
      <c r="X265" s="1" t="s">
        <v>69</v>
      </c>
      <c r="Y265" s="10">
        <f t="shared" si="7"/>
        <v>2.8909799194097488E-2</v>
      </c>
      <c r="Z265" s="10">
        <f t="shared" si="5"/>
        <v>2.6136937356790554E-2</v>
      </c>
      <c r="AA265" s="10">
        <f t="shared" si="5"/>
        <v>1.8189710411542201E-2</v>
      </c>
      <c r="AB265" s="10">
        <f t="shared" si="5"/>
        <v>2.4341167047607887E-2</v>
      </c>
      <c r="AC265" s="10">
        <f t="shared" si="5"/>
        <v>2.9115159401431355E-2</v>
      </c>
      <c r="AD265" s="10">
        <f t="shared" si="5"/>
        <v>2.6241069323574936E-2</v>
      </c>
      <c r="AE265" s="10">
        <f t="shared" si="5"/>
        <v>3.2594721865114328E-2</v>
      </c>
      <c r="AF265" s="10">
        <f t="shared" si="5"/>
        <v>2.7727422544495714E-2</v>
      </c>
      <c r="AG265" s="10">
        <f t="shared" si="5"/>
        <v>3.1623193844999065E-2</v>
      </c>
      <c r="AH265" s="10">
        <f t="shared" si="5"/>
        <v>3.6234022395825238E-2</v>
      </c>
      <c r="AI265" s="10">
        <f t="shared" si="5"/>
        <v>3.3594220349187236E-2</v>
      </c>
      <c r="AJ265" s="10">
        <f t="shared" si="5"/>
        <v>3.9011182671665229E-2</v>
      </c>
      <c r="AK265" s="10">
        <f t="shared" si="5"/>
        <v>3.5730918696890338E-2</v>
      </c>
      <c r="AL265" s="10">
        <f t="shared" si="5"/>
        <v>3.243166466763462E-2</v>
      </c>
      <c r="AM265" s="10">
        <f t="shared" si="5"/>
        <v>3.5417257863831833E-2</v>
      </c>
      <c r="AN265" s="10">
        <f t="shared" si="5"/>
        <v>3.5086555680838363E-2</v>
      </c>
      <c r="AO265" s="10">
        <f t="shared" si="5"/>
        <v>3.29355136489516E-2</v>
      </c>
      <c r="AP265" s="10">
        <f t="shared" si="5"/>
        <v>3.2385298383388161E-2</v>
      </c>
      <c r="AQ265" s="10">
        <f t="shared" si="8"/>
        <v>3.4063303801086027E-2</v>
      </c>
      <c r="AR265" s="10">
        <f t="shared" si="8"/>
        <v>3.09245523338578E-2</v>
      </c>
    </row>
    <row r="266" spans="24:45" x14ac:dyDescent="0.3">
      <c r="X266" s="1" t="s">
        <v>70</v>
      </c>
      <c r="Y266" s="10">
        <f t="shared" si="7"/>
        <v>2.4309616222625334E-2</v>
      </c>
      <c r="Z266" s="10">
        <f t="shared" si="5"/>
        <v>2.2349538478570737E-2</v>
      </c>
      <c r="AA266" s="10">
        <f t="shared" si="5"/>
        <v>1.9526357390405549E-2</v>
      </c>
      <c r="AB266" s="10">
        <f t="shared" si="5"/>
        <v>1.9455285932462246E-2</v>
      </c>
      <c r="AC266" s="10">
        <f t="shared" si="5"/>
        <v>2.3611040460663528E-2</v>
      </c>
      <c r="AD266" s="10">
        <f t="shared" si="5"/>
        <v>2.1212126733438162E-2</v>
      </c>
      <c r="AE266" s="10">
        <f t="shared" si="5"/>
        <v>2.7568635309610377E-2</v>
      </c>
      <c r="AF266" s="10">
        <f t="shared" si="5"/>
        <v>2.7897963036451132E-2</v>
      </c>
      <c r="AG266" s="10">
        <f t="shared" si="5"/>
        <v>2.9871885394601731E-2</v>
      </c>
      <c r="AH266" s="10">
        <f t="shared" si="5"/>
        <v>2.6350509631759323E-2</v>
      </c>
      <c r="AI266" s="10">
        <f t="shared" si="5"/>
        <v>2.9504186614278359E-2</v>
      </c>
      <c r="AJ266" s="10">
        <f t="shared" si="5"/>
        <v>2.5119894997223481E-2</v>
      </c>
      <c r="AK266" s="10">
        <f t="shared" si="5"/>
        <v>2.955929671339922E-2</v>
      </c>
      <c r="AL266" s="10">
        <f t="shared" si="5"/>
        <v>2.3921192015982931E-2</v>
      </c>
      <c r="AM266" s="10">
        <f t="shared" si="5"/>
        <v>2.9336411062497295E-2</v>
      </c>
      <c r="AN266" s="10">
        <f t="shared" si="5"/>
        <v>2.662074714549531E-2</v>
      </c>
      <c r="AO266" s="10">
        <f t="shared" si="5"/>
        <v>3.1239821148322529E-2</v>
      </c>
      <c r="AP266" s="10">
        <f t="shared" si="5"/>
        <v>2.160483834413629E-2</v>
      </c>
      <c r="AQ266" s="10">
        <f t="shared" si="8"/>
        <v>2.7911368129112202E-2</v>
      </c>
      <c r="AR266" s="10">
        <f t="shared" si="8"/>
        <v>2.3569105370087492E-2</v>
      </c>
    </row>
    <row r="267" spans="24:45" x14ac:dyDescent="0.3">
      <c r="X267" s="1" t="s">
        <v>71</v>
      </c>
      <c r="Y267" s="10">
        <f t="shared" si="7"/>
        <v>1.641849766963259E-2</v>
      </c>
      <c r="Z267" s="10">
        <f t="shared" si="5"/>
        <v>1.5053763440860214E-2</v>
      </c>
      <c r="AA267" s="10">
        <f t="shared" si="5"/>
        <v>1.1487725333030456E-2</v>
      </c>
      <c r="AB267" s="10">
        <f t="shared" si="5"/>
        <v>1.3005632360471073E-2</v>
      </c>
      <c r="AC267" s="10">
        <f t="shared" si="5"/>
        <v>1.7629467727315083E-2</v>
      </c>
      <c r="AD267" s="10">
        <f t="shared" si="5"/>
        <v>1.2536306008317715E-2</v>
      </c>
      <c r="AE267" s="10">
        <f t="shared" si="5"/>
        <v>1.9580856329948416E-2</v>
      </c>
      <c r="AF267" s="10">
        <f t="shared" si="5"/>
        <v>1.549363331131162E-2</v>
      </c>
      <c r="AG267" s="10">
        <f t="shared" si="5"/>
        <v>1.9246903222622513E-2</v>
      </c>
      <c r="AH267" s="10">
        <f t="shared" si="5"/>
        <v>1.7693030348414504E-2</v>
      </c>
      <c r="AI267" s="10">
        <f t="shared" si="5"/>
        <v>2.1577494567451696E-2</v>
      </c>
      <c r="AJ267" s="10">
        <f t="shared" si="5"/>
        <v>1.748083184192626E-2</v>
      </c>
      <c r="AK267" s="10">
        <f t="shared" si="5"/>
        <v>2.0033763443399008E-2</v>
      </c>
      <c r="AL267" s="10">
        <f t="shared" si="5"/>
        <v>1.4852879065183724E-2</v>
      </c>
      <c r="AM267" s="10">
        <f t="shared" si="5"/>
        <v>2.0674790482612469E-2</v>
      </c>
      <c r="AN267" s="10">
        <f t="shared" si="5"/>
        <v>1.8378001524068942E-2</v>
      </c>
      <c r="AO267" s="10">
        <f t="shared" si="5"/>
        <v>2.2417028715391141E-2</v>
      </c>
      <c r="AP267" s="10">
        <f t="shared" si="5"/>
        <v>1.3532317864714177E-2</v>
      </c>
      <c r="AQ267" s="10">
        <f t="shared" si="8"/>
        <v>2.0822502915431414E-2</v>
      </c>
      <c r="AR267" s="10">
        <f t="shared" si="8"/>
        <v>1.7116139266928284E-2</v>
      </c>
    </row>
    <row r="268" spans="24:45" x14ac:dyDescent="0.3">
      <c r="X268" s="1" t="s">
        <v>72</v>
      </c>
      <c r="Y268" s="10">
        <f t="shared" si="7"/>
        <v>1.2562228450877625E-2</v>
      </c>
      <c r="Z268" s="10">
        <f t="shared" si="5"/>
        <v>1.4382788998710785E-2</v>
      </c>
      <c r="AA268" s="10">
        <f t="shared" si="5"/>
        <v>9.5890152383366466E-3</v>
      </c>
      <c r="AB268" s="10">
        <f t="shared" si="5"/>
        <v>9.5122145071206126E-3</v>
      </c>
      <c r="AC268" s="10">
        <f t="shared" si="5"/>
        <v>1.4309275037687077E-2</v>
      </c>
      <c r="AD268" s="10">
        <f t="shared" si="5"/>
        <v>1.1224222927068114E-2</v>
      </c>
      <c r="AE268" s="10">
        <f t="shared" si="5"/>
        <v>1.482764040500322E-2</v>
      </c>
      <c r="AF268" s="10">
        <f t="shared" si="5"/>
        <v>1.5618918043879212E-2</v>
      </c>
      <c r="AG268" s="10">
        <f t="shared" si="5"/>
        <v>1.5466219051615611E-2</v>
      </c>
      <c r="AH268" s="10">
        <f t="shared" si="5"/>
        <v>1.5101913358618031E-2</v>
      </c>
      <c r="AI268" s="10">
        <f t="shared" si="5"/>
        <v>1.5635811427276793E-2</v>
      </c>
      <c r="AJ268" s="10">
        <f t="shared" si="5"/>
        <v>1.4122542232674718E-2</v>
      </c>
      <c r="AK268" s="10">
        <f t="shared" si="5"/>
        <v>1.4052375932952001E-2</v>
      </c>
      <c r="AL268" s="10">
        <f t="shared" si="5"/>
        <v>1.2356908627719652E-2</v>
      </c>
      <c r="AM268" s="10">
        <f t="shared" si="5"/>
        <v>1.4829103289706403E-2</v>
      </c>
      <c r="AN268" s="10">
        <f t="shared" si="5"/>
        <v>1.5108706449846718E-2</v>
      </c>
      <c r="AO268" s="10">
        <f t="shared" si="5"/>
        <v>1.6084824004616274E-2</v>
      </c>
      <c r="AP268" s="10">
        <f t="shared" si="5"/>
        <v>1.1738166380013942E-2</v>
      </c>
      <c r="AQ268" s="10">
        <f t="shared" si="8"/>
        <v>1.4367752377996052E-2</v>
      </c>
      <c r="AR268" s="10">
        <f t="shared" si="8"/>
        <v>1.3859142963343186E-2</v>
      </c>
    </row>
    <row r="269" spans="24:45" x14ac:dyDescent="0.3">
      <c r="X269" s="1" t="s">
        <v>73</v>
      </c>
      <c r="Y269" s="10">
        <f t="shared" si="7"/>
        <v>1.1962247585601406E-2</v>
      </c>
      <c r="Z269" s="10">
        <f t="shared" si="5"/>
        <v>6.9958596889374454E-3</v>
      </c>
      <c r="AA269" s="10">
        <f t="shared" si="5"/>
        <v>5.1110459534199166E-3</v>
      </c>
      <c r="AB269" s="10">
        <f t="shared" si="5"/>
        <v>5.6863722028464353E-3</v>
      </c>
      <c r="AC269" s="10">
        <f t="shared" si="5"/>
        <v>1.3137165896771781E-2</v>
      </c>
      <c r="AD269" s="10">
        <f t="shared" si="5"/>
        <v>5.8843908789316763E-3</v>
      </c>
      <c r="AE269" s="10">
        <f t="shared" si="5"/>
        <v>9.1339648173207038E-3</v>
      </c>
      <c r="AF269" s="10">
        <f t="shared" si="5"/>
        <v>6.1998368009532892E-3</v>
      </c>
      <c r="AG269" s="10">
        <f t="shared" si="5"/>
        <v>1.0880444013102024E-2</v>
      </c>
      <c r="AH269" s="10">
        <f t="shared" si="5"/>
        <v>4.6604190700303806E-3</v>
      </c>
      <c r="AI269" s="10">
        <f t="shared" si="5"/>
        <v>8.1558789261012912E-3</v>
      </c>
      <c r="AJ269" s="10">
        <f t="shared" si="5"/>
        <v>5.2010644456311501E-3</v>
      </c>
      <c r="AK269" s="10">
        <f t="shared" si="5"/>
        <v>8.9423450766934649E-3</v>
      </c>
      <c r="AL269" s="10">
        <f t="shared" si="5"/>
        <v>7.1827655753848099E-3</v>
      </c>
      <c r="AM269" s="10">
        <f t="shared" si="5"/>
        <v>7.4575018006361191E-3</v>
      </c>
      <c r="AN269" s="10">
        <f t="shared" si="5"/>
        <v>7.7763690152750104E-3</v>
      </c>
      <c r="AO269" s="10">
        <f t="shared" si="5"/>
        <v>1.1307928188004282E-2</v>
      </c>
      <c r="AP269" s="10">
        <f t="shared" si="5"/>
        <v>7.7196600177129185E-3</v>
      </c>
      <c r="AQ269" s="10">
        <f t="shared" si="8"/>
        <v>1.0675877227411886E-2</v>
      </c>
      <c r="AR269" s="10">
        <f t="shared" si="8"/>
        <v>7.8980829420970261E-3</v>
      </c>
    </row>
    <row r="270" spans="24:45" x14ac:dyDescent="0.3">
      <c r="AS270" s="6">
        <f>AVERAGE(Y262:AR269)</f>
        <v>2.1011869125898978E-2</v>
      </c>
    </row>
    <row r="272" spans="24:45" x14ac:dyDescent="0.3">
      <c r="X272" s="9" t="s">
        <v>77</v>
      </c>
    </row>
    <row r="273" spans="24:45" x14ac:dyDescent="0.3">
      <c r="X273" s="1" t="s">
        <v>6</v>
      </c>
      <c r="Y273" s="1" t="s">
        <v>63</v>
      </c>
      <c r="Z273" s="1" t="s">
        <v>64</v>
      </c>
      <c r="AA273" s="1" t="s">
        <v>63</v>
      </c>
      <c r="AB273" s="1" t="s">
        <v>64</v>
      </c>
      <c r="AC273" s="1" t="s">
        <v>63</v>
      </c>
      <c r="AD273" s="1" t="s">
        <v>64</v>
      </c>
      <c r="AE273" s="1" t="s">
        <v>63</v>
      </c>
      <c r="AF273" s="1" t="s">
        <v>64</v>
      </c>
      <c r="AG273" s="1" t="s">
        <v>63</v>
      </c>
      <c r="AH273" s="1" t="s">
        <v>64</v>
      </c>
      <c r="AI273" s="1" t="s">
        <v>63</v>
      </c>
      <c r="AJ273" s="1" t="s">
        <v>64</v>
      </c>
      <c r="AK273" s="1" t="s">
        <v>63</v>
      </c>
      <c r="AL273" s="1" t="s">
        <v>64</v>
      </c>
      <c r="AM273" s="1" t="s">
        <v>63</v>
      </c>
      <c r="AN273" s="1" t="s">
        <v>64</v>
      </c>
      <c r="AO273" s="1" t="s">
        <v>63</v>
      </c>
      <c r="AP273" s="1" t="s">
        <v>64</v>
      </c>
      <c r="AQ273" s="1" t="s">
        <v>63</v>
      </c>
      <c r="AR273" s="1" t="s">
        <v>64</v>
      </c>
    </row>
    <row r="274" spans="24:45" x14ac:dyDescent="0.3">
      <c r="X274" s="1" t="s">
        <v>65</v>
      </c>
      <c r="Y274" s="1" t="s">
        <v>53</v>
      </c>
      <c r="Z274" s="1" t="s">
        <v>53</v>
      </c>
      <c r="AA274" s="1" t="s">
        <v>54</v>
      </c>
      <c r="AB274" s="1" t="s">
        <v>54</v>
      </c>
      <c r="AC274" s="1" t="s">
        <v>55</v>
      </c>
      <c r="AD274" s="1" t="s">
        <v>55</v>
      </c>
      <c r="AE274" s="1" t="s">
        <v>56</v>
      </c>
      <c r="AF274" s="1" t="s">
        <v>56</v>
      </c>
      <c r="AG274" s="1" t="s">
        <v>57</v>
      </c>
      <c r="AH274" s="1" t="s">
        <v>57</v>
      </c>
      <c r="AI274" s="1" t="s">
        <v>58</v>
      </c>
      <c r="AJ274" s="1" t="s">
        <v>58</v>
      </c>
      <c r="AK274" s="1" t="s">
        <v>59</v>
      </c>
      <c r="AL274" s="1" t="s">
        <v>59</v>
      </c>
      <c r="AM274" s="1" t="s">
        <v>60</v>
      </c>
      <c r="AN274" s="1" t="s">
        <v>60</v>
      </c>
      <c r="AO274" s="1" t="s">
        <v>61</v>
      </c>
      <c r="AP274" s="1" t="s">
        <v>61</v>
      </c>
      <c r="AQ274" s="1" t="s">
        <v>62</v>
      </c>
      <c r="AR274" s="1" t="s">
        <v>62</v>
      </c>
    </row>
    <row r="275" spans="24:45" x14ac:dyDescent="0.3">
      <c r="X275" s="1" t="s">
        <v>7</v>
      </c>
      <c r="Y275">
        <v>1.3</v>
      </c>
      <c r="Z275">
        <v>1.3</v>
      </c>
      <c r="AA275">
        <v>1.3</v>
      </c>
      <c r="AB275">
        <v>1.3</v>
      </c>
      <c r="AC275">
        <v>0.5</v>
      </c>
      <c r="AD275">
        <v>0.5</v>
      </c>
      <c r="AE275">
        <v>1.6</v>
      </c>
      <c r="AF275">
        <v>1.6</v>
      </c>
      <c r="AG275">
        <v>2</v>
      </c>
      <c r="AH275">
        <v>2</v>
      </c>
      <c r="AI275">
        <v>3.6</v>
      </c>
      <c r="AJ275">
        <v>3.6</v>
      </c>
      <c r="AK275">
        <v>2.9</v>
      </c>
      <c r="AL275">
        <v>2.9</v>
      </c>
      <c r="AM275">
        <v>3.8</v>
      </c>
      <c r="AN275">
        <v>3.8</v>
      </c>
      <c r="AO275">
        <v>3.4</v>
      </c>
      <c r="AP275">
        <v>3.4</v>
      </c>
      <c r="AQ275">
        <v>4.5</v>
      </c>
      <c r="AR275">
        <v>4.5</v>
      </c>
    </row>
    <row r="276" spans="24:45" x14ac:dyDescent="0.3">
      <c r="X276" s="1" t="s">
        <v>66</v>
      </c>
      <c r="Y276" s="10">
        <f>Y163/(Y135+Y163+Y191+Y107)</f>
        <v>2.7354089682102888E-3</v>
      </c>
      <c r="Z276" s="10">
        <f t="shared" ref="Z276:AR283" si="9">Z163/(Z135+Z163+Z191+Z107)</f>
        <v>5.6847741469990701E-3</v>
      </c>
      <c r="AA276" s="10">
        <f t="shared" si="9"/>
        <v>3.4234082554648257E-3</v>
      </c>
      <c r="AB276" s="10">
        <f t="shared" si="9"/>
        <v>3.7456081970004178E-3</v>
      </c>
      <c r="AC276" s="10">
        <f t="shared" si="9"/>
        <v>3.810891417209764E-3</v>
      </c>
      <c r="AD276" s="10">
        <f t="shared" si="9"/>
        <v>5.894070775720647E-3</v>
      </c>
      <c r="AE276" s="10">
        <f t="shared" si="9"/>
        <v>7.3916648819036023E-3</v>
      </c>
      <c r="AF276" s="10">
        <f t="shared" si="9"/>
        <v>4.4678809006365346E-3</v>
      </c>
      <c r="AG276" s="10">
        <f t="shared" si="9"/>
        <v>2.9822050072976312E-3</v>
      </c>
      <c r="AH276" s="10">
        <f t="shared" si="9"/>
        <v>9.4544766947149469E-3</v>
      </c>
      <c r="AI276" s="10">
        <f t="shared" si="9"/>
        <v>2.2326855577433436E-3</v>
      </c>
      <c r="AJ276" s="10">
        <f t="shared" si="9"/>
        <v>6.2566612718588403E-3</v>
      </c>
      <c r="AK276" s="10">
        <f t="shared" si="9"/>
        <v>2.9230221922299689E-3</v>
      </c>
      <c r="AL276" s="10">
        <f t="shared" si="9"/>
        <v>7.9772079772079778E-3</v>
      </c>
      <c r="AM276" s="10">
        <f t="shared" si="9"/>
        <v>1.8244394018264607E-3</v>
      </c>
      <c r="AN276" s="10">
        <f t="shared" si="9"/>
        <v>3.774141857130809E-3</v>
      </c>
      <c r="AO276" s="10">
        <f t="shared" si="9"/>
        <v>2.7572081298251139E-3</v>
      </c>
      <c r="AP276" s="10">
        <f t="shared" si="9"/>
        <v>7.1659731853906602E-3</v>
      </c>
      <c r="AQ276" s="10">
        <f t="shared" si="9"/>
        <v>1.8518518518518519E-3</v>
      </c>
      <c r="AR276" s="10">
        <f t="shared" si="9"/>
        <v>4.0793201133144472E-3</v>
      </c>
    </row>
    <row r="277" spans="24:45" x14ac:dyDescent="0.3">
      <c r="X277" s="1" t="s">
        <v>67</v>
      </c>
      <c r="Y277" s="10">
        <f t="shared" ref="Y277:AN283" si="10">Y164/(Y136+Y164+Y192+Y108)</f>
        <v>9.9383774266784044E-3</v>
      </c>
      <c r="Z277" s="10">
        <f t="shared" si="10"/>
        <v>1.1294679559957719E-2</v>
      </c>
      <c r="AA277" s="10">
        <f t="shared" si="10"/>
        <v>6.5263361277787917E-3</v>
      </c>
      <c r="AB277" s="10">
        <f t="shared" si="10"/>
        <v>7.9061685490877491E-3</v>
      </c>
      <c r="AC277" s="10">
        <f t="shared" si="10"/>
        <v>6.5571495481117834E-3</v>
      </c>
      <c r="AD277" s="10">
        <f t="shared" si="10"/>
        <v>1.1765040211429706E-2</v>
      </c>
      <c r="AE277" s="10">
        <f t="shared" si="10"/>
        <v>6.7398306095669816E-3</v>
      </c>
      <c r="AF277" s="10">
        <f t="shared" si="10"/>
        <v>1.4719440470513434E-2</v>
      </c>
      <c r="AG277" s="10">
        <f t="shared" si="10"/>
        <v>6.5600393174994921E-3</v>
      </c>
      <c r="AH277" s="10">
        <f t="shared" si="10"/>
        <v>1.4242682778193723E-2</v>
      </c>
      <c r="AI277" s="10">
        <f t="shared" si="10"/>
        <v>5.3521403110999687E-3</v>
      </c>
      <c r="AJ277" s="10">
        <f t="shared" si="10"/>
        <v>1.0620746545679521E-2</v>
      </c>
      <c r="AK277" s="10">
        <f t="shared" si="10"/>
        <v>6.8475469749874332E-3</v>
      </c>
      <c r="AL277" s="10">
        <f t="shared" si="10"/>
        <v>9.3035830722498752E-3</v>
      </c>
      <c r="AM277" s="10">
        <f t="shared" si="10"/>
        <v>7.4087663345657768E-3</v>
      </c>
      <c r="AN277" s="10">
        <f t="shared" si="10"/>
        <v>7.6494592623624876E-3</v>
      </c>
      <c r="AO277" s="10">
        <f t="shared" si="9"/>
        <v>6.0746187207398692E-3</v>
      </c>
      <c r="AP277" s="10">
        <f t="shared" si="9"/>
        <v>1.10370064333353E-2</v>
      </c>
      <c r="AQ277" s="10">
        <f t="shared" si="9"/>
        <v>6.0772540535284541E-3</v>
      </c>
      <c r="AR277" s="10">
        <f t="shared" si="9"/>
        <v>1.1099169112479849E-2</v>
      </c>
    </row>
    <row r="278" spans="24:45" x14ac:dyDescent="0.3">
      <c r="X278" s="1" t="s">
        <v>68</v>
      </c>
      <c r="Y278" s="10">
        <f t="shared" si="10"/>
        <v>6.7285178881084243E-3</v>
      </c>
      <c r="Z278" s="10">
        <f t="shared" si="9"/>
        <v>1.0144628427185699E-2</v>
      </c>
      <c r="AA278" s="10">
        <f t="shared" si="9"/>
        <v>5.2384078720475865E-3</v>
      </c>
      <c r="AB278" s="10">
        <f t="shared" si="9"/>
        <v>6.393881689966404E-3</v>
      </c>
      <c r="AC278" s="10">
        <f t="shared" si="9"/>
        <v>6.0169636673691419E-3</v>
      </c>
      <c r="AD278" s="10">
        <f t="shared" si="9"/>
        <v>1.1068211068211067E-2</v>
      </c>
      <c r="AE278" s="10">
        <f t="shared" si="9"/>
        <v>9.2297427533545844E-3</v>
      </c>
      <c r="AF278" s="10">
        <f t="shared" si="9"/>
        <v>1.4249143765561259E-2</v>
      </c>
      <c r="AG278" s="10">
        <f t="shared" si="9"/>
        <v>8.6421374056081315E-3</v>
      </c>
      <c r="AH278" s="10">
        <f t="shared" si="9"/>
        <v>1.3059568544919877E-2</v>
      </c>
      <c r="AI278" s="10">
        <f t="shared" si="9"/>
        <v>8.0425917535115535E-3</v>
      </c>
      <c r="AJ278" s="10">
        <f t="shared" si="9"/>
        <v>1.1946900541217047E-2</v>
      </c>
      <c r="AK278" s="10">
        <f t="shared" si="9"/>
        <v>9.7093134539713837E-3</v>
      </c>
      <c r="AL278" s="10">
        <f t="shared" si="9"/>
        <v>1.1999268337296505E-2</v>
      </c>
      <c r="AM278" s="10">
        <f t="shared" si="9"/>
        <v>9.784132324081863E-3</v>
      </c>
      <c r="AN278" s="10">
        <f t="shared" si="9"/>
        <v>1.0473952482105977E-2</v>
      </c>
      <c r="AO278" s="10">
        <f t="shared" si="9"/>
        <v>7.7832305371498406E-3</v>
      </c>
      <c r="AP278" s="10">
        <f t="shared" si="9"/>
        <v>1.2751330798479088E-2</v>
      </c>
      <c r="AQ278" s="10">
        <f t="shared" si="9"/>
        <v>1.0031694863267037E-2</v>
      </c>
      <c r="AR278" s="10">
        <f t="shared" si="9"/>
        <v>1.0690354582393383E-2</v>
      </c>
    </row>
    <row r="279" spans="24:45" x14ac:dyDescent="0.3">
      <c r="X279" s="1" t="s">
        <v>69</v>
      </c>
      <c r="Y279" s="10">
        <f t="shared" si="10"/>
        <v>8.0255388496355586E-3</v>
      </c>
      <c r="Z279" s="10">
        <f t="shared" si="9"/>
        <v>1.0194570662938366E-2</v>
      </c>
      <c r="AA279" s="10">
        <f t="shared" si="9"/>
        <v>6.3457285185721081E-3</v>
      </c>
      <c r="AB279" s="10">
        <f t="shared" si="9"/>
        <v>7.2476508624899879E-3</v>
      </c>
      <c r="AC279" s="10">
        <f t="shared" si="9"/>
        <v>7.3601171112556924E-3</v>
      </c>
      <c r="AD279" s="10">
        <f t="shared" si="9"/>
        <v>8.4053425177075952E-3</v>
      </c>
      <c r="AE279" s="10">
        <f t="shared" si="9"/>
        <v>1.3773129757760474E-2</v>
      </c>
      <c r="AF279" s="10">
        <f t="shared" si="9"/>
        <v>1.2318721160184575E-2</v>
      </c>
      <c r="AG279" s="10">
        <f t="shared" si="9"/>
        <v>1.474197785700882E-2</v>
      </c>
      <c r="AH279" s="10">
        <f t="shared" si="9"/>
        <v>1.2145308835634522E-2</v>
      </c>
      <c r="AI279" s="10">
        <f t="shared" si="9"/>
        <v>1.3576158940397352E-2</v>
      </c>
      <c r="AJ279" s="10">
        <f t="shared" si="9"/>
        <v>1.0718062097471885E-2</v>
      </c>
      <c r="AK279" s="10">
        <f t="shared" si="9"/>
        <v>1.5032944212431001E-2</v>
      </c>
      <c r="AL279" s="10">
        <f t="shared" si="9"/>
        <v>1.0999936872672179E-2</v>
      </c>
      <c r="AM279" s="10">
        <f t="shared" si="9"/>
        <v>1.6066010346859925E-2</v>
      </c>
      <c r="AN279" s="10">
        <f t="shared" si="9"/>
        <v>1.435962061418054E-2</v>
      </c>
      <c r="AO279" s="10">
        <f t="shared" si="9"/>
        <v>1.4934722405380458E-2</v>
      </c>
      <c r="AP279" s="10">
        <f t="shared" si="9"/>
        <v>1.1673564682160671E-2</v>
      </c>
      <c r="AQ279" s="10">
        <f t="shared" si="9"/>
        <v>1.350385824521292E-2</v>
      </c>
      <c r="AR279" s="10">
        <f t="shared" si="9"/>
        <v>1.3467445867985315E-2</v>
      </c>
    </row>
    <row r="280" spans="24:45" x14ac:dyDescent="0.3">
      <c r="X280" s="1" t="s">
        <v>70</v>
      </c>
      <c r="Y280" s="10">
        <f t="shared" si="10"/>
        <v>6.6378183365931277E-3</v>
      </c>
      <c r="Z280" s="10">
        <f t="shared" si="9"/>
        <v>6.9668088101267839E-3</v>
      </c>
      <c r="AA280" s="10">
        <f t="shared" si="9"/>
        <v>4.7744269471636167E-3</v>
      </c>
      <c r="AB280" s="10">
        <f t="shared" si="9"/>
        <v>3.5614288138469371E-3</v>
      </c>
      <c r="AC280" s="10">
        <f t="shared" si="9"/>
        <v>6.0187398899209507E-3</v>
      </c>
      <c r="AD280" s="10">
        <f t="shared" si="9"/>
        <v>7.9149182726383233E-3</v>
      </c>
      <c r="AE280" s="10">
        <f t="shared" si="9"/>
        <v>1.0313839491360891E-2</v>
      </c>
      <c r="AF280" s="10">
        <f t="shared" si="9"/>
        <v>9.574152485234232E-3</v>
      </c>
      <c r="AG280" s="10">
        <f t="shared" si="9"/>
        <v>1.0057965037688729E-2</v>
      </c>
      <c r="AH280" s="10">
        <f t="shared" si="9"/>
        <v>9.5126095354707962E-3</v>
      </c>
      <c r="AI280" s="10">
        <f t="shared" si="9"/>
        <v>8.3565393198420726E-3</v>
      </c>
      <c r="AJ280" s="10">
        <f t="shared" si="9"/>
        <v>7.8550153970417484E-3</v>
      </c>
      <c r="AK280" s="10">
        <f t="shared" si="9"/>
        <v>9.4346127327051277E-3</v>
      </c>
      <c r="AL280" s="10">
        <f t="shared" si="9"/>
        <v>8.6618551161076994E-3</v>
      </c>
      <c r="AM280" s="10">
        <f t="shared" si="9"/>
        <v>1.0260472427301026E-2</v>
      </c>
      <c r="AN280" s="10">
        <f t="shared" si="9"/>
        <v>9.787307836235248E-3</v>
      </c>
      <c r="AO280" s="10">
        <f t="shared" si="9"/>
        <v>1.1189745310736694E-2</v>
      </c>
      <c r="AP280" s="10">
        <f t="shared" si="9"/>
        <v>8.8225962067692773E-3</v>
      </c>
      <c r="AQ280" s="10">
        <f t="shared" si="9"/>
        <v>9.8152027458963988E-3</v>
      </c>
      <c r="AR280" s="10">
        <f t="shared" si="9"/>
        <v>8.1995341449859847E-3</v>
      </c>
    </row>
    <row r="281" spans="24:45" x14ac:dyDescent="0.3">
      <c r="X281" s="1" t="s">
        <v>71</v>
      </c>
      <c r="Y281" s="10">
        <f t="shared" si="10"/>
        <v>5.5232734095999039E-3</v>
      </c>
      <c r="Z281" s="10">
        <f t="shared" si="9"/>
        <v>2.0335015726720795E-3</v>
      </c>
      <c r="AA281" s="10">
        <f t="shared" si="9"/>
        <v>3.545293764501631E-3</v>
      </c>
      <c r="AB281" s="10">
        <f t="shared" si="9"/>
        <v>1.2603883571625509E-3</v>
      </c>
      <c r="AC281" s="10">
        <f t="shared" si="9"/>
        <v>4.4052490236443269E-3</v>
      </c>
      <c r="AD281" s="10">
        <f t="shared" si="9"/>
        <v>2.9194137279643997E-3</v>
      </c>
      <c r="AE281" s="10">
        <f t="shared" si="9"/>
        <v>4.5916125002891444E-3</v>
      </c>
      <c r="AF281" s="10">
        <f t="shared" si="9"/>
        <v>3.5838077051865659E-3</v>
      </c>
      <c r="AG281" s="10">
        <f t="shared" si="9"/>
        <v>4.3552287420421457E-3</v>
      </c>
      <c r="AH281" s="10">
        <f t="shared" si="9"/>
        <v>4.0301169550832575E-3</v>
      </c>
      <c r="AI281" s="10">
        <f t="shared" si="9"/>
        <v>4.8628648616902562E-3</v>
      </c>
      <c r="AJ281" s="10">
        <f t="shared" si="9"/>
        <v>3.4274845961313671E-3</v>
      </c>
      <c r="AK281" s="10">
        <f t="shared" si="9"/>
        <v>5.5249271016562969E-3</v>
      </c>
      <c r="AL281" s="10">
        <f t="shared" si="9"/>
        <v>3.30063979226305E-3</v>
      </c>
      <c r="AM281" s="10">
        <f t="shared" si="9"/>
        <v>5.4667180425777874E-3</v>
      </c>
      <c r="AN281" s="10">
        <f t="shared" si="9"/>
        <v>4.3857515767628131E-3</v>
      </c>
      <c r="AO281" s="10">
        <f t="shared" si="9"/>
        <v>6.5811460448854725E-3</v>
      </c>
      <c r="AP281" s="10">
        <f t="shared" si="9"/>
        <v>2.5402280601809915E-3</v>
      </c>
      <c r="AQ281" s="10">
        <f t="shared" si="9"/>
        <v>5.7184606522136206E-3</v>
      </c>
      <c r="AR281" s="10">
        <f t="shared" si="9"/>
        <v>4.2859925969218789E-3</v>
      </c>
    </row>
    <row r="282" spans="24:45" x14ac:dyDescent="0.3">
      <c r="X282" s="1" t="s">
        <v>72</v>
      </c>
      <c r="Y282" s="10">
        <f t="shared" si="10"/>
        <v>2.7511001412404059E-3</v>
      </c>
      <c r="Z282" s="10">
        <f t="shared" si="9"/>
        <v>2.7376603843084287E-3</v>
      </c>
      <c r="AA282" s="10">
        <f t="shared" si="9"/>
        <v>1.9226568799027076E-3</v>
      </c>
      <c r="AB282" s="10">
        <f t="shared" si="9"/>
        <v>1.9634973735738904E-3</v>
      </c>
      <c r="AC282" s="10">
        <f t="shared" si="9"/>
        <v>3.0905765768320169E-3</v>
      </c>
      <c r="AD282" s="10">
        <f t="shared" si="9"/>
        <v>3.0203935557071866E-3</v>
      </c>
      <c r="AE282" s="10">
        <f t="shared" si="9"/>
        <v>3.668250242099446E-3</v>
      </c>
      <c r="AF282" s="10">
        <f t="shared" si="9"/>
        <v>3.0757645757773081E-3</v>
      </c>
      <c r="AG282" s="10">
        <f t="shared" si="9"/>
        <v>3.8606798153587914E-3</v>
      </c>
      <c r="AH282" s="10">
        <f t="shared" si="9"/>
        <v>2.8808134889510171E-3</v>
      </c>
      <c r="AI282" s="10">
        <f t="shared" si="9"/>
        <v>3.2177869218852377E-3</v>
      </c>
      <c r="AJ282" s="10">
        <f t="shared" si="9"/>
        <v>2.7457256696171305E-3</v>
      </c>
      <c r="AK282" s="10">
        <f t="shared" si="9"/>
        <v>3.1257879020768716E-3</v>
      </c>
      <c r="AL282" s="10">
        <f t="shared" si="9"/>
        <v>3.0081614463120508E-3</v>
      </c>
      <c r="AM282" s="10">
        <f t="shared" si="9"/>
        <v>3.8136717368234879E-3</v>
      </c>
      <c r="AN282" s="10">
        <f t="shared" si="9"/>
        <v>3.4560588454083624E-3</v>
      </c>
      <c r="AO282" s="10">
        <f t="shared" si="9"/>
        <v>4.0278494852248915E-3</v>
      </c>
      <c r="AP282" s="10">
        <f t="shared" si="9"/>
        <v>2.7567702002599141E-3</v>
      </c>
      <c r="AQ282" s="10">
        <f t="shared" si="9"/>
        <v>3.4677723332076893E-3</v>
      </c>
      <c r="AR282" s="10">
        <f t="shared" si="9"/>
        <v>2.641733189372887E-3</v>
      </c>
    </row>
    <row r="283" spans="24:45" x14ac:dyDescent="0.3">
      <c r="X283" s="1" t="s">
        <v>73</v>
      </c>
      <c r="Y283" s="10">
        <f t="shared" si="10"/>
        <v>1.1797629499561018E-3</v>
      </c>
      <c r="Z283" s="10">
        <f t="shared" si="9"/>
        <v>1.6129864162161402E-3</v>
      </c>
      <c r="AA283" s="10">
        <f t="shared" si="9"/>
        <v>6.8990496559098984E-4</v>
      </c>
      <c r="AB283" s="10">
        <f t="shared" si="9"/>
        <v>8.7191040443645345E-4</v>
      </c>
      <c r="AC283" s="10">
        <f t="shared" si="9"/>
        <v>1.5219887319430723E-3</v>
      </c>
      <c r="AD283" s="10">
        <f t="shared" si="9"/>
        <v>8.503758451266116E-4</v>
      </c>
      <c r="AE283" s="10">
        <f t="shared" si="9"/>
        <v>2.7686774446264509E-3</v>
      </c>
      <c r="AF283" s="10">
        <f t="shared" si="9"/>
        <v>9.7142289708529949E-4</v>
      </c>
      <c r="AG283" s="10">
        <f t="shared" si="9"/>
        <v>1.6756641999272107E-3</v>
      </c>
      <c r="AH283" s="10">
        <f t="shared" si="9"/>
        <v>1.6775670222495943E-3</v>
      </c>
      <c r="AI283" s="10">
        <f t="shared" si="9"/>
        <v>2.0327722551377078E-3</v>
      </c>
      <c r="AJ283" s="10">
        <f t="shared" si="9"/>
        <v>1.117398660019117E-3</v>
      </c>
      <c r="AK283" s="10">
        <f t="shared" si="9"/>
        <v>2.0882194323554866E-3</v>
      </c>
      <c r="AL283" s="10">
        <f t="shared" si="9"/>
        <v>8.4781910383940938E-4</v>
      </c>
      <c r="AM283" s="10">
        <f t="shared" si="9"/>
        <v>1.2492908999356233E-3</v>
      </c>
      <c r="AN283" s="10">
        <f t="shared" si="9"/>
        <v>5.6149248324578879E-4</v>
      </c>
      <c r="AO283" s="10">
        <f t="shared" si="9"/>
        <v>6.7847569128025699E-4</v>
      </c>
      <c r="AP283" s="10">
        <f t="shared" si="9"/>
        <v>6.5432049807669427E-4</v>
      </c>
      <c r="AQ283" s="10">
        <f t="shared" si="9"/>
        <v>1.3017766962346601E-3</v>
      </c>
      <c r="AR283" s="10">
        <f t="shared" si="9"/>
        <v>1.5160406885758998E-3</v>
      </c>
    </row>
    <row r="284" spans="24:45" x14ac:dyDescent="0.3">
      <c r="AS284" s="6">
        <f>AVERAGE(Y276:AR283)</f>
        <v>6.4636599085501414E-3</v>
      </c>
    </row>
    <row r="286" spans="24:45" x14ac:dyDescent="0.3">
      <c r="X286" s="9" t="s">
        <v>78</v>
      </c>
    </row>
    <row r="287" spans="24:45" x14ac:dyDescent="0.3">
      <c r="X287" s="1" t="s">
        <v>6</v>
      </c>
      <c r="Y287" s="1" t="s">
        <v>63</v>
      </c>
      <c r="Z287" s="1" t="s">
        <v>64</v>
      </c>
      <c r="AA287" s="1" t="s">
        <v>63</v>
      </c>
      <c r="AB287" s="1" t="s">
        <v>64</v>
      </c>
      <c r="AC287" s="1" t="s">
        <v>63</v>
      </c>
      <c r="AD287" s="1" t="s">
        <v>64</v>
      </c>
      <c r="AE287" s="1" t="s">
        <v>63</v>
      </c>
      <c r="AF287" s="1" t="s">
        <v>64</v>
      </c>
      <c r="AG287" s="1" t="s">
        <v>63</v>
      </c>
      <c r="AH287" s="1" t="s">
        <v>64</v>
      </c>
      <c r="AI287" s="1" t="s">
        <v>63</v>
      </c>
      <c r="AJ287" s="1" t="s">
        <v>64</v>
      </c>
      <c r="AK287" s="1" t="s">
        <v>63</v>
      </c>
      <c r="AL287" s="1" t="s">
        <v>64</v>
      </c>
      <c r="AM287" s="1" t="s">
        <v>63</v>
      </c>
      <c r="AN287" s="1" t="s">
        <v>64</v>
      </c>
      <c r="AO287" s="1" t="s">
        <v>63</v>
      </c>
      <c r="AP287" s="1" t="s">
        <v>64</v>
      </c>
      <c r="AQ287" s="1" t="s">
        <v>63</v>
      </c>
      <c r="AR287" s="1" t="s">
        <v>64</v>
      </c>
    </row>
    <row r="288" spans="24:45" x14ac:dyDescent="0.3">
      <c r="X288" s="1" t="s">
        <v>65</v>
      </c>
      <c r="Y288" s="1" t="s">
        <v>53</v>
      </c>
      <c r="Z288" s="1" t="s">
        <v>53</v>
      </c>
      <c r="AA288" s="1" t="s">
        <v>54</v>
      </c>
      <c r="AB288" s="1" t="s">
        <v>54</v>
      </c>
      <c r="AC288" s="1" t="s">
        <v>55</v>
      </c>
      <c r="AD288" s="1" t="s">
        <v>55</v>
      </c>
      <c r="AE288" s="1" t="s">
        <v>56</v>
      </c>
      <c r="AF288" s="1" t="s">
        <v>56</v>
      </c>
      <c r="AG288" s="1" t="s">
        <v>57</v>
      </c>
      <c r="AH288" s="1" t="s">
        <v>57</v>
      </c>
      <c r="AI288" s="1" t="s">
        <v>58</v>
      </c>
      <c r="AJ288" s="1" t="s">
        <v>58</v>
      </c>
      <c r="AK288" s="1" t="s">
        <v>59</v>
      </c>
      <c r="AL288" s="1" t="s">
        <v>59</v>
      </c>
      <c r="AM288" s="1" t="s">
        <v>60</v>
      </c>
      <c r="AN288" s="1" t="s">
        <v>60</v>
      </c>
      <c r="AO288" s="1" t="s">
        <v>61</v>
      </c>
      <c r="AP288" s="1" t="s">
        <v>61</v>
      </c>
      <c r="AQ288" s="1" t="s">
        <v>62</v>
      </c>
      <c r="AR288" s="1" t="s">
        <v>62</v>
      </c>
    </row>
    <row r="289" spans="24:45" x14ac:dyDescent="0.3">
      <c r="X289" s="1" t="s">
        <v>7</v>
      </c>
      <c r="Y289">
        <v>1.3</v>
      </c>
      <c r="Z289">
        <v>1.3</v>
      </c>
      <c r="AA289">
        <v>1.3</v>
      </c>
      <c r="AB289">
        <v>1.3</v>
      </c>
      <c r="AC289">
        <v>0.5</v>
      </c>
      <c r="AD289">
        <v>0.5</v>
      </c>
      <c r="AE289">
        <v>1.6</v>
      </c>
      <c r="AF289">
        <v>1.6</v>
      </c>
      <c r="AG289">
        <v>2</v>
      </c>
      <c r="AH289">
        <v>2</v>
      </c>
      <c r="AI289">
        <v>3.6</v>
      </c>
      <c r="AJ289">
        <v>3.6</v>
      </c>
      <c r="AK289">
        <v>2.9</v>
      </c>
      <c r="AL289">
        <v>2.9</v>
      </c>
      <c r="AM289">
        <v>3.8</v>
      </c>
      <c r="AN289">
        <v>3.8</v>
      </c>
      <c r="AO289">
        <v>3.4</v>
      </c>
      <c r="AP289">
        <v>3.4</v>
      </c>
      <c r="AQ289">
        <v>4.5</v>
      </c>
      <c r="AR289">
        <v>4.5</v>
      </c>
    </row>
    <row r="290" spans="24:45" x14ac:dyDescent="0.3">
      <c r="X290" s="1" t="s">
        <v>66</v>
      </c>
      <c r="Y290" s="10">
        <f>Y191/(Y135+Y163+Y191+Y107)</f>
        <v>6.3173205440679295E-2</v>
      </c>
      <c r="Z290" s="10">
        <f t="shared" ref="Z290:AR297" si="11">Z191/(Z135+Z163+Z191+Z107)</f>
        <v>0.1182486186796286</v>
      </c>
      <c r="AA290" s="10">
        <f t="shared" si="11"/>
        <v>2.5226590341499003E-2</v>
      </c>
      <c r="AB290" s="10">
        <f t="shared" si="11"/>
        <v>2.8401615873949449E-2</v>
      </c>
      <c r="AC290" s="10">
        <f t="shared" si="11"/>
        <v>5.0848705769726422E-2</v>
      </c>
      <c r="AD290" s="10">
        <f t="shared" si="11"/>
        <v>5.8577454886337012E-2</v>
      </c>
      <c r="AE290" s="10">
        <f t="shared" si="11"/>
        <v>9.5004310889251348E-2</v>
      </c>
      <c r="AF290" s="10">
        <f t="shared" si="11"/>
        <v>0.11158670446898408</v>
      </c>
      <c r="AG290" s="10">
        <f t="shared" si="11"/>
        <v>7.8200432244302231E-2</v>
      </c>
      <c r="AH290" s="10">
        <f t="shared" si="11"/>
        <v>0.11331865638379773</v>
      </c>
      <c r="AI290" s="10">
        <f t="shared" si="11"/>
        <v>7.9298005307764749E-2</v>
      </c>
      <c r="AJ290" s="10">
        <f t="shared" si="11"/>
        <v>0.11929104330320137</v>
      </c>
      <c r="AK290" s="10">
        <f t="shared" si="11"/>
        <v>6.9881135320890617E-2</v>
      </c>
      <c r="AL290" s="10">
        <f t="shared" si="11"/>
        <v>0.15718355718355717</v>
      </c>
      <c r="AM290" s="10">
        <f t="shared" si="11"/>
        <v>9.2899847879152356E-2</v>
      </c>
      <c r="AN290" s="10">
        <f t="shared" si="11"/>
        <v>0.14025470186387787</v>
      </c>
      <c r="AO290" s="10">
        <f t="shared" si="11"/>
        <v>0.12895856310067749</v>
      </c>
      <c r="AP290" s="10">
        <f t="shared" si="11"/>
        <v>0.19833564493758665</v>
      </c>
      <c r="AQ290" s="10">
        <f t="shared" si="11"/>
        <v>0.14729344729344729</v>
      </c>
      <c r="AR290" s="10">
        <f t="shared" si="11"/>
        <v>0.22696883852691219</v>
      </c>
    </row>
    <row r="291" spans="24:45" x14ac:dyDescent="0.3">
      <c r="X291" s="1" t="s">
        <v>67</v>
      </c>
      <c r="Y291" s="10">
        <f t="shared" ref="Y291:AN297" si="12">Y192/(Y136+Y164+Y192+Y108)</f>
        <v>1.728212018718436E-2</v>
      </c>
      <c r="Z291" s="10">
        <f t="shared" si="12"/>
        <v>3.0438867791567164E-2</v>
      </c>
      <c r="AA291" s="10">
        <f t="shared" si="12"/>
        <v>8.7160936443361481E-3</v>
      </c>
      <c r="AB291" s="10">
        <f t="shared" si="12"/>
        <v>1.7115551694178974E-2</v>
      </c>
      <c r="AC291" s="10">
        <f t="shared" si="12"/>
        <v>1.8266345169739968E-2</v>
      </c>
      <c r="AD291" s="10">
        <f t="shared" si="12"/>
        <v>1.7406007559180422E-2</v>
      </c>
      <c r="AE291" s="10">
        <f t="shared" si="12"/>
        <v>1.1441806831285539E-2</v>
      </c>
      <c r="AF291" s="10">
        <f t="shared" si="12"/>
        <v>2.4670163725957719E-2</v>
      </c>
      <c r="AG291" s="10">
        <f t="shared" si="12"/>
        <v>1.2553821169481928E-2</v>
      </c>
      <c r="AH291" s="10">
        <f t="shared" si="12"/>
        <v>2.3192241394320343E-2</v>
      </c>
      <c r="AI291" s="10">
        <f t="shared" si="12"/>
        <v>1.2524662357339844E-2</v>
      </c>
      <c r="AJ291" s="10">
        <f t="shared" si="12"/>
        <v>2.503952705025091E-2</v>
      </c>
      <c r="AK291" s="10">
        <f t="shared" si="12"/>
        <v>1.7472113908400474E-2</v>
      </c>
      <c r="AL291" s="10">
        <f t="shared" si="12"/>
        <v>2.2264985130170643E-2</v>
      </c>
      <c r="AM291" s="10">
        <f t="shared" si="12"/>
        <v>1.8938217944737663E-2</v>
      </c>
      <c r="AN291" s="10">
        <f t="shared" si="12"/>
        <v>2.1179537308569567E-2</v>
      </c>
      <c r="AO291" s="10">
        <f t="shared" si="11"/>
        <v>1.8769566591033116E-2</v>
      </c>
      <c r="AP291" s="10">
        <f t="shared" si="11"/>
        <v>2.9904188553778351E-2</v>
      </c>
      <c r="AQ291" s="10">
        <f t="shared" si="11"/>
        <v>2.3093565403408123E-2</v>
      </c>
      <c r="AR291" s="10">
        <f t="shared" si="11"/>
        <v>3.4330949526683474E-2</v>
      </c>
    </row>
    <row r="292" spans="24:45" x14ac:dyDescent="0.3">
      <c r="X292" s="1" t="s">
        <v>68</v>
      </c>
      <c r="Y292" s="10">
        <f t="shared" si="12"/>
        <v>3.2387984561167989E-2</v>
      </c>
      <c r="Z292" s="10">
        <f t="shared" si="11"/>
        <v>3.6442870977472258E-2</v>
      </c>
      <c r="AA292" s="10">
        <f t="shared" si="11"/>
        <v>1.346284665643638E-2</v>
      </c>
      <c r="AB292" s="10">
        <f t="shared" si="11"/>
        <v>1.7370303283637544E-2</v>
      </c>
      <c r="AC292" s="10">
        <f t="shared" si="11"/>
        <v>4.0480463484924074E-2</v>
      </c>
      <c r="AD292" s="10">
        <f t="shared" si="11"/>
        <v>2.5433596862168291E-2</v>
      </c>
      <c r="AE292" s="10">
        <f t="shared" si="11"/>
        <v>2.8077551726450829E-2</v>
      </c>
      <c r="AF292" s="10">
        <f t="shared" si="11"/>
        <v>3.3286966144159102E-2</v>
      </c>
      <c r="AG292" s="10">
        <f t="shared" si="11"/>
        <v>2.9641487646153795E-2</v>
      </c>
      <c r="AH292" s="10">
        <f t="shared" si="11"/>
        <v>3.4960118196458854E-2</v>
      </c>
      <c r="AI292" s="10">
        <f t="shared" si="11"/>
        <v>3.0304460554800385E-2</v>
      </c>
      <c r="AJ292" s="10">
        <f t="shared" si="11"/>
        <v>3.7288087015090073E-2</v>
      </c>
      <c r="AK292" s="10">
        <f t="shared" si="11"/>
        <v>3.7441497659906398E-2</v>
      </c>
      <c r="AL292" s="10">
        <f t="shared" si="11"/>
        <v>3.9025059447594657E-2</v>
      </c>
      <c r="AM292" s="10">
        <f t="shared" si="11"/>
        <v>3.7883725820016825E-2</v>
      </c>
      <c r="AN292" s="10">
        <f t="shared" si="11"/>
        <v>3.4262334489474536E-2</v>
      </c>
      <c r="AO292" s="10">
        <f t="shared" si="11"/>
        <v>3.2183161794191222E-2</v>
      </c>
      <c r="AP292" s="10">
        <f t="shared" si="11"/>
        <v>4.3534600760456274E-2</v>
      </c>
      <c r="AQ292" s="10">
        <f t="shared" si="11"/>
        <v>3.7727111437214696E-2</v>
      </c>
      <c r="AR292" s="10">
        <f t="shared" si="11"/>
        <v>4.2379859023877586E-2</v>
      </c>
    </row>
    <row r="293" spans="24:45" x14ac:dyDescent="0.3">
      <c r="X293" s="1" t="s">
        <v>69</v>
      </c>
      <c r="Y293" s="10">
        <f t="shared" si="12"/>
        <v>4.1500630657781645E-2</v>
      </c>
      <c r="Z293" s="10">
        <f t="shared" si="11"/>
        <v>5.1147617383199347E-2</v>
      </c>
      <c r="AA293" s="10">
        <f t="shared" si="11"/>
        <v>1.6856487318878025E-2</v>
      </c>
      <c r="AB293" s="10">
        <f t="shared" si="11"/>
        <v>2.359882005899705E-2</v>
      </c>
      <c r="AC293" s="10">
        <f t="shared" si="11"/>
        <v>4.5413142485361088E-2</v>
      </c>
      <c r="AD293" s="10">
        <f t="shared" si="11"/>
        <v>3.3088348350195272E-2</v>
      </c>
      <c r="AE293" s="10">
        <f t="shared" si="11"/>
        <v>3.5743691227664708E-2</v>
      </c>
      <c r="AF293" s="10">
        <f t="shared" si="11"/>
        <v>4.0238409140848162E-2</v>
      </c>
      <c r="AG293" s="10">
        <f t="shared" si="11"/>
        <v>3.7823231375492587E-2</v>
      </c>
      <c r="AH293" s="10">
        <f t="shared" si="11"/>
        <v>4.1141845403575253E-2</v>
      </c>
      <c r="AI293" s="10">
        <f t="shared" si="11"/>
        <v>3.8214930764599642E-2</v>
      </c>
      <c r="AJ293" s="10">
        <f t="shared" si="11"/>
        <v>4.5467653561472657E-2</v>
      </c>
      <c r="AK293" s="10">
        <f t="shared" si="11"/>
        <v>4.1861672481848237E-2</v>
      </c>
      <c r="AL293" s="10">
        <f t="shared" si="11"/>
        <v>4.6256549460261344E-2</v>
      </c>
      <c r="AM293" s="10">
        <f t="shared" si="11"/>
        <v>3.9662963043810444E-2</v>
      </c>
      <c r="AN293" s="10">
        <f t="shared" si="11"/>
        <v>4.3775286860781318E-2</v>
      </c>
      <c r="AO293" s="10">
        <f t="shared" si="11"/>
        <v>3.9248977977053935E-2</v>
      </c>
      <c r="AP293" s="10">
        <f t="shared" si="11"/>
        <v>5.4122890799108564E-2</v>
      </c>
      <c r="AQ293" s="10">
        <f t="shared" si="11"/>
        <v>4.8888968276650478E-2</v>
      </c>
      <c r="AR293" s="10">
        <f t="shared" si="11"/>
        <v>5.2596089008766014E-2</v>
      </c>
    </row>
    <row r="294" spans="24:45" x14ac:dyDescent="0.3">
      <c r="X294" s="1" t="s">
        <v>70</v>
      </c>
      <c r="Y294" s="10">
        <f t="shared" si="12"/>
        <v>4.1237573092007263E-2</v>
      </c>
      <c r="Z294" s="10">
        <f t="shared" si="11"/>
        <v>3.8681209188121631E-2</v>
      </c>
      <c r="AA294" s="10">
        <f t="shared" si="11"/>
        <v>1.5876755639326324E-2</v>
      </c>
      <c r="AB294" s="10">
        <f t="shared" si="11"/>
        <v>1.4101476327846599E-2</v>
      </c>
      <c r="AC294" s="10">
        <f t="shared" si="11"/>
        <v>3.4700334713560481E-2</v>
      </c>
      <c r="AD294" s="10">
        <f t="shared" si="11"/>
        <v>2.9936028365434547E-2</v>
      </c>
      <c r="AE294" s="10">
        <f t="shared" si="11"/>
        <v>2.5934244393492629E-2</v>
      </c>
      <c r="AF294" s="10">
        <f t="shared" si="11"/>
        <v>3.1660200421493881E-2</v>
      </c>
      <c r="AG294" s="10">
        <f t="shared" si="11"/>
        <v>2.8580533494960602E-2</v>
      </c>
      <c r="AH294" s="10">
        <f t="shared" si="11"/>
        <v>3.0058683695077269E-2</v>
      </c>
      <c r="AI294" s="10">
        <f t="shared" si="11"/>
        <v>2.8717408304564269E-2</v>
      </c>
      <c r="AJ294" s="10">
        <f t="shared" si="11"/>
        <v>2.7742440304911905E-2</v>
      </c>
      <c r="AK294" s="10">
        <f t="shared" si="11"/>
        <v>3.0116639852907381E-2</v>
      </c>
      <c r="AL294" s="10">
        <f t="shared" si="11"/>
        <v>2.823349764964711E-2</v>
      </c>
      <c r="AM294" s="10">
        <f t="shared" si="11"/>
        <v>3.2798856371951408E-2</v>
      </c>
      <c r="AN294" s="10">
        <f t="shared" si="11"/>
        <v>3.1077820810426812E-2</v>
      </c>
      <c r="AO294" s="10">
        <f t="shared" si="11"/>
        <v>3.5908521117724281E-2</v>
      </c>
      <c r="AP294" s="10">
        <f t="shared" si="11"/>
        <v>3.2667888339927342E-2</v>
      </c>
      <c r="AQ294" s="10">
        <f t="shared" si="11"/>
        <v>3.9745998026468915E-2</v>
      </c>
      <c r="AR294" s="10">
        <f t="shared" si="11"/>
        <v>3.6755171021024213E-2</v>
      </c>
    </row>
    <row r="295" spans="24:45" x14ac:dyDescent="0.3">
      <c r="X295" s="1" t="s">
        <v>71</v>
      </c>
      <c r="Y295" s="10">
        <f t="shared" si="12"/>
        <v>3.1860964832637256E-2</v>
      </c>
      <c r="Z295" s="10">
        <f t="shared" si="11"/>
        <v>2.7788749908565578E-2</v>
      </c>
      <c r="AA295" s="10">
        <f t="shared" si="11"/>
        <v>1.001119566451948E-2</v>
      </c>
      <c r="AB295" s="10">
        <f t="shared" si="11"/>
        <v>6.3019417858127544E-3</v>
      </c>
      <c r="AC295" s="10">
        <f t="shared" si="11"/>
        <v>2.6677171491261507E-2</v>
      </c>
      <c r="AD295" s="10">
        <f t="shared" si="11"/>
        <v>2.1294547192210914E-2</v>
      </c>
      <c r="AE295" s="10">
        <f t="shared" si="11"/>
        <v>1.5775716499733989E-2</v>
      </c>
      <c r="AF295" s="10">
        <f t="shared" si="11"/>
        <v>2.3222349928052347E-2</v>
      </c>
      <c r="AG295" s="10">
        <f t="shared" si="11"/>
        <v>1.6915066870650943E-2</v>
      </c>
      <c r="AH295" s="10">
        <f t="shared" si="11"/>
        <v>2.003485506555748E-2</v>
      </c>
      <c r="AI295" s="10">
        <f t="shared" si="11"/>
        <v>1.8382568861220413E-2</v>
      </c>
      <c r="AJ295" s="10">
        <f t="shared" si="11"/>
        <v>1.6278900827483275E-2</v>
      </c>
      <c r="AK295" s="10">
        <f t="shared" si="11"/>
        <v>1.8711558666934254E-2</v>
      </c>
      <c r="AL295" s="10">
        <f t="shared" si="11"/>
        <v>1.465734353246672E-2</v>
      </c>
      <c r="AM295" s="10">
        <f t="shared" si="11"/>
        <v>1.953087371158848E-2</v>
      </c>
      <c r="AN295" s="10">
        <f t="shared" si="11"/>
        <v>1.7024174327545116E-2</v>
      </c>
      <c r="AO295" s="10">
        <f t="shared" si="11"/>
        <v>2.2609835728424895E-2</v>
      </c>
      <c r="AP295" s="10">
        <f t="shared" si="11"/>
        <v>1.4139357658507431E-2</v>
      </c>
      <c r="AQ295" s="10">
        <f t="shared" si="11"/>
        <v>2.5880600789625282E-2</v>
      </c>
      <c r="AR295" s="10">
        <f t="shared" si="11"/>
        <v>1.6601263532882472E-2</v>
      </c>
    </row>
    <row r="296" spans="24:45" x14ac:dyDescent="0.3">
      <c r="X296" s="1" t="s">
        <v>72</v>
      </c>
      <c r="Y296" s="10">
        <f t="shared" si="12"/>
        <v>2.5761931228472791E-2</v>
      </c>
      <c r="Z296" s="10">
        <f t="shared" si="11"/>
        <v>2.7599146663392474E-2</v>
      </c>
      <c r="AA296" s="10">
        <f t="shared" si="11"/>
        <v>9.6995747503647121E-3</v>
      </c>
      <c r="AB296" s="10">
        <f t="shared" si="11"/>
        <v>9.1906850384029029E-3</v>
      </c>
      <c r="AC296" s="10">
        <f t="shared" si="11"/>
        <v>2.3829101511736155E-2</v>
      </c>
      <c r="AD296" s="10">
        <f t="shared" si="11"/>
        <v>2.2708010925329813E-2</v>
      </c>
      <c r="AE296" s="10">
        <f t="shared" si="11"/>
        <v>1.8911642575025478E-2</v>
      </c>
      <c r="AF296" s="10">
        <f t="shared" si="11"/>
        <v>2.6919760923420556E-2</v>
      </c>
      <c r="AG296" s="10">
        <f t="shared" si="11"/>
        <v>1.9108686529584556E-2</v>
      </c>
      <c r="AH296" s="10">
        <f t="shared" si="11"/>
        <v>2.3367575674498861E-2</v>
      </c>
      <c r="AI296" s="10">
        <f t="shared" si="11"/>
        <v>2.0020084378884462E-2</v>
      </c>
      <c r="AJ296" s="10">
        <f t="shared" si="11"/>
        <v>2.1865138475319838E-2</v>
      </c>
      <c r="AK296" s="10">
        <f t="shared" si="11"/>
        <v>2.079909598204115E-2</v>
      </c>
      <c r="AL296" s="10">
        <f t="shared" si="11"/>
        <v>2.1866955787177154E-2</v>
      </c>
      <c r="AM296" s="10">
        <f t="shared" si="11"/>
        <v>2.3550804740007075E-2</v>
      </c>
      <c r="AN296" s="10">
        <f t="shared" si="11"/>
        <v>2.2492104892310037E-2</v>
      </c>
      <c r="AO296" s="10">
        <f t="shared" si="11"/>
        <v>2.5727366598839858E-2</v>
      </c>
      <c r="AP296" s="10">
        <f t="shared" si="11"/>
        <v>2.1756416408912741E-2</v>
      </c>
      <c r="AQ296" s="10">
        <f t="shared" si="11"/>
        <v>2.6677900711735879E-2</v>
      </c>
      <c r="AR296" s="10">
        <f t="shared" si="11"/>
        <v>2.3713648512310389E-2</v>
      </c>
    </row>
    <row r="297" spans="24:45" x14ac:dyDescent="0.3">
      <c r="X297" s="1" t="s">
        <v>73</v>
      </c>
      <c r="Y297" s="10">
        <f t="shared" si="12"/>
        <v>3.0267778753292361E-2</v>
      </c>
      <c r="Z297" s="10">
        <f t="shared" si="11"/>
        <v>2.4246374297249015E-2</v>
      </c>
      <c r="AA297" s="10">
        <f t="shared" si="11"/>
        <v>1.2021594025422999E-2</v>
      </c>
      <c r="AB297" s="10">
        <f t="shared" si="11"/>
        <v>1.2152589736368954E-2</v>
      </c>
      <c r="AC297" s="10">
        <f t="shared" si="11"/>
        <v>9.0037649194948069E-2</v>
      </c>
      <c r="AD297" s="10">
        <f t="shared" si="11"/>
        <v>1.9794859950447236E-2</v>
      </c>
      <c r="AE297" s="10">
        <f t="shared" si="11"/>
        <v>3.5761341784773165E-2</v>
      </c>
      <c r="AF297" s="10">
        <f t="shared" si="11"/>
        <v>2.167784162784573E-2</v>
      </c>
      <c r="AG297" s="10">
        <f t="shared" si="11"/>
        <v>3.0010311779691858E-2</v>
      </c>
      <c r="AH297" s="10">
        <f t="shared" si="11"/>
        <v>2.1449877514627007E-2</v>
      </c>
      <c r="AI297" s="10">
        <f t="shared" si="11"/>
        <v>3.3565532115322642E-2</v>
      </c>
      <c r="AJ297" s="10">
        <f t="shared" si="11"/>
        <v>2.1890243628808238E-2</v>
      </c>
      <c r="AK297" s="10">
        <f t="shared" si="11"/>
        <v>3.4502652603062726E-2</v>
      </c>
      <c r="AL297" s="10">
        <f t="shared" si="11"/>
        <v>2.4318190195840948E-2</v>
      </c>
      <c r="AM297" s="10">
        <f t="shared" si="11"/>
        <v>3.5827878308868057E-2</v>
      </c>
      <c r="AN297" s="10">
        <f t="shared" si="11"/>
        <v>3.1745456740928574E-2</v>
      </c>
      <c r="AO297" s="10">
        <f t="shared" si="11"/>
        <v>3.8353831724725111E-2</v>
      </c>
      <c r="AP297" s="10">
        <f t="shared" si="11"/>
        <v>3.6119813353425602E-2</v>
      </c>
      <c r="AQ297" s="10">
        <f t="shared" si="11"/>
        <v>3.8765470863751733E-2</v>
      </c>
      <c r="AR297" s="10">
        <f t="shared" si="11"/>
        <v>3.9604525299947832E-2</v>
      </c>
    </row>
    <row r="298" spans="24:45" x14ac:dyDescent="0.3">
      <c r="AS298" s="6">
        <f>AVERAGE(Y290:AR297)</f>
        <v>3.783552168517812E-2</v>
      </c>
    </row>
    <row r="300" spans="24:45" x14ac:dyDescent="0.3">
      <c r="X300" s="9" t="s">
        <v>79</v>
      </c>
    </row>
    <row r="301" spans="24:45" x14ac:dyDescent="0.3">
      <c r="X301" s="1" t="s">
        <v>6</v>
      </c>
      <c r="Y301" s="1" t="s">
        <v>63</v>
      </c>
      <c r="Z301" s="1" t="s">
        <v>64</v>
      </c>
      <c r="AA301" s="1" t="s">
        <v>63</v>
      </c>
      <c r="AB301" s="1" t="s">
        <v>64</v>
      </c>
      <c r="AC301" s="1" t="s">
        <v>63</v>
      </c>
      <c r="AD301" s="1" t="s">
        <v>64</v>
      </c>
      <c r="AE301" s="1" t="s">
        <v>63</v>
      </c>
      <c r="AF301" s="1" t="s">
        <v>64</v>
      </c>
      <c r="AG301" s="1" t="s">
        <v>63</v>
      </c>
      <c r="AH301" s="1" t="s">
        <v>64</v>
      </c>
      <c r="AI301" s="1" t="s">
        <v>63</v>
      </c>
      <c r="AJ301" s="1" t="s">
        <v>64</v>
      </c>
      <c r="AK301" s="1" t="s">
        <v>63</v>
      </c>
      <c r="AL301" s="1" t="s">
        <v>64</v>
      </c>
      <c r="AM301" s="1" t="s">
        <v>63</v>
      </c>
      <c r="AN301" s="1" t="s">
        <v>64</v>
      </c>
      <c r="AO301" s="1" t="s">
        <v>63</v>
      </c>
      <c r="AP301" s="1" t="s">
        <v>64</v>
      </c>
      <c r="AQ301" s="1" t="s">
        <v>63</v>
      </c>
      <c r="AR301" s="1" t="s">
        <v>64</v>
      </c>
    </row>
    <row r="302" spans="24:45" x14ac:dyDescent="0.3">
      <c r="X302" s="1" t="s">
        <v>65</v>
      </c>
      <c r="Y302" s="1" t="s">
        <v>53</v>
      </c>
      <c r="Z302" s="1" t="s">
        <v>53</v>
      </c>
      <c r="AA302" s="1" t="s">
        <v>54</v>
      </c>
      <c r="AB302" s="1" t="s">
        <v>54</v>
      </c>
      <c r="AC302" s="1" t="s">
        <v>55</v>
      </c>
      <c r="AD302" s="1" t="s">
        <v>55</v>
      </c>
      <c r="AE302" s="1" t="s">
        <v>56</v>
      </c>
      <c r="AF302" s="1" t="s">
        <v>56</v>
      </c>
      <c r="AG302" s="1" t="s">
        <v>57</v>
      </c>
      <c r="AH302" s="1" t="s">
        <v>57</v>
      </c>
      <c r="AI302" s="1" t="s">
        <v>58</v>
      </c>
      <c r="AJ302" s="1" t="s">
        <v>58</v>
      </c>
      <c r="AK302" s="1" t="s">
        <v>59</v>
      </c>
      <c r="AL302" s="1" t="s">
        <v>59</v>
      </c>
      <c r="AM302" s="1" t="s">
        <v>60</v>
      </c>
      <c r="AN302" s="1" t="s">
        <v>60</v>
      </c>
      <c r="AO302" s="1" t="s">
        <v>61</v>
      </c>
      <c r="AP302" s="1" t="s">
        <v>61</v>
      </c>
      <c r="AQ302" s="1" t="s">
        <v>62</v>
      </c>
      <c r="AR302" s="1" t="s">
        <v>62</v>
      </c>
    </row>
    <row r="303" spans="24:45" x14ac:dyDescent="0.3">
      <c r="X303" s="1" t="s">
        <v>7</v>
      </c>
      <c r="Y303">
        <v>1.3</v>
      </c>
      <c r="Z303">
        <v>1.3</v>
      </c>
      <c r="AA303">
        <v>1.3</v>
      </c>
      <c r="AB303">
        <v>1.3</v>
      </c>
      <c r="AC303">
        <v>0.5</v>
      </c>
      <c r="AD303">
        <v>0.5</v>
      </c>
      <c r="AE303">
        <v>1.6</v>
      </c>
      <c r="AF303">
        <v>1.6</v>
      </c>
      <c r="AG303">
        <v>2</v>
      </c>
      <c r="AH303">
        <v>2</v>
      </c>
      <c r="AI303">
        <v>3.6</v>
      </c>
      <c r="AJ303">
        <v>3.6</v>
      </c>
      <c r="AK303">
        <v>2.9</v>
      </c>
      <c r="AL303">
        <v>2.9</v>
      </c>
      <c r="AM303">
        <v>3.8</v>
      </c>
      <c r="AN303">
        <v>3.8</v>
      </c>
      <c r="AO303">
        <v>3.4</v>
      </c>
      <c r="AP303">
        <v>3.4</v>
      </c>
      <c r="AQ303">
        <v>4.5</v>
      </c>
      <c r="AR303">
        <v>4.5</v>
      </c>
    </row>
    <row r="304" spans="24:45" x14ac:dyDescent="0.3">
      <c r="X304" s="1" t="s">
        <v>66</v>
      </c>
      <c r="Y304" s="10">
        <f>Y107/(Y135+Y163+Y191+Y107)</f>
        <v>0.92379838561731786</v>
      </c>
      <c r="Z304" s="10">
        <f t="shared" ref="Z304:AR311" si="13">Z107/(Z135+Z163+Z191+Z107)</f>
        <v>0.86325023259346456</v>
      </c>
      <c r="AA304" s="10">
        <f t="shared" si="13"/>
        <v>0.95955046721104464</v>
      </c>
      <c r="AB304" s="10">
        <f t="shared" si="13"/>
        <v>0.95491340215759413</v>
      </c>
      <c r="AC304" s="10">
        <f t="shared" si="13"/>
        <v>0.92888177031554908</v>
      </c>
      <c r="AD304" s="10">
        <f t="shared" si="13"/>
        <v>0.91625263651277244</v>
      </c>
      <c r="AE304" s="10">
        <f t="shared" si="13"/>
        <v>0.88530837959988362</v>
      </c>
      <c r="AF304" s="10">
        <f t="shared" si="13"/>
        <v>0.86085584740807752</v>
      </c>
      <c r="AG304" s="10">
        <f t="shared" si="13"/>
        <v>0.9114986808128438</v>
      </c>
      <c r="AH304" s="10">
        <f t="shared" si="13"/>
        <v>0.86173503153743292</v>
      </c>
      <c r="AI304" s="10">
        <f t="shared" si="13"/>
        <v>0.90934337813543364</v>
      </c>
      <c r="AJ304" s="10">
        <f t="shared" si="13"/>
        <v>0.85720206844826907</v>
      </c>
      <c r="AK304" s="10">
        <f t="shared" si="13"/>
        <v>0.91703678166821312</v>
      </c>
      <c r="AL304" s="10">
        <f t="shared" si="13"/>
        <v>0.8115588115588116</v>
      </c>
      <c r="AM304" s="10">
        <f t="shared" si="13"/>
        <v>0.89507199207556509</v>
      </c>
      <c r="AN304" s="10">
        <f t="shared" si="13"/>
        <v>0.8361938095639706</v>
      </c>
      <c r="AO304" s="10">
        <f t="shared" si="13"/>
        <v>0.84323302347565776</v>
      </c>
      <c r="AP304" s="10">
        <f t="shared" si="13"/>
        <v>0.76479426722145161</v>
      </c>
      <c r="AQ304" s="10">
        <f t="shared" si="13"/>
        <v>0.8283000949667616</v>
      </c>
      <c r="AR304" s="10">
        <f t="shared" si="13"/>
        <v>0.73654390934844194</v>
      </c>
    </row>
    <row r="305" spans="24:45" x14ac:dyDescent="0.3">
      <c r="X305" s="1" t="s">
        <v>67</v>
      </c>
      <c r="Y305" s="10">
        <f t="shared" ref="Y305:AN311" si="14">Y108/(Y136+Y164+Y192+Y108)</f>
        <v>0.95379465319927725</v>
      </c>
      <c r="Z305" s="10">
        <f t="shared" si="14"/>
        <v>0.93291704185099644</v>
      </c>
      <c r="AA305" s="10">
        <f t="shared" si="14"/>
        <v>0.97503247066905685</v>
      </c>
      <c r="AB305" s="10">
        <f t="shared" si="14"/>
        <v>0.95749782797567329</v>
      </c>
      <c r="AC305" s="10">
        <f t="shared" si="14"/>
        <v>0.95845403923881545</v>
      </c>
      <c r="AD305" s="10">
        <f t="shared" si="14"/>
        <v>0.94661684048992578</v>
      </c>
      <c r="AE305" s="10">
        <f t="shared" si="14"/>
        <v>0.9677621376595491</v>
      </c>
      <c r="AF305" s="10">
        <f t="shared" si="14"/>
        <v>0.92920044508027344</v>
      </c>
      <c r="AG305" s="10">
        <f t="shared" si="14"/>
        <v>0.96558650384093503</v>
      </c>
      <c r="AH305" s="10">
        <f t="shared" si="14"/>
        <v>0.93118938589312772</v>
      </c>
      <c r="AI305" s="10">
        <f t="shared" si="14"/>
        <v>0.96620848276087601</v>
      </c>
      <c r="AJ305" s="10">
        <f t="shared" si="14"/>
        <v>0.92995119268577719</v>
      </c>
      <c r="AK305" s="10">
        <f t="shared" si="14"/>
        <v>0.95604798717443584</v>
      </c>
      <c r="AL305" s="10">
        <f t="shared" si="14"/>
        <v>0.9428107953370759</v>
      </c>
      <c r="AM305" s="10">
        <f t="shared" si="14"/>
        <v>0.95422088002032124</v>
      </c>
      <c r="AN305" s="10">
        <f t="shared" si="14"/>
        <v>0.94978975624136908</v>
      </c>
      <c r="AO305" s="10">
        <f t="shared" si="13"/>
        <v>0.95833931700031594</v>
      </c>
      <c r="AP305" s="10">
        <f t="shared" si="13"/>
        <v>0.93247949005488995</v>
      </c>
      <c r="AQ305" s="10">
        <f t="shared" si="13"/>
        <v>0.95128473150691584</v>
      </c>
      <c r="AR305" s="10">
        <f t="shared" si="13"/>
        <v>0.92807242362862219</v>
      </c>
    </row>
    <row r="306" spans="24:45" x14ac:dyDescent="0.3">
      <c r="X306" s="1" t="s">
        <v>68</v>
      </c>
      <c r="Y306" s="10">
        <f t="shared" si="14"/>
        <v>0.93370771701867528</v>
      </c>
      <c r="Z306" s="10">
        <f t="shared" si="13"/>
        <v>0.92432011938592462</v>
      </c>
      <c r="AA306" s="10">
        <f t="shared" si="13"/>
        <v>0.96087508503266827</v>
      </c>
      <c r="AB306" s="10">
        <f t="shared" si="13"/>
        <v>0.95398882231820781</v>
      </c>
      <c r="AC306" s="10">
        <f t="shared" si="13"/>
        <v>0.92115580808268849</v>
      </c>
      <c r="AD306" s="10">
        <f t="shared" si="13"/>
        <v>0.92433658147943865</v>
      </c>
      <c r="AE306" s="10">
        <f t="shared" si="13"/>
        <v>0.93524882708662083</v>
      </c>
      <c r="AF306" s="10">
        <f t="shared" si="13"/>
        <v>0.9145479978336003</v>
      </c>
      <c r="AG306" s="10">
        <f t="shared" si="13"/>
        <v>0.92897590503412075</v>
      </c>
      <c r="AH306" s="10">
        <f t="shared" si="13"/>
        <v>0.90948089521465858</v>
      </c>
      <c r="AI306" s="10">
        <f t="shared" si="13"/>
        <v>0.9306562452801691</v>
      </c>
      <c r="AJ306" s="10">
        <f t="shared" si="13"/>
        <v>0.90568110708263483</v>
      </c>
      <c r="AK306" s="10">
        <f t="shared" si="13"/>
        <v>0.91718626399779124</v>
      </c>
      <c r="AL306" s="10">
        <f t="shared" si="13"/>
        <v>0.90980428022681537</v>
      </c>
      <c r="AM306" s="10">
        <f t="shared" si="13"/>
        <v>0.91772147462853937</v>
      </c>
      <c r="AN306" s="10">
        <f t="shared" si="13"/>
        <v>0.92106515436202097</v>
      </c>
      <c r="AO306" s="10">
        <f t="shared" si="13"/>
        <v>0.92922912410013558</v>
      </c>
      <c r="AP306" s="10">
        <f t="shared" si="13"/>
        <v>0.8992</v>
      </c>
      <c r="AQ306" s="10">
        <f t="shared" si="13"/>
        <v>0.91866388409423061</v>
      </c>
      <c r="AR306" s="10">
        <f t="shared" si="13"/>
        <v>0.91139791280365767</v>
      </c>
    </row>
    <row r="307" spans="24:45" x14ac:dyDescent="0.3">
      <c r="X307" s="1" t="s">
        <v>69</v>
      </c>
      <c r="Y307" s="10">
        <f t="shared" si="14"/>
        <v>0.9215640312984853</v>
      </c>
      <c r="Z307" s="10">
        <f t="shared" si="13"/>
        <v>0.91252087459707176</v>
      </c>
      <c r="AA307" s="10">
        <f t="shared" si="13"/>
        <v>0.95860807375100776</v>
      </c>
      <c r="AB307" s="10">
        <f t="shared" si="13"/>
        <v>0.94481236203090513</v>
      </c>
      <c r="AC307" s="10">
        <f t="shared" si="13"/>
        <v>0.91811158100195178</v>
      </c>
      <c r="AD307" s="10">
        <f t="shared" si="13"/>
        <v>0.93226523980852216</v>
      </c>
      <c r="AE307" s="10">
        <f t="shared" si="13"/>
        <v>0.91788845714946043</v>
      </c>
      <c r="AF307" s="10">
        <f t="shared" si="13"/>
        <v>0.91971544715447151</v>
      </c>
      <c r="AG307" s="10">
        <f t="shared" si="13"/>
        <v>0.91581159692249947</v>
      </c>
      <c r="AH307" s="10">
        <f t="shared" si="13"/>
        <v>0.910478823364965</v>
      </c>
      <c r="AI307" s="10">
        <f t="shared" si="13"/>
        <v>0.91461468994581574</v>
      </c>
      <c r="AJ307" s="10">
        <f t="shared" si="13"/>
        <v>0.90480310166939026</v>
      </c>
      <c r="AK307" s="10">
        <f t="shared" si="13"/>
        <v>0.90737446460883042</v>
      </c>
      <c r="AL307" s="10">
        <f t="shared" si="13"/>
        <v>0.91031184899943174</v>
      </c>
      <c r="AM307" s="10">
        <f t="shared" si="13"/>
        <v>0.90885376874549784</v>
      </c>
      <c r="AN307" s="10">
        <f t="shared" si="13"/>
        <v>0.90677853684419973</v>
      </c>
      <c r="AO307" s="10">
        <f t="shared" si="13"/>
        <v>0.91288078596861399</v>
      </c>
      <c r="AP307" s="10">
        <f t="shared" si="13"/>
        <v>0.90181824613534267</v>
      </c>
      <c r="AQ307" s="10">
        <f t="shared" si="13"/>
        <v>0.90354386967705069</v>
      </c>
      <c r="AR307" s="10">
        <f t="shared" si="13"/>
        <v>0.90301191278939097</v>
      </c>
    </row>
    <row r="308" spans="24:45" x14ac:dyDescent="0.3">
      <c r="X308" s="1" t="s">
        <v>70</v>
      </c>
      <c r="Y308" s="10">
        <f t="shared" si="14"/>
        <v>0.9278149923487744</v>
      </c>
      <c r="Z308" s="10">
        <f t="shared" si="13"/>
        <v>0.93200244352318085</v>
      </c>
      <c r="AA308" s="10">
        <f t="shared" si="13"/>
        <v>0.95982246002310456</v>
      </c>
      <c r="AB308" s="10">
        <f t="shared" si="13"/>
        <v>0.9628818089258443</v>
      </c>
      <c r="AC308" s="10">
        <f t="shared" si="13"/>
        <v>0.93566988493585512</v>
      </c>
      <c r="AD308" s="10">
        <f t="shared" si="13"/>
        <v>0.94093692662848905</v>
      </c>
      <c r="AE308" s="10">
        <f t="shared" si="13"/>
        <v>0.93618328080553614</v>
      </c>
      <c r="AF308" s="10">
        <f t="shared" si="13"/>
        <v>0.93086768405682074</v>
      </c>
      <c r="AG308" s="10">
        <f t="shared" si="13"/>
        <v>0.93148961607274883</v>
      </c>
      <c r="AH308" s="10">
        <f t="shared" si="13"/>
        <v>0.93407819713769258</v>
      </c>
      <c r="AI308" s="10">
        <f t="shared" si="13"/>
        <v>0.93342186576131536</v>
      </c>
      <c r="AJ308" s="10">
        <f t="shared" si="13"/>
        <v>0.93928264930082284</v>
      </c>
      <c r="AK308" s="10">
        <f t="shared" si="13"/>
        <v>0.93088945070098827</v>
      </c>
      <c r="AL308" s="10">
        <f t="shared" si="13"/>
        <v>0.93918345521826219</v>
      </c>
      <c r="AM308" s="10">
        <f t="shared" si="13"/>
        <v>0.92760426013825037</v>
      </c>
      <c r="AN308" s="10">
        <f t="shared" si="13"/>
        <v>0.93251412420784263</v>
      </c>
      <c r="AO308" s="10">
        <f t="shared" si="13"/>
        <v>0.92166191242321649</v>
      </c>
      <c r="AP308" s="10">
        <f t="shared" si="13"/>
        <v>0.93690467710916703</v>
      </c>
      <c r="AQ308" s="10">
        <f t="shared" si="13"/>
        <v>0.92252743109852242</v>
      </c>
      <c r="AR308" s="10">
        <f t="shared" si="13"/>
        <v>0.93147618946390232</v>
      </c>
    </row>
    <row r="309" spans="24:45" x14ac:dyDescent="0.3">
      <c r="X309" s="1" t="s">
        <v>71</v>
      </c>
      <c r="Y309" s="10">
        <f t="shared" si="14"/>
        <v>0.94619726408813032</v>
      </c>
      <c r="Z309" s="10">
        <f t="shared" si="13"/>
        <v>0.95512398507790219</v>
      </c>
      <c r="AA309" s="10">
        <f t="shared" si="13"/>
        <v>0.97495578523794857</v>
      </c>
      <c r="AB309" s="10">
        <f t="shared" si="13"/>
        <v>0.97943203749655372</v>
      </c>
      <c r="AC309" s="10">
        <f t="shared" si="13"/>
        <v>0.95128811175777905</v>
      </c>
      <c r="AD309" s="10">
        <f t="shared" si="13"/>
        <v>0.96324973307150696</v>
      </c>
      <c r="AE309" s="10">
        <f t="shared" si="13"/>
        <v>0.96005181467002854</v>
      </c>
      <c r="AF309" s="10">
        <f t="shared" si="13"/>
        <v>0.9577002090554495</v>
      </c>
      <c r="AG309" s="10">
        <f t="shared" si="13"/>
        <v>0.95948280116468432</v>
      </c>
      <c r="AH309" s="10">
        <f t="shared" si="13"/>
        <v>0.95824199763094486</v>
      </c>
      <c r="AI309" s="10">
        <f t="shared" si="13"/>
        <v>0.95517707170963773</v>
      </c>
      <c r="AJ309" s="10">
        <f t="shared" si="13"/>
        <v>0.96281278273445914</v>
      </c>
      <c r="AK309" s="10">
        <f t="shared" si="13"/>
        <v>0.95572975078801048</v>
      </c>
      <c r="AL309" s="10">
        <f t="shared" si="13"/>
        <v>0.96718913761008651</v>
      </c>
      <c r="AM309" s="10">
        <f t="shared" si="13"/>
        <v>0.95432761776322128</v>
      </c>
      <c r="AN309" s="10">
        <f t="shared" si="13"/>
        <v>0.96021207257162322</v>
      </c>
      <c r="AO309" s="10">
        <f t="shared" si="13"/>
        <v>0.94839198951129855</v>
      </c>
      <c r="AP309" s="10">
        <f t="shared" si="13"/>
        <v>0.96978809641659747</v>
      </c>
      <c r="AQ309" s="10">
        <f t="shared" si="13"/>
        <v>0.94757843564272959</v>
      </c>
      <c r="AR309" s="10">
        <f t="shared" si="13"/>
        <v>0.96199660460326741</v>
      </c>
    </row>
    <row r="310" spans="24:45" x14ac:dyDescent="0.3">
      <c r="X310" s="1" t="s">
        <v>72</v>
      </c>
      <c r="Y310" s="10">
        <f t="shared" si="14"/>
        <v>0.95892474017940921</v>
      </c>
      <c r="Z310" s="10">
        <f t="shared" si="13"/>
        <v>0.95528040395358826</v>
      </c>
      <c r="AA310" s="10">
        <f t="shared" si="13"/>
        <v>0.97878875313139602</v>
      </c>
      <c r="AB310" s="10">
        <f t="shared" si="13"/>
        <v>0.97933360308090267</v>
      </c>
      <c r="AC310" s="10">
        <f t="shared" si="13"/>
        <v>0.9587710468737447</v>
      </c>
      <c r="AD310" s="10">
        <f t="shared" si="13"/>
        <v>0.96304737259189488</v>
      </c>
      <c r="AE310" s="10">
        <f t="shared" si="13"/>
        <v>0.96259246677787191</v>
      </c>
      <c r="AF310" s="10">
        <f t="shared" si="13"/>
        <v>0.95438555645692302</v>
      </c>
      <c r="AG310" s="10">
        <f t="shared" si="13"/>
        <v>0.96156441460344111</v>
      </c>
      <c r="AH310" s="10">
        <f t="shared" si="13"/>
        <v>0.95864969747793205</v>
      </c>
      <c r="AI310" s="10">
        <f t="shared" si="13"/>
        <v>0.96112631727195352</v>
      </c>
      <c r="AJ310" s="10">
        <f t="shared" si="13"/>
        <v>0.96126659362238831</v>
      </c>
      <c r="AK310" s="10">
        <f t="shared" si="13"/>
        <v>0.96202274018292999</v>
      </c>
      <c r="AL310" s="10">
        <f t="shared" si="13"/>
        <v>0.96276797413879123</v>
      </c>
      <c r="AM310" s="10">
        <f t="shared" si="13"/>
        <v>0.95780642023346307</v>
      </c>
      <c r="AN310" s="10">
        <f t="shared" si="13"/>
        <v>0.95894312981243479</v>
      </c>
      <c r="AO310" s="10">
        <f t="shared" si="13"/>
        <v>0.95415995991131897</v>
      </c>
      <c r="AP310" s="10">
        <f t="shared" si="13"/>
        <v>0.96374864701081353</v>
      </c>
      <c r="AQ310" s="10">
        <f t="shared" si="13"/>
        <v>0.95548657457706032</v>
      </c>
      <c r="AR310" s="10">
        <f t="shared" si="13"/>
        <v>0.95978547533497349</v>
      </c>
    </row>
    <row r="311" spans="24:45" x14ac:dyDescent="0.3">
      <c r="X311" s="1" t="s">
        <v>73</v>
      </c>
      <c r="Y311" s="10">
        <f t="shared" si="14"/>
        <v>0.95659021071115014</v>
      </c>
      <c r="Z311" s="10">
        <f t="shared" si="13"/>
        <v>0.96714477959759737</v>
      </c>
      <c r="AA311" s="10">
        <f t="shared" si="13"/>
        <v>0.98217745505556608</v>
      </c>
      <c r="AB311" s="10">
        <f t="shared" si="13"/>
        <v>0.98128912765634824</v>
      </c>
      <c r="AC311" s="10">
        <f t="shared" si="13"/>
        <v>0.89530319617633713</v>
      </c>
      <c r="AD311" s="10">
        <f t="shared" si="13"/>
        <v>0.97347037332549446</v>
      </c>
      <c r="AE311" s="10">
        <f t="shared" si="13"/>
        <v>0.95233601595327966</v>
      </c>
      <c r="AF311" s="10">
        <f t="shared" si="13"/>
        <v>0.97115089867411564</v>
      </c>
      <c r="AG311" s="10">
        <f t="shared" si="13"/>
        <v>0.95743358000727885</v>
      </c>
      <c r="AH311" s="10">
        <f t="shared" si="13"/>
        <v>0.97221213639309301</v>
      </c>
      <c r="AI311" s="10">
        <f t="shared" si="13"/>
        <v>0.95624581670343844</v>
      </c>
      <c r="AJ311" s="10">
        <f t="shared" si="13"/>
        <v>0.97179129326554148</v>
      </c>
      <c r="AK311" s="10">
        <f t="shared" si="13"/>
        <v>0.95446678288788833</v>
      </c>
      <c r="AL311" s="10">
        <f t="shared" si="13"/>
        <v>0.96765122512493484</v>
      </c>
      <c r="AM311" s="10">
        <f t="shared" si="13"/>
        <v>0.95546532899056025</v>
      </c>
      <c r="AN311" s="10">
        <f t="shared" si="13"/>
        <v>0.95991668176055056</v>
      </c>
      <c r="AO311" s="10">
        <f t="shared" si="13"/>
        <v>0.94965976439599031</v>
      </c>
      <c r="AP311" s="10">
        <f t="shared" si="13"/>
        <v>0.95550620613078485</v>
      </c>
      <c r="AQ311" s="10">
        <f t="shared" si="13"/>
        <v>0.94925687521260171</v>
      </c>
      <c r="AR311" s="10">
        <f t="shared" si="13"/>
        <v>0.9509813510693792</v>
      </c>
    </row>
    <row r="312" spans="24:45" x14ac:dyDescent="0.3">
      <c r="AS312" s="6">
        <f>AVERAGE(Y304:AR311)</f>
        <v>0.93468894928037294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Y262:AR26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98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98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2026-01-26T17:26:50Z</dcterms:created>
  <dcterms:modified xsi:type="dcterms:W3CDTF">2026-01-26T18:33:45Z</dcterms:modified>
</cp:coreProperties>
</file>