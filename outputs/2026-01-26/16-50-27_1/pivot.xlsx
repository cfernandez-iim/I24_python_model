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16-50-27_1\"/>
    </mc:Choice>
  </mc:AlternateContent>
  <xr:revisionPtr revIDLastSave="0" documentId="13_ncr:1_{961BC2E9-6954-4683-95BB-9891A0B149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39" i="2" l="1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AS340" i="2" s="1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AS326" i="2" s="1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S312" i="2" s="1"/>
  <c r="AA304" i="2"/>
  <c r="Z304" i="2"/>
  <c r="Y304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S298" i="2" s="1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AS284" i="2" s="1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S256" i="2" s="1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S241" i="2" s="1"/>
  <c r="AB233" i="2"/>
  <c r="AA233" i="2"/>
  <c r="Z233" i="2"/>
  <c r="Y233" i="2"/>
  <c r="W101" i="2"/>
  <c r="W45" i="2"/>
  <c r="W87" i="2" s="1"/>
  <c r="W116" i="2" l="1"/>
  <c r="W59" i="2"/>
  <c r="W73" i="2"/>
</calcChain>
</file>

<file path=xl/sharedStrings.xml><?xml version="1.0" encoding="utf-8"?>
<sst xmlns="http://schemas.openxmlformats.org/spreadsheetml/2006/main" count="3408" uniqueCount="82">
  <si>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</si>
  <si>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</si>
  <si>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</si>
  <si>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</si>
  <si>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</si>
  <si>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</si>
  <si>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</si>
  <si>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</si>
  <si>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</si>
  <si>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</si>
  <si>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</si>
  <si>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</si>
  <si>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</si>
  <si>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</si>
  <si>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</si>
  <si>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</si>
  <si>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</si>
  <si>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</si>
  <si>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</si>
  <si>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</si>
  <si>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</si>
  <si>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</si>
  <si>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</si>
  <si>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</si>
  <si>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</si>
  <si>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</si>
  <si>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</si>
  <si>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</si>
  <si>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</si>
  <si>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</si>
  <si>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</si>
  <si>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</si>
  <si>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</si>
  <si>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</si>
  <si>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</si>
  <si>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</si>
  <si>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</si>
  <si>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</si>
  <si>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</si>
  <si>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</si>
  <si>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</si>
  <si>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</si>
  <si>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</si>
  <si>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</si>
  <si>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</si>
  <si>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</si>
  <si>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</si>
  <si>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</si>
  <si>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</si>
  <si>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</si>
  <si>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</si>
  <si>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</si>
  <si>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</si>
  <si>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</si>
  <si>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</si>
  <si>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</si>
  <si>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</si>
  <si>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</si>
  <si>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</si>
  <si>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</si>
  <si>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</si>
  <si>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</si>
  <si>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</si>
  <si>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</si>
  <si>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</si>
  <si>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</si>
  <si>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</si>
  <si>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</si>
  <si>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</si>
  <si>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</si>
  <si>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</si>
  <si>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</si>
  <si>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</si>
  <si>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</si>
  <si>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</si>
  <si>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</si>
  <si>
    <t>ML Medium A</t>
  </si>
  <si>
    <t>ML Medium B</t>
  </si>
  <si>
    <t>ML Heavy A</t>
  </si>
  <si>
    <t>ML Lights</t>
  </si>
  <si>
    <t>Capture Medium A</t>
  </si>
  <si>
    <t>Capture Medium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</si>
</sst>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9" fontId="0" fillId="0" borderId="2" xfId="1" applyFont="1" applyBorder="1"/>
    <xf numFmtId="10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topLeftCell="A15"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40"/>
  <sheetViews>
    <sheetView tabSelected="1" topLeftCell="I158" zoomScale="58" workbookViewId="0">
      <selection activeCell="X229" sqref="X229:AS34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4327.96</v>
      </c>
      <c r="AA9" s="2">
        <v>973.13</v>
      </c>
      <c r="AB9" s="2">
        <v>887.11</v>
      </c>
      <c r="AC9" s="2">
        <v>296.7</v>
      </c>
      <c r="AD9" s="2">
        <v>492.8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2323.44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66</v>
      </c>
      <c r="AV9" s="2">
        <v>21840</v>
      </c>
      <c r="AW9" s="2">
        <v>21840</v>
      </c>
      <c r="AX9" s="2">
        <v>18669.22</v>
      </c>
      <c r="AY9" s="2">
        <v>17479.419999999998</v>
      </c>
      <c r="AZ9" s="2">
        <v>6810.05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1.22</v>
      </c>
      <c r="D10" s="2">
        <v>0.71</v>
      </c>
      <c r="E10" s="2">
        <v>0.97</v>
      </c>
      <c r="F10" s="2">
        <v>0.61</v>
      </c>
      <c r="G10" s="2">
        <v>0.98</v>
      </c>
      <c r="H10" s="2">
        <v>0.79</v>
      </c>
      <c r="I10" s="2">
        <v>1.1599999999999999</v>
      </c>
      <c r="J10" s="2">
        <v>1.34</v>
      </c>
      <c r="K10" s="2">
        <v>1.27</v>
      </c>
      <c r="L10" s="2">
        <v>1.03</v>
      </c>
      <c r="M10" s="2">
        <v>1.62</v>
      </c>
      <c r="N10" s="2">
        <v>1.06</v>
      </c>
      <c r="O10" s="2">
        <v>1.45</v>
      </c>
      <c r="P10" s="2">
        <v>1.18</v>
      </c>
      <c r="Q10" s="2">
        <v>1.37</v>
      </c>
      <c r="R10" s="2">
        <v>1.03</v>
      </c>
      <c r="S10" s="2">
        <v>1.3</v>
      </c>
      <c r="T10" s="2">
        <v>0.85</v>
      </c>
      <c r="U10" s="2">
        <v>1.06</v>
      </c>
      <c r="V10" s="2">
        <v>0.62</v>
      </c>
      <c r="X10" s="1" t="s">
        <v>67</v>
      </c>
      <c r="Y10" s="2">
        <v>1333.98</v>
      </c>
      <c r="Z10" s="2">
        <v>812.6</v>
      </c>
      <c r="AA10" s="2">
        <v>1402.76</v>
      </c>
      <c r="AB10" s="2">
        <v>887.29</v>
      </c>
      <c r="AC10" s="2">
        <v>332.64</v>
      </c>
      <c r="AD10" s="2">
        <v>421.81</v>
      </c>
      <c r="AE10" s="2">
        <v>1878.18</v>
      </c>
      <c r="AF10" s="2">
        <v>1180.0999999999999</v>
      </c>
      <c r="AG10" s="2">
        <v>2189.44</v>
      </c>
      <c r="AH10" s="2">
        <v>1361.74</v>
      </c>
      <c r="AI10" s="2">
        <v>3793.81</v>
      </c>
      <c r="AJ10" s="2">
        <v>2482.34</v>
      </c>
      <c r="AK10" s="2">
        <v>2527.09</v>
      </c>
      <c r="AL10" s="2">
        <v>2184.6999999999998</v>
      </c>
      <c r="AM10" s="2">
        <v>3194.08</v>
      </c>
      <c r="AN10" s="2">
        <v>2924.85</v>
      </c>
      <c r="AO10" s="2">
        <v>2799.24</v>
      </c>
      <c r="AP10" s="2">
        <v>2012.56</v>
      </c>
      <c r="AQ10" s="2">
        <v>4407.46</v>
      </c>
      <c r="AR10" s="2">
        <v>2678.36</v>
      </c>
      <c r="AU10" s="1" t="s">
        <v>67</v>
      </c>
      <c r="AV10" s="2">
        <v>9357.68</v>
      </c>
      <c r="AW10" s="2">
        <v>6115.43</v>
      </c>
      <c r="AX10" s="2">
        <v>8587.48</v>
      </c>
      <c r="AY10" s="2">
        <v>5719.57</v>
      </c>
      <c r="AZ10" s="2">
        <v>2153.34</v>
      </c>
      <c r="BA10" s="2">
        <v>2772.66</v>
      </c>
      <c r="BB10" s="2">
        <v>11884.54</v>
      </c>
      <c r="BC10" s="2">
        <v>8159.18</v>
      </c>
      <c r="BD10" s="2">
        <v>14995.16</v>
      </c>
      <c r="BE10" s="2">
        <v>10111.76</v>
      </c>
      <c r="BF10" s="2">
        <v>26271.05</v>
      </c>
      <c r="BG10" s="2">
        <v>18526.36</v>
      </c>
      <c r="BH10" s="2">
        <v>17732.599999999999</v>
      </c>
      <c r="BI10" s="2">
        <v>15937.26</v>
      </c>
      <c r="BJ10" s="2">
        <v>22614.38</v>
      </c>
      <c r="BK10" s="2">
        <v>20988.74</v>
      </c>
      <c r="BL10" s="2">
        <v>19717.43</v>
      </c>
      <c r="BM10" s="2">
        <v>15027.39</v>
      </c>
      <c r="BN10" s="2">
        <v>32190.81</v>
      </c>
      <c r="BO10" s="2">
        <v>20468.96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0.9</v>
      </c>
      <c r="E11" s="2">
        <v>3.73</v>
      </c>
      <c r="F11" s="2">
        <v>0.69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1.54</v>
      </c>
      <c r="U11" s="2">
        <v>1.53</v>
      </c>
      <c r="V11" s="2">
        <v>1.32</v>
      </c>
      <c r="X11" s="1" t="s">
        <v>68</v>
      </c>
      <c r="Y11" s="2">
        <v>7210.99</v>
      </c>
      <c r="Z11" s="2">
        <v>2023.11</v>
      </c>
      <c r="AA11" s="2">
        <v>7107.19</v>
      </c>
      <c r="AB11" s="2">
        <v>1998.83</v>
      </c>
      <c r="AC11" s="2">
        <v>3041.98</v>
      </c>
      <c r="AD11" s="2">
        <v>1816.92</v>
      </c>
      <c r="AE11" s="2">
        <v>10023.290000000001</v>
      </c>
      <c r="AF11" s="2">
        <v>4640.2299999999996</v>
      </c>
      <c r="AG11" s="2">
        <v>13257.21</v>
      </c>
      <c r="AH11" s="2">
        <v>4780.07</v>
      </c>
      <c r="AI11" s="2">
        <v>25497.040000000001</v>
      </c>
      <c r="AJ11" s="2">
        <v>8603.25</v>
      </c>
      <c r="AK11" s="2">
        <v>19461.939999999999</v>
      </c>
      <c r="AL11" s="2">
        <v>7214.81</v>
      </c>
      <c r="AM11" s="2">
        <v>24637.73</v>
      </c>
      <c r="AN11" s="2">
        <v>8673.06</v>
      </c>
      <c r="AO11" s="2">
        <v>9884.06</v>
      </c>
      <c r="AP11" s="2">
        <v>6577.16</v>
      </c>
      <c r="AQ11" s="2">
        <v>8586.2000000000007</v>
      </c>
      <c r="AR11" s="2">
        <v>7779.08</v>
      </c>
      <c r="AU11" s="1" t="s">
        <v>68</v>
      </c>
      <c r="AV11" s="2">
        <v>30393.83</v>
      </c>
      <c r="AW11" s="2">
        <v>15639.4</v>
      </c>
      <c r="AX11" s="2">
        <v>29040.79</v>
      </c>
      <c r="AY11" s="2">
        <v>12987.89</v>
      </c>
      <c r="AZ11" s="2">
        <v>8079.3</v>
      </c>
      <c r="BA11" s="2">
        <v>10704.84</v>
      </c>
      <c r="BB11" s="2">
        <v>35323.82</v>
      </c>
      <c r="BC11" s="2">
        <v>28311.75</v>
      </c>
      <c r="BD11" s="2">
        <v>45918.09</v>
      </c>
      <c r="BE11" s="2">
        <v>34504.699999999997</v>
      </c>
      <c r="BF11" s="2">
        <v>84230.96</v>
      </c>
      <c r="BG11" s="2">
        <v>62240.26</v>
      </c>
      <c r="BH11" s="2">
        <v>62549.39</v>
      </c>
      <c r="BI11" s="2">
        <v>50763.89</v>
      </c>
      <c r="BJ11" s="2">
        <v>77540.23</v>
      </c>
      <c r="BK11" s="2">
        <v>64448.03</v>
      </c>
      <c r="BL11" s="2">
        <v>61998.95</v>
      </c>
      <c r="BM11" s="2">
        <v>51309.120000000003</v>
      </c>
      <c r="BN11" s="2">
        <v>66888</v>
      </c>
      <c r="BO11" s="2">
        <v>60321.19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1.8</v>
      </c>
      <c r="D12" s="2">
        <v>0.88</v>
      </c>
      <c r="E12" s="2">
        <v>3.4</v>
      </c>
      <c r="F12" s="2">
        <v>0.6</v>
      </c>
      <c r="G12" s="2">
        <v>1.8</v>
      </c>
      <c r="H12" s="2">
        <v>1.8</v>
      </c>
      <c r="I12" s="2">
        <v>1.8</v>
      </c>
      <c r="J12" s="2">
        <v>1.7</v>
      </c>
      <c r="K12" s="2">
        <v>3.15</v>
      </c>
      <c r="L12" s="2">
        <v>1.45</v>
      </c>
      <c r="M12" s="2">
        <v>3.17</v>
      </c>
      <c r="N12" s="2">
        <v>1.38</v>
      </c>
      <c r="O12" s="2">
        <v>1.8</v>
      </c>
      <c r="P12" s="2">
        <v>1.4</v>
      </c>
      <c r="Q12" s="2">
        <v>1.8</v>
      </c>
      <c r="R12" s="2">
        <v>1.26</v>
      </c>
      <c r="S12" s="2">
        <v>1.25</v>
      </c>
      <c r="T12" s="2">
        <v>1.0900000000000001</v>
      </c>
      <c r="U12" s="2">
        <v>1.07</v>
      </c>
      <c r="V12" s="2">
        <v>0.98</v>
      </c>
      <c r="X12" s="1" t="s">
        <v>69</v>
      </c>
      <c r="Y12" s="2">
        <v>2102.7600000000002</v>
      </c>
      <c r="Z12" s="2">
        <v>776.02</v>
      </c>
      <c r="AA12" s="2">
        <v>1402.38</v>
      </c>
      <c r="AB12" s="2">
        <v>802.06</v>
      </c>
      <c r="AC12" s="2">
        <v>698.33</v>
      </c>
      <c r="AD12" s="2">
        <v>852.49</v>
      </c>
      <c r="AE12" s="2">
        <v>2505.21</v>
      </c>
      <c r="AF12" s="2">
        <v>1379.74</v>
      </c>
      <c r="AG12" s="2">
        <v>2023.43</v>
      </c>
      <c r="AH12" s="2">
        <v>1516.65</v>
      </c>
      <c r="AI12" s="2">
        <v>3610.75</v>
      </c>
      <c r="AJ12" s="2">
        <v>2627.36</v>
      </c>
      <c r="AK12" s="2">
        <v>4360.66</v>
      </c>
      <c r="AL12" s="2">
        <v>2134.34</v>
      </c>
      <c r="AM12" s="2">
        <v>3971.77</v>
      </c>
      <c r="AN12" s="2">
        <v>2670.32</v>
      </c>
      <c r="AO12" s="2">
        <v>2403.69</v>
      </c>
      <c r="AP12" s="2">
        <v>2262.98</v>
      </c>
      <c r="AQ12" s="2">
        <v>2953.26</v>
      </c>
      <c r="AR12" s="2">
        <v>2822.05</v>
      </c>
      <c r="AU12" s="1" t="s">
        <v>69</v>
      </c>
      <c r="AV12" s="2">
        <v>9024.83</v>
      </c>
      <c r="AW12" s="2">
        <v>5521.11</v>
      </c>
      <c r="AX12" s="2">
        <v>9152.81</v>
      </c>
      <c r="AY12" s="2">
        <v>5394.65</v>
      </c>
      <c r="AZ12" s="2">
        <v>2771.02</v>
      </c>
      <c r="BA12" s="2">
        <v>3587.51</v>
      </c>
      <c r="BB12" s="2">
        <v>11568.15</v>
      </c>
      <c r="BC12" s="2">
        <v>10098.35</v>
      </c>
      <c r="BD12" s="2">
        <v>15736.57</v>
      </c>
      <c r="BE12" s="2">
        <v>12016.38</v>
      </c>
      <c r="BF12" s="2">
        <v>28357.25</v>
      </c>
      <c r="BG12" s="2">
        <v>21093.07</v>
      </c>
      <c r="BH12" s="2">
        <v>21391.34</v>
      </c>
      <c r="BI12" s="2">
        <v>17146.02</v>
      </c>
      <c r="BJ12" s="2">
        <v>26163.94</v>
      </c>
      <c r="BK12" s="2">
        <v>21287.919999999998</v>
      </c>
      <c r="BL12" s="2">
        <v>18971.43</v>
      </c>
      <c r="BM12" s="2">
        <v>17808.41</v>
      </c>
      <c r="BN12" s="2">
        <v>23241.91</v>
      </c>
      <c r="BO12" s="2">
        <v>22061.73</v>
      </c>
      <c r="BR12" s="1" t="s">
        <v>69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1.0900000000000001</v>
      </c>
      <c r="G13" s="2">
        <v>1.8</v>
      </c>
      <c r="H13" s="2">
        <v>1.8</v>
      </c>
      <c r="I13" s="2">
        <v>1.0900000000000001</v>
      </c>
      <c r="J13" s="2">
        <v>1.8</v>
      </c>
      <c r="K13" s="2">
        <v>1.8</v>
      </c>
      <c r="L13" s="2">
        <v>1.8</v>
      </c>
      <c r="M13" s="2">
        <v>1.8</v>
      </c>
      <c r="N13" s="2">
        <v>1.67</v>
      </c>
      <c r="O13" s="2">
        <v>1.6</v>
      </c>
      <c r="P13" s="2">
        <v>1.51</v>
      </c>
      <c r="Q13" s="2">
        <v>1.32</v>
      </c>
      <c r="R13" s="2">
        <v>1.35</v>
      </c>
      <c r="S13" s="2">
        <v>1.21</v>
      </c>
      <c r="T13" s="2">
        <v>1.0900000000000001</v>
      </c>
      <c r="U13" s="2">
        <v>1.1599999999999999</v>
      </c>
      <c r="V13" s="2">
        <v>0.84</v>
      </c>
      <c r="X13" s="1" t="s">
        <v>70</v>
      </c>
      <c r="Y13" s="2">
        <v>7177.62</v>
      </c>
      <c r="Z13" s="2">
        <v>7304.77</v>
      </c>
      <c r="AA13" s="2">
        <v>9090.7000000000007</v>
      </c>
      <c r="AB13" s="2">
        <v>7210.64</v>
      </c>
      <c r="AC13" s="2">
        <v>2715.46</v>
      </c>
      <c r="AD13" s="2">
        <v>3006.77</v>
      </c>
      <c r="AE13" s="2">
        <v>7473.9</v>
      </c>
      <c r="AF13" s="2">
        <v>9210.31</v>
      </c>
      <c r="AG13" s="2">
        <v>10612.65</v>
      </c>
      <c r="AH13" s="2">
        <v>11389.79</v>
      </c>
      <c r="AI13" s="2">
        <v>16632.53</v>
      </c>
      <c r="AJ13" s="2">
        <v>16710.650000000001</v>
      </c>
      <c r="AK13" s="2">
        <v>12271.56</v>
      </c>
      <c r="AL13" s="2">
        <v>13205.42</v>
      </c>
      <c r="AM13" s="2">
        <v>14623.92</v>
      </c>
      <c r="AN13" s="2">
        <v>14946.18</v>
      </c>
      <c r="AO13" s="2">
        <v>12022.05</v>
      </c>
      <c r="AP13" s="2">
        <v>12605.2</v>
      </c>
      <c r="AQ13" s="2">
        <v>16133.67</v>
      </c>
      <c r="AR13" s="2">
        <v>18177.55</v>
      </c>
      <c r="AU13" s="1" t="s">
        <v>70</v>
      </c>
      <c r="AV13" s="2">
        <v>30670.59</v>
      </c>
      <c r="AW13" s="2">
        <v>40126.699999999997</v>
      </c>
      <c r="AX13" s="2">
        <v>39542.949999999997</v>
      </c>
      <c r="AY13" s="2">
        <v>45605.760000000002</v>
      </c>
      <c r="AZ13" s="2">
        <v>11198.16</v>
      </c>
      <c r="BA13" s="2">
        <v>12549.44</v>
      </c>
      <c r="BB13" s="2">
        <v>50986.5</v>
      </c>
      <c r="BC13" s="2">
        <v>48004.89</v>
      </c>
      <c r="BD13" s="2">
        <v>68671.850000000006</v>
      </c>
      <c r="BE13" s="2">
        <v>67974.210000000006</v>
      </c>
      <c r="BF13" s="2">
        <v>120346.57</v>
      </c>
      <c r="BG13" s="2">
        <v>123622.75</v>
      </c>
      <c r="BH13" s="2">
        <v>91872.52</v>
      </c>
      <c r="BI13" s="2">
        <v>97602.13</v>
      </c>
      <c r="BJ13" s="2">
        <v>110540.48</v>
      </c>
      <c r="BK13" s="2">
        <v>111801.87</v>
      </c>
      <c r="BL13" s="2">
        <v>92125.05</v>
      </c>
      <c r="BM13" s="2">
        <v>94270.399999999994</v>
      </c>
      <c r="BN13" s="2">
        <v>125065.08</v>
      </c>
      <c r="BO13" s="2">
        <v>139403.45000000001</v>
      </c>
      <c r="BR13" s="1" t="s">
        <v>70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3.21</v>
      </c>
      <c r="D14" s="2">
        <v>3.14</v>
      </c>
      <c r="E14" s="2">
        <v>2.66</v>
      </c>
      <c r="F14" s="2">
        <v>2.61</v>
      </c>
      <c r="G14" s="2">
        <v>1.8</v>
      </c>
      <c r="H14" s="2">
        <v>1.8</v>
      </c>
      <c r="I14" s="2">
        <v>1.08</v>
      </c>
      <c r="J14" s="2">
        <v>1.8</v>
      </c>
      <c r="K14" s="2">
        <v>1.07</v>
      </c>
      <c r="L14" s="2">
        <v>1.8</v>
      </c>
      <c r="M14" s="2">
        <v>1.27</v>
      </c>
      <c r="N14" s="2">
        <v>1.8</v>
      </c>
      <c r="O14" s="2">
        <v>1.24</v>
      </c>
      <c r="P14" s="2">
        <v>1.8</v>
      </c>
      <c r="Q14" s="2">
        <v>1.23</v>
      </c>
      <c r="R14" s="2">
        <v>1.8</v>
      </c>
      <c r="S14" s="2">
        <v>1.1399999999999999</v>
      </c>
      <c r="T14" s="2">
        <v>1.69</v>
      </c>
      <c r="U14" s="2">
        <v>1</v>
      </c>
      <c r="V14" s="2">
        <v>0.86</v>
      </c>
      <c r="X14" s="1" t="s">
        <v>71</v>
      </c>
      <c r="Y14" s="2">
        <v>1266.4000000000001</v>
      </c>
      <c r="Z14" s="2">
        <v>1321.21</v>
      </c>
      <c r="AA14" s="2">
        <v>1875.58</v>
      </c>
      <c r="AB14" s="2">
        <v>1918.31</v>
      </c>
      <c r="AC14" s="2">
        <v>637.58000000000004</v>
      </c>
      <c r="AD14" s="2">
        <v>710.73</v>
      </c>
      <c r="AE14" s="2">
        <v>1654.55</v>
      </c>
      <c r="AF14" s="2">
        <v>1890.54</v>
      </c>
      <c r="AG14" s="2">
        <v>1940.62</v>
      </c>
      <c r="AH14" s="2">
        <v>3135.67</v>
      </c>
      <c r="AI14" s="2">
        <v>3673.3</v>
      </c>
      <c r="AJ14" s="2">
        <v>5773.98</v>
      </c>
      <c r="AK14" s="2">
        <v>2947.48</v>
      </c>
      <c r="AL14" s="2">
        <v>3899.18</v>
      </c>
      <c r="AM14" s="2">
        <v>3788.22</v>
      </c>
      <c r="AN14" s="2">
        <v>4978.45</v>
      </c>
      <c r="AO14" s="2">
        <v>3203.14</v>
      </c>
      <c r="AP14" s="2">
        <v>4003.61</v>
      </c>
      <c r="AQ14" s="2">
        <v>3887.89</v>
      </c>
      <c r="AR14" s="2">
        <v>3853.51</v>
      </c>
      <c r="AU14" s="1" t="s">
        <v>71</v>
      </c>
      <c r="AV14" s="2">
        <v>7712.46</v>
      </c>
      <c r="AW14" s="2">
        <v>7829.17</v>
      </c>
      <c r="AX14" s="2">
        <v>9649.86</v>
      </c>
      <c r="AY14" s="2">
        <v>9625.69</v>
      </c>
      <c r="AZ14" s="2">
        <v>2250.79</v>
      </c>
      <c r="BA14" s="2">
        <v>2567.2600000000002</v>
      </c>
      <c r="BB14" s="2">
        <v>8787.85</v>
      </c>
      <c r="BC14" s="2">
        <v>7021.34</v>
      </c>
      <c r="BD14" s="2">
        <v>11176.48</v>
      </c>
      <c r="BE14" s="2">
        <v>14182.33</v>
      </c>
      <c r="BF14" s="2">
        <v>21667.279999999999</v>
      </c>
      <c r="BG14" s="2">
        <v>26194.02</v>
      </c>
      <c r="BH14" s="2">
        <v>17316.18</v>
      </c>
      <c r="BI14" s="2">
        <v>20392.189999999999</v>
      </c>
      <c r="BJ14" s="2">
        <v>22534.32</v>
      </c>
      <c r="BK14" s="2">
        <v>26647.46</v>
      </c>
      <c r="BL14" s="2">
        <v>19412.189999999999</v>
      </c>
      <c r="BM14" s="2">
        <v>22900.080000000002</v>
      </c>
      <c r="BN14" s="2">
        <v>23885.599999999999</v>
      </c>
      <c r="BO14" s="2">
        <v>22184.62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3.19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1.75</v>
      </c>
      <c r="T15" s="2">
        <v>1.79</v>
      </c>
      <c r="U15" s="2">
        <v>1.57</v>
      </c>
      <c r="V15" s="2">
        <v>1.52</v>
      </c>
      <c r="X15" s="1" t="s">
        <v>72</v>
      </c>
      <c r="Y15" s="2">
        <v>6981.27</v>
      </c>
      <c r="Z15" s="2">
        <v>7290.18</v>
      </c>
      <c r="AA15" s="2">
        <v>5425.39</v>
      </c>
      <c r="AB15" s="2">
        <v>7435.53</v>
      </c>
      <c r="AC15" s="2">
        <v>2263.02</v>
      </c>
      <c r="AD15" s="2">
        <v>2701.95</v>
      </c>
      <c r="AE15" s="2">
        <v>6694.33</v>
      </c>
      <c r="AF15" s="2">
        <v>9485.15</v>
      </c>
      <c r="AG15" s="2">
        <v>6319.18</v>
      </c>
      <c r="AH15" s="2">
        <v>14610.35</v>
      </c>
      <c r="AI15" s="2">
        <v>12490.78</v>
      </c>
      <c r="AJ15" s="2">
        <v>26315.94</v>
      </c>
      <c r="AK15" s="2">
        <v>10134.33</v>
      </c>
      <c r="AL15" s="2">
        <v>18551.71</v>
      </c>
      <c r="AM15" s="2">
        <v>14701.47</v>
      </c>
      <c r="AN15" s="2">
        <v>17566.400000000001</v>
      </c>
      <c r="AO15" s="2">
        <v>9850.7000000000007</v>
      </c>
      <c r="AP15" s="2">
        <v>10301.879999999999</v>
      </c>
      <c r="AQ15" s="2">
        <v>12195.32</v>
      </c>
      <c r="AR15" s="2">
        <v>12152.38</v>
      </c>
      <c r="AU15" s="1" t="s">
        <v>72</v>
      </c>
      <c r="AV15" s="2">
        <v>27212.58</v>
      </c>
      <c r="AW15" s="2">
        <v>28971.119999999999</v>
      </c>
      <c r="AX15" s="2">
        <v>27846.240000000002</v>
      </c>
      <c r="AY15" s="2">
        <v>31110.82</v>
      </c>
      <c r="AZ15" s="2">
        <v>6890.39</v>
      </c>
      <c r="BA15" s="2">
        <v>10273.74</v>
      </c>
      <c r="BB15" s="2">
        <v>29924.81</v>
      </c>
      <c r="BC15" s="2">
        <v>24525.01</v>
      </c>
      <c r="BD15" s="2">
        <v>36445.03</v>
      </c>
      <c r="BE15" s="2">
        <v>46349.65</v>
      </c>
      <c r="BF15" s="2">
        <v>67507.63</v>
      </c>
      <c r="BG15" s="2">
        <v>83412.06</v>
      </c>
      <c r="BH15" s="2">
        <v>54503.13</v>
      </c>
      <c r="BI15" s="2">
        <v>64620.73</v>
      </c>
      <c r="BJ15" s="2">
        <v>73700.070000000007</v>
      </c>
      <c r="BK15" s="2">
        <v>77446.55</v>
      </c>
      <c r="BL15" s="2">
        <v>60005.73</v>
      </c>
      <c r="BM15" s="2">
        <v>61224.83</v>
      </c>
      <c r="BN15" s="2">
        <v>74617.81</v>
      </c>
      <c r="BO15" s="2">
        <v>73277.56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83172.429999999993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1.02</v>
      </c>
      <c r="D16" s="2">
        <v>1.38</v>
      </c>
      <c r="E16" s="2">
        <v>0.39</v>
      </c>
      <c r="F16" s="2">
        <v>0.41</v>
      </c>
      <c r="G16" s="2">
        <v>0.2</v>
      </c>
      <c r="H16" s="2">
        <v>0.47</v>
      </c>
      <c r="I16" s="2">
        <v>0.5</v>
      </c>
      <c r="J16" s="2">
        <v>1.8</v>
      </c>
      <c r="K16" s="2">
        <v>1.06</v>
      </c>
      <c r="L16" s="2">
        <v>1.8</v>
      </c>
      <c r="M16" s="2">
        <v>1.4</v>
      </c>
      <c r="N16" s="2">
        <v>1.8</v>
      </c>
      <c r="O16" s="2">
        <v>1.56</v>
      </c>
      <c r="P16" s="2">
        <v>1.62</v>
      </c>
      <c r="Q16" s="2">
        <v>1.34</v>
      </c>
      <c r="R16" s="2">
        <v>1.25</v>
      </c>
      <c r="S16" s="2">
        <v>1.18</v>
      </c>
      <c r="T16" s="2">
        <v>0.98</v>
      </c>
      <c r="U16" s="2">
        <v>1.01</v>
      </c>
      <c r="V16" s="2">
        <v>0.83</v>
      </c>
      <c r="X16" s="1" t="s">
        <v>73</v>
      </c>
      <c r="Y16" s="2">
        <v>2558.66</v>
      </c>
      <c r="Z16" s="2">
        <v>3209.44</v>
      </c>
      <c r="AA16" s="2">
        <v>2650.57</v>
      </c>
      <c r="AB16" s="2">
        <v>2816.03</v>
      </c>
      <c r="AC16" s="2">
        <v>225.09</v>
      </c>
      <c r="AD16" s="2">
        <v>1131.49</v>
      </c>
      <c r="AE16" s="2">
        <v>1957.92</v>
      </c>
      <c r="AF16" s="2">
        <v>3887.33</v>
      </c>
      <c r="AG16" s="2">
        <v>3197.38</v>
      </c>
      <c r="AH16" s="2">
        <v>4557.18</v>
      </c>
      <c r="AI16" s="2">
        <v>6282.38</v>
      </c>
      <c r="AJ16" s="2">
        <v>8407.93</v>
      </c>
      <c r="AK16" s="2">
        <v>5016.3999999999996</v>
      </c>
      <c r="AL16" s="2">
        <v>6146.07</v>
      </c>
      <c r="AM16" s="2">
        <v>6460.43</v>
      </c>
      <c r="AN16" s="2">
        <v>6765.42</v>
      </c>
      <c r="AO16" s="2">
        <v>5592.55</v>
      </c>
      <c r="AP16" s="2">
        <v>5575.45</v>
      </c>
      <c r="AQ16" s="2">
        <v>7531.94</v>
      </c>
      <c r="AR16" s="2">
        <v>7436.76</v>
      </c>
      <c r="AU16" s="1" t="s">
        <v>73</v>
      </c>
      <c r="AV16" s="2">
        <v>15496</v>
      </c>
      <c r="AW16" s="2">
        <v>18948.599999999999</v>
      </c>
      <c r="AX16" s="2">
        <v>13238.23</v>
      </c>
      <c r="AY16" s="2">
        <v>14112.12</v>
      </c>
      <c r="AZ16" s="2">
        <v>4407.21</v>
      </c>
      <c r="BA16" s="2">
        <v>6023.73</v>
      </c>
      <c r="BB16" s="2">
        <v>14976</v>
      </c>
      <c r="BC16" s="2">
        <v>19493.240000000002</v>
      </c>
      <c r="BD16" s="2">
        <v>20166.62</v>
      </c>
      <c r="BE16" s="2">
        <v>25177.08</v>
      </c>
      <c r="BF16" s="2">
        <v>34835.919999999998</v>
      </c>
      <c r="BG16" s="2">
        <v>46807.27</v>
      </c>
      <c r="BH16" s="2">
        <v>28060.13</v>
      </c>
      <c r="BI16" s="2">
        <v>36276.43</v>
      </c>
      <c r="BJ16" s="2">
        <v>34954.629999999997</v>
      </c>
      <c r="BK16" s="2">
        <v>37957.35</v>
      </c>
      <c r="BL16" s="2">
        <v>29138.959999999999</v>
      </c>
      <c r="BM16" s="2">
        <v>29873.63</v>
      </c>
      <c r="BN16" s="2">
        <v>40588.81</v>
      </c>
      <c r="BO16" s="2">
        <v>43319.87</v>
      </c>
      <c r="BR16" s="1" t="s">
        <v>73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0.21</v>
      </c>
      <c r="D23" s="2">
        <v>0.2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0.19</v>
      </c>
      <c r="P23" s="2">
        <v>0.01</v>
      </c>
      <c r="Q23" s="2">
        <v>0.13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3329.2</v>
      </c>
      <c r="AA23" s="2">
        <v>748.57</v>
      </c>
      <c r="AB23" s="2">
        <v>682.4</v>
      </c>
      <c r="AC23" s="2">
        <v>593.4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645.4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66</v>
      </c>
      <c r="AV23" s="2">
        <v>16800</v>
      </c>
      <c r="AW23" s="2">
        <v>16800</v>
      </c>
      <c r="AX23" s="2">
        <v>14360.93</v>
      </c>
      <c r="AY23" s="2">
        <v>13445.7</v>
      </c>
      <c r="AZ23" s="2">
        <v>13620.1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1026.1300000000001</v>
      </c>
      <c r="Z24" s="2">
        <v>625.08000000000004</v>
      </c>
      <c r="AA24" s="2">
        <v>1079.05</v>
      </c>
      <c r="AB24" s="2">
        <v>682.53</v>
      </c>
      <c r="AC24" s="2">
        <v>665.28</v>
      </c>
      <c r="AD24" s="2">
        <v>843.62</v>
      </c>
      <c r="AE24" s="2">
        <v>1173.8599999999999</v>
      </c>
      <c r="AF24" s="2">
        <v>737.56</v>
      </c>
      <c r="AG24" s="2">
        <v>1094.72</v>
      </c>
      <c r="AH24" s="2">
        <v>680.87</v>
      </c>
      <c r="AI24" s="2">
        <v>1053.8399999999999</v>
      </c>
      <c r="AJ24" s="2">
        <v>689.54</v>
      </c>
      <c r="AK24" s="2">
        <v>871.41</v>
      </c>
      <c r="AL24" s="2">
        <v>753.34</v>
      </c>
      <c r="AM24" s="2">
        <v>840.55</v>
      </c>
      <c r="AN24" s="2">
        <v>769.7</v>
      </c>
      <c r="AO24" s="2">
        <v>823.3</v>
      </c>
      <c r="AP24" s="2">
        <v>591.92999999999995</v>
      </c>
      <c r="AQ24" s="2">
        <v>979.44</v>
      </c>
      <c r="AR24" s="2">
        <v>595.19000000000005</v>
      </c>
      <c r="AU24" s="1" t="s">
        <v>67</v>
      </c>
      <c r="AV24" s="2">
        <v>7198.22</v>
      </c>
      <c r="AW24" s="2">
        <v>4704.17</v>
      </c>
      <c r="AX24" s="2">
        <v>6605.75</v>
      </c>
      <c r="AY24" s="2">
        <v>4399.67</v>
      </c>
      <c r="AZ24" s="2">
        <v>4306.67</v>
      </c>
      <c r="BA24" s="2">
        <v>5545.33</v>
      </c>
      <c r="BB24" s="2">
        <v>7427.84</v>
      </c>
      <c r="BC24" s="2">
        <v>5099.49</v>
      </c>
      <c r="BD24" s="2">
        <v>7497.58</v>
      </c>
      <c r="BE24" s="2">
        <v>5055.88</v>
      </c>
      <c r="BF24" s="2">
        <v>7297.51</v>
      </c>
      <c r="BG24" s="2">
        <v>5146.21</v>
      </c>
      <c r="BH24" s="2">
        <v>6114.69</v>
      </c>
      <c r="BI24" s="2">
        <v>5495.61</v>
      </c>
      <c r="BJ24" s="2">
        <v>5951.15</v>
      </c>
      <c r="BK24" s="2">
        <v>5523.35</v>
      </c>
      <c r="BL24" s="2">
        <v>5799.25</v>
      </c>
      <c r="BM24" s="2">
        <v>4419.82</v>
      </c>
      <c r="BN24" s="2">
        <v>7153.51</v>
      </c>
      <c r="BO24" s="2">
        <v>4548.66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0.22</v>
      </c>
      <c r="D25" s="2">
        <v>0.14000000000000001</v>
      </c>
      <c r="E25" s="2">
        <v>0.21</v>
      </c>
      <c r="F25" s="2">
        <v>0.15</v>
      </c>
      <c r="G25" s="2">
        <v>0.32</v>
      </c>
      <c r="H25" s="2">
        <v>0.17</v>
      </c>
      <c r="I25" s="2">
        <v>0.25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0.28000000000000003</v>
      </c>
      <c r="P25" s="2">
        <v>0.16</v>
      </c>
      <c r="Q25" s="2">
        <v>0.28000000000000003</v>
      </c>
      <c r="R25" s="2">
        <v>0.15</v>
      </c>
      <c r="S25" s="2">
        <v>0.17</v>
      </c>
      <c r="T25" s="2">
        <v>0.15</v>
      </c>
      <c r="U25" s="2">
        <v>0.14000000000000001</v>
      </c>
      <c r="V25" s="2">
        <v>0.15</v>
      </c>
      <c r="X25" s="1" t="s">
        <v>68</v>
      </c>
      <c r="Y25" s="2">
        <v>5546.91</v>
      </c>
      <c r="Z25" s="2">
        <v>1556.24</v>
      </c>
      <c r="AA25" s="2">
        <v>5467.07</v>
      </c>
      <c r="AB25" s="2">
        <v>1537.56</v>
      </c>
      <c r="AC25" s="2">
        <v>6083.97</v>
      </c>
      <c r="AD25" s="2">
        <v>3633.84</v>
      </c>
      <c r="AE25" s="2">
        <v>6264.56</v>
      </c>
      <c r="AF25" s="2">
        <v>2900.14</v>
      </c>
      <c r="AG25" s="2">
        <v>6628.6</v>
      </c>
      <c r="AH25" s="2">
        <v>2390.0300000000002</v>
      </c>
      <c r="AI25" s="2">
        <v>7082.51</v>
      </c>
      <c r="AJ25" s="2">
        <v>2389.79</v>
      </c>
      <c r="AK25" s="2">
        <v>6711.02</v>
      </c>
      <c r="AL25" s="2">
        <v>2487.86</v>
      </c>
      <c r="AM25" s="2">
        <v>6483.61</v>
      </c>
      <c r="AN25" s="2">
        <v>2282.38</v>
      </c>
      <c r="AO25" s="2">
        <v>2907.08</v>
      </c>
      <c r="AP25" s="2">
        <v>1934.46</v>
      </c>
      <c r="AQ25" s="2">
        <v>1908.04</v>
      </c>
      <c r="AR25" s="2">
        <v>1728.68</v>
      </c>
      <c r="AU25" s="1" t="s">
        <v>68</v>
      </c>
      <c r="AV25" s="2">
        <v>23379.87</v>
      </c>
      <c r="AW25" s="2">
        <v>12030.31</v>
      </c>
      <c r="AX25" s="2">
        <v>22339.07</v>
      </c>
      <c r="AY25" s="2">
        <v>9990.69</v>
      </c>
      <c r="AZ25" s="2">
        <v>16158.6</v>
      </c>
      <c r="BA25" s="2">
        <v>21409.69</v>
      </c>
      <c r="BB25" s="2">
        <v>22077.39</v>
      </c>
      <c r="BC25" s="2">
        <v>17694.84</v>
      </c>
      <c r="BD25" s="2">
        <v>22959.05</v>
      </c>
      <c r="BE25" s="2">
        <v>17252.349999999999</v>
      </c>
      <c r="BF25" s="2">
        <v>23397.49</v>
      </c>
      <c r="BG25" s="2">
        <v>17288.96</v>
      </c>
      <c r="BH25" s="2">
        <v>21568.76</v>
      </c>
      <c r="BI25" s="2">
        <v>17504.79</v>
      </c>
      <c r="BJ25" s="2">
        <v>20405.32</v>
      </c>
      <c r="BK25" s="2">
        <v>16960.009999999998</v>
      </c>
      <c r="BL25" s="2">
        <v>18234.990000000002</v>
      </c>
      <c r="BM25" s="2">
        <v>15090.92</v>
      </c>
      <c r="BN25" s="2">
        <v>14864</v>
      </c>
      <c r="BO25" s="2">
        <v>13404.71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0.23</v>
      </c>
      <c r="D26" s="2">
        <v>0.16</v>
      </c>
      <c r="E26" s="2">
        <v>0.15</v>
      </c>
      <c r="F26" s="2">
        <v>0.15</v>
      </c>
      <c r="G26" s="2">
        <v>0.25</v>
      </c>
      <c r="H26" s="2">
        <v>0.23</v>
      </c>
      <c r="I26" s="2">
        <v>0.22</v>
      </c>
      <c r="J26" s="2">
        <v>0.15</v>
      </c>
      <c r="K26" s="2">
        <v>0.14000000000000001</v>
      </c>
      <c r="L26" s="2">
        <v>0.14000000000000001</v>
      </c>
      <c r="M26" s="2">
        <v>0.14000000000000001</v>
      </c>
      <c r="N26" s="2">
        <v>0.14000000000000001</v>
      </c>
      <c r="O26" s="2">
        <v>0.21</v>
      </c>
      <c r="P26" s="2">
        <v>0.14000000000000001</v>
      </c>
      <c r="Q26" s="2">
        <v>0.17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69</v>
      </c>
      <c r="Y26" s="2">
        <v>1617.51</v>
      </c>
      <c r="Z26" s="2">
        <v>596.94000000000005</v>
      </c>
      <c r="AA26" s="2">
        <v>1078.75</v>
      </c>
      <c r="AB26" s="2">
        <v>616.97</v>
      </c>
      <c r="AC26" s="2">
        <v>1396.65</v>
      </c>
      <c r="AD26" s="2">
        <v>1704.99</v>
      </c>
      <c r="AE26" s="2">
        <v>1565.75</v>
      </c>
      <c r="AF26" s="2">
        <v>862.34</v>
      </c>
      <c r="AG26" s="2">
        <v>1011.71</v>
      </c>
      <c r="AH26" s="2">
        <v>758.32</v>
      </c>
      <c r="AI26" s="2">
        <v>1002.99</v>
      </c>
      <c r="AJ26" s="2">
        <v>729.82</v>
      </c>
      <c r="AK26" s="2">
        <v>1503.68</v>
      </c>
      <c r="AL26" s="2">
        <v>735.98</v>
      </c>
      <c r="AM26" s="2">
        <v>1045.2</v>
      </c>
      <c r="AN26" s="2">
        <v>702.71</v>
      </c>
      <c r="AO26" s="2">
        <v>706.97</v>
      </c>
      <c r="AP26" s="2">
        <v>665.58</v>
      </c>
      <c r="AQ26" s="2">
        <v>656.28</v>
      </c>
      <c r="AR26" s="2">
        <v>627.12</v>
      </c>
      <c r="AU26" s="1" t="s">
        <v>69</v>
      </c>
      <c r="AV26" s="2">
        <v>6942.18</v>
      </c>
      <c r="AW26" s="2">
        <v>4247.01</v>
      </c>
      <c r="AX26" s="2">
        <v>7040.62</v>
      </c>
      <c r="AY26" s="2">
        <v>4149.7299999999996</v>
      </c>
      <c r="AZ26" s="2">
        <v>5542.03</v>
      </c>
      <c r="BA26" s="2">
        <v>7175.01</v>
      </c>
      <c r="BB26" s="2">
        <v>7230.1</v>
      </c>
      <c r="BC26" s="2">
        <v>6311.47</v>
      </c>
      <c r="BD26" s="2">
        <v>7868.29</v>
      </c>
      <c r="BE26" s="2">
        <v>6008.19</v>
      </c>
      <c r="BF26" s="2">
        <v>7877.01</v>
      </c>
      <c r="BG26" s="2">
        <v>5859.19</v>
      </c>
      <c r="BH26" s="2">
        <v>7376.32</v>
      </c>
      <c r="BI26" s="2">
        <v>5912.42</v>
      </c>
      <c r="BJ26" s="2">
        <v>6885.25</v>
      </c>
      <c r="BK26" s="2">
        <v>5602.09</v>
      </c>
      <c r="BL26" s="2">
        <v>5579.83</v>
      </c>
      <c r="BM26" s="2">
        <v>5237.7700000000004</v>
      </c>
      <c r="BN26" s="2">
        <v>5164.87</v>
      </c>
      <c r="BO26" s="2">
        <v>4902.6099999999997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0.23</v>
      </c>
      <c r="D27" s="2">
        <v>0.19</v>
      </c>
      <c r="E27" s="2">
        <v>0.21</v>
      </c>
      <c r="F27" s="2">
        <v>0.15</v>
      </c>
      <c r="G27" s="2">
        <v>0.23</v>
      </c>
      <c r="H27" s="2">
        <v>0.23</v>
      </c>
      <c r="I27" s="2">
        <v>0.15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5521.25</v>
      </c>
      <c r="Z27" s="2">
        <v>5619.06</v>
      </c>
      <c r="AA27" s="2">
        <v>6992.85</v>
      </c>
      <c r="AB27" s="2">
        <v>5546.65</v>
      </c>
      <c r="AC27" s="2">
        <v>5430.92</v>
      </c>
      <c r="AD27" s="2">
        <v>6013.53</v>
      </c>
      <c r="AE27" s="2">
        <v>4671.1899999999996</v>
      </c>
      <c r="AF27" s="2">
        <v>5756.44</v>
      </c>
      <c r="AG27" s="2">
        <v>5306.32</v>
      </c>
      <c r="AH27" s="2">
        <v>5694.9</v>
      </c>
      <c r="AI27" s="2">
        <v>4620.1499999999996</v>
      </c>
      <c r="AJ27" s="2">
        <v>4641.8500000000004</v>
      </c>
      <c r="AK27" s="2">
        <v>4231.57</v>
      </c>
      <c r="AL27" s="2">
        <v>4553.59</v>
      </c>
      <c r="AM27" s="2">
        <v>3848.4</v>
      </c>
      <c r="AN27" s="2">
        <v>3933.21</v>
      </c>
      <c r="AO27" s="2">
        <v>3535.9</v>
      </c>
      <c r="AP27" s="2">
        <v>3707.41</v>
      </c>
      <c r="AQ27" s="2">
        <v>3585.26</v>
      </c>
      <c r="AR27" s="2">
        <v>4039.46</v>
      </c>
      <c r="AU27" s="1" t="s">
        <v>70</v>
      </c>
      <c r="AV27" s="2">
        <v>23592.76</v>
      </c>
      <c r="AW27" s="2">
        <v>30866.69</v>
      </c>
      <c r="AX27" s="2">
        <v>30417.65</v>
      </c>
      <c r="AY27" s="2">
        <v>35081.35</v>
      </c>
      <c r="AZ27" s="2">
        <v>22396.33</v>
      </c>
      <c r="BA27" s="2">
        <v>25098.880000000001</v>
      </c>
      <c r="BB27" s="2">
        <v>31866.560000000001</v>
      </c>
      <c r="BC27" s="2">
        <v>30003.06</v>
      </c>
      <c r="BD27" s="2">
        <v>34335.93</v>
      </c>
      <c r="BE27" s="2">
        <v>33987.1</v>
      </c>
      <c r="BF27" s="2">
        <v>33429.599999999999</v>
      </c>
      <c r="BG27" s="2">
        <v>34339.65</v>
      </c>
      <c r="BH27" s="2">
        <v>31680.18</v>
      </c>
      <c r="BI27" s="2">
        <v>33655.910000000003</v>
      </c>
      <c r="BJ27" s="2">
        <v>29089.599999999999</v>
      </c>
      <c r="BK27" s="2">
        <v>29421.54</v>
      </c>
      <c r="BL27" s="2">
        <v>27095.599999999999</v>
      </c>
      <c r="BM27" s="2">
        <v>27726.59</v>
      </c>
      <c r="BN27" s="2">
        <v>27792.240000000002</v>
      </c>
      <c r="BO27" s="2">
        <v>30978.54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0.17</v>
      </c>
      <c r="D28" s="2">
        <v>0.17</v>
      </c>
      <c r="E28" s="2">
        <v>0.18</v>
      </c>
      <c r="F28" s="2">
        <v>0.18</v>
      </c>
      <c r="G28" s="2">
        <v>0.26</v>
      </c>
      <c r="H28" s="2">
        <v>0.25</v>
      </c>
      <c r="I28" s="2">
        <v>0.18</v>
      </c>
      <c r="J28" s="2">
        <v>0.25</v>
      </c>
      <c r="K28" s="2">
        <v>0.17</v>
      </c>
      <c r="L28" s="2">
        <v>0.21</v>
      </c>
      <c r="M28" s="2">
        <v>0.17</v>
      </c>
      <c r="N28" s="2">
        <v>0.21</v>
      </c>
      <c r="O28" s="2">
        <v>0.17</v>
      </c>
      <c r="P28" s="2">
        <v>0.18</v>
      </c>
      <c r="Q28" s="2">
        <v>0.17</v>
      </c>
      <c r="R28" s="2">
        <v>0.18</v>
      </c>
      <c r="S28" s="2">
        <v>0.17</v>
      </c>
      <c r="T28" s="2">
        <v>0.17</v>
      </c>
      <c r="U28" s="2">
        <v>0.17</v>
      </c>
      <c r="V28" s="2">
        <v>0.17</v>
      </c>
      <c r="X28" s="1" t="s">
        <v>71</v>
      </c>
      <c r="Y28" s="2">
        <v>974.15</v>
      </c>
      <c r="Z28" s="2">
        <v>1016.31</v>
      </c>
      <c r="AA28" s="2">
        <v>1442.75</v>
      </c>
      <c r="AB28" s="2">
        <v>1475.62</v>
      </c>
      <c r="AC28" s="2">
        <v>1275.1600000000001</v>
      </c>
      <c r="AD28" s="2">
        <v>1421.47</v>
      </c>
      <c r="AE28" s="2">
        <v>1034.0899999999999</v>
      </c>
      <c r="AF28" s="2">
        <v>1181.58</v>
      </c>
      <c r="AG28" s="2">
        <v>970.31</v>
      </c>
      <c r="AH28" s="2">
        <v>1567.83</v>
      </c>
      <c r="AI28" s="2">
        <v>1020.36</v>
      </c>
      <c r="AJ28" s="2">
        <v>1603.88</v>
      </c>
      <c r="AK28" s="2">
        <v>1016.37</v>
      </c>
      <c r="AL28" s="2">
        <v>1344.54</v>
      </c>
      <c r="AM28" s="2">
        <v>996.9</v>
      </c>
      <c r="AN28" s="2">
        <v>1310.1199999999999</v>
      </c>
      <c r="AO28" s="2">
        <v>942.1</v>
      </c>
      <c r="AP28" s="2">
        <v>1177.53</v>
      </c>
      <c r="AQ28" s="2">
        <v>863.98</v>
      </c>
      <c r="AR28" s="2">
        <v>856.34</v>
      </c>
      <c r="AU28" s="1" t="s">
        <v>71</v>
      </c>
      <c r="AV28" s="2">
        <v>5932.66</v>
      </c>
      <c r="AW28" s="2">
        <v>6022.44</v>
      </c>
      <c r="AX28" s="2">
        <v>7422.97</v>
      </c>
      <c r="AY28" s="2">
        <v>7404.38</v>
      </c>
      <c r="AZ28" s="2">
        <v>4501.58</v>
      </c>
      <c r="BA28" s="2">
        <v>5134.51</v>
      </c>
      <c r="BB28" s="2">
        <v>5492.41</v>
      </c>
      <c r="BC28" s="2">
        <v>4388.34</v>
      </c>
      <c r="BD28" s="2">
        <v>5588.24</v>
      </c>
      <c r="BE28" s="2">
        <v>7091.17</v>
      </c>
      <c r="BF28" s="2">
        <v>6018.69</v>
      </c>
      <c r="BG28" s="2">
        <v>7276.12</v>
      </c>
      <c r="BH28" s="2">
        <v>5971.1</v>
      </c>
      <c r="BI28" s="2">
        <v>7031.79</v>
      </c>
      <c r="BJ28" s="2">
        <v>5930.08</v>
      </c>
      <c r="BK28" s="2">
        <v>7012.49</v>
      </c>
      <c r="BL28" s="2">
        <v>5709.47</v>
      </c>
      <c r="BM28" s="2">
        <v>6735.32</v>
      </c>
      <c r="BN28" s="2">
        <v>5307.91</v>
      </c>
      <c r="BO28" s="2">
        <v>4929.91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0.24</v>
      </c>
      <c r="D29" s="2">
        <v>0.24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0.28000000000000003</v>
      </c>
      <c r="M29" s="2">
        <v>0.18</v>
      </c>
      <c r="N29" s="2">
        <v>0.27</v>
      </c>
      <c r="O29" s="2">
        <v>0.18</v>
      </c>
      <c r="P29" s="2">
        <v>0.26</v>
      </c>
      <c r="Q29" s="2">
        <v>0.2</v>
      </c>
      <c r="R29" s="2">
        <v>0.22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5370.21</v>
      </c>
      <c r="Z29" s="2">
        <v>5607.83</v>
      </c>
      <c r="AA29" s="2">
        <v>4173.38</v>
      </c>
      <c r="AB29" s="2">
        <v>5719.64</v>
      </c>
      <c r="AC29" s="2">
        <v>4526.04</v>
      </c>
      <c r="AD29" s="2">
        <v>5403.9</v>
      </c>
      <c r="AE29" s="2">
        <v>4183.95</v>
      </c>
      <c r="AF29" s="2">
        <v>5928.22</v>
      </c>
      <c r="AG29" s="2">
        <v>3159.59</v>
      </c>
      <c r="AH29" s="2">
        <v>7305.17</v>
      </c>
      <c r="AI29" s="2">
        <v>3469.66</v>
      </c>
      <c r="AJ29" s="2">
        <v>7309.98</v>
      </c>
      <c r="AK29" s="2">
        <v>3494.6</v>
      </c>
      <c r="AL29" s="2">
        <v>6397.14</v>
      </c>
      <c r="AM29" s="2">
        <v>3868.81</v>
      </c>
      <c r="AN29" s="2">
        <v>4622.74</v>
      </c>
      <c r="AO29" s="2">
        <v>2897.26</v>
      </c>
      <c r="AP29" s="2">
        <v>3029.97</v>
      </c>
      <c r="AQ29" s="2">
        <v>2710.07</v>
      </c>
      <c r="AR29" s="2">
        <v>2700.53</v>
      </c>
      <c r="AU29" s="1" t="s">
        <v>72</v>
      </c>
      <c r="AV29" s="2">
        <v>20932.75</v>
      </c>
      <c r="AW29" s="2">
        <v>22285.48</v>
      </c>
      <c r="AX29" s="2">
        <v>21420.18</v>
      </c>
      <c r="AY29" s="2">
        <v>23931.4</v>
      </c>
      <c r="AZ29" s="2">
        <v>13780.77</v>
      </c>
      <c r="BA29" s="2">
        <v>20547.490000000002</v>
      </c>
      <c r="BB29" s="2">
        <v>18703</v>
      </c>
      <c r="BC29" s="2">
        <v>15328.13</v>
      </c>
      <c r="BD29" s="2">
        <v>18222.509999999998</v>
      </c>
      <c r="BE29" s="2">
        <v>23174.83</v>
      </c>
      <c r="BF29" s="2">
        <v>18752.12</v>
      </c>
      <c r="BG29" s="2">
        <v>23170.02</v>
      </c>
      <c r="BH29" s="2">
        <v>18794.18</v>
      </c>
      <c r="BI29" s="2">
        <v>22283.01</v>
      </c>
      <c r="BJ29" s="2">
        <v>19394.75</v>
      </c>
      <c r="BK29" s="2">
        <v>20380.669999999998</v>
      </c>
      <c r="BL29" s="2">
        <v>17648.740000000002</v>
      </c>
      <c r="BM29" s="2">
        <v>18007.3</v>
      </c>
      <c r="BN29" s="2">
        <v>16581.740000000002</v>
      </c>
      <c r="BO29" s="2">
        <v>16283.9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0.18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0.14000000000000001</v>
      </c>
      <c r="J30" s="2">
        <v>0.19</v>
      </c>
      <c r="K30" s="2">
        <v>0.17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0.2</v>
      </c>
      <c r="R30" s="2">
        <v>0.19</v>
      </c>
      <c r="S30" s="2">
        <v>0.2</v>
      </c>
      <c r="T30" s="2">
        <v>0.2</v>
      </c>
      <c r="U30" s="2">
        <v>0.2</v>
      </c>
      <c r="V30" s="2">
        <v>0.19</v>
      </c>
      <c r="X30" s="1" t="s">
        <v>73</v>
      </c>
      <c r="Y30" s="2">
        <v>1968.2</v>
      </c>
      <c r="Z30" s="2">
        <v>2468.8000000000002</v>
      </c>
      <c r="AA30" s="2">
        <v>2038.9</v>
      </c>
      <c r="AB30" s="2">
        <v>2166.17</v>
      </c>
      <c r="AC30" s="2">
        <v>450.18</v>
      </c>
      <c r="AD30" s="2">
        <v>2262.98</v>
      </c>
      <c r="AE30" s="2">
        <v>1223.7</v>
      </c>
      <c r="AF30" s="2">
        <v>2429.58</v>
      </c>
      <c r="AG30" s="2">
        <v>1598.69</v>
      </c>
      <c r="AH30" s="2">
        <v>2278.59</v>
      </c>
      <c r="AI30" s="2">
        <v>1745.11</v>
      </c>
      <c r="AJ30" s="2">
        <v>2335.54</v>
      </c>
      <c r="AK30" s="2">
        <v>1729.79</v>
      </c>
      <c r="AL30" s="2">
        <v>2119.34</v>
      </c>
      <c r="AM30" s="2">
        <v>1700.11</v>
      </c>
      <c r="AN30" s="2">
        <v>1780.37</v>
      </c>
      <c r="AO30" s="2">
        <v>1644.87</v>
      </c>
      <c r="AP30" s="2">
        <v>1639.84</v>
      </c>
      <c r="AQ30" s="2">
        <v>1673.76</v>
      </c>
      <c r="AR30" s="2">
        <v>1652.61</v>
      </c>
      <c r="AU30" s="1" t="s">
        <v>73</v>
      </c>
      <c r="AV30" s="2">
        <v>11920</v>
      </c>
      <c r="AW30" s="2">
        <v>14575.85</v>
      </c>
      <c r="AX30" s="2">
        <v>10183.25</v>
      </c>
      <c r="AY30" s="2">
        <v>10855.48</v>
      </c>
      <c r="AZ30" s="2">
        <v>8814.42</v>
      </c>
      <c r="BA30" s="2">
        <v>12047.47</v>
      </c>
      <c r="BB30" s="2">
        <v>9360</v>
      </c>
      <c r="BC30" s="2">
        <v>12183.27</v>
      </c>
      <c r="BD30" s="2">
        <v>10083.31</v>
      </c>
      <c r="BE30" s="2">
        <v>12588.54</v>
      </c>
      <c r="BF30" s="2">
        <v>9676.64</v>
      </c>
      <c r="BG30" s="2">
        <v>13002.02</v>
      </c>
      <c r="BH30" s="2">
        <v>9675.91</v>
      </c>
      <c r="BI30" s="2">
        <v>12509.11</v>
      </c>
      <c r="BJ30" s="2">
        <v>9198.59</v>
      </c>
      <c r="BK30" s="2">
        <v>9988.7800000000007</v>
      </c>
      <c r="BL30" s="2">
        <v>8570.2800000000007</v>
      </c>
      <c r="BM30" s="2">
        <v>8786.36</v>
      </c>
      <c r="BN30" s="2">
        <v>9019.74</v>
      </c>
      <c r="BO30" s="2">
        <v>9626.64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1222.8699999999999</v>
      </c>
      <c r="D37" s="2">
        <v>1175.3499999999999</v>
      </c>
      <c r="E37" s="2">
        <v>214.24</v>
      </c>
      <c r="F37" s="2">
        <v>197.34</v>
      </c>
      <c r="G37" s="2">
        <v>70.099999999999994</v>
      </c>
      <c r="H37" s="2">
        <v>118.1</v>
      </c>
      <c r="I37" s="2">
        <v>943.72</v>
      </c>
      <c r="J37" s="2">
        <v>479.25</v>
      </c>
      <c r="K37" s="2">
        <v>1729.77</v>
      </c>
      <c r="L37" s="2">
        <v>527.6</v>
      </c>
      <c r="M37" s="2">
        <v>3175.28</v>
      </c>
      <c r="N37" s="2">
        <v>663.9</v>
      </c>
      <c r="O37" s="2">
        <v>2417.4299999999998</v>
      </c>
      <c r="P37" s="2">
        <v>146.28</v>
      </c>
      <c r="Q37" s="2">
        <v>2534.6999999999998</v>
      </c>
      <c r="R37" s="2">
        <v>670.31</v>
      </c>
      <c r="S37" s="2">
        <v>161.51</v>
      </c>
      <c r="T37" s="2">
        <v>136.41</v>
      </c>
      <c r="U37" s="2">
        <v>377.26</v>
      </c>
      <c r="V37" s="2">
        <v>197.71</v>
      </c>
      <c r="X37" s="1" t="s">
        <v>66</v>
      </c>
      <c r="Y37" s="2">
        <v>499.7</v>
      </c>
      <c r="Z37" s="2">
        <v>475.6</v>
      </c>
      <c r="AA37" s="2">
        <v>106.94</v>
      </c>
      <c r="AB37" s="2">
        <v>97.49</v>
      </c>
      <c r="AC37" s="2">
        <v>84.77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92.2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66</v>
      </c>
      <c r="AV37" s="2">
        <v>2400</v>
      </c>
      <c r="AW37" s="2">
        <v>2400</v>
      </c>
      <c r="AX37" s="2">
        <v>2051.56</v>
      </c>
      <c r="AY37" s="2">
        <v>1920.81</v>
      </c>
      <c r="AZ37" s="2">
        <v>1945.73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1792.24</v>
      </c>
      <c r="D38" s="2">
        <v>666.65</v>
      </c>
      <c r="E38" s="2">
        <v>1430.89</v>
      </c>
      <c r="F38" s="2">
        <v>595.04999999999995</v>
      </c>
      <c r="G38" s="2">
        <v>356.3</v>
      </c>
      <c r="H38" s="2">
        <v>369.33</v>
      </c>
      <c r="I38" s="2">
        <v>2326.83</v>
      </c>
      <c r="J38" s="2">
        <v>1808.62</v>
      </c>
      <c r="K38" s="2">
        <v>3002.49</v>
      </c>
      <c r="L38" s="2">
        <v>1604.96</v>
      </c>
      <c r="M38" s="2">
        <v>6593.4</v>
      </c>
      <c r="N38" s="2">
        <v>3031.31</v>
      </c>
      <c r="O38" s="2">
        <v>4034.4</v>
      </c>
      <c r="P38" s="2">
        <v>2905.67</v>
      </c>
      <c r="Q38" s="2">
        <v>4839.05</v>
      </c>
      <c r="R38" s="2">
        <v>3346.12</v>
      </c>
      <c r="S38" s="2">
        <v>3984.83</v>
      </c>
      <c r="T38" s="2">
        <v>1974.93</v>
      </c>
      <c r="U38" s="2">
        <v>5220.55</v>
      </c>
      <c r="V38" s="2">
        <v>1924.26</v>
      </c>
      <c r="X38" s="1" t="s">
        <v>67</v>
      </c>
      <c r="Y38" s="2">
        <v>1026.1300000000001</v>
      </c>
      <c r="Z38" s="2">
        <v>625.08000000000004</v>
      </c>
      <c r="AA38" s="2">
        <v>1079.05</v>
      </c>
      <c r="AB38" s="2">
        <v>682.53</v>
      </c>
      <c r="AC38" s="2">
        <v>665.28</v>
      </c>
      <c r="AD38" s="2">
        <v>843.62</v>
      </c>
      <c r="AE38" s="2">
        <v>1173.8599999999999</v>
      </c>
      <c r="AF38" s="2">
        <v>737.56</v>
      </c>
      <c r="AG38" s="2">
        <v>1094.72</v>
      </c>
      <c r="AH38" s="2">
        <v>680.87</v>
      </c>
      <c r="AI38" s="2">
        <v>1053.8399999999999</v>
      </c>
      <c r="AJ38" s="2">
        <v>689.54</v>
      </c>
      <c r="AK38" s="2">
        <v>871.41</v>
      </c>
      <c r="AL38" s="2">
        <v>753.34</v>
      </c>
      <c r="AM38" s="2">
        <v>840.55</v>
      </c>
      <c r="AN38" s="2">
        <v>769.7</v>
      </c>
      <c r="AO38" s="2">
        <v>823.3</v>
      </c>
      <c r="AP38" s="2">
        <v>591.92999999999995</v>
      </c>
      <c r="AQ38" s="2">
        <v>979.44</v>
      </c>
      <c r="AR38" s="2">
        <v>595.19000000000005</v>
      </c>
      <c r="AU38" s="1" t="s">
        <v>67</v>
      </c>
      <c r="AV38" s="2">
        <v>7198.22</v>
      </c>
      <c r="AW38" s="2">
        <v>4704.17</v>
      </c>
      <c r="AX38" s="2">
        <v>6605.75</v>
      </c>
      <c r="AY38" s="2">
        <v>4399.67</v>
      </c>
      <c r="AZ38" s="2">
        <v>4306.67</v>
      </c>
      <c r="BA38" s="2">
        <v>5545.33</v>
      </c>
      <c r="BB38" s="2">
        <v>7427.84</v>
      </c>
      <c r="BC38" s="2">
        <v>5099.49</v>
      </c>
      <c r="BD38" s="2">
        <v>7497.58</v>
      </c>
      <c r="BE38" s="2">
        <v>5055.88</v>
      </c>
      <c r="BF38" s="2">
        <v>7297.51</v>
      </c>
      <c r="BG38" s="2">
        <v>5146.21</v>
      </c>
      <c r="BH38" s="2">
        <v>6114.69</v>
      </c>
      <c r="BI38" s="2">
        <v>5495.61</v>
      </c>
      <c r="BJ38" s="2">
        <v>5951.15</v>
      </c>
      <c r="BK38" s="2">
        <v>5523.35</v>
      </c>
      <c r="BL38" s="2">
        <v>5799.25</v>
      </c>
      <c r="BM38" s="2">
        <v>4419.82</v>
      </c>
      <c r="BN38" s="2">
        <v>7153.51</v>
      </c>
      <c r="BO38" s="2">
        <v>4548.66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29998.7</v>
      </c>
      <c r="D39" s="2">
        <v>2143.16</v>
      </c>
      <c r="E39" s="2">
        <v>28763.82</v>
      </c>
      <c r="F39" s="2">
        <v>1524.27</v>
      </c>
      <c r="G39" s="2">
        <v>6507.35</v>
      </c>
      <c r="H39" s="2">
        <v>7549.47</v>
      </c>
      <c r="I39" s="2">
        <v>20692.68</v>
      </c>
      <c r="J39" s="2">
        <v>9853.26</v>
      </c>
      <c r="K39" s="2">
        <v>27652.57</v>
      </c>
      <c r="L39" s="2">
        <v>10223.629999999999</v>
      </c>
      <c r="M39" s="2">
        <v>53141.96</v>
      </c>
      <c r="N39" s="2">
        <v>18532.53</v>
      </c>
      <c r="O39" s="2">
        <v>41621.040000000001</v>
      </c>
      <c r="P39" s="2">
        <v>15512.62</v>
      </c>
      <c r="Q39" s="2">
        <v>52695.78</v>
      </c>
      <c r="R39" s="2">
        <v>18295.59</v>
      </c>
      <c r="S39" s="2">
        <v>20618.060000000001</v>
      </c>
      <c r="T39" s="2">
        <v>12287.35</v>
      </c>
      <c r="U39" s="2">
        <v>15488.18</v>
      </c>
      <c r="V39" s="2">
        <v>12333.24</v>
      </c>
      <c r="X39" s="1" t="s">
        <v>68</v>
      </c>
      <c r="Y39" s="2">
        <v>1848.97</v>
      </c>
      <c r="Z39" s="2">
        <v>518.75</v>
      </c>
      <c r="AA39" s="2">
        <v>1822.36</v>
      </c>
      <c r="AB39" s="2">
        <v>512.52</v>
      </c>
      <c r="AC39" s="2">
        <v>2027.99</v>
      </c>
      <c r="AD39" s="2">
        <v>1211.28</v>
      </c>
      <c r="AE39" s="2">
        <v>2088.19</v>
      </c>
      <c r="AF39" s="2">
        <v>966.71</v>
      </c>
      <c r="AG39" s="2">
        <v>2209.5300000000002</v>
      </c>
      <c r="AH39" s="2">
        <v>796.68</v>
      </c>
      <c r="AI39" s="2">
        <v>2360.84</v>
      </c>
      <c r="AJ39" s="2">
        <v>796.6</v>
      </c>
      <c r="AK39" s="2">
        <v>2237.0100000000002</v>
      </c>
      <c r="AL39" s="2">
        <v>829.29</v>
      </c>
      <c r="AM39" s="2">
        <v>2161.1999999999998</v>
      </c>
      <c r="AN39" s="2">
        <v>760.79</v>
      </c>
      <c r="AO39" s="2">
        <v>969.03</v>
      </c>
      <c r="AP39" s="2">
        <v>644.82000000000005</v>
      </c>
      <c r="AQ39" s="2">
        <v>636.01</v>
      </c>
      <c r="AR39" s="2">
        <v>576.23</v>
      </c>
      <c r="AU39" s="1" t="s">
        <v>68</v>
      </c>
      <c r="AV39" s="2">
        <v>7793.29</v>
      </c>
      <c r="AW39" s="2">
        <v>4010.1</v>
      </c>
      <c r="AX39" s="2">
        <v>7446.36</v>
      </c>
      <c r="AY39" s="2">
        <v>3330.23</v>
      </c>
      <c r="AZ39" s="2">
        <v>5386.2</v>
      </c>
      <c r="BA39" s="2">
        <v>7136.56</v>
      </c>
      <c r="BB39" s="2">
        <v>7359.13</v>
      </c>
      <c r="BC39" s="2">
        <v>5898.28</v>
      </c>
      <c r="BD39" s="2">
        <v>7653.02</v>
      </c>
      <c r="BE39" s="2">
        <v>5750.78</v>
      </c>
      <c r="BF39" s="2">
        <v>7799.16</v>
      </c>
      <c r="BG39" s="2">
        <v>5762.99</v>
      </c>
      <c r="BH39" s="2">
        <v>7189.59</v>
      </c>
      <c r="BI39" s="2">
        <v>5834.93</v>
      </c>
      <c r="BJ39" s="2">
        <v>6801.77</v>
      </c>
      <c r="BK39" s="2">
        <v>5653.34</v>
      </c>
      <c r="BL39" s="2">
        <v>6078.33</v>
      </c>
      <c r="BM39" s="2">
        <v>5030.3100000000004</v>
      </c>
      <c r="BN39" s="2">
        <v>4954.67</v>
      </c>
      <c r="BO39" s="2">
        <v>4468.24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4564.13</v>
      </c>
      <c r="D40" s="2">
        <v>823.77</v>
      </c>
      <c r="E40" s="2">
        <v>5210.1499999999996</v>
      </c>
      <c r="F40" s="2">
        <v>537.6</v>
      </c>
      <c r="G40" s="2">
        <v>1505.38</v>
      </c>
      <c r="H40" s="2">
        <v>1801.14</v>
      </c>
      <c r="I40" s="2">
        <v>5326.84</v>
      </c>
      <c r="J40" s="2">
        <v>2784.01</v>
      </c>
      <c r="K40" s="2">
        <v>7463.85</v>
      </c>
      <c r="L40" s="2">
        <v>2629.78</v>
      </c>
      <c r="M40" s="2">
        <v>13440.16</v>
      </c>
      <c r="N40" s="2">
        <v>4374.97</v>
      </c>
      <c r="O40" s="2">
        <v>9456.9500000000007</v>
      </c>
      <c r="P40" s="2">
        <v>3610.86</v>
      </c>
      <c r="Q40" s="2">
        <v>8558.66</v>
      </c>
      <c r="R40" s="2">
        <v>4045.64</v>
      </c>
      <c r="S40" s="2">
        <v>3568.11</v>
      </c>
      <c r="T40" s="2">
        <v>3033.08</v>
      </c>
      <c r="U40" s="2">
        <v>3861.86</v>
      </c>
      <c r="V40" s="2">
        <v>3389.2</v>
      </c>
      <c r="X40" s="1" t="s">
        <v>69</v>
      </c>
      <c r="Y40" s="2">
        <v>1617.51</v>
      </c>
      <c r="Z40" s="2">
        <v>596.94000000000005</v>
      </c>
      <c r="AA40" s="2">
        <v>1078.75</v>
      </c>
      <c r="AB40" s="2">
        <v>616.97</v>
      </c>
      <c r="AC40" s="2">
        <v>1396.65</v>
      </c>
      <c r="AD40" s="2">
        <v>1704.99</v>
      </c>
      <c r="AE40" s="2">
        <v>1565.75</v>
      </c>
      <c r="AF40" s="2">
        <v>862.34</v>
      </c>
      <c r="AG40" s="2">
        <v>1011.71</v>
      </c>
      <c r="AH40" s="2">
        <v>758.32</v>
      </c>
      <c r="AI40" s="2">
        <v>1002.99</v>
      </c>
      <c r="AJ40" s="2">
        <v>729.82</v>
      </c>
      <c r="AK40" s="2">
        <v>1503.68</v>
      </c>
      <c r="AL40" s="2">
        <v>735.98</v>
      </c>
      <c r="AM40" s="2">
        <v>1045.2</v>
      </c>
      <c r="AN40" s="2">
        <v>702.71</v>
      </c>
      <c r="AO40" s="2">
        <v>706.97</v>
      </c>
      <c r="AP40" s="2">
        <v>665.58</v>
      </c>
      <c r="AQ40" s="2">
        <v>656.28</v>
      </c>
      <c r="AR40" s="2">
        <v>627.12</v>
      </c>
      <c r="AU40" s="1" t="s">
        <v>69</v>
      </c>
      <c r="AV40" s="2">
        <v>6942.18</v>
      </c>
      <c r="AW40" s="2">
        <v>4247.01</v>
      </c>
      <c r="AX40" s="2">
        <v>7040.62</v>
      </c>
      <c r="AY40" s="2">
        <v>4149.7299999999996</v>
      </c>
      <c r="AZ40" s="2">
        <v>5542.03</v>
      </c>
      <c r="BA40" s="2">
        <v>7175.01</v>
      </c>
      <c r="BB40" s="2">
        <v>7230.1</v>
      </c>
      <c r="BC40" s="2">
        <v>6311.47</v>
      </c>
      <c r="BD40" s="2">
        <v>7868.29</v>
      </c>
      <c r="BE40" s="2">
        <v>6008.19</v>
      </c>
      <c r="BF40" s="2">
        <v>7877.01</v>
      </c>
      <c r="BG40" s="2">
        <v>5859.19</v>
      </c>
      <c r="BH40" s="2">
        <v>7376.32</v>
      </c>
      <c r="BI40" s="2">
        <v>5912.42</v>
      </c>
      <c r="BJ40" s="2">
        <v>6885.25</v>
      </c>
      <c r="BK40" s="2">
        <v>5602.09</v>
      </c>
      <c r="BL40" s="2">
        <v>5579.83</v>
      </c>
      <c r="BM40" s="2">
        <v>5237.7700000000004</v>
      </c>
      <c r="BN40" s="2">
        <v>5164.87</v>
      </c>
      <c r="BO40" s="2">
        <v>4902.6099999999997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15216.65</v>
      </c>
      <c r="D41" s="2">
        <v>15336.9</v>
      </c>
      <c r="E41" s="2">
        <v>17833.77</v>
      </c>
      <c r="F41" s="2">
        <v>8512.27</v>
      </c>
      <c r="G41" s="2">
        <v>5651.27</v>
      </c>
      <c r="H41" s="2">
        <v>6174.97</v>
      </c>
      <c r="I41" s="2">
        <v>9280.5</v>
      </c>
      <c r="J41" s="2">
        <v>19169.03</v>
      </c>
      <c r="K41" s="2">
        <v>21957.77</v>
      </c>
      <c r="L41" s="2">
        <v>23554.66</v>
      </c>
      <c r="M41" s="2">
        <v>34321.760000000002</v>
      </c>
      <c r="N41" s="2">
        <v>31725.45</v>
      </c>
      <c r="O41" s="2">
        <v>22639.439999999999</v>
      </c>
      <c r="P41" s="2">
        <v>22717.19</v>
      </c>
      <c r="Q41" s="2">
        <v>22509.95</v>
      </c>
      <c r="R41" s="2">
        <v>23298.05</v>
      </c>
      <c r="S41" s="2">
        <v>17113.68</v>
      </c>
      <c r="T41" s="2">
        <v>15752.03</v>
      </c>
      <c r="U41" s="2">
        <v>22050.69</v>
      </c>
      <c r="V41" s="2">
        <v>17877.439999999999</v>
      </c>
      <c r="X41" s="1" t="s">
        <v>70</v>
      </c>
      <c r="Y41" s="2">
        <v>1104.25</v>
      </c>
      <c r="Z41" s="2">
        <v>1123.81</v>
      </c>
      <c r="AA41" s="2">
        <v>1398.57</v>
      </c>
      <c r="AB41" s="2">
        <v>1109.33</v>
      </c>
      <c r="AC41" s="2">
        <v>1086.18</v>
      </c>
      <c r="AD41" s="2">
        <v>1202.71</v>
      </c>
      <c r="AE41" s="2">
        <v>934.24</v>
      </c>
      <c r="AF41" s="2">
        <v>1151.29</v>
      </c>
      <c r="AG41" s="2">
        <v>1061.26</v>
      </c>
      <c r="AH41" s="2">
        <v>1138.98</v>
      </c>
      <c r="AI41" s="2">
        <v>924.03</v>
      </c>
      <c r="AJ41" s="2">
        <v>928.37</v>
      </c>
      <c r="AK41" s="2">
        <v>846.31</v>
      </c>
      <c r="AL41" s="2">
        <v>910.72</v>
      </c>
      <c r="AM41" s="2">
        <v>769.68</v>
      </c>
      <c r="AN41" s="2">
        <v>786.64</v>
      </c>
      <c r="AO41" s="2">
        <v>707.18</v>
      </c>
      <c r="AP41" s="2">
        <v>741.48</v>
      </c>
      <c r="AQ41" s="2">
        <v>717.05</v>
      </c>
      <c r="AR41" s="2">
        <v>807.89</v>
      </c>
      <c r="AU41" s="1" t="s">
        <v>70</v>
      </c>
      <c r="AV41" s="2">
        <v>4718.55</v>
      </c>
      <c r="AW41" s="2">
        <v>6173.34</v>
      </c>
      <c r="AX41" s="2">
        <v>6083.53</v>
      </c>
      <c r="AY41" s="2">
        <v>7016.27</v>
      </c>
      <c r="AZ41" s="2">
        <v>4479.2700000000004</v>
      </c>
      <c r="BA41" s="2">
        <v>5019.78</v>
      </c>
      <c r="BB41" s="2">
        <v>6373.31</v>
      </c>
      <c r="BC41" s="2">
        <v>6000.61</v>
      </c>
      <c r="BD41" s="2">
        <v>6867.19</v>
      </c>
      <c r="BE41" s="2">
        <v>6797.42</v>
      </c>
      <c r="BF41" s="2">
        <v>6685.92</v>
      </c>
      <c r="BG41" s="2">
        <v>6867.93</v>
      </c>
      <c r="BH41" s="2">
        <v>6336.04</v>
      </c>
      <c r="BI41" s="2">
        <v>6731.18</v>
      </c>
      <c r="BJ41" s="2">
        <v>5817.92</v>
      </c>
      <c r="BK41" s="2">
        <v>5884.31</v>
      </c>
      <c r="BL41" s="2">
        <v>5419.12</v>
      </c>
      <c r="BM41" s="2">
        <v>5545.32</v>
      </c>
      <c r="BN41" s="2">
        <v>5558.45</v>
      </c>
      <c r="BO41" s="2">
        <v>6195.71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4546.3500000000004</v>
      </c>
      <c r="D42" s="2">
        <v>4574.28</v>
      </c>
      <c r="E42" s="2">
        <v>5264.9</v>
      </c>
      <c r="F42" s="2">
        <v>5230.21</v>
      </c>
      <c r="G42" s="2">
        <v>1283.23</v>
      </c>
      <c r="H42" s="2">
        <v>1397.09</v>
      </c>
      <c r="I42" s="2">
        <v>1950.99</v>
      </c>
      <c r="J42" s="2">
        <v>3753.61</v>
      </c>
      <c r="K42" s="2">
        <v>2259.17</v>
      </c>
      <c r="L42" s="2">
        <v>6187.65</v>
      </c>
      <c r="M42" s="2">
        <v>5123.26</v>
      </c>
      <c r="N42" s="2">
        <v>11259.63</v>
      </c>
      <c r="O42" s="2">
        <v>4024.59</v>
      </c>
      <c r="P42" s="2">
        <v>7536.38</v>
      </c>
      <c r="Q42" s="2">
        <v>5141.95</v>
      </c>
      <c r="R42" s="2">
        <v>9745.7800000000007</v>
      </c>
      <c r="S42" s="2">
        <v>4086.19</v>
      </c>
      <c r="T42" s="2">
        <v>7233.33</v>
      </c>
      <c r="U42" s="2">
        <v>4368.59</v>
      </c>
      <c r="V42" s="2">
        <v>3584.51</v>
      </c>
      <c r="X42" s="1" t="s">
        <v>71</v>
      </c>
      <c r="Y42" s="2">
        <v>974.15</v>
      </c>
      <c r="Z42" s="2">
        <v>1016.31</v>
      </c>
      <c r="AA42" s="2">
        <v>1442.75</v>
      </c>
      <c r="AB42" s="2">
        <v>1475.62</v>
      </c>
      <c r="AC42" s="2">
        <v>1275.1600000000001</v>
      </c>
      <c r="AD42" s="2">
        <v>1421.47</v>
      </c>
      <c r="AE42" s="2">
        <v>1034.0899999999999</v>
      </c>
      <c r="AF42" s="2">
        <v>1181.58</v>
      </c>
      <c r="AG42" s="2">
        <v>970.31</v>
      </c>
      <c r="AH42" s="2">
        <v>1567.83</v>
      </c>
      <c r="AI42" s="2">
        <v>1020.36</v>
      </c>
      <c r="AJ42" s="2">
        <v>1603.88</v>
      </c>
      <c r="AK42" s="2">
        <v>1016.37</v>
      </c>
      <c r="AL42" s="2">
        <v>1344.54</v>
      </c>
      <c r="AM42" s="2">
        <v>996.9</v>
      </c>
      <c r="AN42" s="2">
        <v>1310.1199999999999</v>
      </c>
      <c r="AO42" s="2">
        <v>942.1</v>
      </c>
      <c r="AP42" s="2">
        <v>1177.53</v>
      </c>
      <c r="AQ42" s="2">
        <v>863.98</v>
      </c>
      <c r="AR42" s="2">
        <v>856.34</v>
      </c>
      <c r="AU42" s="1" t="s">
        <v>71</v>
      </c>
      <c r="AV42" s="2">
        <v>5932.66</v>
      </c>
      <c r="AW42" s="2">
        <v>6022.44</v>
      </c>
      <c r="AX42" s="2">
        <v>7422.97</v>
      </c>
      <c r="AY42" s="2">
        <v>7404.38</v>
      </c>
      <c r="AZ42" s="2">
        <v>4501.58</v>
      </c>
      <c r="BA42" s="2">
        <v>5134.51</v>
      </c>
      <c r="BB42" s="2">
        <v>5492.41</v>
      </c>
      <c r="BC42" s="2">
        <v>4388.34</v>
      </c>
      <c r="BD42" s="2">
        <v>5588.24</v>
      </c>
      <c r="BE42" s="2">
        <v>7091.17</v>
      </c>
      <c r="BF42" s="2">
        <v>6018.69</v>
      </c>
      <c r="BG42" s="2">
        <v>7276.12</v>
      </c>
      <c r="BH42" s="2">
        <v>5971.1</v>
      </c>
      <c r="BI42" s="2">
        <v>7031.79</v>
      </c>
      <c r="BJ42" s="2">
        <v>5930.08</v>
      </c>
      <c r="BK42" s="2">
        <v>7012.49</v>
      </c>
      <c r="BL42" s="2">
        <v>5709.47</v>
      </c>
      <c r="BM42" s="2">
        <v>6735.32</v>
      </c>
      <c r="BN42" s="2">
        <v>5307.91</v>
      </c>
      <c r="BO42" s="2">
        <v>4929.91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27792.43</v>
      </c>
      <c r="D43" s="2">
        <v>29235.68</v>
      </c>
      <c r="E43" s="2">
        <v>18198.79</v>
      </c>
      <c r="F43" s="2">
        <v>28032.69</v>
      </c>
      <c r="G43" s="2">
        <v>4495.38</v>
      </c>
      <c r="H43" s="2">
        <v>10647.01</v>
      </c>
      <c r="I43" s="2">
        <v>13109.74</v>
      </c>
      <c r="J43" s="2">
        <v>19053.830000000002</v>
      </c>
      <c r="K43" s="2">
        <v>12389.93</v>
      </c>
      <c r="L43" s="2">
        <v>29013.78</v>
      </c>
      <c r="M43" s="2">
        <v>24538.080000000002</v>
      </c>
      <c r="N43" s="2">
        <v>51958.97</v>
      </c>
      <c r="O43" s="2">
        <v>19911.169999999998</v>
      </c>
      <c r="P43" s="2">
        <v>36542.31</v>
      </c>
      <c r="Q43" s="2">
        <v>29171.77</v>
      </c>
      <c r="R43" s="2">
        <v>34769.760000000002</v>
      </c>
      <c r="S43" s="2">
        <v>19141.13</v>
      </c>
      <c r="T43" s="2">
        <v>20195.099999999999</v>
      </c>
      <c r="U43" s="2">
        <v>21370.67</v>
      </c>
      <c r="V43" s="2">
        <v>20337.189999999999</v>
      </c>
      <c r="X43" s="1" t="s">
        <v>72</v>
      </c>
      <c r="Y43" s="2">
        <v>1790.07</v>
      </c>
      <c r="Z43" s="2">
        <v>1869.28</v>
      </c>
      <c r="AA43" s="2">
        <v>1391.13</v>
      </c>
      <c r="AB43" s="2">
        <v>1906.55</v>
      </c>
      <c r="AC43" s="2">
        <v>1508.68</v>
      </c>
      <c r="AD43" s="2">
        <v>1801.3</v>
      </c>
      <c r="AE43" s="2">
        <v>1394.65</v>
      </c>
      <c r="AF43" s="2">
        <v>1976.07</v>
      </c>
      <c r="AG43" s="2">
        <v>1053.2</v>
      </c>
      <c r="AH43" s="2">
        <v>2435.06</v>
      </c>
      <c r="AI43" s="2">
        <v>1156.55</v>
      </c>
      <c r="AJ43" s="2">
        <v>2436.66</v>
      </c>
      <c r="AK43" s="2">
        <v>1164.8699999999999</v>
      </c>
      <c r="AL43" s="2">
        <v>2132.38</v>
      </c>
      <c r="AM43" s="2">
        <v>1289.5999999999999</v>
      </c>
      <c r="AN43" s="2">
        <v>1540.91</v>
      </c>
      <c r="AO43" s="2">
        <v>965.75</v>
      </c>
      <c r="AP43" s="2">
        <v>1009.99</v>
      </c>
      <c r="AQ43" s="2">
        <v>903.36</v>
      </c>
      <c r="AR43" s="2">
        <v>900.18</v>
      </c>
      <c r="AU43" s="1" t="s">
        <v>72</v>
      </c>
      <c r="AV43" s="2">
        <v>6977.58</v>
      </c>
      <c r="AW43" s="2">
        <v>7428.49</v>
      </c>
      <c r="AX43" s="2">
        <v>7140.06</v>
      </c>
      <c r="AY43" s="2">
        <v>7977.13</v>
      </c>
      <c r="AZ43" s="2">
        <v>4593.59</v>
      </c>
      <c r="BA43" s="2">
        <v>6849.16</v>
      </c>
      <c r="BB43" s="2">
        <v>6234.33</v>
      </c>
      <c r="BC43" s="2">
        <v>5109.38</v>
      </c>
      <c r="BD43" s="2">
        <v>6074.17</v>
      </c>
      <c r="BE43" s="2">
        <v>7724.94</v>
      </c>
      <c r="BF43" s="2">
        <v>6250.71</v>
      </c>
      <c r="BG43" s="2">
        <v>7723.34</v>
      </c>
      <c r="BH43" s="2">
        <v>6264.73</v>
      </c>
      <c r="BI43" s="2">
        <v>7427.67</v>
      </c>
      <c r="BJ43" s="2">
        <v>6464.92</v>
      </c>
      <c r="BK43" s="2">
        <v>6793.56</v>
      </c>
      <c r="BL43" s="2">
        <v>5882.91</v>
      </c>
      <c r="BM43" s="2">
        <v>6002.43</v>
      </c>
      <c r="BN43" s="2">
        <v>5527.25</v>
      </c>
      <c r="BO43" s="2">
        <v>5427.97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2917.03</v>
      </c>
      <c r="D44" s="2">
        <v>4855.83</v>
      </c>
      <c r="E44" s="2">
        <v>1085.67</v>
      </c>
      <c r="F44" s="2">
        <v>1216.69</v>
      </c>
      <c r="G44" s="2">
        <v>59.6</v>
      </c>
      <c r="H44" s="2">
        <v>575.55999999999995</v>
      </c>
      <c r="I44" s="2">
        <v>1112.82</v>
      </c>
      <c r="J44" s="2">
        <v>7558.88</v>
      </c>
      <c r="K44" s="2">
        <v>3798.29</v>
      </c>
      <c r="L44" s="2">
        <v>8845.0499999999993</v>
      </c>
      <c r="M44" s="2">
        <v>9843.07</v>
      </c>
      <c r="N44" s="2">
        <v>16338.61</v>
      </c>
      <c r="O44" s="2">
        <v>8792</v>
      </c>
      <c r="P44" s="2">
        <v>10834.66</v>
      </c>
      <c r="Q44" s="2">
        <v>9726.7800000000007</v>
      </c>
      <c r="R44" s="2">
        <v>9429.06</v>
      </c>
      <c r="S44" s="2">
        <v>7527.09</v>
      </c>
      <c r="T44" s="2">
        <v>6144.58</v>
      </c>
      <c r="U44" s="2">
        <v>8693.2000000000007</v>
      </c>
      <c r="V44" s="2">
        <v>7106.31</v>
      </c>
      <c r="X44" s="1" t="s">
        <v>73</v>
      </c>
      <c r="Y44" s="2">
        <v>656.07</v>
      </c>
      <c r="Z44" s="2">
        <v>822.93</v>
      </c>
      <c r="AA44" s="2">
        <v>679.63</v>
      </c>
      <c r="AB44" s="2">
        <v>722.06</v>
      </c>
      <c r="AC44" s="2">
        <v>150.06</v>
      </c>
      <c r="AD44" s="2">
        <v>754.33</v>
      </c>
      <c r="AE44" s="2">
        <v>407.9</v>
      </c>
      <c r="AF44" s="2">
        <v>809.86</v>
      </c>
      <c r="AG44" s="2">
        <v>532.9</v>
      </c>
      <c r="AH44" s="2">
        <v>759.53</v>
      </c>
      <c r="AI44" s="2">
        <v>581.70000000000005</v>
      </c>
      <c r="AJ44" s="2">
        <v>778.51</v>
      </c>
      <c r="AK44" s="2">
        <v>576.6</v>
      </c>
      <c r="AL44" s="2">
        <v>706.45</v>
      </c>
      <c r="AM44" s="2">
        <v>566.70000000000005</v>
      </c>
      <c r="AN44" s="2">
        <v>593.46</v>
      </c>
      <c r="AO44" s="2">
        <v>548.29</v>
      </c>
      <c r="AP44" s="2">
        <v>546.61</v>
      </c>
      <c r="AQ44" s="2">
        <v>557.91999999999996</v>
      </c>
      <c r="AR44" s="2">
        <v>550.87</v>
      </c>
      <c r="AU44" s="1" t="s">
        <v>73</v>
      </c>
      <c r="AV44" s="2">
        <v>3973.33</v>
      </c>
      <c r="AW44" s="2">
        <v>4858.62</v>
      </c>
      <c r="AX44" s="2">
        <v>3394.42</v>
      </c>
      <c r="AY44" s="2">
        <v>3618.49</v>
      </c>
      <c r="AZ44" s="2">
        <v>2938.14</v>
      </c>
      <c r="BA44" s="2">
        <v>4015.82</v>
      </c>
      <c r="BB44" s="2">
        <v>3120</v>
      </c>
      <c r="BC44" s="2">
        <v>4061.09</v>
      </c>
      <c r="BD44" s="2">
        <v>3361.1</v>
      </c>
      <c r="BE44" s="2">
        <v>4196.18</v>
      </c>
      <c r="BF44" s="2">
        <v>3225.55</v>
      </c>
      <c r="BG44" s="2">
        <v>4334.01</v>
      </c>
      <c r="BH44" s="2">
        <v>3225.3</v>
      </c>
      <c r="BI44" s="2">
        <v>4169.7</v>
      </c>
      <c r="BJ44" s="2">
        <v>3066.2</v>
      </c>
      <c r="BK44" s="2">
        <v>3329.59</v>
      </c>
      <c r="BL44" s="2">
        <v>2856.76</v>
      </c>
      <c r="BM44" s="2">
        <v>2928.79</v>
      </c>
      <c r="BN44" s="2">
        <v>3006.58</v>
      </c>
      <c r="BO44" s="2">
        <v>3208.88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1631999.76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663.12</v>
      </c>
      <c r="D51" s="2">
        <v>620.71</v>
      </c>
      <c r="E51" s="2">
        <v>177.84</v>
      </c>
      <c r="F51" s="2">
        <v>160.41999999999999</v>
      </c>
      <c r="G51" s="2">
        <v>50.46</v>
      </c>
      <c r="H51" s="2">
        <v>82.36</v>
      </c>
      <c r="I51" s="2">
        <v>525.20000000000005</v>
      </c>
      <c r="J51" s="2">
        <v>276.32</v>
      </c>
      <c r="K51" s="2">
        <v>1024.58</v>
      </c>
      <c r="L51" s="2">
        <v>250.96</v>
      </c>
      <c r="M51" s="2">
        <v>1920.58</v>
      </c>
      <c r="N51" s="2">
        <v>306.25</v>
      </c>
      <c r="O51" s="2">
        <v>1375.34</v>
      </c>
      <c r="P51" s="2">
        <v>57.82</v>
      </c>
      <c r="Q51" s="2">
        <v>1207.25</v>
      </c>
      <c r="R51" s="2">
        <v>320.61</v>
      </c>
      <c r="S51" s="2">
        <v>72.78</v>
      </c>
      <c r="T51" s="2">
        <v>44.99</v>
      </c>
      <c r="U51" s="2">
        <v>153.62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1467.48</v>
      </c>
      <c r="D52" s="2">
        <v>496.2</v>
      </c>
      <c r="E52" s="2">
        <v>1282.96</v>
      </c>
      <c r="F52" s="2">
        <v>493.4</v>
      </c>
      <c r="G52" s="2">
        <v>295.88</v>
      </c>
      <c r="H52" s="2">
        <v>295.37</v>
      </c>
      <c r="I52" s="2">
        <v>2022.46</v>
      </c>
      <c r="J52" s="2">
        <v>1349.64</v>
      </c>
      <c r="K52" s="2">
        <v>2583.79</v>
      </c>
      <c r="L52" s="2">
        <v>1208.1400000000001</v>
      </c>
      <c r="M52" s="2">
        <v>5680.06</v>
      </c>
      <c r="N52" s="2">
        <v>2264.08</v>
      </c>
      <c r="O52" s="2">
        <v>3325.72</v>
      </c>
      <c r="P52" s="2">
        <v>2271.1</v>
      </c>
      <c r="Q52" s="2">
        <v>3951.79</v>
      </c>
      <c r="R52" s="2">
        <v>2680.45</v>
      </c>
      <c r="S52" s="2">
        <v>3299.7</v>
      </c>
      <c r="T52" s="2">
        <v>1473.41</v>
      </c>
      <c r="U52" s="2">
        <v>4182.9399999999996</v>
      </c>
      <c r="V52" s="2">
        <v>1399.19</v>
      </c>
      <c r="X52" s="1" t="s">
        <v>67</v>
      </c>
      <c r="Y52" s="2">
        <v>0.28999999999999998</v>
      </c>
      <c r="Z52" s="2">
        <v>0.17</v>
      </c>
      <c r="AA52" s="2">
        <v>0.3</v>
      </c>
      <c r="AB52" s="2">
        <v>0.19</v>
      </c>
      <c r="AC52" s="2">
        <v>0.18</v>
      </c>
      <c r="AD52" s="2">
        <v>0.23</v>
      </c>
      <c r="AE52" s="2">
        <v>0.33</v>
      </c>
      <c r="AF52" s="2">
        <v>0.2</v>
      </c>
      <c r="AG52" s="2">
        <v>0.3</v>
      </c>
      <c r="AH52" s="2">
        <v>0.19</v>
      </c>
      <c r="AI52" s="2">
        <v>0.28999999999999998</v>
      </c>
      <c r="AJ52" s="2">
        <v>0.19</v>
      </c>
      <c r="AK52" s="2">
        <v>0.24</v>
      </c>
      <c r="AL52" s="2">
        <v>0.21</v>
      </c>
      <c r="AM52" s="2">
        <v>0.23</v>
      </c>
      <c r="AN52" s="2">
        <v>0.21</v>
      </c>
      <c r="AO52" s="2">
        <v>0.23</v>
      </c>
      <c r="AP52" s="2">
        <v>0.16</v>
      </c>
      <c r="AQ52" s="2">
        <v>0.27</v>
      </c>
      <c r="AR52" s="2">
        <v>0.17</v>
      </c>
      <c r="AU52" s="1" t="s">
        <v>67</v>
      </c>
      <c r="AV52" s="2">
        <v>0.69</v>
      </c>
      <c r="AW52" s="2">
        <v>0.45</v>
      </c>
      <c r="AX52" s="2">
        <v>0.64</v>
      </c>
      <c r="AY52" s="2">
        <v>0.42</v>
      </c>
      <c r="AZ52" s="2">
        <v>0.56000000000000005</v>
      </c>
      <c r="BA52" s="2">
        <v>0.53</v>
      </c>
      <c r="BB52" s="2">
        <v>0.71</v>
      </c>
      <c r="BC52" s="2">
        <v>0.7</v>
      </c>
      <c r="BD52" s="2">
        <v>0.75</v>
      </c>
      <c r="BE52" s="2">
        <v>0.63</v>
      </c>
      <c r="BF52" s="2">
        <v>0.81</v>
      </c>
      <c r="BG52" s="2">
        <v>0.64</v>
      </c>
      <c r="BH52" s="2">
        <v>0.76</v>
      </c>
      <c r="BI52" s="2">
        <v>0.69</v>
      </c>
      <c r="BJ52" s="2">
        <v>0.74</v>
      </c>
      <c r="BK52" s="2">
        <v>0.65</v>
      </c>
      <c r="BL52" s="2">
        <v>0.72</v>
      </c>
      <c r="BM52" s="2">
        <v>0.55000000000000004</v>
      </c>
      <c r="BN52" s="2">
        <v>0.69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22270.76</v>
      </c>
      <c r="D53" s="2">
        <v>1534.15</v>
      </c>
      <c r="E53" s="2">
        <v>24303.21</v>
      </c>
      <c r="F53" s="2">
        <v>1248.68</v>
      </c>
      <c r="G53" s="2">
        <v>4543.3100000000004</v>
      </c>
      <c r="H53" s="2">
        <v>5545.01</v>
      </c>
      <c r="I53" s="2">
        <v>15553.72</v>
      </c>
      <c r="J53" s="2">
        <v>6913.24</v>
      </c>
      <c r="K53" s="2">
        <v>20274.669999999998</v>
      </c>
      <c r="L53" s="2">
        <v>7048.78</v>
      </c>
      <c r="M53" s="2">
        <v>39100.080000000002</v>
      </c>
      <c r="N53" s="2">
        <v>12574.01</v>
      </c>
      <c r="O53" s="2">
        <v>28899.67</v>
      </c>
      <c r="P53" s="2">
        <v>10618.55</v>
      </c>
      <c r="Q53" s="2">
        <v>36611.42</v>
      </c>
      <c r="R53" s="2">
        <v>13097.47</v>
      </c>
      <c r="S53" s="2">
        <v>15169.76</v>
      </c>
      <c r="T53" s="2">
        <v>8076.63</v>
      </c>
      <c r="U53" s="2">
        <v>10924.27</v>
      </c>
      <c r="V53" s="2">
        <v>8431.64</v>
      </c>
      <c r="X53" s="1" t="s">
        <v>68</v>
      </c>
      <c r="Y53" s="2">
        <v>0.51</v>
      </c>
      <c r="Z53" s="2">
        <v>0.14000000000000001</v>
      </c>
      <c r="AA53" s="2">
        <v>0.51</v>
      </c>
      <c r="AB53" s="2">
        <v>0.14000000000000001</v>
      </c>
      <c r="AC53" s="2">
        <v>0.56000000000000005</v>
      </c>
      <c r="AD53" s="2">
        <v>0.34</v>
      </c>
      <c r="AE53" s="2">
        <v>0.57999999999999996</v>
      </c>
      <c r="AF53" s="2">
        <v>0.27</v>
      </c>
      <c r="AG53" s="2">
        <v>0.61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1.03</v>
      </c>
      <c r="AW53" s="2">
        <v>0.39</v>
      </c>
      <c r="AX53" s="2">
        <v>1.02</v>
      </c>
      <c r="AY53" s="2">
        <v>0.32</v>
      </c>
      <c r="AZ53" s="2">
        <v>0.92</v>
      </c>
      <c r="BA53" s="2">
        <v>0.95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3093.84</v>
      </c>
      <c r="D54" s="2">
        <v>555.07000000000005</v>
      </c>
      <c r="E54" s="2">
        <v>4340.41</v>
      </c>
      <c r="F54" s="2">
        <v>421.65</v>
      </c>
      <c r="G54" s="2">
        <v>1036.94</v>
      </c>
      <c r="H54" s="2">
        <v>1293.4000000000001</v>
      </c>
      <c r="I54" s="2">
        <v>3743.29</v>
      </c>
      <c r="J54" s="2">
        <v>1955.45</v>
      </c>
      <c r="K54" s="2">
        <v>5342.89</v>
      </c>
      <c r="L54" s="2">
        <v>1795.43</v>
      </c>
      <c r="M54" s="2">
        <v>9565.8700000000008</v>
      </c>
      <c r="N54" s="2">
        <v>2915.95</v>
      </c>
      <c r="O54" s="2">
        <v>6354.89</v>
      </c>
      <c r="P54" s="2">
        <v>2443.38</v>
      </c>
      <c r="Q54" s="2">
        <v>5829.19</v>
      </c>
      <c r="R54" s="2">
        <v>2720.9</v>
      </c>
      <c r="S54" s="2">
        <v>2463.98</v>
      </c>
      <c r="T54" s="2">
        <v>1970.61</v>
      </c>
      <c r="U54" s="2">
        <v>2547.0700000000002</v>
      </c>
      <c r="V54" s="2">
        <v>2215.98</v>
      </c>
      <c r="X54" s="1" t="s">
        <v>69</v>
      </c>
      <c r="Y54" s="2">
        <v>0.45</v>
      </c>
      <c r="Z54" s="2">
        <v>0.17</v>
      </c>
      <c r="AA54" s="2">
        <v>0.3</v>
      </c>
      <c r="AB54" s="2">
        <v>0.17</v>
      </c>
      <c r="AC54" s="2">
        <v>0.39</v>
      </c>
      <c r="AD54" s="2">
        <v>0.47</v>
      </c>
      <c r="AE54" s="2">
        <v>0.43</v>
      </c>
      <c r="AF54" s="2">
        <v>0.24</v>
      </c>
      <c r="AG54" s="2">
        <v>0.28000000000000003</v>
      </c>
      <c r="AH54" s="2">
        <v>0.21</v>
      </c>
      <c r="AI54" s="2">
        <v>0.28000000000000003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69</v>
      </c>
      <c r="AV54" s="2">
        <v>0.9</v>
      </c>
      <c r="AW54" s="2">
        <v>0.53</v>
      </c>
      <c r="AX54" s="2">
        <v>0.96</v>
      </c>
      <c r="AY54" s="2">
        <v>0.4</v>
      </c>
      <c r="AZ54" s="2">
        <v>0.89</v>
      </c>
      <c r="BA54" s="2">
        <v>0.9</v>
      </c>
      <c r="BB54" s="2">
        <v>0.9</v>
      </c>
      <c r="BC54" s="2">
        <v>0.79</v>
      </c>
      <c r="BD54" s="2">
        <v>0.98</v>
      </c>
      <c r="BE54" s="2">
        <v>0.75</v>
      </c>
      <c r="BF54" s="2">
        <v>0.98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10900.85</v>
      </c>
      <c r="D55" s="2">
        <v>11224.54</v>
      </c>
      <c r="E55" s="2">
        <v>14956.22</v>
      </c>
      <c r="F55" s="2">
        <v>7235.26</v>
      </c>
      <c r="G55" s="2">
        <v>4207.22</v>
      </c>
      <c r="H55" s="2">
        <v>4721.8100000000004</v>
      </c>
      <c r="I55" s="2">
        <v>7047.29</v>
      </c>
      <c r="J55" s="2">
        <v>14179.4</v>
      </c>
      <c r="K55" s="2">
        <v>16404.72</v>
      </c>
      <c r="L55" s="2">
        <v>17671.919999999998</v>
      </c>
      <c r="M55" s="2">
        <v>25827.360000000001</v>
      </c>
      <c r="N55" s="2">
        <v>24245.439999999999</v>
      </c>
      <c r="O55" s="2">
        <v>16760.52</v>
      </c>
      <c r="P55" s="2">
        <v>17323.97</v>
      </c>
      <c r="Q55" s="2">
        <v>16430.759999999998</v>
      </c>
      <c r="R55" s="2">
        <v>17316.330000000002</v>
      </c>
      <c r="S55" s="2">
        <v>12215.23</v>
      </c>
      <c r="T55" s="2">
        <v>11826.95</v>
      </c>
      <c r="U55" s="2">
        <v>15650.88</v>
      </c>
      <c r="V55" s="2">
        <v>13070.52</v>
      </c>
      <c r="X55" s="1" t="s">
        <v>70</v>
      </c>
      <c r="Y55" s="2">
        <v>0.31</v>
      </c>
      <c r="Z55" s="2">
        <v>0.31</v>
      </c>
      <c r="AA55" s="2">
        <v>0.39</v>
      </c>
      <c r="AB55" s="2">
        <v>0.31</v>
      </c>
      <c r="AC55" s="2">
        <v>0.3</v>
      </c>
      <c r="AD55" s="2">
        <v>0.33</v>
      </c>
      <c r="AE55" s="2">
        <v>0.26</v>
      </c>
      <c r="AF55" s="2">
        <v>0.32</v>
      </c>
      <c r="AG55" s="2">
        <v>0.28999999999999998</v>
      </c>
      <c r="AH55" s="2">
        <v>0.32</v>
      </c>
      <c r="AI55" s="2">
        <v>0.26</v>
      </c>
      <c r="AJ55" s="2">
        <v>0.26</v>
      </c>
      <c r="AK55" s="2">
        <v>0.24</v>
      </c>
      <c r="AL55" s="2">
        <v>0.25</v>
      </c>
      <c r="AM55" s="2">
        <v>0.21</v>
      </c>
      <c r="AN55" s="2">
        <v>0.22</v>
      </c>
      <c r="AO55" s="2">
        <v>0.2</v>
      </c>
      <c r="AP55" s="2">
        <v>0.21</v>
      </c>
      <c r="AQ55" s="2">
        <v>0.2</v>
      </c>
      <c r="AR55" s="2">
        <v>0.22</v>
      </c>
      <c r="AU55" s="1" t="s">
        <v>70</v>
      </c>
      <c r="AV55" s="2">
        <v>0.87</v>
      </c>
      <c r="AW55" s="2">
        <v>0.84</v>
      </c>
      <c r="AX55" s="2">
        <v>0.87</v>
      </c>
      <c r="AY55" s="2">
        <v>0.67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0.87</v>
      </c>
      <c r="BF55" s="2">
        <v>0.84</v>
      </c>
      <c r="BG55" s="2">
        <v>0.81</v>
      </c>
      <c r="BH55" s="2">
        <v>0.79</v>
      </c>
      <c r="BI55" s="2">
        <v>0.78</v>
      </c>
      <c r="BJ55" s="2">
        <v>0.73</v>
      </c>
      <c r="BK55" s="2">
        <v>0.74</v>
      </c>
      <c r="BL55" s="2">
        <v>0.69</v>
      </c>
      <c r="BM55" s="2">
        <v>0.66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3646.84</v>
      </c>
      <c r="D56" s="2">
        <v>3787.24</v>
      </c>
      <c r="E56" s="2">
        <v>4716.32</v>
      </c>
      <c r="F56" s="2">
        <v>4799.4399999999996</v>
      </c>
      <c r="G56" s="2">
        <v>1027.3399999999999</v>
      </c>
      <c r="H56" s="2">
        <v>1176.31</v>
      </c>
      <c r="I56" s="2">
        <v>1642.61</v>
      </c>
      <c r="J56" s="2">
        <v>3092.11</v>
      </c>
      <c r="K56" s="2">
        <v>1893.44</v>
      </c>
      <c r="L56" s="2">
        <v>5146.79</v>
      </c>
      <c r="M56" s="2">
        <v>4220.54</v>
      </c>
      <c r="N56" s="2">
        <v>9583.43</v>
      </c>
      <c r="O56" s="2">
        <v>3319.02</v>
      </c>
      <c r="P56" s="2">
        <v>6537.03</v>
      </c>
      <c r="Q56" s="2">
        <v>4213.16</v>
      </c>
      <c r="R56" s="2">
        <v>8224.76</v>
      </c>
      <c r="S56" s="2">
        <v>3263.58</v>
      </c>
      <c r="T56" s="2">
        <v>6307.32</v>
      </c>
      <c r="U56" s="2">
        <v>3454.51</v>
      </c>
      <c r="V56" s="2">
        <v>3030.46</v>
      </c>
      <c r="X56" s="1" t="s">
        <v>71</v>
      </c>
      <c r="Y56" s="2">
        <v>0.27</v>
      </c>
      <c r="Z56" s="2">
        <v>0.28000000000000003</v>
      </c>
      <c r="AA56" s="2">
        <v>0.4</v>
      </c>
      <c r="AB56" s="2">
        <v>0.41</v>
      </c>
      <c r="AC56" s="2">
        <v>0.35</v>
      </c>
      <c r="AD56" s="2">
        <v>0.39</v>
      </c>
      <c r="AE56" s="2">
        <v>0.28999999999999998</v>
      </c>
      <c r="AF56" s="2">
        <v>0.33</v>
      </c>
      <c r="AG56" s="2">
        <v>0.27</v>
      </c>
      <c r="AH56" s="2">
        <v>0.44</v>
      </c>
      <c r="AI56" s="2">
        <v>0.28000000000000003</v>
      </c>
      <c r="AJ56" s="2">
        <v>0.45</v>
      </c>
      <c r="AK56" s="2">
        <v>0.28000000000000003</v>
      </c>
      <c r="AL56" s="2">
        <v>0.37</v>
      </c>
      <c r="AM56" s="2">
        <v>0.28000000000000003</v>
      </c>
      <c r="AN56" s="2">
        <v>0.36</v>
      </c>
      <c r="AO56" s="2">
        <v>0.26</v>
      </c>
      <c r="AP56" s="2">
        <v>0.33</v>
      </c>
      <c r="AQ56" s="2">
        <v>0.24</v>
      </c>
      <c r="AR56" s="2">
        <v>0.24</v>
      </c>
      <c r="AU56" s="1" t="s">
        <v>71</v>
      </c>
      <c r="AV56" s="2">
        <v>0.95</v>
      </c>
      <c r="AW56" s="2">
        <v>0.95</v>
      </c>
      <c r="AX56" s="2">
        <v>0.93</v>
      </c>
      <c r="AY56" s="2">
        <v>0.93</v>
      </c>
      <c r="AZ56" s="2">
        <v>0.86</v>
      </c>
      <c r="BA56" s="2">
        <v>0.87</v>
      </c>
      <c r="BB56" s="2">
        <v>0.69</v>
      </c>
      <c r="BC56" s="2">
        <v>0.87</v>
      </c>
      <c r="BD56" s="2">
        <v>0.7</v>
      </c>
      <c r="BE56" s="2">
        <v>0.91</v>
      </c>
      <c r="BF56" s="2">
        <v>0.75</v>
      </c>
      <c r="BG56" s="2">
        <v>0.91</v>
      </c>
      <c r="BH56" s="2">
        <v>0.75</v>
      </c>
      <c r="BI56" s="2">
        <v>0.88</v>
      </c>
      <c r="BJ56" s="2">
        <v>0.74</v>
      </c>
      <c r="BK56" s="2">
        <v>0.88</v>
      </c>
      <c r="BL56" s="2">
        <v>0.71</v>
      </c>
      <c r="BM56" s="2">
        <v>0.84</v>
      </c>
      <c r="BN56" s="2">
        <v>0.66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22853.06</v>
      </c>
      <c r="D57" s="2">
        <v>23670.58</v>
      </c>
      <c r="E57" s="2">
        <v>16502.75</v>
      </c>
      <c r="F57" s="2">
        <v>25590.240000000002</v>
      </c>
      <c r="G57" s="2">
        <v>3703.92</v>
      </c>
      <c r="H57" s="2">
        <v>8934.5400000000009</v>
      </c>
      <c r="I57" s="2">
        <v>11091.73</v>
      </c>
      <c r="J57" s="2">
        <v>15347.05</v>
      </c>
      <c r="K57" s="2">
        <v>10454.24</v>
      </c>
      <c r="L57" s="2">
        <v>23906.92</v>
      </c>
      <c r="M57" s="2">
        <v>20635.080000000002</v>
      </c>
      <c r="N57" s="2">
        <v>43324</v>
      </c>
      <c r="O57" s="2">
        <v>16762.37</v>
      </c>
      <c r="P57" s="2">
        <v>30646.83</v>
      </c>
      <c r="Q57" s="2">
        <v>24072.36</v>
      </c>
      <c r="R57" s="2">
        <v>28825.94</v>
      </c>
      <c r="S57" s="2">
        <v>15507.65</v>
      </c>
      <c r="T57" s="2">
        <v>17018.189999999999</v>
      </c>
      <c r="U57" s="2">
        <v>17279.63</v>
      </c>
      <c r="V57" s="2">
        <v>16782.62</v>
      </c>
      <c r="X57" s="1" t="s">
        <v>72</v>
      </c>
      <c r="Y57" s="2">
        <v>0.5</v>
      </c>
      <c r="Z57" s="2">
        <v>0.52</v>
      </c>
      <c r="AA57" s="2">
        <v>0.39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0.68</v>
      </c>
      <c r="AI57" s="2">
        <v>0.32</v>
      </c>
      <c r="AJ57" s="2">
        <v>0.68</v>
      </c>
      <c r="AK57" s="2">
        <v>0.32</v>
      </c>
      <c r="AL57" s="2">
        <v>0.59</v>
      </c>
      <c r="AM57" s="2">
        <v>0.36</v>
      </c>
      <c r="AN57" s="2">
        <v>0.43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72</v>
      </c>
      <c r="AV57" s="2">
        <v>1.01</v>
      </c>
      <c r="AW57" s="2">
        <v>1.01</v>
      </c>
      <c r="AX57" s="2">
        <v>0.92</v>
      </c>
      <c r="AY57" s="2">
        <v>1</v>
      </c>
      <c r="AZ57" s="2">
        <v>0.84</v>
      </c>
      <c r="BA57" s="2">
        <v>1.01</v>
      </c>
      <c r="BB57" s="2">
        <v>0.8</v>
      </c>
      <c r="BC57" s="2">
        <v>0.92</v>
      </c>
      <c r="BD57" s="2">
        <v>0.76</v>
      </c>
      <c r="BE57" s="2">
        <v>0.97</v>
      </c>
      <c r="BF57" s="2">
        <v>0.78</v>
      </c>
      <c r="BG57" s="2">
        <v>0.97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2366.7199999999998</v>
      </c>
      <c r="D58" s="2">
        <v>4107.01</v>
      </c>
      <c r="E58" s="2">
        <v>991.18</v>
      </c>
      <c r="F58" s="2">
        <v>1107.18</v>
      </c>
      <c r="G58" s="2">
        <v>33.53</v>
      </c>
      <c r="H58" s="2">
        <v>501.23</v>
      </c>
      <c r="I58" s="2">
        <v>853.6</v>
      </c>
      <c r="J58" s="2">
        <v>6539.29</v>
      </c>
      <c r="K58" s="2">
        <v>3069.92</v>
      </c>
      <c r="L58" s="2">
        <v>7683.35</v>
      </c>
      <c r="M58" s="2">
        <v>7915.94</v>
      </c>
      <c r="N58" s="2">
        <v>14161.2</v>
      </c>
      <c r="O58" s="2">
        <v>7017.63</v>
      </c>
      <c r="P58" s="2">
        <v>9192.9599999999991</v>
      </c>
      <c r="Q58" s="2">
        <v>7764.86</v>
      </c>
      <c r="R58" s="2">
        <v>7702.23</v>
      </c>
      <c r="S58" s="2">
        <v>5868.15</v>
      </c>
      <c r="T58" s="2">
        <v>4902.1499999999996</v>
      </c>
      <c r="U58" s="2">
        <v>6764.78</v>
      </c>
      <c r="V58" s="2">
        <v>5460.51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0.11</v>
      </c>
      <c r="AF58" s="2">
        <v>0.22</v>
      </c>
      <c r="AG58" s="2">
        <v>0.15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73</v>
      </c>
      <c r="AV58" s="2">
        <v>0.59</v>
      </c>
      <c r="AW58" s="2">
        <v>0.71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0.63</v>
      </c>
      <c r="BE58" s="2">
        <v>0.83</v>
      </c>
      <c r="BF58" s="2">
        <v>0.74</v>
      </c>
      <c r="BG58" s="2">
        <v>0.83</v>
      </c>
      <c r="BH58" s="2">
        <v>0.78</v>
      </c>
      <c r="BI58" s="2">
        <v>0.79</v>
      </c>
      <c r="BJ58" s="2">
        <v>0.73</v>
      </c>
      <c r="BK58" s="2">
        <v>0.7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0.77569328196469789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40.270000000000003</v>
      </c>
      <c r="D65" s="2">
        <v>40.49</v>
      </c>
      <c r="E65" s="2">
        <v>7.25</v>
      </c>
      <c r="F65" s="2">
        <v>7.21</v>
      </c>
      <c r="G65" s="2">
        <v>2.96</v>
      </c>
      <c r="H65" s="2">
        <v>5.28</v>
      </c>
      <c r="I65" s="2">
        <v>29.77</v>
      </c>
      <c r="J65" s="2">
        <v>23.13</v>
      </c>
      <c r="K65" s="2">
        <v>51.2</v>
      </c>
      <c r="L65" s="2">
        <v>25.31</v>
      </c>
      <c r="M65" s="2">
        <v>86.22</v>
      </c>
      <c r="N65" s="2">
        <v>29.8</v>
      </c>
      <c r="O65" s="2">
        <v>73.599999999999994</v>
      </c>
      <c r="P65" s="2">
        <v>7.47</v>
      </c>
      <c r="Q65" s="2">
        <v>48.8</v>
      </c>
      <c r="R65" s="2">
        <v>25.17</v>
      </c>
      <c r="S65" s="2">
        <v>9.74</v>
      </c>
      <c r="T65" s="2">
        <v>7.85</v>
      </c>
      <c r="U65" s="2">
        <v>20.77</v>
      </c>
      <c r="V65" s="2">
        <v>11.59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104.5</v>
      </c>
      <c r="D66" s="2">
        <v>48.27</v>
      </c>
      <c r="E66" s="2">
        <v>45.79</v>
      </c>
      <c r="F66" s="2">
        <v>32.24</v>
      </c>
      <c r="G66" s="2">
        <v>18.440000000000001</v>
      </c>
      <c r="H66" s="2">
        <v>27.05</v>
      </c>
      <c r="I66" s="2">
        <v>104.98</v>
      </c>
      <c r="J66" s="2">
        <v>162.61000000000001</v>
      </c>
      <c r="K66" s="2">
        <v>146.35</v>
      </c>
      <c r="L66" s="2">
        <v>145.29</v>
      </c>
      <c r="M66" s="2">
        <v>333.89</v>
      </c>
      <c r="N66" s="2">
        <v>298.68</v>
      </c>
      <c r="O66" s="2">
        <v>244.2</v>
      </c>
      <c r="P66" s="2">
        <v>220.67</v>
      </c>
      <c r="Q66" s="2">
        <v>287.79000000000002</v>
      </c>
      <c r="R66" s="2">
        <v>215.77</v>
      </c>
      <c r="S66" s="2">
        <v>207.02</v>
      </c>
      <c r="T66" s="2">
        <v>149.57</v>
      </c>
      <c r="U66" s="2">
        <v>306.8</v>
      </c>
      <c r="V66" s="2">
        <v>142.91</v>
      </c>
      <c r="X66" s="1" t="s">
        <v>67</v>
      </c>
      <c r="Y66" s="2">
        <v>59.96</v>
      </c>
      <c r="Z66" s="2">
        <v>60</v>
      </c>
      <c r="AA66" s="2">
        <v>59.95</v>
      </c>
      <c r="AB66" s="2">
        <v>60</v>
      </c>
      <c r="AC66" s="2">
        <v>60</v>
      </c>
      <c r="AD66" s="2">
        <v>59.99</v>
      </c>
      <c r="AE66" s="2">
        <v>69.900000000000006</v>
      </c>
      <c r="AF66" s="2">
        <v>69.989999999999995</v>
      </c>
      <c r="AG66" s="2">
        <v>69.94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69.97</v>
      </c>
      <c r="AR66" s="2">
        <v>70</v>
      </c>
      <c r="AU66" s="1" t="s">
        <v>67</v>
      </c>
      <c r="AV66" s="2">
        <v>49.55</v>
      </c>
      <c r="AW66" s="2">
        <v>54.53</v>
      </c>
      <c r="AX66" s="2">
        <v>51.61</v>
      </c>
      <c r="AY66" s="2">
        <v>54.69</v>
      </c>
      <c r="AZ66" s="2">
        <v>53.27</v>
      </c>
      <c r="BA66" s="2">
        <v>53.76</v>
      </c>
      <c r="BB66" s="2">
        <v>57.38</v>
      </c>
      <c r="BC66" s="2">
        <v>58.23</v>
      </c>
      <c r="BD66" s="2">
        <v>59.17</v>
      </c>
      <c r="BE66" s="2">
        <v>65.8</v>
      </c>
      <c r="BF66" s="2">
        <v>54.47</v>
      </c>
      <c r="BG66" s="2">
        <v>65.349999999999994</v>
      </c>
      <c r="BH66" s="2">
        <v>58.36</v>
      </c>
      <c r="BI66" s="2">
        <v>63.34</v>
      </c>
      <c r="BJ66" s="2">
        <v>59.86</v>
      </c>
      <c r="BK66" s="2">
        <v>65.27</v>
      </c>
      <c r="BL66" s="2">
        <v>61.13</v>
      </c>
      <c r="BM66" s="2">
        <v>68.06</v>
      </c>
      <c r="BN66" s="2">
        <v>63.3</v>
      </c>
      <c r="BO66" s="2">
        <v>69.38</v>
      </c>
      <c r="BR66" s="1" t="s">
        <v>67</v>
      </c>
      <c r="BS66" s="2">
        <v>-0.27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</v>
      </c>
      <c r="BZ66" s="2">
        <v>-0.28000000000000003</v>
      </c>
      <c r="CA66" s="2">
        <v>-0.31</v>
      </c>
      <c r="CB66" s="2">
        <v>-0.11</v>
      </c>
      <c r="CC66" s="2">
        <v>-0.88</v>
      </c>
      <c r="CD66" s="2">
        <v>-0.22</v>
      </c>
      <c r="CE66" s="2">
        <v>-0.5</v>
      </c>
      <c r="CF66" s="2">
        <v>-0.26</v>
      </c>
      <c r="CG66" s="2">
        <v>-0.55000000000000004</v>
      </c>
      <c r="CH66" s="2">
        <v>-0.24</v>
      </c>
      <c r="CI66" s="2">
        <v>-0.42</v>
      </c>
      <c r="CJ66" s="2">
        <v>-0.08</v>
      </c>
      <c r="CK66" s="2">
        <v>-0.41</v>
      </c>
      <c r="CL66" s="2">
        <v>-0.03</v>
      </c>
    </row>
    <row r="67" spans="2:90" x14ac:dyDescent="0.3">
      <c r="B67" s="1" t="s">
        <v>68</v>
      </c>
      <c r="C67" s="2">
        <v>2378.4699999999998</v>
      </c>
      <c r="D67" s="2">
        <v>172.86</v>
      </c>
      <c r="E67" s="2">
        <v>1881.76</v>
      </c>
      <c r="F67" s="2">
        <v>104.25</v>
      </c>
      <c r="G67" s="2">
        <v>601.09</v>
      </c>
      <c r="H67" s="2">
        <v>840.16</v>
      </c>
      <c r="I67" s="2">
        <v>1684.17</v>
      </c>
      <c r="J67" s="2">
        <v>1025.44</v>
      </c>
      <c r="K67" s="2">
        <v>2656.17</v>
      </c>
      <c r="L67" s="2">
        <v>1172.67</v>
      </c>
      <c r="M67" s="2">
        <v>4855.8900000000003</v>
      </c>
      <c r="N67" s="2">
        <v>2229.69</v>
      </c>
      <c r="O67" s="2">
        <v>4207.78</v>
      </c>
      <c r="P67" s="2">
        <v>1631.39</v>
      </c>
      <c r="Q67" s="2">
        <v>5176.6400000000003</v>
      </c>
      <c r="R67" s="2">
        <v>1725.69</v>
      </c>
      <c r="S67" s="2">
        <v>1801.37</v>
      </c>
      <c r="T67" s="2">
        <v>1422.95</v>
      </c>
      <c r="U67" s="2">
        <v>1416.85</v>
      </c>
      <c r="V67" s="2">
        <v>1168.33</v>
      </c>
      <c r="X67" s="1" t="s">
        <v>68</v>
      </c>
      <c r="Y67" s="2">
        <v>58.59</v>
      </c>
      <c r="Z67" s="2">
        <v>60</v>
      </c>
      <c r="AA67" s="2">
        <v>58.71</v>
      </c>
      <c r="AB67" s="2">
        <v>60</v>
      </c>
      <c r="AC67" s="2">
        <v>57.52</v>
      </c>
      <c r="AD67" s="2">
        <v>59.9</v>
      </c>
      <c r="AE67" s="2">
        <v>66.56</v>
      </c>
      <c r="AF67" s="2">
        <v>69.97</v>
      </c>
      <c r="AG67" s="2">
        <v>65.180000000000007</v>
      </c>
      <c r="AH67" s="2">
        <v>69.989999999999995</v>
      </c>
      <c r="AI67" s="2">
        <v>62.94</v>
      </c>
      <c r="AJ67" s="2">
        <v>69.989999999999995</v>
      </c>
      <c r="AK67" s="2">
        <v>64.819999999999993</v>
      </c>
      <c r="AL67" s="2">
        <v>69.989999999999995</v>
      </c>
      <c r="AM67" s="2">
        <v>65.77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25.35</v>
      </c>
      <c r="AW67" s="2">
        <v>54.82</v>
      </c>
      <c r="AX67" s="2">
        <v>25.84</v>
      </c>
      <c r="AY67" s="2">
        <v>54.94</v>
      </c>
      <c r="AZ67" s="2">
        <v>34.020000000000003</v>
      </c>
      <c r="BA67" s="2">
        <v>31.79</v>
      </c>
      <c r="BB67" s="2">
        <v>40.479999999999997</v>
      </c>
      <c r="BC67" s="2">
        <v>56</v>
      </c>
      <c r="BD67" s="2">
        <v>39.630000000000003</v>
      </c>
      <c r="BE67" s="2">
        <v>61.51</v>
      </c>
      <c r="BF67" s="2">
        <v>37.659999999999997</v>
      </c>
      <c r="BG67" s="2">
        <v>61.42</v>
      </c>
      <c r="BH67" s="2">
        <v>38.340000000000003</v>
      </c>
      <c r="BI67" s="2">
        <v>60.84</v>
      </c>
      <c r="BJ67" s="2">
        <v>38.86</v>
      </c>
      <c r="BK67" s="2">
        <v>62.25</v>
      </c>
      <c r="BL67" s="2">
        <v>58.71</v>
      </c>
      <c r="BM67" s="2">
        <v>65.930000000000007</v>
      </c>
      <c r="BN67" s="2">
        <v>66.260000000000005</v>
      </c>
      <c r="BO67" s="2">
        <v>67.94</v>
      </c>
      <c r="BR67" s="1" t="s">
        <v>68</v>
      </c>
      <c r="BS67" s="2">
        <v>-1.75</v>
      </c>
      <c r="BT67" s="2">
        <v>-0.12</v>
      </c>
      <c r="BU67" s="2">
        <v>-1.69</v>
      </c>
      <c r="BV67" s="2">
        <v>-0.12</v>
      </c>
      <c r="BW67" s="2">
        <v>-0.36</v>
      </c>
      <c r="BX67" s="2">
        <v>-0.44</v>
      </c>
      <c r="BY67" s="2">
        <v>-0.93</v>
      </c>
      <c r="BZ67" s="2">
        <v>-0.34</v>
      </c>
      <c r="CA67" s="2">
        <v>-1.19</v>
      </c>
      <c r="CB67" s="2">
        <v>-0.24</v>
      </c>
      <c r="CC67" s="2">
        <v>-2.2999999999999998</v>
      </c>
      <c r="CD67" s="2">
        <v>-0.43</v>
      </c>
      <c r="CE67" s="2">
        <v>-1.85</v>
      </c>
      <c r="CF67" s="2">
        <v>-0.37</v>
      </c>
      <c r="CG67" s="2">
        <v>-2.4</v>
      </c>
      <c r="CH67" s="2">
        <v>-0.41</v>
      </c>
      <c r="CI67" s="2">
        <v>-0.56000000000000005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376</v>
      </c>
      <c r="D68" s="2">
        <v>56.86</v>
      </c>
      <c r="E68" s="2">
        <v>292.82</v>
      </c>
      <c r="F68" s="2">
        <v>38.89</v>
      </c>
      <c r="G68" s="2">
        <v>121</v>
      </c>
      <c r="H68" s="2">
        <v>140.08000000000001</v>
      </c>
      <c r="I68" s="2">
        <v>483.92</v>
      </c>
      <c r="J68" s="2">
        <v>209.95</v>
      </c>
      <c r="K68" s="2">
        <v>627.13</v>
      </c>
      <c r="L68" s="2">
        <v>254.01</v>
      </c>
      <c r="M68" s="2">
        <v>1197.55</v>
      </c>
      <c r="N68" s="2">
        <v>446.32</v>
      </c>
      <c r="O68" s="2">
        <v>913.71</v>
      </c>
      <c r="P68" s="2">
        <v>309.02</v>
      </c>
      <c r="Q68" s="2">
        <v>813.73</v>
      </c>
      <c r="R68" s="2">
        <v>373.77</v>
      </c>
      <c r="S68" s="2">
        <v>315.83</v>
      </c>
      <c r="T68" s="2">
        <v>252.01</v>
      </c>
      <c r="U68" s="2">
        <v>341.54</v>
      </c>
      <c r="V68" s="2">
        <v>270.31</v>
      </c>
      <c r="X68" s="1" t="s">
        <v>69</v>
      </c>
      <c r="Y68" s="2">
        <v>59.39</v>
      </c>
      <c r="Z68" s="2">
        <v>60</v>
      </c>
      <c r="AA68" s="2">
        <v>59.95</v>
      </c>
      <c r="AB68" s="2">
        <v>60</v>
      </c>
      <c r="AC68" s="2">
        <v>59.75</v>
      </c>
      <c r="AD68" s="2">
        <v>59.15</v>
      </c>
      <c r="AE68" s="2">
        <v>69.41</v>
      </c>
      <c r="AF68" s="2">
        <v>69.989999999999995</v>
      </c>
      <c r="AG68" s="2">
        <v>69.959999999999994</v>
      </c>
      <c r="AH68" s="2">
        <v>69.989999999999995</v>
      </c>
      <c r="AI68" s="2">
        <v>69.959999999999994</v>
      </c>
      <c r="AJ68" s="2">
        <v>70</v>
      </c>
      <c r="AK68" s="2">
        <v>69.55</v>
      </c>
      <c r="AL68" s="2">
        <v>69.989999999999995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35.89</v>
      </c>
      <c r="AW68" s="2">
        <v>53.8</v>
      </c>
      <c r="AX68" s="2">
        <v>30.64</v>
      </c>
      <c r="AY68" s="2">
        <v>54.78</v>
      </c>
      <c r="AZ68" s="2">
        <v>37.020000000000003</v>
      </c>
      <c r="BA68" s="2">
        <v>36.17</v>
      </c>
      <c r="BB68" s="2">
        <v>42.07</v>
      </c>
      <c r="BC68" s="2">
        <v>52.37</v>
      </c>
      <c r="BD68" s="2">
        <v>36.74</v>
      </c>
      <c r="BE68" s="2">
        <v>59.35</v>
      </c>
      <c r="BF68" s="2">
        <v>36.630000000000003</v>
      </c>
      <c r="BG68" s="2">
        <v>60.64</v>
      </c>
      <c r="BH68" s="2">
        <v>43.36</v>
      </c>
      <c r="BI68" s="2">
        <v>60.19</v>
      </c>
      <c r="BJ68" s="2">
        <v>49.77</v>
      </c>
      <c r="BK68" s="2">
        <v>62.62</v>
      </c>
      <c r="BL68" s="2">
        <v>62.77</v>
      </c>
      <c r="BM68" s="2">
        <v>64.89</v>
      </c>
      <c r="BN68" s="2">
        <v>65.27</v>
      </c>
      <c r="BO68" s="2">
        <v>66.48</v>
      </c>
      <c r="BR68" s="1" t="s">
        <v>69</v>
      </c>
      <c r="BS68" s="2">
        <v>-0.86</v>
      </c>
      <c r="BT68" s="2">
        <v>-0.15</v>
      </c>
      <c r="BU68" s="2">
        <v>-1.24</v>
      </c>
      <c r="BV68" s="2">
        <v>-0.12</v>
      </c>
      <c r="BW68" s="2">
        <v>-0.31</v>
      </c>
      <c r="BX68" s="2">
        <v>-0.32</v>
      </c>
      <c r="BY68" s="2">
        <v>-0.9</v>
      </c>
      <c r="BZ68" s="2">
        <v>-0.46</v>
      </c>
      <c r="CA68" s="2">
        <v>-1.55</v>
      </c>
      <c r="CB68" s="2">
        <v>-0.31</v>
      </c>
      <c r="CC68" s="2">
        <v>-2.81</v>
      </c>
      <c r="CD68" s="2">
        <v>-0.48</v>
      </c>
      <c r="CE68" s="2">
        <v>-1.51</v>
      </c>
      <c r="CF68" s="2">
        <v>-0.4</v>
      </c>
      <c r="CG68" s="2">
        <v>-1.32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70</v>
      </c>
      <c r="C69" s="2">
        <v>1046.8800000000001</v>
      </c>
      <c r="D69" s="2">
        <v>970.29</v>
      </c>
      <c r="E69" s="2">
        <v>1099.81</v>
      </c>
      <c r="F69" s="2">
        <v>521.96</v>
      </c>
      <c r="G69" s="2">
        <v>387.39</v>
      </c>
      <c r="H69" s="2">
        <v>387.59</v>
      </c>
      <c r="I69" s="2">
        <v>741.23</v>
      </c>
      <c r="J69" s="2">
        <v>1528.38</v>
      </c>
      <c r="K69" s="2">
        <v>1874.23</v>
      </c>
      <c r="L69" s="2">
        <v>1785.17</v>
      </c>
      <c r="M69" s="2">
        <v>2887.83</v>
      </c>
      <c r="N69" s="2">
        <v>2306.69</v>
      </c>
      <c r="O69" s="2">
        <v>1899.09</v>
      </c>
      <c r="P69" s="2">
        <v>1574.99</v>
      </c>
      <c r="Q69" s="2">
        <v>1849.48</v>
      </c>
      <c r="R69" s="2">
        <v>1761.27</v>
      </c>
      <c r="S69" s="2">
        <v>1469.28</v>
      </c>
      <c r="T69" s="2">
        <v>972.51</v>
      </c>
      <c r="U69" s="2">
        <v>1681.84</v>
      </c>
      <c r="V69" s="2">
        <v>1180.48</v>
      </c>
      <c r="X69" s="1" t="s">
        <v>70</v>
      </c>
      <c r="Y69" s="2">
        <v>59.94</v>
      </c>
      <c r="Z69" s="2">
        <v>59.94</v>
      </c>
      <c r="AA69" s="2">
        <v>59.75</v>
      </c>
      <c r="AB69" s="2">
        <v>59.94</v>
      </c>
      <c r="AC69" s="2">
        <v>59.95</v>
      </c>
      <c r="AD69" s="2">
        <v>59.9</v>
      </c>
      <c r="AE69" s="2">
        <v>69.98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</v>
      </c>
      <c r="AK69" s="2">
        <v>69.989999999999995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69.989999999999995</v>
      </c>
      <c r="AQ69" s="2">
        <v>70</v>
      </c>
      <c r="AR69" s="2">
        <v>69.989999999999995</v>
      </c>
      <c r="AU69" s="1" t="s">
        <v>70</v>
      </c>
      <c r="AV69" s="2">
        <v>38.6</v>
      </c>
      <c r="AW69" s="2">
        <v>40.57</v>
      </c>
      <c r="AX69" s="2">
        <v>38.700000000000003</v>
      </c>
      <c r="AY69" s="2">
        <v>50.26</v>
      </c>
      <c r="AZ69" s="2">
        <v>39.25</v>
      </c>
      <c r="BA69" s="2">
        <v>38.909999999999997</v>
      </c>
      <c r="BB69" s="2">
        <v>59.81</v>
      </c>
      <c r="BC69" s="2">
        <v>46.13</v>
      </c>
      <c r="BD69" s="2">
        <v>50</v>
      </c>
      <c r="BE69" s="2">
        <v>48.56</v>
      </c>
      <c r="BF69" s="2">
        <v>52.21</v>
      </c>
      <c r="BG69" s="2">
        <v>54.45</v>
      </c>
      <c r="BH69" s="2">
        <v>56.14</v>
      </c>
      <c r="BI69" s="2">
        <v>56.98</v>
      </c>
      <c r="BJ69" s="2">
        <v>60.98</v>
      </c>
      <c r="BK69" s="2">
        <v>60.43</v>
      </c>
      <c r="BL69" s="2">
        <v>63.12</v>
      </c>
      <c r="BM69" s="2">
        <v>64.599999999999994</v>
      </c>
      <c r="BN69" s="2">
        <v>63.79</v>
      </c>
      <c r="BO69" s="2">
        <v>67</v>
      </c>
      <c r="BR69" s="1" t="s">
        <v>70</v>
      </c>
      <c r="BS69" s="2">
        <v>-0.72</v>
      </c>
      <c r="BT69" s="2">
        <v>-0.62</v>
      </c>
      <c r="BU69" s="2">
        <v>-0.71</v>
      </c>
      <c r="BV69" s="2">
        <v>-0.25</v>
      </c>
      <c r="BW69" s="2">
        <v>-0.26</v>
      </c>
      <c r="BX69" s="2">
        <v>-0.27</v>
      </c>
      <c r="BY69" s="2">
        <v>-0.23</v>
      </c>
      <c r="BZ69" s="2">
        <v>-0.71</v>
      </c>
      <c r="CA69" s="2">
        <v>-0.68</v>
      </c>
      <c r="CB69" s="2">
        <v>-0.75</v>
      </c>
      <c r="CC69" s="2">
        <v>-1.05</v>
      </c>
      <c r="CD69" s="2">
        <v>-0.88</v>
      </c>
      <c r="CE69" s="2">
        <v>-0.61</v>
      </c>
      <c r="CF69" s="2">
        <v>-0.56999999999999995</v>
      </c>
      <c r="CG69" s="2">
        <v>-0.48</v>
      </c>
      <c r="CH69" s="2">
        <v>-0.52</v>
      </c>
      <c r="CI69" s="2">
        <v>-0.32</v>
      </c>
      <c r="CJ69" s="2">
        <v>-0.24</v>
      </c>
      <c r="CK69" s="2">
        <v>-0.37</v>
      </c>
      <c r="CL69" s="2">
        <v>-0.17</v>
      </c>
    </row>
    <row r="70" spans="2:90" x14ac:dyDescent="0.3">
      <c r="B70" s="1" t="s">
        <v>71</v>
      </c>
      <c r="C70" s="2">
        <v>203.72</v>
      </c>
      <c r="D70" s="2">
        <v>192.69</v>
      </c>
      <c r="E70" s="2">
        <v>191.21</v>
      </c>
      <c r="F70" s="2">
        <v>219.21</v>
      </c>
      <c r="G70" s="2">
        <v>67.010000000000005</v>
      </c>
      <c r="H70" s="2">
        <v>53.57</v>
      </c>
      <c r="I70" s="2">
        <v>115.71</v>
      </c>
      <c r="J70" s="2">
        <v>174.94</v>
      </c>
      <c r="K70" s="2">
        <v>131.13999999999999</v>
      </c>
      <c r="L70" s="2">
        <v>329.23</v>
      </c>
      <c r="M70" s="2">
        <v>328.66</v>
      </c>
      <c r="N70" s="2">
        <v>601.47</v>
      </c>
      <c r="O70" s="2">
        <v>239.95</v>
      </c>
      <c r="P70" s="2">
        <v>342.76</v>
      </c>
      <c r="Q70" s="2">
        <v>314.68</v>
      </c>
      <c r="R70" s="2">
        <v>537.71</v>
      </c>
      <c r="S70" s="2">
        <v>266.14</v>
      </c>
      <c r="T70" s="2">
        <v>300.98</v>
      </c>
      <c r="U70" s="2">
        <v>261.89999999999998</v>
      </c>
      <c r="V70" s="2">
        <v>186</v>
      </c>
      <c r="X70" s="1" t="s">
        <v>71</v>
      </c>
      <c r="Y70" s="2">
        <v>59.97</v>
      </c>
      <c r="Z70" s="2">
        <v>59.97</v>
      </c>
      <c r="AA70" s="2">
        <v>59.7</v>
      </c>
      <c r="AB70" s="2">
        <v>59.65</v>
      </c>
      <c r="AC70" s="2">
        <v>59.86</v>
      </c>
      <c r="AD70" s="2">
        <v>59.73</v>
      </c>
      <c r="AE70" s="2">
        <v>69.959999999999994</v>
      </c>
      <c r="AF70" s="2">
        <v>69.900000000000006</v>
      </c>
      <c r="AG70" s="2">
        <v>69.97</v>
      </c>
      <c r="AH70" s="2">
        <v>69.41</v>
      </c>
      <c r="AI70" s="2">
        <v>69.959999999999994</v>
      </c>
      <c r="AJ70" s="2">
        <v>69.319999999999993</v>
      </c>
      <c r="AK70" s="2">
        <v>69.959999999999994</v>
      </c>
      <c r="AL70" s="2">
        <v>69.77</v>
      </c>
      <c r="AM70" s="2">
        <v>69.97</v>
      </c>
      <c r="AN70" s="2">
        <v>69.81</v>
      </c>
      <c r="AO70" s="2">
        <v>69.98</v>
      </c>
      <c r="AP70" s="2">
        <v>69.900000000000006</v>
      </c>
      <c r="AQ70" s="2">
        <v>69.989999999999995</v>
      </c>
      <c r="AR70" s="2">
        <v>69.989999999999995</v>
      </c>
      <c r="AU70" s="1" t="s">
        <v>71</v>
      </c>
      <c r="AV70" s="2">
        <v>31.41</v>
      </c>
      <c r="AW70" s="2">
        <v>31.72</v>
      </c>
      <c r="AX70" s="2">
        <v>33.57</v>
      </c>
      <c r="AY70" s="2">
        <v>33.770000000000003</v>
      </c>
      <c r="AZ70" s="2">
        <v>38.76</v>
      </c>
      <c r="BA70" s="2">
        <v>38.42</v>
      </c>
      <c r="BB70" s="2">
        <v>58.84</v>
      </c>
      <c r="BC70" s="2">
        <v>44.91</v>
      </c>
      <c r="BD70" s="2">
        <v>62.71</v>
      </c>
      <c r="BE70" s="2">
        <v>44.75</v>
      </c>
      <c r="BF70" s="2">
        <v>59.26</v>
      </c>
      <c r="BG70" s="2">
        <v>44.7</v>
      </c>
      <c r="BH70" s="2">
        <v>59.68</v>
      </c>
      <c r="BI70" s="2">
        <v>47.91</v>
      </c>
      <c r="BJ70" s="2">
        <v>60.04</v>
      </c>
      <c r="BK70" s="2">
        <v>48.16</v>
      </c>
      <c r="BL70" s="2">
        <v>61.83</v>
      </c>
      <c r="BM70" s="2">
        <v>51.62</v>
      </c>
      <c r="BN70" s="2">
        <v>64.5</v>
      </c>
      <c r="BO70" s="2">
        <v>66.37</v>
      </c>
      <c r="BR70" s="1" t="s">
        <v>71</v>
      </c>
      <c r="BS70" s="2">
        <v>-1.18</v>
      </c>
      <c r="BT70" s="2">
        <v>-1.1599999999999999</v>
      </c>
      <c r="BU70" s="2">
        <v>-1.02</v>
      </c>
      <c r="BV70" s="2">
        <v>-1</v>
      </c>
      <c r="BW70" s="2">
        <v>-0.27</v>
      </c>
      <c r="BX70" s="2">
        <v>-0.28000000000000003</v>
      </c>
      <c r="BY70" s="2">
        <v>-0.26</v>
      </c>
      <c r="BZ70" s="2">
        <v>-0.76</v>
      </c>
      <c r="CA70" s="2">
        <v>-0.2</v>
      </c>
      <c r="CB70" s="2">
        <v>-0.95</v>
      </c>
      <c r="CC70" s="2">
        <v>-0.56000000000000005</v>
      </c>
      <c r="CD70" s="2">
        <v>-1.72</v>
      </c>
      <c r="CE70" s="2">
        <v>-0.43</v>
      </c>
      <c r="CF70" s="2">
        <v>-1.1399999999999999</v>
      </c>
      <c r="CG70" s="2">
        <v>-0.54</v>
      </c>
      <c r="CH70" s="2">
        <v>-1.47</v>
      </c>
      <c r="CI70" s="2">
        <v>-0.38</v>
      </c>
      <c r="CJ70" s="2">
        <v>-1.03</v>
      </c>
      <c r="CK70" s="2">
        <v>-0.33</v>
      </c>
      <c r="CL70" s="2">
        <v>-0.21</v>
      </c>
    </row>
    <row r="71" spans="2:90" x14ac:dyDescent="0.3">
      <c r="B71" s="1" t="s">
        <v>72</v>
      </c>
      <c r="C71" s="2">
        <v>1050.67</v>
      </c>
      <c r="D71" s="2">
        <v>1250.5999999999999</v>
      </c>
      <c r="E71" s="2">
        <v>555.22</v>
      </c>
      <c r="F71" s="2">
        <v>854.51</v>
      </c>
      <c r="G71" s="2">
        <v>196.35</v>
      </c>
      <c r="H71" s="2">
        <v>363.42</v>
      </c>
      <c r="I71" s="2">
        <v>588.39</v>
      </c>
      <c r="J71" s="2">
        <v>905.28</v>
      </c>
      <c r="K71" s="2">
        <v>571.53</v>
      </c>
      <c r="L71" s="2">
        <v>1342.87</v>
      </c>
      <c r="M71" s="2">
        <v>1146.8900000000001</v>
      </c>
      <c r="N71" s="2">
        <v>2267.9899999999998</v>
      </c>
      <c r="O71" s="2">
        <v>837.01</v>
      </c>
      <c r="P71" s="2">
        <v>1390.84</v>
      </c>
      <c r="Q71" s="2">
        <v>1282.8900000000001</v>
      </c>
      <c r="R71" s="2">
        <v>1577.93</v>
      </c>
      <c r="S71" s="2">
        <v>891.62</v>
      </c>
      <c r="T71" s="2">
        <v>704.7</v>
      </c>
      <c r="U71" s="2">
        <v>895.58</v>
      </c>
      <c r="V71" s="2">
        <v>835.11</v>
      </c>
      <c r="X71" s="1" t="s">
        <v>72</v>
      </c>
      <c r="Y71" s="2">
        <v>58.85</v>
      </c>
      <c r="Z71" s="2">
        <v>58.49</v>
      </c>
      <c r="AA71" s="2">
        <v>59.76</v>
      </c>
      <c r="AB71" s="2">
        <v>58.3</v>
      </c>
      <c r="AC71" s="2">
        <v>59.6</v>
      </c>
      <c r="AD71" s="2">
        <v>58.8</v>
      </c>
      <c r="AE71" s="2">
        <v>69.72</v>
      </c>
      <c r="AF71" s="2">
        <v>67.53</v>
      </c>
      <c r="AG71" s="2">
        <v>69.95</v>
      </c>
      <c r="AH71" s="2">
        <v>61.6</v>
      </c>
      <c r="AI71" s="2">
        <v>69.91</v>
      </c>
      <c r="AJ71" s="2">
        <v>61.57</v>
      </c>
      <c r="AK71" s="2">
        <v>69.91</v>
      </c>
      <c r="AL71" s="2">
        <v>66.099999999999994</v>
      </c>
      <c r="AM71" s="2">
        <v>69.83</v>
      </c>
      <c r="AN71" s="2">
        <v>69.47</v>
      </c>
      <c r="AO71" s="2">
        <v>69.97</v>
      </c>
      <c r="AP71" s="2">
        <v>69.959999999999994</v>
      </c>
      <c r="AQ71" s="2">
        <v>69.98</v>
      </c>
      <c r="AR71" s="2">
        <v>69.98</v>
      </c>
      <c r="AU71" s="1" t="s">
        <v>72</v>
      </c>
      <c r="AV71" s="2">
        <v>26.62</v>
      </c>
      <c r="AW71" s="2">
        <v>26.3</v>
      </c>
      <c r="AX71" s="2">
        <v>34.33</v>
      </c>
      <c r="AY71" s="2">
        <v>27.74</v>
      </c>
      <c r="AZ71" s="2">
        <v>41.03</v>
      </c>
      <c r="BA71" s="2">
        <v>27.04</v>
      </c>
      <c r="BB71" s="2">
        <v>51.13</v>
      </c>
      <c r="BC71" s="2">
        <v>40.880000000000003</v>
      </c>
      <c r="BD71" s="2">
        <v>58.74</v>
      </c>
      <c r="BE71" s="2">
        <v>38.659999999999997</v>
      </c>
      <c r="BF71" s="2">
        <v>57.03</v>
      </c>
      <c r="BG71" s="2">
        <v>38.68</v>
      </c>
      <c r="BH71" s="2">
        <v>56.88</v>
      </c>
      <c r="BI71" s="2">
        <v>42.67</v>
      </c>
      <c r="BJ71" s="2">
        <v>54.75</v>
      </c>
      <c r="BK71" s="2">
        <v>50.91</v>
      </c>
      <c r="BL71" s="2">
        <v>60.44</v>
      </c>
      <c r="BM71" s="2">
        <v>59.4</v>
      </c>
      <c r="BN71" s="2">
        <v>63.13</v>
      </c>
      <c r="BO71" s="2">
        <v>63.78</v>
      </c>
      <c r="BR71" s="1" t="s">
        <v>72</v>
      </c>
      <c r="BS71" s="2">
        <v>-1.6</v>
      </c>
      <c r="BT71" s="2">
        <v>-1.63</v>
      </c>
      <c r="BU71" s="2">
        <v>-0.97</v>
      </c>
      <c r="BV71" s="2">
        <v>-1.47</v>
      </c>
      <c r="BW71" s="2">
        <v>-0.23</v>
      </c>
      <c r="BX71" s="2">
        <v>-0.6</v>
      </c>
      <c r="BY71" s="2">
        <v>-0.5</v>
      </c>
      <c r="BZ71" s="2">
        <v>-0.93</v>
      </c>
      <c r="CA71" s="2">
        <v>-0.33</v>
      </c>
      <c r="CB71" s="2">
        <v>-1.1599999999999999</v>
      </c>
      <c r="CC71" s="2">
        <v>-0.7</v>
      </c>
      <c r="CD71" s="2">
        <v>-2.08</v>
      </c>
      <c r="CE71" s="2">
        <v>-0.56999999999999995</v>
      </c>
      <c r="CF71" s="2">
        <v>-1.45</v>
      </c>
      <c r="CG71" s="2">
        <v>-0.9</v>
      </c>
      <c r="CH71" s="2">
        <v>-1.2</v>
      </c>
      <c r="CI71" s="2">
        <v>-0.46</v>
      </c>
      <c r="CJ71" s="2">
        <v>-0.52</v>
      </c>
      <c r="CK71" s="2">
        <v>-0.42</v>
      </c>
      <c r="CL71" s="2">
        <v>-0.38</v>
      </c>
    </row>
    <row r="72" spans="2:90" x14ac:dyDescent="0.3">
      <c r="B72" s="1" t="s">
        <v>73</v>
      </c>
      <c r="C72" s="2">
        <v>100.85</v>
      </c>
      <c r="D72" s="2">
        <v>102.21</v>
      </c>
      <c r="E72" s="2">
        <v>17.829999999999998</v>
      </c>
      <c r="F72" s="2">
        <v>22.18</v>
      </c>
      <c r="G72" s="2">
        <v>2.21</v>
      </c>
      <c r="H72" s="2">
        <v>10.48</v>
      </c>
      <c r="I72" s="2">
        <v>27.86</v>
      </c>
      <c r="J72" s="2">
        <v>142.51</v>
      </c>
      <c r="K72" s="2">
        <v>120.61</v>
      </c>
      <c r="L72" s="2">
        <v>125.45</v>
      </c>
      <c r="M72" s="2">
        <v>231.89</v>
      </c>
      <c r="N72" s="2">
        <v>258.07</v>
      </c>
      <c r="O72" s="2">
        <v>225.92</v>
      </c>
      <c r="P72" s="2">
        <v>233.68</v>
      </c>
      <c r="Q72" s="2">
        <v>208.71</v>
      </c>
      <c r="R72" s="2">
        <v>213.75</v>
      </c>
      <c r="S72" s="2">
        <v>241.46</v>
      </c>
      <c r="T72" s="2">
        <v>136.52000000000001</v>
      </c>
      <c r="U72" s="2">
        <v>262.49</v>
      </c>
      <c r="V72" s="2">
        <v>160.33000000000001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48.57</v>
      </c>
      <c r="AX72" s="2">
        <v>54.93</v>
      </c>
      <c r="AY72" s="2">
        <v>54.9</v>
      </c>
      <c r="AZ72" s="2">
        <v>54.96</v>
      </c>
      <c r="BA72" s="2">
        <v>54.82</v>
      </c>
      <c r="BB72" s="2">
        <v>64.95</v>
      </c>
      <c r="BC72" s="2">
        <v>50.1</v>
      </c>
      <c r="BD72" s="2">
        <v>65.989999999999995</v>
      </c>
      <c r="BE72" s="2">
        <v>52.77</v>
      </c>
      <c r="BF72" s="2">
        <v>60</v>
      </c>
      <c r="BG72" s="2">
        <v>52.68</v>
      </c>
      <c r="BH72" s="2">
        <v>57.38</v>
      </c>
      <c r="BI72" s="2">
        <v>56.42</v>
      </c>
      <c r="BJ72" s="2">
        <v>60.88</v>
      </c>
      <c r="BK72" s="2">
        <v>62.45</v>
      </c>
      <c r="BL72" s="2">
        <v>63.21</v>
      </c>
      <c r="BM72" s="2">
        <v>66.239999999999995</v>
      </c>
      <c r="BN72" s="2">
        <v>65.69</v>
      </c>
      <c r="BO72" s="2">
        <v>67.91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</v>
      </c>
      <c r="CG72" s="2">
        <v>-0.49</v>
      </c>
      <c r="CH72" s="2">
        <v>-0.39</v>
      </c>
      <c r="CI72" s="2">
        <v>-0.31</v>
      </c>
      <c r="CJ72" s="2">
        <v>-0.17</v>
      </c>
      <c r="CK72" s="2">
        <v>-0.25</v>
      </c>
      <c r="CL72" s="2">
        <v>-0.12</v>
      </c>
    </row>
    <row r="73" spans="2:90" x14ac:dyDescent="0.3">
      <c r="W73" s="5">
        <f>SUM(C65:V72)/$W$45</f>
        <v>6.441437834525171E-2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10.45</v>
      </c>
      <c r="D79" s="2">
        <v>16.059999999999999</v>
      </c>
      <c r="E79" s="2">
        <v>2.1</v>
      </c>
      <c r="F79" s="2">
        <v>2.09</v>
      </c>
      <c r="G79" s="2">
        <v>0.69</v>
      </c>
      <c r="H79" s="2">
        <v>1.65</v>
      </c>
      <c r="I79" s="2">
        <v>18.079999999999998</v>
      </c>
      <c r="J79" s="2">
        <v>4.5199999999999996</v>
      </c>
      <c r="K79" s="2">
        <v>21.37</v>
      </c>
      <c r="L79" s="2">
        <v>12.84</v>
      </c>
      <c r="M79" s="2">
        <v>20.56</v>
      </c>
      <c r="N79" s="2">
        <v>10.82</v>
      </c>
      <c r="O79" s="2">
        <v>17.34</v>
      </c>
      <c r="P79" s="2">
        <v>2.57</v>
      </c>
      <c r="Q79" s="2">
        <v>9.27</v>
      </c>
      <c r="R79" s="2">
        <v>4.7300000000000004</v>
      </c>
      <c r="S79" s="2">
        <v>1.08</v>
      </c>
      <c r="T79" s="2">
        <v>1.89</v>
      </c>
      <c r="U79" s="2">
        <v>1.69</v>
      </c>
      <c r="V79" s="2">
        <v>1.46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54.7</v>
      </c>
      <c r="D80" s="2">
        <v>21.49</v>
      </c>
      <c r="E80" s="2">
        <v>30.71</v>
      </c>
      <c r="F80" s="2">
        <v>14.59</v>
      </c>
      <c r="G80" s="2">
        <v>7.22</v>
      </c>
      <c r="H80" s="2">
        <v>13.14</v>
      </c>
      <c r="I80" s="2">
        <v>50.33</v>
      </c>
      <c r="J80" s="2">
        <v>76.23</v>
      </c>
      <c r="K80" s="2">
        <v>62.74</v>
      </c>
      <c r="L80" s="2">
        <v>65.91</v>
      </c>
      <c r="M80" s="2">
        <v>112.26</v>
      </c>
      <c r="N80" s="2">
        <v>92.31</v>
      </c>
      <c r="O80" s="2">
        <v>85.11</v>
      </c>
      <c r="P80" s="2">
        <v>80.11</v>
      </c>
      <c r="Q80" s="2">
        <v>109.73</v>
      </c>
      <c r="R80" s="2">
        <v>77.150000000000006</v>
      </c>
      <c r="S80" s="2">
        <v>74.8</v>
      </c>
      <c r="T80" s="2">
        <v>62.13</v>
      </c>
      <c r="U80" s="2">
        <v>95.41</v>
      </c>
      <c r="V80" s="2">
        <v>59.93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1.57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1.67</v>
      </c>
      <c r="BC80" s="2">
        <v>1.65</v>
      </c>
      <c r="BD80" s="2">
        <v>2.0299999999999998</v>
      </c>
      <c r="BE80" s="2">
        <v>1.82</v>
      </c>
      <c r="BF80" s="2">
        <v>3.97</v>
      </c>
      <c r="BG80" s="2">
        <v>3.31</v>
      </c>
      <c r="BH80" s="2">
        <v>2.98</v>
      </c>
      <c r="BI80" s="2">
        <v>2.75</v>
      </c>
      <c r="BJ80" s="2">
        <v>3.81</v>
      </c>
      <c r="BK80" s="2">
        <v>3.49</v>
      </c>
      <c r="BL80" s="2">
        <v>3.34</v>
      </c>
      <c r="BM80" s="2">
        <v>3</v>
      </c>
      <c r="BN80" s="2">
        <v>4.2699999999999996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</v>
      </c>
      <c r="BY80" s="2">
        <v>-0.18</v>
      </c>
      <c r="BZ80" s="2">
        <v>-0.17</v>
      </c>
      <c r="CA80" s="2">
        <v>-0.15</v>
      </c>
      <c r="CB80" s="2">
        <v>-0.06</v>
      </c>
      <c r="CC80" s="2">
        <v>-0.22</v>
      </c>
      <c r="CD80" s="2">
        <v>-7.0000000000000007E-2</v>
      </c>
      <c r="CE80" s="2">
        <v>-0.17</v>
      </c>
      <c r="CF80" s="2">
        <v>-0.1</v>
      </c>
      <c r="CG80" s="2">
        <v>-0.14000000000000001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588.95000000000005</v>
      </c>
      <c r="D81" s="2">
        <v>60.25</v>
      </c>
      <c r="E81" s="2">
        <v>482.69</v>
      </c>
      <c r="F81" s="2">
        <v>29.96</v>
      </c>
      <c r="G81" s="2">
        <v>111.82</v>
      </c>
      <c r="H81" s="2">
        <v>237.47</v>
      </c>
      <c r="I81" s="2">
        <v>566.49</v>
      </c>
      <c r="J81" s="2">
        <v>385.39</v>
      </c>
      <c r="K81" s="2">
        <v>701.19</v>
      </c>
      <c r="L81" s="2">
        <v>360.36</v>
      </c>
      <c r="M81" s="2">
        <v>1260.1500000000001</v>
      </c>
      <c r="N81" s="2">
        <v>591.05999999999995</v>
      </c>
      <c r="O81" s="2">
        <v>1145.76</v>
      </c>
      <c r="P81" s="2">
        <v>499.9</v>
      </c>
      <c r="Q81" s="2">
        <v>1463.55</v>
      </c>
      <c r="R81" s="2">
        <v>528.66999999999996</v>
      </c>
      <c r="S81" s="2">
        <v>455.29</v>
      </c>
      <c r="T81" s="2">
        <v>407.66</v>
      </c>
      <c r="U81" s="2">
        <v>423.37</v>
      </c>
      <c r="V81" s="2">
        <v>351.61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3.43</v>
      </c>
      <c r="AJ81" s="2">
        <v>3.09</v>
      </c>
      <c r="AK81" s="2">
        <v>2.68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3.08</v>
      </c>
      <c r="AW81" s="2">
        <v>1.42</v>
      </c>
      <c r="AX81" s="2">
        <v>3.02</v>
      </c>
      <c r="AY81" s="2">
        <v>1.42</v>
      </c>
      <c r="AZ81" s="2">
        <v>0.88</v>
      </c>
      <c r="BA81" s="2">
        <v>0.94</v>
      </c>
      <c r="BB81" s="2">
        <v>2.37</v>
      </c>
      <c r="BC81" s="2">
        <v>1.71</v>
      </c>
      <c r="BD81" s="2">
        <v>3.03</v>
      </c>
      <c r="BE81" s="2">
        <v>1.95</v>
      </c>
      <c r="BF81" s="2">
        <v>5.73</v>
      </c>
      <c r="BG81" s="2">
        <v>3.52</v>
      </c>
      <c r="BH81" s="2">
        <v>4.54</v>
      </c>
      <c r="BI81" s="2">
        <v>2.86</v>
      </c>
      <c r="BJ81" s="2">
        <v>5.87</v>
      </c>
      <c r="BK81" s="2">
        <v>3.66</v>
      </c>
      <c r="BL81" s="2">
        <v>3.47</v>
      </c>
      <c r="BM81" s="2">
        <v>3.09</v>
      </c>
      <c r="BN81" s="2">
        <v>4.07</v>
      </c>
      <c r="BO81" s="2">
        <v>3.97</v>
      </c>
      <c r="BR81" s="1" t="s">
        <v>68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-0.47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104.39</v>
      </c>
      <c r="D82" s="2">
        <v>22.19</v>
      </c>
      <c r="E82" s="2">
        <v>102.2</v>
      </c>
      <c r="F82" s="2">
        <v>11.58</v>
      </c>
      <c r="G82" s="2">
        <v>30.58</v>
      </c>
      <c r="H82" s="2">
        <v>44.86</v>
      </c>
      <c r="I82" s="2">
        <v>204.47</v>
      </c>
      <c r="J82" s="2">
        <v>93.31</v>
      </c>
      <c r="K82" s="2">
        <v>292.52</v>
      </c>
      <c r="L82" s="2">
        <v>85.12</v>
      </c>
      <c r="M82" s="2">
        <v>484.7</v>
      </c>
      <c r="N82" s="2">
        <v>122.69</v>
      </c>
      <c r="O82" s="2">
        <v>384.52</v>
      </c>
      <c r="P82" s="2">
        <v>104.81</v>
      </c>
      <c r="Q82" s="2">
        <v>369.2</v>
      </c>
      <c r="R82" s="2">
        <v>153.09</v>
      </c>
      <c r="S82" s="2">
        <v>143.19</v>
      </c>
      <c r="T82" s="2">
        <v>90.87</v>
      </c>
      <c r="U82" s="2">
        <v>135.37</v>
      </c>
      <c r="V82" s="2">
        <v>117.62</v>
      </c>
      <c r="X82" s="1" t="s">
        <v>69</v>
      </c>
      <c r="Y82" s="2">
        <v>1.31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2.17</v>
      </c>
      <c r="AW82" s="2">
        <v>1.45</v>
      </c>
      <c r="AX82" s="2">
        <v>2.5499999999999998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1.83</v>
      </c>
      <c r="BD82" s="2">
        <v>3.27</v>
      </c>
      <c r="BE82" s="2">
        <v>2.02</v>
      </c>
      <c r="BF82" s="2">
        <v>5.9</v>
      </c>
      <c r="BG82" s="2">
        <v>3.56</v>
      </c>
      <c r="BH82" s="2">
        <v>4.01</v>
      </c>
      <c r="BI82" s="2">
        <v>2.89</v>
      </c>
      <c r="BJ82" s="2">
        <v>4.58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-0.4</v>
      </c>
      <c r="BT82" s="2">
        <v>-0.1</v>
      </c>
      <c r="BU82" s="2">
        <v>-0.49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-0.25</v>
      </c>
      <c r="CA82" s="2">
        <v>-0.47</v>
      </c>
      <c r="CB82" s="2">
        <v>-0.15</v>
      </c>
      <c r="CC82" s="2">
        <v>-0.48</v>
      </c>
      <c r="CD82" s="2">
        <v>-0.13</v>
      </c>
      <c r="CE82" s="2">
        <v>-0.38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285.85000000000002</v>
      </c>
      <c r="D83" s="2">
        <v>302.43</v>
      </c>
      <c r="E83" s="2">
        <v>268.97000000000003</v>
      </c>
      <c r="F83" s="2">
        <v>95.57</v>
      </c>
      <c r="G83" s="2">
        <v>98.74</v>
      </c>
      <c r="H83" s="2">
        <v>144.62</v>
      </c>
      <c r="I83" s="2">
        <v>277.36</v>
      </c>
      <c r="J83" s="2">
        <v>524.51</v>
      </c>
      <c r="K83" s="2">
        <v>631.20000000000005</v>
      </c>
      <c r="L83" s="2">
        <v>644.48</v>
      </c>
      <c r="M83" s="2">
        <v>818.07</v>
      </c>
      <c r="N83" s="2">
        <v>721.45</v>
      </c>
      <c r="O83" s="2">
        <v>606.27</v>
      </c>
      <c r="P83" s="2">
        <v>570.41</v>
      </c>
      <c r="Q83" s="2">
        <v>646.88</v>
      </c>
      <c r="R83" s="2">
        <v>647.63</v>
      </c>
      <c r="S83" s="2">
        <v>526.39</v>
      </c>
      <c r="T83" s="2">
        <v>397.18</v>
      </c>
      <c r="U83" s="2">
        <v>591.44000000000005</v>
      </c>
      <c r="V83" s="2">
        <v>410.78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2.02</v>
      </c>
      <c r="AW83" s="2">
        <v>1.92</v>
      </c>
      <c r="AX83" s="2">
        <v>2.02</v>
      </c>
      <c r="AY83" s="2">
        <v>1.55</v>
      </c>
      <c r="AZ83" s="2">
        <v>0.76</v>
      </c>
      <c r="BA83" s="2">
        <v>0.77</v>
      </c>
      <c r="BB83" s="2">
        <v>1.61</v>
      </c>
      <c r="BC83" s="2">
        <v>2.08</v>
      </c>
      <c r="BD83" s="2">
        <v>2.4</v>
      </c>
      <c r="BE83" s="2">
        <v>2.4700000000000002</v>
      </c>
      <c r="BF83" s="2">
        <v>4.1399999999999997</v>
      </c>
      <c r="BG83" s="2">
        <v>3.97</v>
      </c>
      <c r="BH83" s="2">
        <v>3.1</v>
      </c>
      <c r="BI83" s="2">
        <v>3.05</v>
      </c>
      <c r="BJ83" s="2">
        <v>3.74</v>
      </c>
      <c r="BK83" s="2">
        <v>3.77</v>
      </c>
      <c r="BL83" s="2">
        <v>3.23</v>
      </c>
      <c r="BM83" s="2">
        <v>3.16</v>
      </c>
      <c r="BN83" s="2">
        <v>4.2300000000000004</v>
      </c>
      <c r="BO83" s="2">
        <v>4.03</v>
      </c>
      <c r="BR83" s="1" t="s">
        <v>70</v>
      </c>
      <c r="BS83" s="2">
        <v>-0.36</v>
      </c>
      <c r="BT83" s="2">
        <v>-0.32</v>
      </c>
      <c r="BU83" s="2">
        <v>-0.35</v>
      </c>
      <c r="BV83" s="2">
        <v>-0.16</v>
      </c>
      <c r="BW83" s="2">
        <v>-0.35</v>
      </c>
      <c r="BX83" s="2">
        <v>-0.35</v>
      </c>
      <c r="BY83" s="2">
        <v>-0.15</v>
      </c>
      <c r="BZ83" s="2">
        <v>-0.34</v>
      </c>
      <c r="CA83" s="2">
        <v>-0.28999999999999998</v>
      </c>
      <c r="CB83" s="2">
        <v>-0.31</v>
      </c>
      <c r="CC83" s="2">
        <v>-0.25</v>
      </c>
      <c r="CD83" s="2">
        <v>-0.22</v>
      </c>
      <c r="CE83" s="2">
        <v>-0.2</v>
      </c>
      <c r="CF83" s="2">
        <v>-0.19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68.599999999999994</v>
      </c>
      <c r="D84" s="2">
        <v>26.01</v>
      </c>
      <c r="E84" s="2">
        <v>59.02</v>
      </c>
      <c r="F84" s="2">
        <v>21.18</v>
      </c>
      <c r="G84" s="2">
        <v>16.739999999999998</v>
      </c>
      <c r="H84" s="2">
        <v>12.49</v>
      </c>
      <c r="I84" s="2">
        <v>27.12</v>
      </c>
      <c r="J84" s="2">
        <v>40.46</v>
      </c>
      <c r="K84" s="2">
        <v>29.72</v>
      </c>
      <c r="L84" s="2">
        <v>74.97</v>
      </c>
      <c r="M84" s="2">
        <v>74.02</v>
      </c>
      <c r="N84" s="2">
        <v>118.05</v>
      </c>
      <c r="O84" s="2">
        <v>66.14</v>
      </c>
      <c r="P84" s="2">
        <v>76.17</v>
      </c>
      <c r="Q84" s="2">
        <v>83.17</v>
      </c>
      <c r="R84" s="2">
        <v>128.38</v>
      </c>
      <c r="S84" s="2">
        <v>78.22</v>
      </c>
      <c r="T84" s="2">
        <v>56.4</v>
      </c>
      <c r="U84" s="2">
        <v>71.959999999999994</v>
      </c>
      <c r="V84" s="2">
        <v>46.52</v>
      </c>
      <c r="X84" s="1" t="s">
        <v>71</v>
      </c>
      <c r="Y84" s="2">
        <v>1.3</v>
      </c>
      <c r="Z84" s="2">
        <v>1.3</v>
      </c>
      <c r="AA84" s="2">
        <v>1.31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2.48</v>
      </c>
      <c r="AW84" s="2">
        <v>2.46</v>
      </c>
      <c r="AX84" s="2">
        <v>2.3199999999999998</v>
      </c>
      <c r="AY84" s="2">
        <v>2.31</v>
      </c>
      <c r="AZ84" s="2">
        <v>0.77</v>
      </c>
      <c r="BA84" s="2">
        <v>0.78</v>
      </c>
      <c r="BB84" s="2">
        <v>1.63</v>
      </c>
      <c r="BC84" s="2">
        <v>2.14</v>
      </c>
      <c r="BD84" s="2">
        <v>1.91</v>
      </c>
      <c r="BE84" s="2">
        <v>2.68</v>
      </c>
      <c r="BF84" s="2">
        <v>3.65</v>
      </c>
      <c r="BG84" s="2">
        <v>4.83</v>
      </c>
      <c r="BH84" s="2">
        <v>2.92</v>
      </c>
      <c r="BI84" s="2">
        <v>3.63</v>
      </c>
      <c r="BJ84" s="2">
        <v>3.8</v>
      </c>
      <c r="BK84" s="2">
        <v>4.7300000000000004</v>
      </c>
      <c r="BL84" s="2">
        <v>3.3</v>
      </c>
      <c r="BM84" s="2">
        <v>3.95</v>
      </c>
      <c r="BN84" s="2">
        <v>4.1900000000000004</v>
      </c>
      <c r="BO84" s="2">
        <v>4.07</v>
      </c>
      <c r="BR84" s="1" t="s">
        <v>71</v>
      </c>
      <c r="BS84" s="2">
        <v>-0.48</v>
      </c>
      <c r="BT84" s="2">
        <v>-0.47</v>
      </c>
      <c r="BU84" s="2">
        <v>-0.44</v>
      </c>
      <c r="BV84" s="2">
        <v>-0.43</v>
      </c>
      <c r="BW84" s="2">
        <v>-0.35</v>
      </c>
      <c r="BX84" s="2">
        <v>-0.36</v>
      </c>
      <c r="BY84" s="2">
        <v>-0.16</v>
      </c>
      <c r="BZ84" s="2">
        <v>-0.36</v>
      </c>
      <c r="CA84" s="2">
        <v>-0.1</v>
      </c>
      <c r="CB84" s="2">
        <v>-0.36</v>
      </c>
      <c r="CC84" s="2">
        <v>-0.15</v>
      </c>
      <c r="CD84" s="2">
        <v>-0.36</v>
      </c>
      <c r="CE84" s="2">
        <v>-0.15</v>
      </c>
      <c r="CF84" s="2">
        <v>-0.31</v>
      </c>
      <c r="CG84" s="2">
        <v>-0.14000000000000001</v>
      </c>
      <c r="CH84" s="2">
        <v>-0.31</v>
      </c>
      <c r="CI84" s="2">
        <v>-0.12</v>
      </c>
      <c r="CJ84" s="2">
        <v>-0.26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230.14</v>
      </c>
      <c r="D85" s="2">
        <v>238.01</v>
      </c>
      <c r="E85" s="2">
        <v>111.33</v>
      </c>
      <c r="F85" s="2">
        <v>176.49</v>
      </c>
      <c r="G85" s="2">
        <v>42.42</v>
      </c>
      <c r="H85" s="2">
        <v>97.83</v>
      </c>
      <c r="I85" s="2">
        <v>145.52000000000001</v>
      </c>
      <c r="J85" s="2">
        <v>178.26</v>
      </c>
      <c r="K85" s="2">
        <v>142.72</v>
      </c>
      <c r="L85" s="2">
        <v>256.18</v>
      </c>
      <c r="M85" s="2">
        <v>236.02</v>
      </c>
      <c r="N85" s="2">
        <v>440.89</v>
      </c>
      <c r="O85" s="2">
        <v>186.24</v>
      </c>
      <c r="P85" s="2">
        <v>338.53</v>
      </c>
      <c r="Q85" s="2">
        <v>330.03</v>
      </c>
      <c r="R85" s="2">
        <v>361.06</v>
      </c>
      <c r="S85" s="2">
        <v>223.24</v>
      </c>
      <c r="T85" s="2">
        <v>165.49</v>
      </c>
      <c r="U85" s="2">
        <v>216.19</v>
      </c>
      <c r="V85" s="2">
        <v>159.13999999999999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2.63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2.93</v>
      </c>
      <c r="AW85" s="2">
        <v>2.97</v>
      </c>
      <c r="AX85" s="2">
        <v>2.27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2.35</v>
      </c>
      <c r="BD85" s="2">
        <v>2.04</v>
      </c>
      <c r="BE85" s="2">
        <v>3.1</v>
      </c>
      <c r="BF85" s="2">
        <v>3.79</v>
      </c>
      <c r="BG85" s="2">
        <v>5.58</v>
      </c>
      <c r="BH85" s="2">
        <v>3.06</v>
      </c>
      <c r="BI85" s="2">
        <v>4.08</v>
      </c>
      <c r="BJ85" s="2">
        <v>4.16</v>
      </c>
      <c r="BK85" s="2">
        <v>4.4800000000000004</v>
      </c>
      <c r="BL85" s="2">
        <v>3.38</v>
      </c>
      <c r="BM85" s="2">
        <v>3.43</v>
      </c>
      <c r="BN85" s="2">
        <v>4.28</v>
      </c>
      <c r="BO85" s="2">
        <v>4.2300000000000004</v>
      </c>
      <c r="BR85" s="1" t="s">
        <v>72</v>
      </c>
      <c r="BS85" s="2">
        <v>-0.55000000000000004</v>
      </c>
      <c r="BT85" s="2">
        <v>-0.55000000000000004</v>
      </c>
      <c r="BU85" s="2">
        <v>-0.43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9.93</v>
      </c>
      <c r="D86" s="2">
        <v>23.54</v>
      </c>
      <c r="E86" s="2">
        <v>2.41</v>
      </c>
      <c r="F86" s="2">
        <v>3.41</v>
      </c>
      <c r="G86" s="2">
        <v>0.26</v>
      </c>
      <c r="H86" s="2">
        <v>1.51</v>
      </c>
      <c r="I86" s="2">
        <v>8.6199999999999992</v>
      </c>
      <c r="J86" s="2">
        <v>22.34</v>
      </c>
      <c r="K86" s="2">
        <v>18.59</v>
      </c>
      <c r="L86" s="2">
        <v>45.21</v>
      </c>
      <c r="M86" s="2">
        <v>57.81</v>
      </c>
      <c r="N86" s="2">
        <v>55.36</v>
      </c>
      <c r="O86" s="2">
        <v>52.7</v>
      </c>
      <c r="P86" s="2">
        <v>27.63</v>
      </c>
      <c r="Q86" s="2">
        <v>35.020000000000003</v>
      </c>
      <c r="R86" s="2">
        <v>15.36</v>
      </c>
      <c r="S86" s="2">
        <v>14.44</v>
      </c>
      <c r="T86" s="2">
        <v>11.57</v>
      </c>
      <c r="U86" s="2">
        <v>32.020000000000003</v>
      </c>
      <c r="V86" s="2">
        <v>30.78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1.92</v>
      </c>
      <c r="BD86" s="2">
        <v>1.82</v>
      </c>
      <c r="BE86" s="2">
        <v>2.27</v>
      </c>
      <c r="BF86" s="2">
        <v>3.6</v>
      </c>
      <c r="BG86" s="2">
        <v>4.0999999999999996</v>
      </c>
      <c r="BH86" s="2">
        <v>3.03</v>
      </c>
      <c r="BI86" s="2">
        <v>3.08</v>
      </c>
      <c r="BJ86" s="2">
        <v>3.75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-0.25</v>
      </c>
      <c r="CC86" s="2">
        <v>-0.14000000000000001</v>
      </c>
      <c r="CD86" s="2">
        <v>-0.25</v>
      </c>
      <c r="CE86" s="2">
        <v>-0.18</v>
      </c>
      <c r="CF86" s="2">
        <v>-0.19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1.8557564003563336E-2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509.02</v>
      </c>
      <c r="D93" s="2">
        <v>498.08</v>
      </c>
      <c r="E93" s="2">
        <v>27.06</v>
      </c>
      <c r="F93" s="2">
        <v>27.62</v>
      </c>
      <c r="G93" s="2">
        <v>15.99</v>
      </c>
      <c r="H93" s="2">
        <v>28.81</v>
      </c>
      <c r="I93" s="2">
        <v>370.67</v>
      </c>
      <c r="J93" s="2">
        <v>175.28</v>
      </c>
      <c r="K93" s="2">
        <v>632.62</v>
      </c>
      <c r="L93" s="2">
        <v>238.5</v>
      </c>
      <c r="M93" s="2">
        <v>1147.9100000000001</v>
      </c>
      <c r="N93" s="2">
        <v>317.02</v>
      </c>
      <c r="O93" s="2">
        <v>951.15</v>
      </c>
      <c r="P93" s="2">
        <v>78.42</v>
      </c>
      <c r="Q93" s="2">
        <v>1269.3699999999999</v>
      </c>
      <c r="R93" s="2">
        <v>319.8</v>
      </c>
      <c r="S93" s="2">
        <v>77.91</v>
      </c>
      <c r="T93" s="2">
        <v>81.67</v>
      </c>
      <c r="U93" s="2">
        <v>201.19</v>
      </c>
      <c r="V93" s="2">
        <v>126.16</v>
      </c>
      <c r="X93" s="1" t="s">
        <v>66</v>
      </c>
      <c r="Y93" s="2">
        <v>3315.61</v>
      </c>
      <c r="Z93" s="2">
        <v>768.08</v>
      </c>
      <c r="AA93" s="2">
        <v>889.18</v>
      </c>
      <c r="AB93" s="2">
        <v>252.3</v>
      </c>
      <c r="AC93" s="2">
        <v>2625.99</v>
      </c>
      <c r="AD93" s="2">
        <v>5122.8999999999996</v>
      </c>
      <c r="AE93" s="2">
        <v>9602.9</v>
      </c>
      <c r="AF93" s="2">
        <v>6876.71</v>
      </c>
      <c r="AG93" s="2">
        <v>6036.26</v>
      </c>
      <c r="AH93" s="2">
        <v>363.92</v>
      </c>
      <c r="AI93" s="2">
        <v>3103.55</v>
      </c>
      <c r="AJ93" s="2">
        <v>292.5</v>
      </c>
      <c r="AK93" s="2">
        <v>802.11</v>
      </c>
      <c r="AL93" s="2">
        <v>411.82</v>
      </c>
      <c r="AM93" s="2">
        <v>1381.61</v>
      </c>
      <c r="AN93" s="2">
        <v>1254.78</v>
      </c>
      <c r="AO93" s="2">
        <v>1531.25</v>
      </c>
      <c r="AP93" s="2">
        <v>289.12</v>
      </c>
      <c r="AQ93" s="2">
        <v>1603.05</v>
      </c>
      <c r="AR93" s="2">
        <v>224.96</v>
      </c>
      <c r="AU93" s="1" t="s">
        <v>66</v>
      </c>
      <c r="AV93" s="2">
        <v>12382.8</v>
      </c>
      <c r="AW93" s="2">
        <v>43234.27</v>
      </c>
      <c r="AX93" s="2">
        <v>13596.2</v>
      </c>
      <c r="AY93" s="2">
        <v>3875.95</v>
      </c>
      <c r="AZ93" s="2">
        <v>15821.53</v>
      </c>
      <c r="BA93" s="2">
        <v>19839.099999999999</v>
      </c>
      <c r="BB93" s="2">
        <v>36606.339999999997</v>
      </c>
      <c r="BC93" s="2">
        <v>28780.240000000002</v>
      </c>
      <c r="BD93" s="2">
        <v>39226.300000000003</v>
      </c>
      <c r="BE93" s="2">
        <v>35076.660000000003</v>
      </c>
      <c r="BF93" s="2">
        <v>12145.32</v>
      </c>
      <c r="BG93" s="2">
        <v>28192.95</v>
      </c>
      <c r="BH93" s="2">
        <v>12333.74</v>
      </c>
      <c r="BI93" s="2">
        <v>5113.28</v>
      </c>
      <c r="BJ93" s="2">
        <v>15290.71</v>
      </c>
      <c r="BK93" s="2">
        <v>19328.02</v>
      </c>
      <c r="BL93" s="2">
        <v>35353.99</v>
      </c>
      <c r="BM93" s="2">
        <v>27866.98</v>
      </c>
      <c r="BN93" s="2">
        <v>38078.83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165.56</v>
      </c>
      <c r="D94" s="2">
        <v>100.69</v>
      </c>
      <c r="E94" s="2">
        <v>71.430000000000007</v>
      </c>
      <c r="F94" s="2">
        <v>54.82</v>
      </c>
      <c r="G94" s="2">
        <v>34.76</v>
      </c>
      <c r="H94" s="2">
        <v>33.76</v>
      </c>
      <c r="I94" s="2">
        <v>149.06</v>
      </c>
      <c r="J94" s="2">
        <v>220.13</v>
      </c>
      <c r="K94" s="2">
        <v>209.61</v>
      </c>
      <c r="L94" s="2">
        <v>185.62</v>
      </c>
      <c r="M94" s="2">
        <v>467.19</v>
      </c>
      <c r="N94" s="2">
        <v>376.24</v>
      </c>
      <c r="O94" s="2">
        <v>379.37</v>
      </c>
      <c r="P94" s="2">
        <v>333.79</v>
      </c>
      <c r="Q94" s="2">
        <v>489.74</v>
      </c>
      <c r="R94" s="2">
        <v>372.75</v>
      </c>
      <c r="S94" s="2">
        <v>403.31</v>
      </c>
      <c r="T94" s="2">
        <v>289.82</v>
      </c>
      <c r="U94" s="2">
        <v>635.4</v>
      </c>
      <c r="V94" s="2">
        <v>322.23</v>
      </c>
      <c r="X94" s="1" t="s">
        <v>67</v>
      </c>
      <c r="Y94" s="2">
        <v>1203.28</v>
      </c>
      <c r="Z94" s="2">
        <v>3940.44</v>
      </c>
      <c r="AA94" s="2">
        <v>1327.13</v>
      </c>
      <c r="AB94" s="2">
        <v>302.8</v>
      </c>
      <c r="AC94" s="2">
        <v>1748.37</v>
      </c>
      <c r="AD94" s="2">
        <v>2027.78</v>
      </c>
      <c r="AE94" s="2">
        <v>3516.41</v>
      </c>
      <c r="AF94" s="2">
        <v>2289.2399999999998</v>
      </c>
      <c r="AG94" s="2">
        <v>2880.15</v>
      </c>
      <c r="AH94" s="2">
        <v>2545.15</v>
      </c>
      <c r="AI94" s="2">
        <v>697.47</v>
      </c>
      <c r="AJ94" s="2">
        <v>2271.2600000000002</v>
      </c>
      <c r="AK94" s="2">
        <v>806.38</v>
      </c>
      <c r="AL94" s="2">
        <v>375.08</v>
      </c>
      <c r="AM94" s="2">
        <v>1010.17</v>
      </c>
      <c r="AN94" s="2">
        <v>1170.92</v>
      </c>
      <c r="AO94" s="2">
        <v>2126.8200000000002</v>
      </c>
      <c r="AP94" s="2">
        <v>1922.19</v>
      </c>
      <c r="AQ94" s="2">
        <v>2610.75</v>
      </c>
      <c r="AR94" s="2">
        <v>1728.81</v>
      </c>
      <c r="AU94" s="1" t="s">
        <v>67</v>
      </c>
      <c r="AV94" s="2">
        <v>7269.47</v>
      </c>
      <c r="AW94" s="2">
        <v>24266.46</v>
      </c>
      <c r="AX94" s="2">
        <v>7482.06</v>
      </c>
      <c r="AY94" s="2">
        <v>1687.5</v>
      </c>
      <c r="AZ94" s="2">
        <v>9925.39</v>
      </c>
      <c r="BA94" s="2">
        <v>12383.62</v>
      </c>
      <c r="BB94" s="2">
        <v>21791.95</v>
      </c>
      <c r="BC94" s="2">
        <v>13886.67</v>
      </c>
      <c r="BD94" s="2">
        <v>17493.93</v>
      </c>
      <c r="BE94" s="2">
        <v>15421.81</v>
      </c>
      <c r="BF94" s="2">
        <v>4182.6000000000004</v>
      </c>
      <c r="BG94" s="2">
        <v>13682.14</v>
      </c>
      <c r="BH94" s="2">
        <v>4505.68</v>
      </c>
      <c r="BI94" s="2">
        <v>2093.17</v>
      </c>
      <c r="BJ94" s="2">
        <v>5638.47</v>
      </c>
      <c r="BK94" s="2">
        <v>7029.68</v>
      </c>
      <c r="BL94" s="2">
        <v>12793.74</v>
      </c>
      <c r="BM94" s="2">
        <v>11580.5</v>
      </c>
      <c r="BN94" s="2">
        <v>15791.89</v>
      </c>
      <c r="BO94" s="2">
        <v>10375.870000000001</v>
      </c>
      <c r="BR94" s="1" t="s">
        <v>67</v>
      </c>
      <c r="BS94" s="2">
        <v>1.59</v>
      </c>
      <c r="BT94" s="2">
        <v>0.92</v>
      </c>
      <c r="BU94" s="2">
        <v>1.26</v>
      </c>
      <c r="BV94" s="2">
        <v>0.8</v>
      </c>
      <c r="BW94" s="2">
        <v>0.49</v>
      </c>
      <c r="BX94" s="2">
        <v>0.39</v>
      </c>
      <c r="BY94" s="2">
        <v>1.85</v>
      </c>
      <c r="BZ94" s="2">
        <v>2.14</v>
      </c>
      <c r="CA94" s="2">
        <v>2.5499999999999998</v>
      </c>
      <c r="CB94" s="2">
        <v>2.06</v>
      </c>
      <c r="CC94" s="2">
        <v>5.82</v>
      </c>
      <c r="CD94" s="2">
        <v>3.83</v>
      </c>
      <c r="CE94" s="2">
        <v>4.21</v>
      </c>
      <c r="CF94" s="2">
        <v>3.43</v>
      </c>
      <c r="CG94" s="2">
        <v>5.21</v>
      </c>
      <c r="CH94" s="2">
        <v>3.9</v>
      </c>
      <c r="CI94" s="2">
        <v>4.41</v>
      </c>
      <c r="CJ94" s="2">
        <v>2.9</v>
      </c>
      <c r="CK94" s="2">
        <v>4.78</v>
      </c>
      <c r="CL94" s="2">
        <v>2.77</v>
      </c>
    </row>
    <row r="95" spans="2:90" x14ac:dyDescent="0.3">
      <c r="B95" s="1" t="s">
        <v>68</v>
      </c>
      <c r="C95" s="2">
        <v>4760.5200000000004</v>
      </c>
      <c r="D95" s="2">
        <v>375.89</v>
      </c>
      <c r="E95" s="2">
        <v>2096.16</v>
      </c>
      <c r="F95" s="2">
        <v>141.37</v>
      </c>
      <c r="G95" s="2">
        <v>1251.1400000000001</v>
      </c>
      <c r="H95" s="2">
        <v>926.83</v>
      </c>
      <c r="I95" s="2">
        <v>2888.29</v>
      </c>
      <c r="J95" s="2">
        <v>1529.18</v>
      </c>
      <c r="K95" s="2">
        <v>4020.52</v>
      </c>
      <c r="L95" s="2">
        <v>1641.83</v>
      </c>
      <c r="M95" s="2">
        <v>7925.84</v>
      </c>
      <c r="N95" s="2">
        <v>3137.77</v>
      </c>
      <c r="O95" s="2">
        <v>7367.83</v>
      </c>
      <c r="P95" s="2">
        <v>2762.78</v>
      </c>
      <c r="Q95" s="2">
        <v>9444.17</v>
      </c>
      <c r="R95" s="2">
        <v>2943.76</v>
      </c>
      <c r="S95" s="2">
        <v>3191.64</v>
      </c>
      <c r="T95" s="2">
        <v>2380.11</v>
      </c>
      <c r="U95" s="2">
        <v>2723.68</v>
      </c>
      <c r="V95" s="2">
        <v>2381.66</v>
      </c>
      <c r="X95" s="1" t="s">
        <v>68</v>
      </c>
      <c r="Y95" s="2">
        <v>6186.32</v>
      </c>
      <c r="Z95" s="2">
        <v>7152.55</v>
      </c>
      <c r="AA95" s="2">
        <v>6514.3</v>
      </c>
      <c r="AB95" s="2">
        <v>2524.06</v>
      </c>
      <c r="AC95" s="2">
        <v>8640.9599999999991</v>
      </c>
      <c r="AD95" s="2">
        <v>11263.72</v>
      </c>
      <c r="AE95" s="2">
        <v>21722.27</v>
      </c>
      <c r="AF95" s="2">
        <v>16055.37</v>
      </c>
      <c r="AG95" s="2">
        <v>20339.68</v>
      </c>
      <c r="AH95" s="2">
        <v>8427.64</v>
      </c>
      <c r="AI95" s="2">
        <v>1700.92</v>
      </c>
      <c r="AJ95" s="2">
        <v>6370</v>
      </c>
      <c r="AK95" s="2">
        <v>1803.62</v>
      </c>
      <c r="AL95" s="2">
        <v>1540.28</v>
      </c>
      <c r="AM95" s="2">
        <v>3840.69</v>
      </c>
      <c r="AN95" s="2">
        <v>3916</v>
      </c>
      <c r="AO95" s="2">
        <v>6985.56</v>
      </c>
      <c r="AP95" s="2">
        <v>5899.2</v>
      </c>
      <c r="AQ95" s="2">
        <v>7276.38</v>
      </c>
      <c r="AR95" s="2">
        <v>5252.42</v>
      </c>
      <c r="AU95" s="1" t="s">
        <v>68</v>
      </c>
      <c r="AV95" s="2">
        <v>21385.07</v>
      </c>
      <c r="AW95" s="2">
        <v>42910.2</v>
      </c>
      <c r="AX95" s="2">
        <v>23820.93</v>
      </c>
      <c r="AY95" s="2">
        <v>5346.54</v>
      </c>
      <c r="AZ95" s="2">
        <v>25294.93</v>
      </c>
      <c r="BA95" s="2">
        <v>32118.68</v>
      </c>
      <c r="BB95" s="2">
        <v>59239.76</v>
      </c>
      <c r="BC95" s="2">
        <v>41194.47</v>
      </c>
      <c r="BD95" s="2">
        <v>51222.65</v>
      </c>
      <c r="BE95" s="2">
        <v>42244.53</v>
      </c>
      <c r="BF95" s="2">
        <v>10199.15</v>
      </c>
      <c r="BG95" s="2">
        <v>37231.040000000001</v>
      </c>
      <c r="BH95" s="2">
        <v>10073.83</v>
      </c>
      <c r="BI95" s="2">
        <v>7364.93</v>
      </c>
      <c r="BJ95" s="2">
        <v>18308.080000000002</v>
      </c>
      <c r="BK95" s="2">
        <v>21693.87</v>
      </c>
      <c r="BL95" s="2">
        <v>38386.080000000002</v>
      </c>
      <c r="BM95" s="2">
        <v>31533.17</v>
      </c>
      <c r="BN95" s="2">
        <v>42270.67</v>
      </c>
      <c r="BO95" s="2">
        <v>30339.43</v>
      </c>
      <c r="BR95" s="1" t="s">
        <v>68</v>
      </c>
      <c r="BS95" s="2">
        <v>4.68</v>
      </c>
      <c r="BT95" s="2">
        <v>1.17</v>
      </c>
      <c r="BU95" s="2">
        <v>4.8499999999999996</v>
      </c>
      <c r="BV95" s="2">
        <v>0.9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5.23</v>
      </c>
      <c r="CK95" s="2">
        <v>6.87</v>
      </c>
      <c r="CL95" s="2">
        <v>5.96</v>
      </c>
    </row>
    <row r="96" spans="2:90" x14ac:dyDescent="0.3">
      <c r="B96" s="1" t="s">
        <v>69</v>
      </c>
      <c r="C96" s="2">
        <v>989.9</v>
      </c>
      <c r="D96" s="2">
        <v>189.66</v>
      </c>
      <c r="E96" s="2">
        <v>474.72</v>
      </c>
      <c r="F96" s="2">
        <v>65.48</v>
      </c>
      <c r="G96" s="2">
        <v>316.86</v>
      </c>
      <c r="H96" s="2">
        <v>322.81</v>
      </c>
      <c r="I96" s="2">
        <v>895.15</v>
      </c>
      <c r="J96" s="2">
        <v>525.29</v>
      </c>
      <c r="K96" s="2">
        <v>1201.31</v>
      </c>
      <c r="L96" s="2">
        <v>495.22</v>
      </c>
      <c r="M96" s="2">
        <v>2192.04</v>
      </c>
      <c r="N96" s="2">
        <v>890.01</v>
      </c>
      <c r="O96" s="2">
        <v>1803.83</v>
      </c>
      <c r="P96" s="2">
        <v>753.66</v>
      </c>
      <c r="Q96" s="2">
        <v>1546.54</v>
      </c>
      <c r="R96" s="2">
        <v>797.87</v>
      </c>
      <c r="S96" s="2">
        <v>645.11</v>
      </c>
      <c r="T96" s="2">
        <v>719.6</v>
      </c>
      <c r="U96" s="2">
        <v>837.89</v>
      </c>
      <c r="V96" s="2">
        <v>785.28</v>
      </c>
      <c r="X96" s="1" t="s">
        <v>69</v>
      </c>
      <c r="Y96" s="2">
        <v>1718.8</v>
      </c>
      <c r="Z96" s="2">
        <v>2372.09</v>
      </c>
      <c r="AA96" s="2">
        <v>1277.8699999999999</v>
      </c>
      <c r="AB96" s="2">
        <v>576.1</v>
      </c>
      <c r="AC96" s="2">
        <v>2079.61</v>
      </c>
      <c r="AD96" s="2">
        <v>1697.52</v>
      </c>
      <c r="AE96" s="2">
        <v>3019.26</v>
      </c>
      <c r="AF96" s="2">
        <v>3530.49</v>
      </c>
      <c r="AG96" s="2">
        <v>3238.44</v>
      </c>
      <c r="AH96" s="2">
        <v>1977.2</v>
      </c>
      <c r="AI96" s="2">
        <v>633.20000000000005</v>
      </c>
      <c r="AJ96" s="2">
        <v>2259.21</v>
      </c>
      <c r="AK96" s="2">
        <v>707.87</v>
      </c>
      <c r="AL96" s="2">
        <v>718.56</v>
      </c>
      <c r="AM96" s="2">
        <v>1148.55</v>
      </c>
      <c r="AN96" s="2">
        <v>1239.95</v>
      </c>
      <c r="AO96" s="2">
        <v>2120.1799999999998</v>
      </c>
      <c r="AP96" s="2">
        <v>1740.49</v>
      </c>
      <c r="AQ96" s="2">
        <v>2165.27</v>
      </c>
      <c r="AR96" s="2">
        <v>1805.81</v>
      </c>
      <c r="AU96" s="1" t="s">
        <v>69</v>
      </c>
      <c r="AV96" s="2">
        <v>5686.1</v>
      </c>
      <c r="AW96" s="2">
        <v>13743.76</v>
      </c>
      <c r="AX96" s="2">
        <v>7283.42</v>
      </c>
      <c r="AY96" s="2">
        <v>1762.68</v>
      </c>
      <c r="AZ96" s="2">
        <v>7558.31</v>
      </c>
      <c r="BA96" s="2">
        <v>10309.85</v>
      </c>
      <c r="BB96" s="2">
        <v>18534.78</v>
      </c>
      <c r="BC96" s="2">
        <v>13283.85</v>
      </c>
      <c r="BD96" s="2">
        <v>16319.78</v>
      </c>
      <c r="BE96" s="2">
        <v>11855.7</v>
      </c>
      <c r="BF96" s="2">
        <v>3343.11</v>
      </c>
      <c r="BG96" s="2">
        <v>12853.13</v>
      </c>
      <c r="BH96" s="2">
        <v>3950.94</v>
      </c>
      <c r="BI96" s="2">
        <v>2407.34</v>
      </c>
      <c r="BJ96" s="2">
        <v>6416.85</v>
      </c>
      <c r="BK96" s="2">
        <v>7433.88</v>
      </c>
      <c r="BL96" s="2">
        <v>12652.36</v>
      </c>
      <c r="BM96" s="2">
        <v>10420.370000000001</v>
      </c>
      <c r="BN96" s="2">
        <v>12912.37</v>
      </c>
      <c r="BO96" s="2">
        <v>10274.049999999999</v>
      </c>
      <c r="BR96" s="1" t="s">
        <v>69</v>
      </c>
      <c r="BS96" s="2">
        <v>2.34</v>
      </c>
      <c r="BT96" s="2">
        <v>1.1399999999999999</v>
      </c>
      <c r="BU96" s="2">
        <v>4.42</v>
      </c>
      <c r="BV96" s="2">
        <v>0.77</v>
      </c>
      <c r="BW96" s="2">
        <v>0.9</v>
      </c>
      <c r="BX96" s="2">
        <v>0.9</v>
      </c>
      <c r="BY96" s="2">
        <v>2.88</v>
      </c>
      <c r="BZ96" s="2">
        <v>2.72</v>
      </c>
      <c r="CA96" s="2">
        <v>6.29</v>
      </c>
      <c r="CB96" s="2">
        <v>2.9</v>
      </c>
      <c r="CC96" s="2">
        <v>11.41</v>
      </c>
      <c r="CD96" s="2">
        <v>4.95</v>
      </c>
      <c r="CE96" s="2">
        <v>5.22</v>
      </c>
      <c r="CF96" s="2">
        <v>4.07</v>
      </c>
      <c r="CG96" s="2">
        <v>6.84</v>
      </c>
      <c r="CH96" s="2">
        <v>4.78</v>
      </c>
      <c r="CI96" s="2">
        <v>4.24</v>
      </c>
      <c r="CJ96" s="2">
        <v>3.71</v>
      </c>
      <c r="CK96" s="2">
        <v>4.83</v>
      </c>
      <c r="CL96" s="2">
        <v>4.41</v>
      </c>
    </row>
    <row r="97" spans="2:90" x14ac:dyDescent="0.3">
      <c r="B97" s="1" t="s">
        <v>70</v>
      </c>
      <c r="C97" s="2">
        <v>2983.06</v>
      </c>
      <c r="D97" s="2">
        <v>2839.64</v>
      </c>
      <c r="E97" s="2">
        <v>1508.78</v>
      </c>
      <c r="F97" s="2">
        <v>659.48</v>
      </c>
      <c r="G97" s="2">
        <v>957.92</v>
      </c>
      <c r="H97" s="2">
        <v>920.95</v>
      </c>
      <c r="I97" s="2">
        <v>1214.6199999999999</v>
      </c>
      <c r="J97" s="2">
        <v>2936.74</v>
      </c>
      <c r="K97" s="2">
        <v>3047.62</v>
      </c>
      <c r="L97" s="2">
        <v>3453.1</v>
      </c>
      <c r="M97" s="2">
        <v>4788.49</v>
      </c>
      <c r="N97" s="2">
        <v>4451.87</v>
      </c>
      <c r="O97" s="2">
        <v>3373.56</v>
      </c>
      <c r="P97" s="2">
        <v>3247.82</v>
      </c>
      <c r="Q97" s="2">
        <v>3582.83</v>
      </c>
      <c r="R97" s="2">
        <v>3572.82</v>
      </c>
      <c r="S97" s="2">
        <v>2902.78</v>
      </c>
      <c r="T97" s="2">
        <v>2555.39</v>
      </c>
      <c r="U97" s="2">
        <v>4126.53</v>
      </c>
      <c r="V97" s="2">
        <v>3215.65</v>
      </c>
      <c r="X97" s="1" t="s">
        <v>70</v>
      </c>
      <c r="Y97" s="2">
        <v>6056.03</v>
      </c>
      <c r="Z97" s="2">
        <v>13515.77</v>
      </c>
      <c r="AA97" s="2">
        <v>8309.01</v>
      </c>
      <c r="AB97" s="2">
        <v>2337.34</v>
      </c>
      <c r="AC97" s="2">
        <v>6475.59</v>
      </c>
      <c r="AD97" s="2">
        <v>9113.74</v>
      </c>
      <c r="AE97" s="2">
        <v>14348.61</v>
      </c>
      <c r="AF97" s="2">
        <v>10494.73</v>
      </c>
      <c r="AG97" s="2">
        <v>12415.68</v>
      </c>
      <c r="AH97" s="2">
        <v>10080.469999999999</v>
      </c>
      <c r="AI97" s="2">
        <v>6235.85</v>
      </c>
      <c r="AJ97" s="2">
        <v>15495.65</v>
      </c>
      <c r="AK97" s="2">
        <v>6636.7</v>
      </c>
      <c r="AL97" s="2">
        <v>2623.23</v>
      </c>
      <c r="AM97" s="2">
        <v>7877.47</v>
      </c>
      <c r="AN97" s="2">
        <v>9817.73</v>
      </c>
      <c r="AO97" s="2">
        <v>14555.31</v>
      </c>
      <c r="AP97" s="2">
        <v>11491.5</v>
      </c>
      <c r="AQ97" s="2">
        <v>12821.53</v>
      </c>
      <c r="AR97" s="2">
        <v>10895.31</v>
      </c>
      <c r="AU97" s="1" t="s">
        <v>70</v>
      </c>
      <c r="AV97" s="2">
        <v>20473.77</v>
      </c>
      <c r="AW97" s="2">
        <v>80300.23</v>
      </c>
      <c r="AX97" s="2">
        <v>31822.639999999999</v>
      </c>
      <c r="AY97" s="2">
        <v>7787.66</v>
      </c>
      <c r="AZ97" s="2">
        <v>35930.01</v>
      </c>
      <c r="BA97" s="2">
        <v>47687.26</v>
      </c>
      <c r="BB97" s="2">
        <v>83826.990000000005</v>
      </c>
      <c r="BC97" s="2">
        <v>62628.77</v>
      </c>
      <c r="BD97" s="2">
        <v>73939.320000000007</v>
      </c>
      <c r="BE97" s="2">
        <v>59837.13</v>
      </c>
      <c r="BF97" s="2">
        <v>27162.45</v>
      </c>
      <c r="BG97" s="2">
        <v>92931.85</v>
      </c>
      <c r="BH97" s="2">
        <v>37010.15</v>
      </c>
      <c r="BI97" s="2">
        <v>9025.9599999999991</v>
      </c>
      <c r="BJ97" s="2">
        <v>33009.730000000003</v>
      </c>
      <c r="BK97" s="2">
        <v>47439.27</v>
      </c>
      <c r="BL97" s="2">
        <v>87592.89</v>
      </c>
      <c r="BM97" s="2">
        <v>68845.75</v>
      </c>
      <c r="BN97" s="2">
        <v>76457.570000000007</v>
      </c>
      <c r="BO97" s="2">
        <v>64858.39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1.42</v>
      </c>
      <c r="BW97" s="2">
        <v>0.9</v>
      </c>
      <c r="BX97" s="2">
        <v>0.9</v>
      </c>
      <c r="BY97" s="2">
        <v>1.74</v>
      </c>
      <c r="BZ97" s="2">
        <v>2.88</v>
      </c>
      <c r="CA97" s="2">
        <v>3.6</v>
      </c>
      <c r="CB97" s="2">
        <v>3.6</v>
      </c>
      <c r="CC97" s="2">
        <v>6.48</v>
      </c>
      <c r="CD97" s="2">
        <v>6</v>
      </c>
      <c r="CE97" s="2">
        <v>4.63</v>
      </c>
      <c r="CF97" s="2">
        <v>4.37</v>
      </c>
      <c r="CG97" s="2">
        <v>5.03</v>
      </c>
      <c r="CH97" s="2">
        <v>5.13</v>
      </c>
      <c r="CI97" s="2">
        <v>4.12</v>
      </c>
      <c r="CJ97" s="2">
        <v>3.69</v>
      </c>
      <c r="CK97" s="2">
        <v>5.21</v>
      </c>
      <c r="CL97" s="2">
        <v>3.8</v>
      </c>
    </row>
    <row r="98" spans="2:90" x14ac:dyDescent="0.3">
      <c r="B98" s="1" t="s">
        <v>71</v>
      </c>
      <c r="C98" s="2">
        <v>627.19000000000005</v>
      </c>
      <c r="D98" s="2">
        <v>568.34</v>
      </c>
      <c r="E98" s="2">
        <v>298.36</v>
      </c>
      <c r="F98" s="2">
        <v>190.38</v>
      </c>
      <c r="G98" s="2">
        <v>172.15</v>
      </c>
      <c r="H98" s="2">
        <v>154.72</v>
      </c>
      <c r="I98" s="2">
        <v>165.54</v>
      </c>
      <c r="J98" s="2">
        <v>446.1</v>
      </c>
      <c r="K98" s="2">
        <v>204.87</v>
      </c>
      <c r="L98" s="2">
        <v>636.66</v>
      </c>
      <c r="M98" s="2">
        <v>500.04</v>
      </c>
      <c r="N98" s="2">
        <v>956.69</v>
      </c>
      <c r="O98" s="2">
        <v>399.48</v>
      </c>
      <c r="P98" s="2">
        <v>580.41999999999996</v>
      </c>
      <c r="Q98" s="2">
        <v>530.94000000000005</v>
      </c>
      <c r="R98" s="2">
        <v>854.92</v>
      </c>
      <c r="S98" s="2">
        <v>478.25</v>
      </c>
      <c r="T98" s="2">
        <v>568.63</v>
      </c>
      <c r="U98" s="2">
        <v>580.21</v>
      </c>
      <c r="V98" s="2">
        <v>321.52999999999997</v>
      </c>
      <c r="X98" s="1" t="s">
        <v>71</v>
      </c>
      <c r="Y98" s="2">
        <v>1135.5899999999999</v>
      </c>
      <c r="Z98" s="2">
        <v>3453.84</v>
      </c>
      <c r="AA98" s="2">
        <v>1775.13</v>
      </c>
      <c r="AB98" s="2">
        <v>570.74</v>
      </c>
      <c r="AC98" s="2">
        <v>1515.85</v>
      </c>
      <c r="AD98" s="2">
        <v>1774.58</v>
      </c>
      <c r="AE98" s="2">
        <v>3327.92</v>
      </c>
      <c r="AF98" s="2">
        <v>2672.67</v>
      </c>
      <c r="AG98" s="2">
        <v>3423.71</v>
      </c>
      <c r="AH98" s="2">
        <v>2856.31</v>
      </c>
      <c r="AI98" s="2">
        <v>1205.04</v>
      </c>
      <c r="AJ98" s="2">
        <v>3541.51</v>
      </c>
      <c r="AK98" s="2">
        <v>1836.01</v>
      </c>
      <c r="AL98" s="2">
        <v>653.51</v>
      </c>
      <c r="AM98" s="2">
        <v>1717.84</v>
      </c>
      <c r="AN98" s="2">
        <v>2859.33</v>
      </c>
      <c r="AO98" s="2">
        <v>5324.13</v>
      </c>
      <c r="AP98" s="2">
        <v>3631.68</v>
      </c>
      <c r="AQ98" s="2">
        <v>4569.3100000000004</v>
      </c>
      <c r="AR98" s="2">
        <v>3741.29</v>
      </c>
      <c r="AU98" s="1" t="s">
        <v>71</v>
      </c>
      <c r="AV98" s="2">
        <v>5473.67</v>
      </c>
      <c r="AW98" s="2">
        <v>16687.919999999998</v>
      </c>
      <c r="AX98" s="2">
        <v>8186.11</v>
      </c>
      <c r="AY98" s="2">
        <v>1625.29</v>
      </c>
      <c r="AZ98" s="2">
        <v>6774.23</v>
      </c>
      <c r="BA98" s="2">
        <v>8551.42</v>
      </c>
      <c r="BB98" s="2">
        <v>16231.6</v>
      </c>
      <c r="BC98" s="2">
        <v>12972.18</v>
      </c>
      <c r="BD98" s="2">
        <v>16678.41</v>
      </c>
      <c r="BE98" s="2">
        <v>13817.6</v>
      </c>
      <c r="BF98" s="2">
        <v>5824.61</v>
      </c>
      <c r="BG98" s="2">
        <v>17169.740000000002</v>
      </c>
      <c r="BH98" s="2">
        <v>8504.5300000000007</v>
      </c>
      <c r="BI98" s="2">
        <v>1982.02</v>
      </c>
      <c r="BJ98" s="2">
        <v>5266.4</v>
      </c>
      <c r="BK98" s="2">
        <v>10756.81</v>
      </c>
      <c r="BL98" s="2">
        <v>20641.87</v>
      </c>
      <c r="BM98" s="2">
        <v>16391.36</v>
      </c>
      <c r="BN98" s="2">
        <v>20635.57</v>
      </c>
      <c r="BO98" s="2">
        <v>18596.060000000001</v>
      </c>
      <c r="BR98" s="1" t="s">
        <v>71</v>
      </c>
      <c r="BS98" s="2">
        <v>4.17</v>
      </c>
      <c r="BT98" s="2">
        <v>4.09</v>
      </c>
      <c r="BU98" s="2">
        <v>3.45</v>
      </c>
      <c r="BV98" s="2">
        <v>3.4</v>
      </c>
      <c r="BW98" s="2">
        <v>0.9</v>
      </c>
      <c r="BX98" s="2">
        <v>0.9</v>
      </c>
      <c r="BY98" s="2">
        <v>1.73</v>
      </c>
      <c r="BZ98" s="2">
        <v>2.88</v>
      </c>
      <c r="CA98" s="2">
        <v>2.13</v>
      </c>
      <c r="CB98" s="2">
        <v>3.6</v>
      </c>
      <c r="CC98" s="2">
        <v>4.57</v>
      </c>
      <c r="CD98" s="2">
        <v>6.48</v>
      </c>
      <c r="CE98" s="2">
        <v>3.6</v>
      </c>
      <c r="CF98" s="2">
        <v>5.22</v>
      </c>
      <c r="CG98" s="2">
        <v>4.68</v>
      </c>
      <c r="CH98" s="2">
        <v>6.84</v>
      </c>
      <c r="CI98" s="2">
        <v>3.88</v>
      </c>
      <c r="CJ98" s="2">
        <v>5.73</v>
      </c>
      <c r="CK98" s="2">
        <v>4.5</v>
      </c>
      <c r="CL98" s="2">
        <v>3.85</v>
      </c>
    </row>
    <row r="99" spans="2:90" x14ac:dyDescent="0.3">
      <c r="B99" s="1" t="s">
        <v>72</v>
      </c>
      <c r="C99" s="2">
        <v>3658.56</v>
      </c>
      <c r="D99" s="2">
        <v>4076.48</v>
      </c>
      <c r="E99" s="2">
        <v>1029.49</v>
      </c>
      <c r="F99" s="2">
        <v>1411.45</v>
      </c>
      <c r="G99" s="2">
        <v>552.69000000000005</v>
      </c>
      <c r="H99" s="2">
        <v>1251.22</v>
      </c>
      <c r="I99" s="2">
        <v>1284.0999999999999</v>
      </c>
      <c r="J99" s="2">
        <v>2623.25</v>
      </c>
      <c r="K99" s="2">
        <v>1221.45</v>
      </c>
      <c r="L99" s="2">
        <v>3507.8</v>
      </c>
      <c r="M99" s="2">
        <v>2520.09</v>
      </c>
      <c r="N99" s="2">
        <v>5926.09</v>
      </c>
      <c r="O99" s="2">
        <v>2125.56</v>
      </c>
      <c r="P99" s="2">
        <v>4166.12</v>
      </c>
      <c r="Q99" s="2">
        <v>3486.49</v>
      </c>
      <c r="R99" s="2">
        <v>4004.83</v>
      </c>
      <c r="S99" s="2">
        <v>2518.61</v>
      </c>
      <c r="T99" s="2">
        <v>2306.7199999999998</v>
      </c>
      <c r="U99" s="2">
        <v>2979.28</v>
      </c>
      <c r="V99" s="2">
        <v>2560.3200000000002</v>
      </c>
      <c r="X99" s="1" t="s">
        <v>72</v>
      </c>
      <c r="Y99" s="2">
        <v>6348.07</v>
      </c>
      <c r="Z99" s="2">
        <v>10990.37</v>
      </c>
      <c r="AA99" s="2">
        <v>5171.1000000000004</v>
      </c>
      <c r="AB99" s="2">
        <v>2057.73</v>
      </c>
      <c r="AC99" s="2">
        <v>6162.07</v>
      </c>
      <c r="AD99" s="2">
        <v>5807.92</v>
      </c>
      <c r="AE99" s="2">
        <v>11463.94</v>
      </c>
      <c r="AF99" s="2">
        <v>9312.43</v>
      </c>
      <c r="AG99" s="2">
        <v>13373.53</v>
      </c>
      <c r="AH99" s="2">
        <v>8878.15</v>
      </c>
      <c r="AI99" s="2">
        <v>6575.16</v>
      </c>
      <c r="AJ99" s="2">
        <v>11064.77</v>
      </c>
      <c r="AK99" s="2">
        <v>7108.4</v>
      </c>
      <c r="AL99" s="2">
        <v>2481.8200000000002</v>
      </c>
      <c r="AM99" s="2">
        <v>8526.14</v>
      </c>
      <c r="AN99" s="2">
        <v>13281.62</v>
      </c>
      <c r="AO99" s="2">
        <v>24068.9</v>
      </c>
      <c r="AP99" s="2">
        <v>17026.02</v>
      </c>
      <c r="AQ99" s="2">
        <v>16014.41</v>
      </c>
      <c r="AR99" s="2">
        <v>9481.73</v>
      </c>
      <c r="AU99" s="1" t="s">
        <v>72</v>
      </c>
      <c r="AV99" s="2">
        <v>20309.41</v>
      </c>
      <c r="AW99" s="2">
        <v>53577.9</v>
      </c>
      <c r="AX99" s="2">
        <v>23960.12</v>
      </c>
      <c r="AY99" s="2">
        <v>5187.18</v>
      </c>
      <c r="AZ99" s="2">
        <v>23116.58</v>
      </c>
      <c r="BA99" s="2">
        <v>27899.57</v>
      </c>
      <c r="BB99" s="2">
        <v>51491.38</v>
      </c>
      <c r="BC99" s="2">
        <v>41504.11</v>
      </c>
      <c r="BD99" s="2">
        <v>54805.97</v>
      </c>
      <c r="BE99" s="2">
        <v>43240.52</v>
      </c>
      <c r="BF99" s="2">
        <v>21119.599999999999</v>
      </c>
      <c r="BG99" s="2">
        <v>54028.66</v>
      </c>
      <c r="BH99" s="2">
        <v>27058.03</v>
      </c>
      <c r="BI99" s="2">
        <v>7819.8</v>
      </c>
      <c r="BJ99" s="2">
        <v>17888.849999999999</v>
      </c>
      <c r="BK99" s="2">
        <v>34954.29</v>
      </c>
      <c r="BL99" s="2">
        <v>64021.79</v>
      </c>
      <c r="BM99" s="2">
        <v>49682.97</v>
      </c>
      <c r="BN99" s="2">
        <v>58344.54</v>
      </c>
      <c r="BO99" s="2">
        <v>46468</v>
      </c>
      <c r="BR99" s="1" t="s">
        <v>72</v>
      </c>
      <c r="BS99" s="2">
        <v>4.68</v>
      </c>
      <c r="BT99" s="2">
        <v>4.68</v>
      </c>
      <c r="BU99" s="2">
        <v>4.1500000000000004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5.94</v>
      </c>
      <c r="CJ99" s="2">
        <v>6.1</v>
      </c>
      <c r="CK99" s="2">
        <v>7.08</v>
      </c>
      <c r="CL99" s="2">
        <v>6.83</v>
      </c>
    </row>
    <row r="100" spans="2:90" x14ac:dyDescent="0.3">
      <c r="B100" s="1" t="s">
        <v>73</v>
      </c>
      <c r="C100" s="2">
        <v>439.53</v>
      </c>
      <c r="D100" s="2">
        <v>623.05999999999995</v>
      </c>
      <c r="E100" s="2">
        <v>74.25</v>
      </c>
      <c r="F100" s="2">
        <v>83.93</v>
      </c>
      <c r="G100" s="2">
        <v>23.6</v>
      </c>
      <c r="H100" s="2">
        <v>62.34</v>
      </c>
      <c r="I100" s="2">
        <v>222.74</v>
      </c>
      <c r="J100" s="2">
        <v>854.74</v>
      </c>
      <c r="K100" s="2">
        <v>589.16999999999996</v>
      </c>
      <c r="L100" s="2">
        <v>991.04</v>
      </c>
      <c r="M100" s="2">
        <v>1637.42</v>
      </c>
      <c r="N100" s="2">
        <v>1863.98</v>
      </c>
      <c r="O100" s="2">
        <v>1495.74</v>
      </c>
      <c r="P100" s="2">
        <v>1380.38</v>
      </c>
      <c r="Q100" s="2">
        <v>1718.19</v>
      </c>
      <c r="R100" s="2">
        <v>1497.72</v>
      </c>
      <c r="S100" s="2">
        <v>1403.03</v>
      </c>
      <c r="T100" s="2">
        <v>1094.3399999999999</v>
      </c>
      <c r="U100" s="2">
        <v>1633.91</v>
      </c>
      <c r="V100" s="2">
        <v>1454.7</v>
      </c>
      <c r="X100" s="1" t="s">
        <v>73</v>
      </c>
      <c r="Y100" s="2">
        <v>2314.29</v>
      </c>
      <c r="Z100" s="2">
        <v>6679.03</v>
      </c>
      <c r="AA100" s="2">
        <v>2540.1999999999998</v>
      </c>
      <c r="AB100" s="2">
        <v>167.65</v>
      </c>
      <c r="AC100" s="2">
        <v>1724.16</v>
      </c>
      <c r="AD100" s="2">
        <v>2887.18</v>
      </c>
      <c r="AE100" s="2">
        <v>5665</v>
      </c>
      <c r="AF100" s="2">
        <v>4505.47</v>
      </c>
      <c r="AG100" s="2">
        <v>5808.32</v>
      </c>
      <c r="AH100" s="2">
        <v>4963.67</v>
      </c>
      <c r="AI100" s="2">
        <v>2966.13</v>
      </c>
      <c r="AJ100" s="2">
        <v>6560.2</v>
      </c>
      <c r="AK100" s="2">
        <v>2693.93</v>
      </c>
      <c r="AL100" s="2">
        <v>1060.8599999999999</v>
      </c>
      <c r="AM100" s="2">
        <v>3632.94</v>
      </c>
      <c r="AN100" s="2">
        <v>4268.54</v>
      </c>
      <c r="AO100" s="2">
        <v>7867.38</v>
      </c>
      <c r="AP100" s="2">
        <v>5690.05</v>
      </c>
      <c r="AQ100" s="2">
        <v>6151.15</v>
      </c>
      <c r="AR100" s="2">
        <v>5011.84</v>
      </c>
      <c r="AU100" s="1" t="s">
        <v>73</v>
      </c>
      <c r="AV100" s="2">
        <v>10818.57</v>
      </c>
      <c r="AW100" s="2">
        <v>26840.12</v>
      </c>
      <c r="AX100" s="2">
        <v>11272.04</v>
      </c>
      <c r="AY100" s="2">
        <v>3185.3</v>
      </c>
      <c r="AZ100" s="2">
        <v>10200.959999999999</v>
      </c>
      <c r="BA100" s="2">
        <v>13750.82</v>
      </c>
      <c r="BB100" s="2">
        <v>23941.040000000001</v>
      </c>
      <c r="BC100" s="2">
        <v>18968</v>
      </c>
      <c r="BD100" s="2">
        <v>23790.639999999999</v>
      </c>
      <c r="BE100" s="2">
        <v>19488.79</v>
      </c>
      <c r="BF100" s="2">
        <v>14178.27</v>
      </c>
      <c r="BG100" s="2">
        <v>27932.3</v>
      </c>
      <c r="BH100" s="2">
        <v>11960.71</v>
      </c>
      <c r="BI100" s="2">
        <v>4697.79</v>
      </c>
      <c r="BJ100" s="2">
        <v>15039.58</v>
      </c>
      <c r="BK100" s="2">
        <v>19632.29</v>
      </c>
      <c r="BL100" s="2">
        <v>36543.089999999997</v>
      </c>
      <c r="BM100" s="2">
        <v>27231.62</v>
      </c>
      <c r="BN100" s="2">
        <v>26899.73</v>
      </c>
      <c r="BO100" s="2">
        <v>20318.84</v>
      </c>
      <c r="BR100" s="1" t="s">
        <v>73</v>
      </c>
      <c r="BS100" s="2">
        <v>1.33</v>
      </c>
      <c r="BT100" s="2">
        <v>1.8</v>
      </c>
      <c r="BU100" s="2">
        <v>0.51</v>
      </c>
      <c r="BV100" s="2">
        <v>0.53</v>
      </c>
      <c r="BW100" s="2">
        <v>0.1</v>
      </c>
      <c r="BX100" s="2">
        <v>0.24</v>
      </c>
      <c r="BY100" s="2">
        <v>0.79</v>
      </c>
      <c r="BZ100" s="2">
        <v>2.88</v>
      </c>
      <c r="CA100" s="2">
        <v>2.13</v>
      </c>
      <c r="CB100" s="2">
        <v>3.6</v>
      </c>
      <c r="CC100" s="2">
        <v>5.03</v>
      </c>
      <c r="CD100" s="2">
        <v>6.48</v>
      </c>
      <c r="CE100" s="2">
        <v>4.5199999999999996</v>
      </c>
      <c r="CF100" s="2">
        <v>4.6900000000000004</v>
      </c>
      <c r="CG100" s="2">
        <v>5.08</v>
      </c>
      <c r="CH100" s="2">
        <v>4.76</v>
      </c>
      <c r="CI100" s="2">
        <v>4.0199999999999996</v>
      </c>
      <c r="CJ100" s="2">
        <v>3.33</v>
      </c>
      <c r="CK100" s="2">
        <v>4.5599999999999996</v>
      </c>
      <c r="CL100" s="2">
        <v>3.75</v>
      </c>
    </row>
    <row r="101" spans="2:90" x14ac:dyDescent="0.3">
      <c r="W101" s="5">
        <f>SUM(C93:V100)/$W$45</f>
        <v>0.14133470828451594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1.388829579422694E-2</v>
      </c>
      <c r="D107" s="2">
        <v>1.9984996162323021E-2</v>
      </c>
      <c r="E107" s="2">
        <v>2.7465881424159292E-3</v>
      </c>
      <c r="F107" s="2">
        <v>4.3043991508987019E-3</v>
      </c>
      <c r="G107" s="2">
        <v>3.517555915841596E-3</v>
      </c>
      <c r="H107" s="2">
        <v>4.1246589996671631E-3</v>
      </c>
      <c r="I107" s="2">
        <v>1.7238746371299789E-2</v>
      </c>
      <c r="J107" s="2">
        <v>7.4347867973079329E-3</v>
      </c>
      <c r="K107" s="2">
        <v>2.1553734998848662E-2</v>
      </c>
      <c r="L107" s="2">
        <v>6.3884061326277188E-3</v>
      </c>
      <c r="M107" s="2">
        <v>2.1143588128059849E-2</v>
      </c>
      <c r="N107" s="2">
        <v>4.8148690466581047E-3</v>
      </c>
      <c r="O107" s="2">
        <v>2.141269982148333E-2</v>
      </c>
      <c r="P107" s="2">
        <v>1.4656437886431039E-3</v>
      </c>
      <c r="Q107" s="2">
        <v>1.8750743460653248E-2</v>
      </c>
      <c r="R107" s="2">
        <v>6.4701543846731732E-3</v>
      </c>
      <c r="S107" s="2">
        <v>2.119537116505644E-3</v>
      </c>
      <c r="T107" s="2">
        <v>2.0433870342216769E-3</v>
      </c>
      <c r="U107" s="2">
        <v>4.6328793702643959E-3</v>
      </c>
      <c r="V107" s="2">
        <v>2.9619537778805831E-3</v>
      </c>
      <c r="X107" s="1" t="s">
        <v>66</v>
      </c>
      <c r="Y107" s="2">
        <v>2550.4699999999998</v>
      </c>
      <c r="Z107" s="2">
        <v>2387.34</v>
      </c>
      <c r="AA107" s="2">
        <v>683.98</v>
      </c>
      <c r="AB107" s="2">
        <v>617</v>
      </c>
      <c r="AC107" s="2">
        <v>504.6</v>
      </c>
      <c r="AD107" s="2">
        <v>823.64</v>
      </c>
      <c r="AE107" s="2">
        <v>1641.24</v>
      </c>
      <c r="AF107" s="2">
        <v>863.5</v>
      </c>
      <c r="AG107" s="2">
        <v>2561.4499999999998</v>
      </c>
      <c r="AH107" s="2">
        <v>627.39</v>
      </c>
      <c r="AI107" s="2">
        <v>2667.47</v>
      </c>
      <c r="AJ107" s="2">
        <v>425.35</v>
      </c>
      <c r="AK107" s="2">
        <v>2371.2800000000002</v>
      </c>
      <c r="AL107" s="2">
        <v>99.7</v>
      </c>
      <c r="AM107" s="2">
        <v>1588.49</v>
      </c>
      <c r="AN107" s="2">
        <v>421.85</v>
      </c>
      <c r="AO107" s="2">
        <v>107.04</v>
      </c>
      <c r="AP107" s="2">
        <v>66.17</v>
      </c>
      <c r="AQ107" s="2">
        <v>170.68</v>
      </c>
      <c r="AR107" s="2">
        <v>65</v>
      </c>
      <c r="AU107" s="1" t="s">
        <v>66</v>
      </c>
      <c r="AV107" s="2">
        <v>9525.23</v>
      </c>
      <c r="AW107" s="2">
        <v>9342.56</v>
      </c>
      <c r="AX107" s="2">
        <v>10458.620000000001</v>
      </c>
      <c r="AY107" s="2">
        <v>9487.5</v>
      </c>
      <c r="AZ107" s="2">
        <v>7751.9</v>
      </c>
      <c r="BA107" s="2">
        <v>10226.56</v>
      </c>
      <c r="BB107" s="2">
        <v>9888.4599999999991</v>
      </c>
      <c r="BC107" s="2">
        <v>9556.7000000000007</v>
      </c>
      <c r="BD107" s="2">
        <v>9919.5499999999993</v>
      </c>
      <c r="BE107" s="2">
        <v>9664.01</v>
      </c>
      <c r="BF107" s="2">
        <v>10168.43</v>
      </c>
      <c r="BG107" s="2">
        <v>9820.5499999999993</v>
      </c>
      <c r="BH107" s="2">
        <v>9924.2199999999993</v>
      </c>
      <c r="BI107" s="2">
        <v>9609.2999999999993</v>
      </c>
      <c r="BJ107" s="2">
        <v>10322.709999999999</v>
      </c>
      <c r="BK107" s="2">
        <v>10020.75</v>
      </c>
      <c r="BL107" s="2">
        <v>10316.66</v>
      </c>
      <c r="BM107" s="2">
        <v>6377.33</v>
      </c>
      <c r="BN107" s="2">
        <v>9607.6200000000008</v>
      </c>
      <c r="BO107" s="2">
        <v>6265.1</v>
      </c>
      <c r="BR107" s="1" t="s">
        <v>66</v>
      </c>
      <c r="BS107" s="2">
        <v>1.17</v>
      </c>
      <c r="BT107" s="2">
        <v>1.17</v>
      </c>
      <c r="BU107" s="2">
        <v>1.17</v>
      </c>
      <c r="BV107" s="2">
        <v>1.17</v>
      </c>
      <c r="BW107" s="2">
        <v>0.45</v>
      </c>
      <c r="BX107" s="2">
        <v>0.45</v>
      </c>
      <c r="BY107" s="2">
        <v>1.44</v>
      </c>
      <c r="BZ107" s="2">
        <v>1.44</v>
      </c>
      <c r="CA107" s="2">
        <v>1.8</v>
      </c>
      <c r="CB107" s="2">
        <v>1.8</v>
      </c>
      <c r="CC107" s="2">
        <v>3.24</v>
      </c>
      <c r="CD107" s="2">
        <v>3.24</v>
      </c>
      <c r="CE107" s="2">
        <v>2.61</v>
      </c>
      <c r="CF107" s="2">
        <v>2.61</v>
      </c>
      <c r="CG107" s="2">
        <v>3.42</v>
      </c>
      <c r="CH107" s="2">
        <v>3.42</v>
      </c>
      <c r="CI107" s="2">
        <v>3.06</v>
      </c>
      <c r="CJ107" s="2">
        <v>3.06</v>
      </c>
      <c r="CK107" s="2">
        <v>4.05</v>
      </c>
      <c r="CL107" s="2">
        <v>4.05</v>
      </c>
    </row>
    <row r="108" spans="2:90" x14ac:dyDescent="0.3">
      <c r="B108" s="1" t="s">
        <v>67</v>
      </c>
      <c r="C108" s="2">
        <v>2.03547059411428E-2</v>
      </c>
      <c r="D108" s="2">
        <v>1.1335344953939369E-2</v>
      </c>
      <c r="E108" s="2">
        <v>1.834421913322222E-2</v>
      </c>
      <c r="F108" s="2">
        <v>1.297928810551471E-2</v>
      </c>
      <c r="G108" s="2">
        <v>1.787881844243025E-2</v>
      </c>
      <c r="H108" s="2">
        <v>1.289890184883212E-2</v>
      </c>
      <c r="I108" s="2">
        <v>4.2503742867727172E-2</v>
      </c>
      <c r="J108" s="2">
        <v>2.8057807193212461E-2</v>
      </c>
      <c r="K108" s="2">
        <v>3.7412415405917027E-2</v>
      </c>
      <c r="L108" s="2">
        <v>1.9433541142195188E-2</v>
      </c>
      <c r="M108" s="2">
        <v>4.3904201822689587E-2</v>
      </c>
      <c r="N108" s="2">
        <v>2.1984275779221539E-2</v>
      </c>
      <c r="O108" s="2">
        <v>3.573522135482407E-2</v>
      </c>
      <c r="P108" s="2">
        <v>2.9113188319295932E-2</v>
      </c>
      <c r="Q108" s="2">
        <v>3.579744551358114E-2</v>
      </c>
      <c r="R108" s="2">
        <v>3.2298358952786918E-2</v>
      </c>
      <c r="S108" s="2">
        <v>5.2293945192032613E-2</v>
      </c>
      <c r="T108" s="2">
        <v>2.9583948064624419E-2</v>
      </c>
      <c r="U108" s="2">
        <v>6.4110105488081937E-2</v>
      </c>
      <c r="V108" s="2">
        <v>2.8827925631604322E-2</v>
      </c>
      <c r="X108" s="1" t="s">
        <v>67</v>
      </c>
      <c r="Y108" s="2">
        <v>925.6</v>
      </c>
      <c r="Z108" s="2">
        <v>536.51</v>
      </c>
      <c r="AA108" s="2">
        <v>1020.87</v>
      </c>
      <c r="AB108" s="2">
        <v>620.29</v>
      </c>
      <c r="AC108" s="2">
        <v>605.61</v>
      </c>
      <c r="AD108" s="2">
        <v>750.16</v>
      </c>
      <c r="AE108" s="2">
        <v>1092.73</v>
      </c>
      <c r="AF108" s="2">
        <v>631.36</v>
      </c>
      <c r="AG108" s="2">
        <v>1013.89</v>
      </c>
      <c r="AH108" s="2">
        <v>585.46</v>
      </c>
      <c r="AI108" s="2">
        <v>976.78</v>
      </c>
      <c r="AJ108" s="2">
        <v>590.78</v>
      </c>
      <c r="AK108" s="2">
        <v>789.39</v>
      </c>
      <c r="AL108" s="2">
        <v>662.83</v>
      </c>
      <c r="AM108" s="2">
        <v>757.93</v>
      </c>
      <c r="AN108" s="2">
        <v>687.04</v>
      </c>
      <c r="AO108" s="2">
        <v>748.57</v>
      </c>
      <c r="AP108" s="2">
        <v>508.47</v>
      </c>
      <c r="AQ108" s="2">
        <v>875.65</v>
      </c>
      <c r="AR108" s="2">
        <v>504.72</v>
      </c>
      <c r="AU108" s="1" t="s">
        <v>67</v>
      </c>
      <c r="AV108" s="2">
        <v>5591.9</v>
      </c>
      <c r="AW108" s="2">
        <v>3217.39</v>
      </c>
      <c r="AX108" s="2">
        <v>5755.43</v>
      </c>
      <c r="AY108" s="2">
        <v>3465.91</v>
      </c>
      <c r="AZ108" s="2">
        <v>3374.99</v>
      </c>
      <c r="BA108" s="2">
        <v>4186.34</v>
      </c>
      <c r="BB108" s="2">
        <v>6203.37</v>
      </c>
      <c r="BC108" s="2">
        <v>3524.04</v>
      </c>
      <c r="BD108" s="2">
        <v>6191.81</v>
      </c>
      <c r="BE108" s="2">
        <v>3514.84</v>
      </c>
      <c r="BF108" s="2">
        <v>6053.32</v>
      </c>
      <c r="BG108" s="2">
        <v>3553.82</v>
      </c>
      <c r="BH108" s="2">
        <v>4788.51</v>
      </c>
      <c r="BI108" s="2">
        <v>3993.27</v>
      </c>
      <c r="BJ108" s="2">
        <v>4603.67</v>
      </c>
      <c r="BK108" s="2">
        <v>4155.76</v>
      </c>
      <c r="BL108" s="2">
        <v>4535.83</v>
      </c>
      <c r="BM108" s="2">
        <v>3051.73</v>
      </c>
      <c r="BN108" s="2">
        <v>5392.55</v>
      </c>
      <c r="BO108" s="2">
        <v>3040.48</v>
      </c>
      <c r="BR108" s="1" t="s">
        <v>67</v>
      </c>
      <c r="BS108" s="2">
        <v>7.13</v>
      </c>
      <c r="BT108" s="2">
        <v>4.16</v>
      </c>
      <c r="BU108" s="2">
        <v>5.66</v>
      </c>
      <c r="BV108" s="2">
        <v>3.58</v>
      </c>
      <c r="BW108" s="2">
        <v>2.2000000000000002</v>
      </c>
      <c r="BX108" s="2">
        <v>1.77</v>
      </c>
      <c r="BY108" s="2">
        <v>8.33</v>
      </c>
      <c r="BZ108" s="2">
        <v>9.6199999999999992</v>
      </c>
      <c r="CA108" s="2">
        <v>11.47</v>
      </c>
      <c r="CB108" s="2">
        <v>9.2899999999999991</v>
      </c>
      <c r="CC108" s="2">
        <v>26.17</v>
      </c>
      <c r="CD108" s="2">
        <v>17.25</v>
      </c>
      <c r="CE108" s="2">
        <v>18.96</v>
      </c>
      <c r="CF108" s="2">
        <v>15.42</v>
      </c>
      <c r="CG108" s="2">
        <v>23.46</v>
      </c>
      <c r="CH108" s="2">
        <v>17.559999999999999</v>
      </c>
      <c r="CI108" s="2">
        <v>19.84</v>
      </c>
      <c r="CJ108" s="2">
        <v>13.04</v>
      </c>
      <c r="CK108" s="2">
        <v>21.5</v>
      </c>
      <c r="CL108" s="2">
        <v>12.47</v>
      </c>
    </row>
    <row r="109" spans="2:90" x14ac:dyDescent="0.3">
      <c r="B109" s="1" t="s">
        <v>68</v>
      </c>
      <c r="C109" s="2">
        <v>0.34069919046364361</v>
      </c>
      <c r="D109" s="2">
        <v>3.6441097864673679E-2</v>
      </c>
      <c r="E109" s="2">
        <v>0.36875638042655962</v>
      </c>
      <c r="F109" s="2">
        <v>3.3247524545152347E-2</v>
      </c>
      <c r="G109" s="2">
        <v>0.32653305975680191</v>
      </c>
      <c r="H109" s="2">
        <v>0.26366629448109452</v>
      </c>
      <c r="I109" s="2">
        <v>0.37798908814316501</v>
      </c>
      <c r="J109" s="2">
        <v>0.15285735494719321</v>
      </c>
      <c r="K109" s="2">
        <v>0.34456382398649088</v>
      </c>
      <c r="L109" s="2">
        <v>0.12379207844904611</v>
      </c>
      <c r="M109" s="2">
        <v>0.35386224665473009</v>
      </c>
      <c r="N109" s="2">
        <v>0.13440533973981431</v>
      </c>
      <c r="O109" s="2">
        <v>0.3686637610098123</v>
      </c>
      <c r="P109" s="2">
        <v>0.1554277765147716</v>
      </c>
      <c r="Q109" s="2">
        <v>0.38982327385450832</v>
      </c>
      <c r="R109" s="2">
        <v>0.176597830643557</v>
      </c>
      <c r="S109" s="2">
        <v>0.27057608470274508</v>
      </c>
      <c r="T109" s="2">
        <v>0.184061371416639</v>
      </c>
      <c r="U109" s="2">
        <v>0.1902000466652749</v>
      </c>
      <c r="V109" s="2">
        <v>0.18476802797788641</v>
      </c>
      <c r="X109" s="1" t="s">
        <v>68</v>
      </c>
      <c r="Y109" s="2">
        <v>4758.71</v>
      </c>
      <c r="Z109" s="2">
        <v>1308.4000000000001</v>
      </c>
      <c r="AA109" s="2">
        <v>5011</v>
      </c>
      <c r="AB109" s="2">
        <v>1387.4</v>
      </c>
      <c r="AC109" s="2">
        <v>5048.12</v>
      </c>
      <c r="AD109" s="2">
        <v>3080.56</v>
      </c>
      <c r="AE109" s="2">
        <v>5400.6</v>
      </c>
      <c r="AF109" s="2">
        <v>2400.4299999999998</v>
      </c>
      <c r="AG109" s="2">
        <v>5631.86</v>
      </c>
      <c r="AH109" s="2">
        <v>1958</v>
      </c>
      <c r="AI109" s="2">
        <v>6033.96</v>
      </c>
      <c r="AJ109" s="2">
        <v>1940.43</v>
      </c>
      <c r="AK109" s="2">
        <v>5536.34</v>
      </c>
      <c r="AL109" s="2">
        <v>2034.21</v>
      </c>
      <c r="AM109" s="2">
        <v>5352.55</v>
      </c>
      <c r="AN109" s="2">
        <v>1914.84</v>
      </c>
      <c r="AO109" s="2">
        <v>2478.7199999999998</v>
      </c>
      <c r="AP109" s="2">
        <v>1544.83</v>
      </c>
      <c r="AQ109" s="2">
        <v>1589.46</v>
      </c>
      <c r="AR109" s="2">
        <v>1415.56</v>
      </c>
      <c r="AU109" s="1" t="s">
        <v>68</v>
      </c>
      <c r="AV109" s="2">
        <v>16450.05</v>
      </c>
      <c r="AW109" s="2">
        <v>7845.5</v>
      </c>
      <c r="AX109" s="2">
        <v>18323.79</v>
      </c>
      <c r="AY109" s="2">
        <v>7749.1</v>
      </c>
      <c r="AZ109" s="2">
        <v>10693.09</v>
      </c>
      <c r="BA109" s="2">
        <v>14729.87</v>
      </c>
      <c r="BB109" s="2">
        <v>15809.33</v>
      </c>
      <c r="BC109" s="2">
        <v>11442.55</v>
      </c>
      <c r="BD109" s="2">
        <v>16059.34</v>
      </c>
      <c r="BE109" s="2">
        <v>10846.93</v>
      </c>
      <c r="BF109" s="2">
        <v>16455.490000000002</v>
      </c>
      <c r="BG109" s="2">
        <v>10662.8</v>
      </c>
      <c r="BH109" s="2">
        <v>14204.99</v>
      </c>
      <c r="BI109" s="2">
        <v>10873.51</v>
      </c>
      <c r="BJ109" s="2">
        <v>13479.64</v>
      </c>
      <c r="BK109" s="2">
        <v>11123.86</v>
      </c>
      <c r="BL109" s="2">
        <v>12424.86</v>
      </c>
      <c r="BM109" s="2">
        <v>8923.36</v>
      </c>
      <c r="BN109" s="2">
        <v>9535.6</v>
      </c>
      <c r="BO109" s="2">
        <v>8273.56</v>
      </c>
      <c r="BR109" s="1" t="s">
        <v>68</v>
      </c>
      <c r="BS109" s="2">
        <v>21.06</v>
      </c>
      <c r="BT109" s="2">
        <v>5.28</v>
      </c>
      <c r="BU109" s="2">
        <v>21.82</v>
      </c>
      <c r="BV109" s="2">
        <v>4.05</v>
      </c>
      <c r="BW109" s="2">
        <v>4.05</v>
      </c>
      <c r="BX109" s="2">
        <v>8.1</v>
      </c>
      <c r="BY109" s="2">
        <v>12.96</v>
      </c>
      <c r="BZ109" s="2">
        <v>12.96</v>
      </c>
      <c r="CA109" s="2">
        <v>16.2</v>
      </c>
      <c r="CB109" s="2">
        <v>16.2</v>
      </c>
      <c r="CC109" s="2">
        <v>29.16</v>
      </c>
      <c r="CD109" s="2">
        <v>29.16</v>
      </c>
      <c r="CE109" s="2">
        <v>23.49</v>
      </c>
      <c r="CF109" s="2">
        <v>23.49</v>
      </c>
      <c r="CG109" s="2">
        <v>30.78</v>
      </c>
      <c r="CH109" s="2">
        <v>30.78</v>
      </c>
      <c r="CI109" s="2">
        <v>27.54</v>
      </c>
      <c r="CJ109" s="2">
        <v>23.53</v>
      </c>
      <c r="CK109" s="2">
        <v>30.93</v>
      </c>
      <c r="CL109" s="2">
        <v>26.8</v>
      </c>
    </row>
    <row r="110" spans="2:90" x14ac:dyDescent="0.3">
      <c r="B110" s="1" t="s">
        <v>69</v>
      </c>
      <c r="C110" s="2">
        <v>5.1835426074157531E-2</v>
      </c>
      <c r="D110" s="2">
        <v>1.400692584220601E-2</v>
      </c>
      <c r="E110" s="2">
        <v>6.679488522315323E-2</v>
      </c>
      <c r="F110" s="2">
        <v>1.172618315355803E-2</v>
      </c>
      <c r="G110" s="2">
        <v>7.5538635158197184E-2</v>
      </c>
      <c r="H110" s="2">
        <v>6.2905066135990811E-2</v>
      </c>
      <c r="I110" s="2">
        <v>9.7304331497154409E-2</v>
      </c>
      <c r="J110" s="2">
        <v>4.3189401756021407E-2</v>
      </c>
      <c r="K110" s="2">
        <v>9.3003026397241575E-2</v>
      </c>
      <c r="L110" s="2">
        <v>3.1842499392459672E-2</v>
      </c>
      <c r="M110" s="2">
        <v>8.9495479899481256E-2</v>
      </c>
      <c r="N110" s="2">
        <v>3.1729036952941422E-2</v>
      </c>
      <c r="O110" s="2">
        <v>8.3766161409752002E-2</v>
      </c>
      <c r="P110" s="2">
        <v>3.6178797721218479E-2</v>
      </c>
      <c r="Q110" s="2">
        <v>6.3313701040341869E-2</v>
      </c>
      <c r="R110" s="2">
        <v>3.9050462300740219E-2</v>
      </c>
      <c r="S110" s="2">
        <v>4.6825221848646861E-2</v>
      </c>
      <c r="T110" s="2">
        <v>4.5434765381988741E-2</v>
      </c>
      <c r="U110" s="2">
        <v>4.7424936449263787E-2</v>
      </c>
      <c r="V110" s="2">
        <v>5.0774638328829447E-2</v>
      </c>
      <c r="X110" s="1" t="s">
        <v>69</v>
      </c>
      <c r="Y110" s="2">
        <v>1322.15</v>
      </c>
      <c r="Z110" s="2">
        <v>487.08</v>
      </c>
      <c r="AA110" s="2">
        <v>982.98</v>
      </c>
      <c r="AB110" s="2">
        <v>544.51</v>
      </c>
      <c r="AC110" s="2">
        <v>1152.19</v>
      </c>
      <c r="AD110" s="2">
        <v>1437.12</v>
      </c>
      <c r="AE110" s="2">
        <v>1299.76</v>
      </c>
      <c r="AF110" s="2">
        <v>717.84</v>
      </c>
      <c r="AG110" s="2">
        <v>848.76</v>
      </c>
      <c r="AH110" s="2">
        <v>619.98</v>
      </c>
      <c r="AI110" s="2">
        <v>838.68</v>
      </c>
      <c r="AJ110" s="2">
        <v>588.94000000000005</v>
      </c>
      <c r="AK110" s="2">
        <v>1217.4100000000001</v>
      </c>
      <c r="AL110" s="2">
        <v>600.16999999999996</v>
      </c>
      <c r="AM110" s="2">
        <v>852.22</v>
      </c>
      <c r="AN110" s="2">
        <v>569.80999999999995</v>
      </c>
      <c r="AO110" s="2">
        <v>581.53</v>
      </c>
      <c r="AP110" s="2">
        <v>531.12</v>
      </c>
      <c r="AQ110" s="2">
        <v>527.13</v>
      </c>
      <c r="AR110" s="2">
        <v>502.05</v>
      </c>
      <c r="AU110" s="1" t="s">
        <v>69</v>
      </c>
      <c r="AV110" s="2">
        <v>4373.92</v>
      </c>
      <c r="AW110" s="2">
        <v>2571.62</v>
      </c>
      <c r="AX110" s="2">
        <v>5602.63</v>
      </c>
      <c r="AY110" s="2">
        <v>3039.19</v>
      </c>
      <c r="AZ110" s="2">
        <v>3525.37</v>
      </c>
      <c r="BA110" s="2">
        <v>4814.67</v>
      </c>
      <c r="BB110" s="2">
        <v>4723.9399999999996</v>
      </c>
      <c r="BC110" s="2">
        <v>4010.53</v>
      </c>
      <c r="BD110" s="2">
        <v>5154.92</v>
      </c>
      <c r="BE110" s="2">
        <v>3716.94</v>
      </c>
      <c r="BF110" s="2">
        <v>5148.55</v>
      </c>
      <c r="BG110" s="2">
        <v>3514.55</v>
      </c>
      <c r="BH110" s="2">
        <v>4580.6400000000003</v>
      </c>
      <c r="BI110" s="2">
        <v>3593.23</v>
      </c>
      <c r="BJ110" s="2">
        <v>4294.68</v>
      </c>
      <c r="BK110" s="2">
        <v>3397.99</v>
      </c>
      <c r="BL110" s="2">
        <v>3486.97</v>
      </c>
      <c r="BM110" s="2">
        <v>3021.78</v>
      </c>
      <c r="BN110" s="2">
        <v>3054.17</v>
      </c>
      <c r="BO110" s="2">
        <v>2856.25</v>
      </c>
      <c r="BR110" s="1" t="s">
        <v>69</v>
      </c>
      <c r="BS110" s="2">
        <v>10.53</v>
      </c>
      <c r="BT110" s="2">
        <v>5.13</v>
      </c>
      <c r="BU110" s="2">
        <v>19.87</v>
      </c>
      <c r="BV110" s="2">
        <v>3.48</v>
      </c>
      <c r="BW110" s="2">
        <v>4.05</v>
      </c>
      <c r="BX110" s="2">
        <v>4.05</v>
      </c>
      <c r="BY110" s="2">
        <v>12.96</v>
      </c>
      <c r="BZ110" s="2">
        <v>12.26</v>
      </c>
      <c r="CA110" s="2">
        <v>28.33</v>
      </c>
      <c r="CB110" s="2">
        <v>13.03</v>
      </c>
      <c r="CC110" s="2">
        <v>51.33</v>
      </c>
      <c r="CD110" s="2">
        <v>22.28</v>
      </c>
      <c r="CE110" s="2">
        <v>23.49</v>
      </c>
      <c r="CF110" s="2">
        <v>18.32</v>
      </c>
      <c r="CG110" s="2">
        <v>30.78</v>
      </c>
      <c r="CH110" s="2">
        <v>21.49</v>
      </c>
      <c r="CI110" s="2">
        <v>19.07</v>
      </c>
      <c r="CJ110" s="2">
        <v>16.7</v>
      </c>
      <c r="CK110" s="2">
        <v>21.74</v>
      </c>
      <c r="CL110" s="2">
        <v>19.86</v>
      </c>
    </row>
    <row r="111" spans="2:90" x14ac:dyDescent="0.3">
      <c r="B111" s="1" t="s">
        <v>70</v>
      </c>
      <c r="C111" s="2">
        <v>0.17281749997728571</v>
      </c>
      <c r="D111" s="2">
        <v>0.26078009753854758</v>
      </c>
      <c r="E111" s="2">
        <v>0.2286315404059602</v>
      </c>
      <c r="F111" s="2">
        <v>0.18567045586409489</v>
      </c>
      <c r="G111" s="2">
        <v>0.28357572354519461</v>
      </c>
      <c r="H111" s="2">
        <v>0.21566168995067519</v>
      </c>
      <c r="I111" s="2">
        <v>0.1695250558416137</v>
      </c>
      <c r="J111" s="2">
        <v>0.29737642391486629</v>
      </c>
      <c r="K111" s="2">
        <v>0.27360397957281551</v>
      </c>
      <c r="L111" s="2">
        <v>0.28520988323722668</v>
      </c>
      <c r="M111" s="2">
        <v>0.22854209936450309</v>
      </c>
      <c r="N111" s="2">
        <v>0.23008568639297991</v>
      </c>
      <c r="O111" s="2">
        <v>0.2005317766580553</v>
      </c>
      <c r="P111" s="2">
        <v>0.22761353854884631</v>
      </c>
      <c r="Q111" s="2">
        <v>0.16652002121045159</v>
      </c>
      <c r="R111" s="2">
        <v>0.22488397959426959</v>
      </c>
      <c r="S111" s="2">
        <v>0.22458720797474041</v>
      </c>
      <c r="T111" s="2">
        <v>0.23596139480002121</v>
      </c>
      <c r="U111" s="2">
        <v>0.27078987117928061</v>
      </c>
      <c r="V111" s="2">
        <v>0.2678273782147258</v>
      </c>
      <c r="X111" s="1" t="s">
        <v>70</v>
      </c>
      <c r="Y111" s="2">
        <v>4658.4799999999996</v>
      </c>
      <c r="Z111" s="2">
        <v>4796.8100000000004</v>
      </c>
      <c r="AA111" s="2">
        <v>6391.55</v>
      </c>
      <c r="AB111" s="2">
        <v>5105.1499999999996</v>
      </c>
      <c r="AC111" s="2">
        <v>4674.6899999999996</v>
      </c>
      <c r="AD111" s="2">
        <v>5246.45</v>
      </c>
      <c r="AE111" s="2">
        <v>4047.25</v>
      </c>
      <c r="AF111" s="2">
        <v>4923.42</v>
      </c>
      <c r="AG111" s="2">
        <v>4556.87</v>
      </c>
      <c r="AH111" s="2">
        <v>4908.87</v>
      </c>
      <c r="AI111" s="2">
        <v>3985.72</v>
      </c>
      <c r="AJ111" s="2">
        <v>4043.14</v>
      </c>
      <c r="AK111" s="2">
        <v>3618.87</v>
      </c>
      <c r="AL111" s="2">
        <v>3962.59</v>
      </c>
      <c r="AM111" s="2">
        <v>3267.28</v>
      </c>
      <c r="AN111" s="2">
        <v>3374.09</v>
      </c>
      <c r="AO111" s="2">
        <v>2964.84</v>
      </c>
      <c r="AP111" s="2">
        <v>3204.5</v>
      </c>
      <c r="AQ111" s="2">
        <v>3003.5</v>
      </c>
      <c r="AR111" s="2">
        <v>3443.48</v>
      </c>
      <c r="AU111" s="1" t="s">
        <v>70</v>
      </c>
      <c r="AV111" s="2">
        <v>15749.05</v>
      </c>
      <c r="AW111" s="2">
        <v>20894.189999999999</v>
      </c>
      <c r="AX111" s="2">
        <v>24478.95</v>
      </c>
      <c r="AY111" s="2">
        <v>28469.35</v>
      </c>
      <c r="AZ111" s="2">
        <v>15575.31</v>
      </c>
      <c r="BA111" s="2">
        <v>18051.919999999998</v>
      </c>
      <c r="BB111" s="2">
        <v>22456.25</v>
      </c>
      <c r="BC111" s="2">
        <v>20631.080000000002</v>
      </c>
      <c r="BD111" s="2">
        <v>23843.63</v>
      </c>
      <c r="BE111" s="2">
        <v>23719.63</v>
      </c>
      <c r="BF111" s="2">
        <v>23285.279999999999</v>
      </c>
      <c r="BG111" s="2">
        <v>24331.360000000001</v>
      </c>
      <c r="BH111" s="2">
        <v>21596.13</v>
      </c>
      <c r="BI111" s="2">
        <v>23739.91</v>
      </c>
      <c r="BJ111" s="2">
        <v>19457.72</v>
      </c>
      <c r="BK111" s="2">
        <v>20120.41</v>
      </c>
      <c r="BL111" s="2">
        <v>17599.16</v>
      </c>
      <c r="BM111" s="2">
        <v>19076</v>
      </c>
      <c r="BN111" s="2">
        <v>17844.5</v>
      </c>
      <c r="BO111" s="2">
        <v>20651.52</v>
      </c>
      <c r="BR111" s="1" t="s">
        <v>70</v>
      </c>
      <c r="BS111" s="2">
        <v>10.53</v>
      </c>
      <c r="BT111" s="2">
        <v>10.53</v>
      </c>
      <c r="BU111" s="2">
        <v>10.53</v>
      </c>
      <c r="BV111" s="2">
        <v>6.38</v>
      </c>
      <c r="BW111" s="2">
        <v>4.05</v>
      </c>
      <c r="BX111" s="2">
        <v>4.05</v>
      </c>
      <c r="BY111" s="2">
        <v>7.84</v>
      </c>
      <c r="BZ111" s="2">
        <v>12.96</v>
      </c>
      <c r="CA111" s="2">
        <v>16.2</v>
      </c>
      <c r="CB111" s="2">
        <v>16.2</v>
      </c>
      <c r="CC111" s="2">
        <v>29.16</v>
      </c>
      <c r="CD111" s="2">
        <v>26.99</v>
      </c>
      <c r="CE111" s="2">
        <v>20.84</v>
      </c>
      <c r="CF111" s="2">
        <v>19.670000000000002</v>
      </c>
      <c r="CG111" s="2">
        <v>22.63</v>
      </c>
      <c r="CH111" s="2">
        <v>23.09</v>
      </c>
      <c r="CI111" s="2">
        <v>18.54</v>
      </c>
      <c r="CJ111" s="2">
        <v>16.61</v>
      </c>
      <c r="CK111" s="2">
        <v>23.45</v>
      </c>
      <c r="CL111" s="2">
        <v>17.079999999999998</v>
      </c>
    </row>
    <row r="112" spans="2:90" x14ac:dyDescent="0.3">
      <c r="B112" s="1" t="s">
        <v>71</v>
      </c>
      <c r="C112" s="2">
        <v>5.1633496270317908E-2</v>
      </c>
      <c r="D112" s="2">
        <v>7.7778507036534605E-2</v>
      </c>
      <c r="E112" s="2">
        <v>6.7496788232849242E-2</v>
      </c>
      <c r="F112" s="2">
        <v>0.11408184596646349</v>
      </c>
      <c r="G112" s="2">
        <v>6.4391344905640677E-2</v>
      </c>
      <c r="H112" s="2">
        <v>4.879356343645213E-2</v>
      </c>
      <c r="I112" s="2">
        <v>3.5638348008882062E-2</v>
      </c>
      <c r="J112" s="2">
        <v>5.8231173855488837E-2</v>
      </c>
      <c r="K112" s="2">
        <v>2.815030408513787E-2</v>
      </c>
      <c r="L112" s="2">
        <v>7.4922708882778438E-2</v>
      </c>
      <c r="M112" s="2">
        <v>3.4114818004385088E-2</v>
      </c>
      <c r="N112" s="2">
        <v>8.165935225760354E-2</v>
      </c>
      <c r="O112" s="2">
        <v>3.5648328007240583E-2</v>
      </c>
      <c r="P112" s="2">
        <v>7.5510312659653522E-2</v>
      </c>
      <c r="Q112" s="2">
        <v>3.8038184139150971E-2</v>
      </c>
      <c r="R112" s="2">
        <v>9.4070954034790058E-2</v>
      </c>
      <c r="S112" s="2">
        <v>5.3624118445261583E-2</v>
      </c>
      <c r="T112" s="2">
        <v>0.1083534398962443</v>
      </c>
      <c r="U112" s="2">
        <v>5.3647750856553413E-2</v>
      </c>
      <c r="V112" s="2">
        <v>5.3700636975118753E-2</v>
      </c>
      <c r="X112" s="1" t="s">
        <v>71</v>
      </c>
      <c r="Y112" s="2">
        <v>873.53</v>
      </c>
      <c r="Z112" s="2">
        <v>926.96</v>
      </c>
      <c r="AA112" s="2">
        <v>1365.49</v>
      </c>
      <c r="AB112" s="2">
        <v>1412.31</v>
      </c>
      <c r="AC112" s="2">
        <v>1141.49</v>
      </c>
      <c r="AD112" s="2">
        <v>1307.02</v>
      </c>
      <c r="AE112" s="2">
        <v>947.41</v>
      </c>
      <c r="AF112" s="2">
        <v>1073.6500000000001</v>
      </c>
      <c r="AG112" s="2">
        <v>887.29</v>
      </c>
      <c r="AH112" s="2">
        <v>1429.66</v>
      </c>
      <c r="AI112" s="2">
        <v>924.42</v>
      </c>
      <c r="AJ112" s="2">
        <v>1478.92</v>
      </c>
      <c r="AK112" s="2">
        <v>921.61</v>
      </c>
      <c r="AL112" s="2">
        <v>1252.31</v>
      </c>
      <c r="AM112" s="2">
        <v>900.98</v>
      </c>
      <c r="AN112" s="2">
        <v>1202.45</v>
      </c>
      <c r="AO112" s="2">
        <v>840.09</v>
      </c>
      <c r="AP112" s="2">
        <v>1100.3800000000001</v>
      </c>
      <c r="AQ112" s="2">
        <v>767.52</v>
      </c>
      <c r="AR112" s="2">
        <v>787</v>
      </c>
      <c r="AU112" s="1" t="s">
        <v>71</v>
      </c>
      <c r="AV112" s="2">
        <v>4210.5200000000004</v>
      </c>
      <c r="AW112" s="2">
        <v>4480.47</v>
      </c>
      <c r="AX112" s="2">
        <v>6297.01</v>
      </c>
      <c r="AY112" s="2">
        <v>6541.94</v>
      </c>
      <c r="AZ112" s="2">
        <v>3250.59</v>
      </c>
      <c r="BA112" s="2">
        <v>3964.04</v>
      </c>
      <c r="BB112" s="2">
        <v>4233.8900000000003</v>
      </c>
      <c r="BC112" s="2">
        <v>3291.5</v>
      </c>
      <c r="BD112" s="2">
        <v>4275.71</v>
      </c>
      <c r="BE112" s="2">
        <v>5378.4</v>
      </c>
      <c r="BF112" s="2">
        <v>4508.78</v>
      </c>
      <c r="BG112" s="2">
        <v>5733.85</v>
      </c>
      <c r="BH112" s="2">
        <v>4473.17</v>
      </c>
      <c r="BI112" s="2">
        <v>5652.19</v>
      </c>
      <c r="BJ112" s="2">
        <v>4389.0600000000004</v>
      </c>
      <c r="BK112" s="2">
        <v>5430.41</v>
      </c>
      <c r="BL112" s="2">
        <v>4064</v>
      </c>
      <c r="BM112" s="2">
        <v>5469.43</v>
      </c>
      <c r="BN112" s="2">
        <v>3708.43</v>
      </c>
      <c r="BO112" s="2">
        <v>3815.5</v>
      </c>
      <c r="BR112" s="1" t="s">
        <v>71</v>
      </c>
      <c r="BS112" s="2">
        <v>18.79</v>
      </c>
      <c r="BT112" s="2">
        <v>18.39</v>
      </c>
      <c r="BU112" s="2">
        <v>15.54</v>
      </c>
      <c r="BV112" s="2">
        <v>15.29</v>
      </c>
      <c r="BW112" s="2">
        <v>4.05</v>
      </c>
      <c r="BX112" s="2">
        <v>4.05</v>
      </c>
      <c r="BY112" s="2">
        <v>7.8</v>
      </c>
      <c r="BZ112" s="2">
        <v>12.96</v>
      </c>
      <c r="CA112" s="2">
        <v>9.6</v>
      </c>
      <c r="CB112" s="2">
        <v>16.2</v>
      </c>
      <c r="CC112" s="2">
        <v>20.55</v>
      </c>
      <c r="CD112" s="2">
        <v>29.16</v>
      </c>
      <c r="CE112" s="2">
        <v>16.21</v>
      </c>
      <c r="CF112" s="2">
        <v>23.49</v>
      </c>
      <c r="CG112" s="2">
        <v>21.04</v>
      </c>
      <c r="CH112" s="2">
        <v>30.78</v>
      </c>
      <c r="CI112" s="2">
        <v>17.48</v>
      </c>
      <c r="CJ112" s="2">
        <v>25.79</v>
      </c>
      <c r="CK112" s="2">
        <v>20.25</v>
      </c>
      <c r="CL112" s="2">
        <v>17.329999999999998</v>
      </c>
    </row>
    <row r="113" spans="2:90" x14ac:dyDescent="0.3">
      <c r="B113" s="1" t="s">
        <v>72</v>
      </c>
      <c r="C113" s="2">
        <v>0.31564229123320281</v>
      </c>
      <c r="D113" s="2">
        <v>0.49710720432458749</v>
      </c>
      <c r="E113" s="2">
        <v>0.2333111502068595</v>
      </c>
      <c r="F113" s="2">
        <v>0.61145174335363595</v>
      </c>
      <c r="G113" s="2">
        <v>0.22557418706071319</v>
      </c>
      <c r="H113" s="2">
        <v>0.37184831173620903</v>
      </c>
      <c r="I113" s="2">
        <v>0.23947302468283349</v>
      </c>
      <c r="J113" s="2">
        <v>0.29558928267532558</v>
      </c>
      <c r="K113" s="2">
        <v>0.154384263731181</v>
      </c>
      <c r="L113" s="2">
        <v>0.35131123973220518</v>
      </c>
      <c r="M113" s="2">
        <v>0.16339442725472489</v>
      </c>
      <c r="N113" s="2">
        <v>0.37682728776809321</v>
      </c>
      <c r="O113" s="2">
        <v>0.1763657712134474</v>
      </c>
      <c r="P113" s="2">
        <v>0.36613350884721618</v>
      </c>
      <c r="Q113" s="2">
        <v>0.21580162368847619</v>
      </c>
      <c r="R113" s="2">
        <v>0.33561443976374211</v>
      </c>
      <c r="S113" s="2">
        <v>0.25119395385338172</v>
      </c>
      <c r="T113" s="2">
        <v>0.30251745102859168</v>
      </c>
      <c r="U113" s="2">
        <v>0.26243899743340993</v>
      </c>
      <c r="V113" s="2">
        <v>0.30467764276958781</v>
      </c>
      <c r="X113" s="1" t="s">
        <v>72</v>
      </c>
      <c r="Y113" s="2">
        <v>4883.13</v>
      </c>
      <c r="Z113" s="2">
        <v>5057.82</v>
      </c>
      <c r="AA113" s="2">
        <v>3977.77</v>
      </c>
      <c r="AB113" s="2">
        <v>5468</v>
      </c>
      <c r="AC113" s="2">
        <v>4115.47</v>
      </c>
      <c r="AD113" s="2">
        <v>4963.63</v>
      </c>
      <c r="AE113" s="2">
        <v>3851.3</v>
      </c>
      <c r="AF113" s="2">
        <v>5328.84</v>
      </c>
      <c r="AG113" s="2">
        <v>2903.96</v>
      </c>
      <c r="AH113" s="2">
        <v>6640.81</v>
      </c>
      <c r="AI113" s="2">
        <v>3184.43</v>
      </c>
      <c r="AJ113" s="2">
        <v>6685.8</v>
      </c>
      <c r="AK113" s="2">
        <v>3211.18</v>
      </c>
      <c r="AL113" s="2">
        <v>5871.04</v>
      </c>
      <c r="AM113" s="2">
        <v>3519.35</v>
      </c>
      <c r="AN113" s="2">
        <v>4214.32</v>
      </c>
      <c r="AO113" s="2">
        <v>2611.2199999999998</v>
      </c>
      <c r="AP113" s="2">
        <v>2788.75</v>
      </c>
      <c r="AQ113" s="2">
        <v>2442.3000000000002</v>
      </c>
      <c r="AR113" s="2">
        <v>2458.84</v>
      </c>
      <c r="AU113" s="1" t="s">
        <v>72</v>
      </c>
      <c r="AV113" s="2">
        <v>15622.62</v>
      </c>
      <c r="AW113" s="2">
        <v>16245.85</v>
      </c>
      <c r="AX113" s="2">
        <v>18430.86</v>
      </c>
      <c r="AY113" s="2">
        <v>20813.87</v>
      </c>
      <c r="AZ113" s="2">
        <v>10374.36</v>
      </c>
      <c r="BA113" s="2">
        <v>15639.59</v>
      </c>
      <c r="BB113" s="2">
        <v>14447.86</v>
      </c>
      <c r="BC113" s="2">
        <v>11180.53</v>
      </c>
      <c r="BD113" s="2">
        <v>13949.79</v>
      </c>
      <c r="BE113" s="2">
        <v>17477.14</v>
      </c>
      <c r="BF113" s="2">
        <v>14303.16</v>
      </c>
      <c r="BG113" s="2">
        <v>17783.830000000002</v>
      </c>
      <c r="BH113" s="2">
        <v>14311.76</v>
      </c>
      <c r="BI113" s="2">
        <v>17132.060000000001</v>
      </c>
      <c r="BJ113" s="2">
        <v>14422.62</v>
      </c>
      <c r="BK113" s="2">
        <v>15353.83</v>
      </c>
      <c r="BL113" s="2">
        <v>12717.8</v>
      </c>
      <c r="BM113" s="2">
        <v>13667.06</v>
      </c>
      <c r="BN113" s="2">
        <v>11906.2</v>
      </c>
      <c r="BO113" s="2">
        <v>12006.37</v>
      </c>
      <c r="BR113" s="1" t="s">
        <v>72</v>
      </c>
      <c r="BS113" s="2">
        <v>21.06</v>
      </c>
      <c r="BT113" s="2">
        <v>21.06</v>
      </c>
      <c r="BU113" s="2">
        <v>18.670000000000002</v>
      </c>
      <c r="BV113" s="2">
        <v>21.06</v>
      </c>
      <c r="BW113" s="2">
        <v>4.05</v>
      </c>
      <c r="BX113" s="2">
        <v>8.1</v>
      </c>
      <c r="BY113" s="2">
        <v>12.96</v>
      </c>
      <c r="BZ113" s="2">
        <v>12.96</v>
      </c>
      <c r="CA113" s="2">
        <v>16.2</v>
      </c>
      <c r="CB113" s="2">
        <v>16.2</v>
      </c>
      <c r="CC113" s="2">
        <v>29.16</v>
      </c>
      <c r="CD113" s="2">
        <v>29.16</v>
      </c>
      <c r="CE113" s="2">
        <v>23.49</v>
      </c>
      <c r="CF113" s="2">
        <v>23.49</v>
      </c>
      <c r="CG113" s="2">
        <v>30.78</v>
      </c>
      <c r="CH113" s="2">
        <v>30.78</v>
      </c>
      <c r="CI113" s="2">
        <v>26.72</v>
      </c>
      <c r="CJ113" s="2">
        <v>27.46</v>
      </c>
      <c r="CK113" s="2">
        <v>31.84</v>
      </c>
      <c r="CL113" s="2">
        <v>30.71</v>
      </c>
    </row>
    <row r="114" spans="2:90" x14ac:dyDescent="0.3">
      <c r="B114" s="1" t="s">
        <v>73</v>
      </c>
      <c r="C114" s="2">
        <v>3.3129094246022728E-2</v>
      </c>
      <c r="D114" s="2">
        <v>8.2565826277188073E-2</v>
      </c>
      <c r="E114" s="2">
        <v>1.391844822898012E-2</v>
      </c>
      <c r="F114" s="2">
        <v>2.6538559860681779E-2</v>
      </c>
      <c r="G114" s="2">
        <v>2.9906752151805868E-3</v>
      </c>
      <c r="H114" s="2">
        <v>2.0101513411079019E-2</v>
      </c>
      <c r="I114" s="2">
        <v>2.0327662587324449E-2</v>
      </c>
      <c r="J114" s="2">
        <v>0.11726376886058421</v>
      </c>
      <c r="K114" s="2">
        <v>4.732845182236764E-2</v>
      </c>
      <c r="L114" s="2">
        <v>0.10709964303146099</v>
      </c>
      <c r="M114" s="2">
        <v>6.5543138871426154E-2</v>
      </c>
      <c r="N114" s="2">
        <v>0.118494152062688</v>
      </c>
      <c r="O114" s="2">
        <v>7.7876280525384992E-2</v>
      </c>
      <c r="P114" s="2">
        <v>0.1085572336003548</v>
      </c>
      <c r="Q114" s="2">
        <v>7.1955007092836559E-2</v>
      </c>
      <c r="R114" s="2">
        <v>9.1013820325441114E-2</v>
      </c>
      <c r="S114" s="2">
        <v>9.8779930866686086E-2</v>
      </c>
      <c r="T114" s="2">
        <v>9.2044242377669033E-2</v>
      </c>
      <c r="U114" s="2">
        <v>0.1067554125578711</v>
      </c>
      <c r="V114" s="2">
        <v>0.10646179632436679</v>
      </c>
      <c r="X114" s="1" t="s">
        <v>73</v>
      </c>
      <c r="Y114" s="2">
        <v>1780.22</v>
      </c>
      <c r="Z114" s="2">
        <v>2281.64</v>
      </c>
      <c r="AA114" s="2">
        <v>1954</v>
      </c>
      <c r="AB114" s="2">
        <v>2072.25</v>
      </c>
      <c r="AC114" s="2">
        <v>335.3</v>
      </c>
      <c r="AD114" s="2">
        <v>2121.71</v>
      </c>
      <c r="AE114" s="2">
        <v>1077.5999999999999</v>
      </c>
      <c r="AF114" s="2">
        <v>2270.59</v>
      </c>
      <c r="AG114" s="2">
        <v>1443.59</v>
      </c>
      <c r="AH114" s="2">
        <v>2134.27</v>
      </c>
      <c r="AI114" s="2">
        <v>1573.61</v>
      </c>
      <c r="AJ114" s="2">
        <v>2185.38</v>
      </c>
      <c r="AK114" s="2">
        <v>1553.61</v>
      </c>
      <c r="AL114" s="2">
        <v>1962.09</v>
      </c>
      <c r="AM114" s="2">
        <v>1528.51</v>
      </c>
      <c r="AN114" s="2">
        <v>1618.72</v>
      </c>
      <c r="AO114" s="2">
        <v>1459.9</v>
      </c>
      <c r="AP114" s="2">
        <v>1474.07</v>
      </c>
      <c r="AQ114" s="2">
        <v>1484.23</v>
      </c>
      <c r="AR114" s="2">
        <v>1457.82</v>
      </c>
      <c r="AU114" s="1" t="s">
        <v>73</v>
      </c>
      <c r="AV114" s="2">
        <v>8321.98</v>
      </c>
      <c r="AW114" s="2">
        <v>10906.36</v>
      </c>
      <c r="AX114" s="2">
        <v>8670.7999999999993</v>
      </c>
      <c r="AY114" s="2">
        <v>9200.5499999999993</v>
      </c>
      <c r="AZ114" s="2">
        <v>6370.6</v>
      </c>
      <c r="BA114" s="2">
        <v>9395.59</v>
      </c>
      <c r="BB114" s="2">
        <v>6375.6</v>
      </c>
      <c r="BC114" s="2">
        <v>9399.74</v>
      </c>
      <c r="BD114" s="2">
        <v>6875.41</v>
      </c>
      <c r="BE114" s="2">
        <v>9816.15</v>
      </c>
      <c r="BF114" s="2">
        <v>6650.29</v>
      </c>
      <c r="BG114" s="2">
        <v>10150.86</v>
      </c>
      <c r="BH114" s="2">
        <v>6540.69</v>
      </c>
      <c r="BI114" s="2">
        <v>9390.2099999999991</v>
      </c>
      <c r="BJ114" s="2">
        <v>6260.69</v>
      </c>
      <c r="BK114" s="2">
        <v>7078.88</v>
      </c>
      <c r="BL114" s="2">
        <v>5732</v>
      </c>
      <c r="BM114" s="2">
        <v>5976.13</v>
      </c>
      <c r="BN114" s="2">
        <v>5964.47</v>
      </c>
      <c r="BO114" s="2">
        <v>6207.18</v>
      </c>
      <c r="BR114" s="1" t="s">
        <v>73</v>
      </c>
      <c r="BS114" s="2">
        <v>5.98</v>
      </c>
      <c r="BT114" s="2">
        <v>8.1</v>
      </c>
      <c r="BU114" s="2">
        <v>2.2799999999999998</v>
      </c>
      <c r="BV114" s="2">
        <v>2.4</v>
      </c>
      <c r="BW114" s="2">
        <v>0.45</v>
      </c>
      <c r="BX114" s="2">
        <v>1.06</v>
      </c>
      <c r="BY114" s="2">
        <v>3.56</v>
      </c>
      <c r="BZ114" s="2">
        <v>12.96</v>
      </c>
      <c r="CA114" s="2">
        <v>9.57</v>
      </c>
      <c r="CB114" s="2">
        <v>16.2</v>
      </c>
      <c r="CC114" s="2">
        <v>22.64</v>
      </c>
      <c r="CD114" s="2">
        <v>29.16</v>
      </c>
      <c r="CE114" s="2">
        <v>20.329999999999998</v>
      </c>
      <c r="CF114" s="2">
        <v>21.08</v>
      </c>
      <c r="CG114" s="2">
        <v>22.86</v>
      </c>
      <c r="CH114" s="2">
        <v>21.41</v>
      </c>
      <c r="CI114" s="2">
        <v>18.09</v>
      </c>
      <c r="CJ114" s="2">
        <v>14.97</v>
      </c>
      <c r="CK114" s="2">
        <v>20.51</v>
      </c>
      <c r="CL114" s="2">
        <v>16.86</v>
      </c>
    </row>
    <row r="116" spans="2:90" x14ac:dyDescent="0.3">
      <c r="W116" s="6">
        <f>SUM(W101,W87,W73)</f>
        <v>0.224306650633331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44.75</v>
      </c>
      <c r="Z121" s="2">
        <v>23.07</v>
      </c>
      <c r="AA121" s="2">
        <v>8.06</v>
      </c>
      <c r="AB121" s="2">
        <v>3.29</v>
      </c>
      <c r="AC121" s="2">
        <v>33.08</v>
      </c>
      <c r="AD121" s="2">
        <v>56.89</v>
      </c>
      <c r="AE121" s="2">
        <v>95.8</v>
      </c>
      <c r="AF121" s="2">
        <v>81.77</v>
      </c>
      <c r="AG121" s="2">
        <v>54.22</v>
      </c>
      <c r="AH121" s="2">
        <v>10.83</v>
      </c>
      <c r="AI121" s="2">
        <v>44.99</v>
      </c>
      <c r="AJ121" s="2">
        <v>12.87</v>
      </c>
      <c r="AK121" s="2">
        <v>8.01</v>
      </c>
      <c r="AL121" s="2">
        <v>5.86</v>
      </c>
      <c r="AM121" s="2">
        <v>25.7</v>
      </c>
      <c r="AN121" s="2">
        <v>28.12</v>
      </c>
      <c r="AO121" s="2">
        <v>33.11</v>
      </c>
      <c r="AP121" s="2">
        <v>8.3000000000000007</v>
      </c>
      <c r="AQ121" s="2">
        <v>27.97</v>
      </c>
      <c r="AR121" s="2">
        <v>8.7200000000000006</v>
      </c>
      <c r="AU121" s="1" t="s">
        <v>66</v>
      </c>
      <c r="AV121" s="2">
        <v>371.12</v>
      </c>
      <c r="AW121" s="2">
        <v>1388.13</v>
      </c>
      <c r="AX121" s="2">
        <v>271.31</v>
      </c>
      <c r="AY121" s="2">
        <v>111.51</v>
      </c>
      <c r="AZ121" s="2">
        <v>403.72</v>
      </c>
      <c r="BA121" s="2">
        <v>581.51</v>
      </c>
      <c r="BB121" s="2">
        <v>992.84</v>
      </c>
      <c r="BC121" s="2">
        <v>953.53</v>
      </c>
      <c r="BD121" s="2">
        <v>1001.8</v>
      </c>
      <c r="BE121" s="2">
        <v>1043.51</v>
      </c>
      <c r="BF121" s="2">
        <v>393.63</v>
      </c>
      <c r="BG121" s="2">
        <v>1240.83</v>
      </c>
      <c r="BH121" s="2">
        <v>271.36</v>
      </c>
      <c r="BI121" s="2">
        <v>175.44</v>
      </c>
      <c r="BJ121" s="2">
        <v>608.22</v>
      </c>
      <c r="BK121" s="2">
        <v>558.48</v>
      </c>
      <c r="BL121" s="2">
        <v>1055.53</v>
      </c>
      <c r="BM121" s="2">
        <v>799.64</v>
      </c>
      <c r="BN121" s="2">
        <v>996.13</v>
      </c>
      <c r="BO121" s="2">
        <v>840.94</v>
      </c>
      <c r="BR121" s="1" t="s">
        <v>66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19204.39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67</v>
      </c>
      <c r="Y122" s="2">
        <v>19.04</v>
      </c>
      <c r="Z122" s="2">
        <v>64.23</v>
      </c>
      <c r="AA122" s="2">
        <v>10.52</v>
      </c>
      <c r="AB122" s="2">
        <v>4.1900000000000004</v>
      </c>
      <c r="AC122" s="2">
        <v>20.170000000000002</v>
      </c>
      <c r="AD122" s="2">
        <v>25.52</v>
      </c>
      <c r="AE122" s="2">
        <v>45.93</v>
      </c>
      <c r="AF122" s="2">
        <v>37.35</v>
      </c>
      <c r="AG122" s="2">
        <v>46.61</v>
      </c>
      <c r="AH122" s="2">
        <v>35.479999999999997</v>
      </c>
      <c r="AI122" s="2">
        <v>15.08</v>
      </c>
      <c r="AJ122" s="2">
        <v>51.55</v>
      </c>
      <c r="AK122" s="2">
        <v>11.71</v>
      </c>
      <c r="AL122" s="2">
        <v>7.63</v>
      </c>
      <c r="AM122" s="2">
        <v>27.05</v>
      </c>
      <c r="AN122" s="2">
        <v>31.29</v>
      </c>
      <c r="AO122" s="2">
        <v>62.35</v>
      </c>
      <c r="AP122" s="2">
        <v>41.5</v>
      </c>
      <c r="AQ122" s="2">
        <v>46.7</v>
      </c>
      <c r="AR122" s="2">
        <v>39</v>
      </c>
      <c r="AU122" s="1" t="s">
        <v>67</v>
      </c>
      <c r="AV122" s="2">
        <v>223.41</v>
      </c>
      <c r="AW122" s="2">
        <v>764.22</v>
      </c>
      <c r="AX122" s="2">
        <v>115.84</v>
      </c>
      <c r="AY122" s="2">
        <v>45.71</v>
      </c>
      <c r="AZ122" s="2">
        <v>223.19</v>
      </c>
      <c r="BA122" s="2">
        <v>302.08</v>
      </c>
      <c r="BB122" s="2">
        <v>548.79</v>
      </c>
      <c r="BC122" s="2">
        <v>438.83</v>
      </c>
      <c r="BD122" s="2">
        <v>547.71</v>
      </c>
      <c r="BE122" s="2">
        <v>416.38</v>
      </c>
      <c r="BF122" s="2">
        <v>175.89</v>
      </c>
      <c r="BG122" s="2">
        <v>603.20000000000005</v>
      </c>
      <c r="BH122" s="2">
        <v>127.91</v>
      </c>
      <c r="BI122" s="2">
        <v>83.32</v>
      </c>
      <c r="BJ122" s="2">
        <v>294.87</v>
      </c>
      <c r="BK122" s="2">
        <v>365.11</v>
      </c>
      <c r="BL122" s="2">
        <v>727.85</v>
      </c>
      <c r="BM122" s="2">
        <v>485.14</v>
      </c>
      <c r="BN122" s="2">
        <v>547.62</v>
      </c>
      <c r="BO122" s="2">
        <v>454.68</v>
      </c>
      <c r="BR122" s="1" t="s">
        <v>67</v>
      </c>
      <c r="BS122" s="2">
        <v>348.03</v>
      </c>
      <c r="BT122" s="2">
        <v>425.9</v>
      </c>
      <c r="BU122" s="2">
        <v>358.63</v>
      </c>
      <c r="BV122" s="2">
        <v>378.02</v>
      </c>
      <c r="BW122" s="2">
        <v>464.2</v>
      </c>
      <c r="BX122" s="2">
        <v>408</v>
      </c>
      <c r="BY122" s="2">
        <v>370.61</v>
      </c>
      <c r="BZ122" s="2">
        <v>462.97</v>
      </c>
      <c r="CA122" s="2">
        <v>489.77</v>
      </c>
      <c r="CB122" s="2">
        <v>1133.47</v>
      </c>
      <c r="CC122" s="2">
        <v>397.45</v>
      </c>
      <c r="CD122" s="2">
        <v>1048.44</v>
      </c>
      <c r="CE122" s="2">
        <v>510.54</v>
      </c>
      <c r="CF122" s="2">
        <v>787.58</v>
      </c>
      <c r="CG122" s="2">
        <v>567.33000000000004</v>
      </c>
      <c r="CH122" s="2">
        <v>993.91</v>
      </c>
      <c r="CI122" s="2">
        <v>626.04999999999995</v>
      </c>
      <c r="CJ122" s="2">
        <v>2099.25</v>
      </c>
      <c r="CK122" s="2">
        <v>704.57</v>
      </c>
      <c r="CL122" s="2">
        <v>4807.49</v>
      </c>
    </row>
    <row r="123" spans="2:90" x14ac:dyDescent="0.3">
      <c r="X123" s="1" t="s">
        <v>68</v>
      </c>
      <c r="Y123" s="2">
        <v>146.82</v>
      </c>
      <c r="Z123" s="2">
        <v>206.15</v>
      </c>
      <c r="AA123" s="2">
        <v>112.09</v>
      </c>
      <c r="AB123" s="2">
        <v>74.209999999999994</v>
      </c>
      <c r="AC123" s="2">
        <v>207.92</v>
      </c>
      <c r="AD123" s="2">
        <v>327.92</v>
      </c>
      <c r="AE123" s="2">
        <v>599.49</v>
      </c>
      <c r="AF123" s="2">
        <v>519.48</v>
      </c>
      <c r="AG123" s="2">
        <v>639.09</v>
      </c>
      <c r="AH123" s="2">
        <v>222.39</v>
      </c>
      <c r="AI123" s="2">
        <v>42.59</v>
      </c>
      <c r="AJ123" s="2">
        <v>196.15</v>
      </c>
      <c r="AK123" s="2">
        <v>33.46</v>
      </c>
      <c r="AL123" s="2">
        <v>51.86</v>
      </c>
      <c r="AM123" s="2">
        <v>126.6</v>
      </c>
      <c r="AN123" s="2">
        <v>144.78</v>
      </c>
      <c r="AO123" s="2">
        <v>275.27</v>
      </c>
      <c r="AP123" s="2">
        <v>201.41</v>
      </c>
      <c r="AQ123" s="2">
        <v>213.05</v>
      </c>
      <c r="AR123" s="2">
        <v>205.64</v>
      </c>
      <c r="AU123" s="1" t="s">
        <v>68</v>
      </c>
      <c r="AV123" s="2">
        <v>930.44</v>
      </c>
      <c r="AW123" s="2">
        <v>2394.58</v>
      </c>
      <c r="AX123" s="2">
        <v>765</v>
      </c>
      <c r="AY123" s="2">
        <v>284.19</v>
      </c>
      <c r="AZ123" s="2">
        <v>1120.5</v>
      </c>
      <c r="BA123" s="2">
        <v>1689.28</v>
      </c>
      <c r="BB123" s="2">
        <v>2929.22</v>
      </c>
      <c r="BC123" s="2">
        <v>2384.34</v>
      </c>
      <c r="BD123" s="2">
        <v>2870.39</v>
      </c>
      <c r="BE123" s="2">
        <v>2116.94</v>
      </c>
      <c r="BF123" s="2">
        <v>496.78</v>
      </c>
      <c r="BG123" s="2">
        <v>2217.0100000000002</v>
      </c>
      <c r="BH123" s="2">
        <v>365.51</v>
      </c>
      <c r="BI123" s="2">
        <v>477.07</v>
      </c>
      <c r="BJ123" s="2">
        <v>1159.9100000000001</v>
      </c>
      <c r="BK123" s="2">
        <v>1544.02</v>
      </c>
      <c r="BL123" s="2">
        <v>2902.76</v>
      </c>
      <c r="BM123" s="2">
        <v>2061.79</v>
      </c>
      <c r="BN123" s="2">
        <v>2386.1999999999998</v>
      </c>
      <c r="BO123" s="2">
        <v>2295.35</v>
      </c>
      <c r="BR123" s="1" t="s">
        <v>68</v>
      </c>
      <c r="BS123" s="2">
        <v>160.85</v>
      </c>
      <c r="BT123" s="2">
        <v>572.75</v>
      </c>
      <c r="BU123" s="2">
        <v>172.23</v>
      </c>
      <c r="BV123" s="2">
        <v>451.13</v>
      </c>
      <c r="BW123" s="2">
        <v>149.85</v>
      </c>
      <c r="BX123" s="2">
        <v>243.85</v>
      </c>
      <c r="BY123" s="2">
        <v>185.92</v>
      </c>
      <c r="BZ123" s="2">
        <v>505.01</v>
      </c>
      <c r="CA123" s="2">
        <v>181.94</v>
      </c>
      <c r="CB123" s="2">
        <v>913.95</v>
      </c>
      <c r="CC123" s="2">
        <v>168.81</v>
      </c>
      <c r="CD123" s="2">
        <v>902.39</v>
      </c>
      <c r="CE123" s="2">
        <v>168.9</v>
      </c>
      <c r="CF123" s="2">
        <v>837.8</v>
      </c>
      <c r="CG123" s="2">
        <v>170.94</v>
      </c>
      <c r="CH123" s="2">
        <v>1012.5</v>
      </c>
      <c r="CI123" s="2">
        <v>656.35</v>
      </c>
      <c r="CJ123" s="2">
        <v>1742.47</v>
      </c>
      <c r="CK123" s="2">
        <v>1895.42</v>
      </c>
      <c r="CL123" s="2">
        <v>3053.63</v>
      </c>
    </row>
    <row r="124" spans="2:90" x14ac:dyDescent="0.3">
      <c r="X124" s="1" t="s">
        <v>69</v>
      </c>
      <c r="Y124" s="2">
        <v>46.42</v>
      </c>
      <c r="Z124" s="2">
        <v>70.680000000000007</v>
      </c>
      <c r="AA124" s="2">
        <v>19.16</v>
      </c>
      <c r="AB124" s="2">
        <v>14.94</v>
      </c>
      <c r="AC124" s="2">
        <v>59.74</v>
      </c>
      <c r="AD124" s="2">
        <v>44.28</v>
      </c>
      <c r="AE124" s="2">
        <v>84</v>
      </c>
      <c r="AF124" s="2">
        <v>112.8</v>
      </c>
      <c r="AG124" s="2">
        <v>100.46</v>
      </c>
      <c r="AH124" s="2">
        <v>56.32</v>
      </c>
      <c r="AI124" s="2">
        <v>14.41</v>
      </c>
      <c r="AJ124" s="2">
        <v>61.24</v>
      </c>
      <c r="AK124" s="2">
        <v>14.51</v>
      </c>
      <c r="AL124" s="2">
        <v>17.29</v>
      </c>
      <c r="AM124" s="2">
        <v>27.4</v>
      </c>
      <c r="AN124" s="2">
        <v>38.979999999999997</v>
      </c>
      <c r="AO124" s="2">
        <v>72.11</v>
      </c>
      <c r="AP124" s="2">
        <v>48.92</v>
      </c>
      <c r="AQ124" s="2">
        <v>66.099999999999994</v>
      </c>
      <c r="AR124" s="2">
        <v>51.32</v>
      </c>
      <c r="AU124" s="1" t="s">
        <v>69</v>
      </c>
      <c r="AV124" s="2">
        <v>281.62</v>
      </c>
      <c r="AW124" s="2">
        <v>791.52</v>
      </c>
      <c r="AX124" s="2">
        <v>212.11</v>
      </c>
      <c r="AY124" s="2">
        <v>84.76</v>
      </c>
      <c r="AZ124" s="2">
        <v>406.98</v>
      </c>
      <c r="BA124" s="2">
        <v>519.1</v>
      </c>
      <c r="BB124" s="2">
        <v>988.62</v>
      </c>
      <c r="BC124" s="2">
        <v>784.5</v>
      </c>
      <c r="BD124" s="2">
        <v>960.88</v>
      </c>
      <c r="BE124" s="2">
        <v>654.96</v>
      </c>
      <c r="BF124" s="2">
        <v>146.13999999999999</v>
      </c>
      <c r="BG124" s="2">
        <v>672.46</v>
      </c>
      <c r="BH124" s="2">
        <v>158.38999999999999</v>
      </c>
      <c r="BI124" s="2">
        <v>108.16</v>
      </c>
      <c r="BJ124" s="2">
        <v>298.67</v>
      </c>
      <c r="BK124" s="2">
        <v>453.78</v>
      </c>
      <c r="BL124" s="2">
        <v>833.82</v>
      </c>
      <c r="BM124" s="2">
        <v>567.91</v>
      </c>
      <c r="BN124" s="2">
        <v>763.82</v>
      </c>
      <c r="BO124" s="2">
        <v>563.74</v>
      </c>
      <c r="BR124" s="1" t="s">
        <v>69</v>
      </c>
      <c r="BS124" s="2">
        <v>163.33000000000001</v>
      </c>
      <c r="BT124" s="2">
        <v>456.13</v>
      </c>
      <c r="BU124" s="2">
        <v>212.82</v>
      </c>
      <c r="BV124" s="2">
        <v>375.07</v>
      </c>
      <c r="BW124" s="2">
        <v>175.16</v>
      </c>
      <c r="BX124" s="2">
        <v>167.63</v>
      </c>
      <c r="BY124" s="2">
        <v>192.27</v>
      </c>
      <c r="BZ124" s="2">
        <v>354.27</v>
      </c>
      <c r="CA124" s="2">
        <v>243.54</v>
      </c>
      <c r="CB124" s="2">
        <v>565.13</v>
      </c>
      <c r="CC124" s="2">
        <v>243.52</v>
      </c>
      <c r="CD124" s="2">
        <v>624.04999999999995</v>
      </c>
      <c r="CE124" s="2">
        <v>207.26</v>
      </c>
      <c r="CF124" s="2">
        <v>603.33000000000004</v>
      </c>
      <c r="CG124" s="2">
        <v>310.52999999999997</v>
      </c>
      <c r="CH124" s="2">
        <v>746.35</v>
      </c>
      <c r="CI124" s="2">
        <v>758.07</v>
      </c>
      <c r="CJ124" s="2">
        <v>970.29</v>
      </c>
      <c r="CK124" s="2">
        <v>1038.49</v>
      </c>
      <c r="CL124" s="2">
        <v>1296.8900000000001</v>
      </c>
    </row>
    <row r="125" spans="2:90" x14ac:dyDescent="0.3">
      <c r="X125" s="1" t="s">
        <v>70</v>
      </c>
      <c r="Y125" s="2">
        <v>129.24</v>
      </c>
      <c r="Z125" s="2">
        <v>322.76</v>
      </c>
      <c r="AA125" s="2">
        <v>135.78</v>
      </c>
      <c r="AB125" s="2">
        <v>47.83</v>
      </c>
      <c r="AC125" s="2">
        <v>151.36000000000001</v>
      </c>
      <c r="AD125" s="2">
        <v>231.39</v>
      </c>
      <c r="AE125" s="2">
        <v>356.52</v>
      </c>
      <c r="AF125" s="2">
        <v>264.25</v>
      </c>
      <c r="AG125" s="2">
        <v>310.56</v>
      </c>
      <c r="AH125" s="2">
        <v>269.45</v>
      </c>
      <c r="AI125" s="2">
        <v>119.79</v>
      </c>
      <c r="AJ125" s="2">
        <v>311</v>
      </c>
      <c r="AK125" s="2">
        <v>106.4</v>
      </c>
      <c r="AL125" s="2">
        <v>47.85</v>
      </c>
      <c r="AM125" s="2">
        <v>188.69</v>
      </c>
      <c r="AN125" s="2">
        <v>220.39</v>
      </c>
      <c r="AO125" s="2">
        <v>307.73</v>
      </c>
      <c r="AP125" s="2">
        <v>232.16</v>
      </c>
      <c r="AQ125" s="2">
        <v>289.8</v>
      </c>
      <c r="AR125" s="2">
        <v>199.09</v>
      </c>
      <c r="AU125" s="1" t="s">
        <v>70</v>
      </c>
      <c r="AV125" s="2">
        <v>808.61</v>
      </c>
      <c r="AW125" s="2">
        <v>3736.24</v>
      </c>
      <c r="AX125" s="2">
        <v>986.12</v>
      </c>
      <c r="AY125" s="2">
        <v>299.42</v>
      </c>
      <c r="AZ125" s="2">
        <v>1649.44</v>
      </c>
      <c r="BA125" s="2">
        <v>2329.61</v>
      </c>
      <c r="BB125" s="2">
        <v>4039.08</v>
      </c>
      <c r="BC125" s="2">
        <v>3072.2</v>
      </c>
      <c r="BD125" s="2">
        <v>3603.44</v>
      </c>
      <c r="BE125" s="2">
        <v>3120.35</v>
      </c>
      <c r="BF125" s="2">
        <v>987.81</v>
      </c>
      <c r="BG125" s="2">
        <v>3635.5</v>
      </c>
      <c r="BH125" s="2">
        <v>1165</v>
      </c>
      <c r="BI125" s="2">
        <v>310.14999999999998</v>
      </c>
      <c r="BJ125" s="2">
        <v>1511.31</v>
      </c>
      <c r="BK125" s="2">
        <v>2032.61</v>
      </c>
      <c r="BL125" s="2">
        <v>3598.27</v>
      </c>
      <c r="BM125" s="2">
        <v>2708.44</v>
      </c>
      <c r="BN125" s="2">
        <v>3365.8</v>
      </c>
      <c r="BO125" s="2">
        <v>2311.81</v>
      </c>
      <c r="BR125" s="1" t="s">
        <v>70</v>
      </c>
      <c r="BS125" s="2">
        <v>195.09</v>
      </c>
      <c r="BT125" s="2">
        <v>225.94</v>
      </c>
      <c r="BU125" s="2">
        <v>197.71</v>
      </c>
      <c r="BV125" s="2">
        <v>339.27</v>
      </c>
      <c r="BW125" s="2">
        <v>204.61</v>
      </c>
      <c r="BX125" s="2">
        <v>199.79</v>
      </c>
      <c r="BY125" s="2">
        <v>448.02</v>
      </c>
      <c r="BZ125" s="2">
        <v>244.13</v>
      </c>
      <c r="CA125" s="2">
        <v>315.52</v>
      </c>
      <c r="CB125" s="2">
        <v>286.12</v>
      </c>
      <c r="CC125" s="2">
        <v>370.11</v>
      </c>
      <c r="CD125" s="2">
        <v>408.61</v>
      </c>
      <c r="CE125" s="2">
        <v>453.27</v>
      </c>
      <c r="CF125" s="2">
        <v>462.4</v>
      </c>
      <c r="CG125" s="2">
        <v>626.62</v>
      </c>
      <c r="CH125" s="2">
        <v>597.42999999999995</v>
      </c>
      <c r="CI125" s="2">
        <v>779.15</v>
      </c>
      <c r="CJ125" s="2">
        <v>909.82</v>
      </c>
      <c r="CK125" s="2">
        <v>833.79</v>
      </c>
      <c r="CL125" s="2">
        <v>1324.66</v>
      </c>
    </row>
    <row r="126" spans="2:90" x14ac:dyDescent="0.3">
      <c r="X126" s="1" t="s">
        <v>71</v>
      </c>
      <c r="Y126" s="2">
        <v>14.1</v>
      </c>
      <c r="Z126" s="2">
        <v>58.19</v>
      </c>
      <c r="AA126" s="2">
        <v>15.99</v>
      </c>
      <c r="AB126" s="2">
        <v>8.27</v>
      </c>
      <c r="AC126" s="2">
        <v>23.73</v>
      </c>
      <c r="AD126" s="2">
        <v>27.31</v>
      </c>
      <c r="AE126" s="2">
        <v>57.59</v>
      </c>
      <c r="AF126" s="2">
        <v>42.94</v>
      </c>
      <c r="AG126" s="2">
        <v>56.82</v>
      </c>
      <c r="AH126" s="2">
        <v>51.76</v>
      </c>
      <c r="AI126" s="2">
        <v>13.62</v>
      </c>
      <c r="AJ126" s="2">
        <v>48.3</v>
      </c>
      <c r="AK126" s="2">
        <v>18.64</v>
      </c>
      <c r="AL126" s="2">
        <v>6.61</v>
      </c>
      <c r="AM126" s="2">
        <v>21.6</v>
      </c>
      <c r="AN126" s="2">
        <v>40.65</v>
      </c>
      <c r="AO126" s="2">
        <v>74.260000000000005</v>
      </c>
      <c r="AP126" s="2">
        <v>42.32</v>
      </c>
      <c r="AQ126" s="2">
        <v>66.38</v>
      </c>
      <c r="AR126" s="2">
        <v>39.67</v>
      </c>
      <c r="AU126" s="1" t="s">
        <v>71</v>
      </c>
      <c r="AV126" s="2">
        <v>148.25</v>
      </c>
      <c r="AW126" s="2">
        <v>613.70000000000005</v>
      </c>
      <c r="AX126" s="2">
        <v>161.85</v>
      </c>
      <c r="AY126" s="2">
        <v>49.65</v>
      </c>
      <c r="AZ126" s="2">
        <v>233.71</v>
      </c>
      <c r="BA126" s="2">
        <v>287.89</v>
      </c>
      <c r="BB126" s="2">
        <v>612.73</v>
      </c>
      <c r="BC126" s="2">
        <v>455.08</v>
      </c>
      <c r="BD126" s="2">
        <v>603.82000000000005</v>
      </c>
      <c r="BE126" s="2">
        <v>546.78</v>
      </c>
      <c r="BF126" s="2">
        <v>143.66999999999999</v>
      </c>
      <c r="BG126" s="2">
        <v>511.5</v>
      </c>
      <c r="BH126" s="2">
        <v>189.45</v>
      </c>
      <c r="BI126" s="2">
        <v>42.51</v>
      </c>
      <c r="BJ126" s="2">
        <v>140.25</v>
      </c>
      <c r="BK126" s="2">
        <v>324.11</v>
      </c>
      <c r="BL126" s="2">
        <v>609.16</v>
      </c>
      <c r="BM126" s="2">
        <v>412.23</v>
      </c>
      <c r="BN126" s="2">
        <v>645.77</v>
      </c>
      <c r="BO126" s="2">
        <v>428.9</v>
      </c>
      <c r="BR126" s="1" t="s">
        <v>71</v>
      </c>
      <c r="BS126" s="2">
        <v>211.74</v>
      </c>
      <c r="BT126" s="2">
        <v>211.66</v>
      </c>
      <c r="BU126" s="2">
        <v>203.84</v>
      </c>
      <c r="BV126" s="2">
        <v>203.46</v>
      </c>
      <c r="BW126" s="2">
        <v>197.99</v>
      </c>
      <c r="BX126" s="2">
        <v>193.83</v>
      </c>
      <c r="BY126" s="2">
        <v>401.17</v>
      </c>
      <c r="BZ126" s="2">
        <v>226.11</v>
      </c>
      <c r="CA126" s="2">
        <v>645.20000000000005</v>
      </c>
      <c r="CB126" s="2">
        <v>226.74</v>
      </c>
      <c r="CC126" s="2">
        <v>491.12</v>
      </c>
      <c r="CD126" s="2">
        <v>226.52</v>
      </c>
      <c r="CE126" s="2">
        <v>504.4</v>
      </c>
      <c r="CF126" s="2">
        <v>275.14999999999998</v>
      </c>
      <c r="CG126" s="2">
        <v>520.79999999999995</v>
      </c>
      <c r="CH126" s="2">
        <v>279.45999999999998</v>
      </c>
      <c r="CI126" s="2">
        <v>606.85</v>
      </c>
      <c r="CJ126" s="2">
        <v>332.68</v>
      </c>
      <c r="CK126" s="2">
        <v>822.61</v>
      </c>
      <c r="CL126" s="2">
        <v>1097.53</v>
      </c>
    </row>
    <row r="127" spans="2:90" x14ac:dyDescent="0.3">
      <c r="X127" s="1" t="s">
        <v>72</v>
      </c>
      <c r="Y127" s="2">
        <v>64.86</v>
      </c>
      <c r="Z127" s="2">
        <v>126.58</v>
      </c>
      <c r="AA127" s="2">
        <v>38.659999999999997</v>
      </c>
      <c r="AB127" s="2">
        <v>24.24</v>
      </c>
      <c r="AC127" s="2">
        <v>72.64</v>
      </c>
      <c r="AD127" s="2">
        <v>70.56</v>
      </c>
      <c r="AE127" s="2">
        <v>141.59</v>
      </c>
      <c r="AF127" s="2">
        <v>103.33</v>
      </c>
      <c r="AG127" s="2">
        <v>158.38</v>
      </c>
      <c r="AH127" s="2">
        <v>113.43</v>
      </c>
      <c r="AI127" s="2">
        <v>77.2</v>
      </c>
      <c r="AJ127" s="2">
        <v>122.35</v>
      </c>
      <c r="AK127" s="2">
        <v>52.75</v>
      </c>
      <c r="AL127" s="2">
        <v>22.43</v>
      </c>
      <c r="AM127" s="2">
        <v>111.76</v>
      </c>
      <c r="AN127" s="2">
        <v>165.79</v>
      </c>
      <c r="AO127" s="2">
        <v>280</v>
      </c>
      <c r="AP127" s="2">
        <v>171.71</v>
      </c>
      <c r="AQ127" s="2">
        <v>194.81</v>
      </c>
      <c r="AR127" s="2">
        <v>87.25</v>
      </c>
      <c r="AU127" s="1" t="s">
        <v>72</v>
      </c>
      <c r="AV127" s="2">
        <v>431.41</v>
      </c>
      <c r="AW127" s="2">
        <v>1342.51</v>
      </c>
      <c r="AX127" s="2">
        <v>392.67</v>
      </c>
      <c r="AY127" s="2">
        <v>127.37</v>
      </c>
      <c r="AZ127" s="2">
        <v>588.24</v>
      </c>
      <c r="BA127" s="2">
        <v>739.6</v>
      </c>
      <c r="BB127" s="2">
        <v>1371.38</v>
      </c>
      <c r="BC127" s="2">
        <v>993.86</v>
      </c>
      <c r="BD127" s="2">
        <v>1383.6</v>
      </c>
      <c r="BE127" s="2">
        <v>1203.0899999999999</v>
      </c>
      <c r="BF127" s="2">
        <v>515.59</v>
      </c>
      <c r="BG127" s="2">
        <v>1300.21</v>
      </c>
      <c r="BH127" s="2">
        <v>431.35</v>
      </c>
      <c r="BI127" s="2">
        <v>150.09</v>
      </c>
      <c r="BJ127" s="2">
        <v>480.35</v>
      </c>
      <c r="BK127" s="2">
        <v>889.83</v>
      </c>
      <c r="BL127" s="2">
        <v>1512.44</v>
      </c>
      <c r="BM127" s="2">
        <v>1029.76</v>
      </c>
      <c r="BN127" s="2">
        <v>1491.82</v>
      </c>
      <c r="BO127" s="2">
        <v>930.43</v>
      </c>
      <c r="BR127" s="1" t="s">
        <v>72</v>
      </c>
      <c r="BS127" s="2">
        <v>175.01</v>
      </c>
      <c r="BT127" s="2">
        <v>172.02</v>
      </c>
      <c r="BU127" s="2">
        <v>257.42</v>
      </c>
      <c r="BV127" s="2">
        <v>190.46</v>
      </c>
      <c r="BW127" s="2">
        <v>237.1</v>
      </c>
      <c r="BX127" s="2">
        <v>180.27</v>
      </c>
      <c r="BY127" s="2">
        <v>345.13</v>
      </c>
      <c r="BZ127" s="2">
        <v>186.47</v>
      </c>
      <c r="CA127" s="2">
        <v>660.03</v>
      </c>
      <c r="CB127" s="2">
        <v>186.84</v>
      </c>
      <c r="CC127" s="2">
        <v>556.84</v>
      </c>
      <c r="CD127" s="2">
        <v>187.28</v>
      </c>
      <c r="CE127" s="2">
        <v>549.5</v>
      </c>
      <c r="CF127" s="2">
        <v>216.67</v>
      </c>
      <c r="CG127" s="2">
        <v>456.48</v>
      </c>
      <c r="CH127" s="2">
        <v>342.97</v>
      </c>
      <c r="CI127" s="2">
        <v>775.2</v>
      </c>
      <c r="CJ127" s="2">
        <v>706.31</v>
      </c>
      <c r="CK127" s="2">
        <v>1014.29</v>
      </c>
      <c r="CL127" s="2">
        <v>1091.1400000000001</v>
      </c>
    </row>
    <row r="128" spans="2:90" x14ac:dyDescent="0.3">
      <c r="X128" s="1" t="s">
        <v>73</v>
      </c>
      <c r="Y128" s="2">
        <v>21.91</v>
      </c>
      <c r="Z128" s="2">
        <v>57.59</v>
      </c>
      <c r="AA128" s="2">
        <v>10.15</v>
      </c>
      <c r="AB128" s="2">
        <v>2.46</v>
      </c>
      <c r="AC128" s="2">
        <v>12.5</v>
      </c>
      <c r="AD128" s="2">
        <v>25.21</v>
      </c>
      <c r="AE128" s="2">
        <v>36.880000000000003</v>
      </c>
      <c r="AF128" s="2">
        <v>32.229999999999997</v>
      </c>
      <c r="AG128" s="2">
        <v>34.69</v>
      </c>
      <c r="AH128" s="2">
        <v>45.39</v>
      </c>
      <c r="AI128" s="2">
        <v>16.399999999999999</v>
      </c>
      <c r="AJ128" s="2">
        <v>42.8</v>
      </c>
      <c r="AK128" s="2">
        <v>11.99</v>
      </c>
      <c r="AL128" s="2">
        <v>4.93</v>
      </c>
      <c r="AM128" s="2">
        <v>17.59</v>
      </c>
      <c r="AN128" s="2">
        <v>15.49</v>
      </c>
      <c r="AO128" s="2">
        <v>31.86</v>
      </c>
      <c r="AP128" s="2">
        <v>32.14</v>
      </c>
      <c r="AQ128" s="2">
        <v>37.94</v>
      </c>
      <c r="AR128" s="2">
        <v>31.02</v>
      </c>
      <c r="AU128" s="1" t="s">
        <v>73</v>
      </c>
      <c r="AV128" s="2">
        <v>223.79</v>
      </c>
      <c r="AW128" s="2">
        <v>495.91</v>
      </c>
      <c r="AX128" s="2">
        <v>99.44</v>
      </c>
      <c r="AY128" s="2">
        <v>46.74</v>
      </c>
      <c r="AZ128" s="2">
        <v>162.69999999999999</v>
      </c>
      <c r="BA128" s="2">
        <v>262.79000000000002</v>
      </c>
      <c r="BB128" s="2">
        <v>335.72</v>
      </c>
      <c r="BC128" s="2">
        <v>292.27999999999997</v>
      </c>
      <c r="BD128" s="2">
        <v>305.02999999999997</v>
      </c>
      <c r="BE128" s="2">
        <v>380.97</v>
      </c>
      <c r="BF128" s="2">
        <v>171.58</v>
      </c>
      <c r="BG128" s="2">
        <v>393.25</v>
      </c>
      <c r="BH128" s="2">
        <v>117.49</v>
      </c>
      <c r="BI128" s="2">
        <v>48.17</v>
      </c>
      <c r="BJ128" s="2">
        <v>159.19999999999999</v>
      </c>
      <c r="BK128" s="2">
        <v>154.94</v>
      </c>
      <c r="BL128" s="2">
        <v>321.32</v>
      </c>
      <c r="BM128" s="2">
        <v>335.87</v>
      </c>
      <c r="BN128" s="2">
        <v>358.78</v>
      </c>
      <c r="BO128" s="2">
        <v>269.88</v>
      </c>
      <c r="BR128" s="1" t="s">
        <v>73</v>
      </c>
      <c r="BS128" s="2">
        <v>444.38</v>
      </c>
      <c r="BT128" s="2">
        <v>353.43</v>
      </c>
      <c r="BU128" s="2">
        <v>253.97</v>
      </c>
      <c r="BV128" s="2">
        <v>265.77999999999997</v>
      </c>
      <c r="BW128" s="2">
        <v>130.87</v>
      </c>
      <c r="BX128" s="2">
        <v>300.18</v>
      </c>
      <c r="BY128" s="2">
        <v>445.98</v>
      </c>
      <c r="BZ128" s="2">
        <v>317.20999999999998</v>
      </c>
      <c r="CA128" s="2">
        <v>1224.31</v>
      </c>
      <c r="CB128" s="2">
        <v>386.05</v>
      </c>
      <c r="CC128" s="2">
        <v>586.99</v>
      </c>
      <c r="CD128" s="2">
        <v>383.37</v>
      </c>
      <c r="CE128" s="2">
        <v>495.96</v>
      </c>
      <c r="CF128" s="2">
        <v>470.16</v>
      </c>
      <c r="CG128" s="2">
        <v>624.46</v>
      </c>
      <c r="CH128" s="2">
        <v>725.54</v>
      </c>
      <c r="CI128" s="2">
        <v>770.08</v>
      </c>
      <c r="CJ128" s="2">
        <v>1207.96</v>
      </c>
      <c r="CK128" s="2">
        <v>1081.1199999999999</v>
      </c>
      <c r="CL128" s="2">
        <v>1893.94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34.42</v>
      </c>
      <c r="Z135" s="2">
        <v>34.61</v>
      </c>
      <c r="AA135" s="2">
        <v>6.2</v>
      </c>
      <c r="AB135" s="2">
        <v>6.16</v>
      </c>
      <c r="AC135" s="2">
        <v>6.59</v>
      </c>
      <c r="AD135" s="2">
        <v>11.73</v>
      </c>
      <c r="AE135" s="2">
        <v>20.68</v>
      </c>
      <c r="AF135" s="2">
        <v>16.059999999999999</v>
      </c>
      <c r="AG135" s="2">
        <v>28.44</v>
      </c>
      <c r="AH135" s="2">
        <v>14.06</v>
      </c>
      <c r="AI135" s="2">
        <v>26.61</v>
      </c>
      <c r="AJ135" s="2">
        <v>9.1999999999999993</v>
      </c>
      <c r="AK135" s="2">
        <v>28.2</v>
      </c>
      <c r="AL135" s="2">
        <v>2.86</v>
      </c>
      <c r="AM135" s="2">
        <v>14.27</v>
      </c>
      <c r="AN135" s="2">
        <v>7.36</v>
      </c>
      <c r="AO135" s="2">
        <v>3.18</v>
      </c>
      <c r="AP135" s="2">
        <v>2.57</v>
      </c>
      <c r="AQ135" s="2">
        <v>5.13</v>
      </c>
      <c r="AR135" s="2">
        <v>2.86</v>
      </c>
      <c r="AU135" s="1" t="s">
        <v>66</v>
      </c>
      <c r="AV135" s="2">
        <v>285.48</v>
      </c>
      <c r="AW135" s="2">
        <v>302.79000000000002</v>
      </c>
      <c r="AX135" s="2">
        <v>208.7</v>
      </c>
      <c r="AY135" s="2">
        <v>208.74</v>
      </c>
      <c r="AZ135" s="2">
        <v>223.01</v>
      </c>
      <c r="BA135" s="2">
        <v>350.87</v>
      </c>
      <c r="BB135" s="2">
        <v>252.32</v>
      </c>
      <c r="BC135" s="2">
        <v>380.14</v>
      </c>
      <c r="BD135" s="2">
        <v>290.76</v>
      </c>
      <c r="BE135" s="2">
        <v>279.24</v>
      </c>
      <c r="BF135" s="2">
        <v>275.79000000000002</v>
      </c>
      <c r="BG135" s="2">
        <v>293.2</v>
      </c>
      <c r="BH135" s="2">
        <v>328.8</v>
      </c>
      <c r="BI135" s="2">
        <v>275.74</v>
      </c>
      <c r="BJ135" s="2">
        <v>263.63</v>
      </c>
      <c r="BK135" s="2">
        <v>262.14</v>
      </c>
      <c r="BL135" s="2">
        <v>306.92</v>
      </c>
      <c r="BM135" s="2">
        <v>247.33</v>
      </c>
      <c r="BN135" s="2">
        <v>308.47000000000003</v>
      </c>
      <c r="BO135" s="2">
        <v>275.74</v>
      </c>
    </row>
    <row r="136" spans="24:67" x14ac:dyDescent="0.3">
      <c r="X136" s="1" t="s">
        <v>67</v>
      </c>
      <c r="Y136" s="2">
        <v>14.65</v>
      </c>
      <c r="Z136" s="2">
        <v>11.6</v>
      </c>
      <c r="AA136" s="2">
        <v>8.1</v>
      </c>
      <c r="AB136" s="2">
        <v>9.01</v>
      </c>
      <c r="AC136" s="2">
        <v>8.39</v>
      </c>
      <c r="AD136" s="2">
        <v>15.26</v>
      </c>
      <c r="AE136" s="2">
        <v>12.6</v>
      </c>
      <c r="AF136" s="2">
        <v>16.899999999999999</v>
      </c>
      <c r="AG136" s="2">
        <v>12.76</v>
      </c>
      <c r="AH136" s="2">
        <v>15.65</v>
      </c>
      <c r="AI136" s="2">
        <v>12.76</v>
      </c>
      <c r="AJ136" s="2">
        <v>17.32</v>
      </c>
      <c r="AK136" s="2">
        <v>12.88</v>
      </c>
      <c r="AL136" s="2">
        <v>14.31</v>
      </c>
      <c r="AM136" s="2">
        <v>12.27</v>
      </c>
      <c r="AN136" s="2">
        <v>12.29</v>
      </c>
      <c r="AO136" s="2">
        <v>10.44</v>
      </c>
      <c r="AP136" s="2">
        <v>11.47</v>
      </c>
      <c r="AQ136" s="2">
        <v>14.27</v>
      </c>
      <c r="AR136" s="2">
        <v>11.46</v>
      </c>
      <c r="AU136" s="1" t="s">
        <v>67</v>
      </c>
      <c r="AV136" s="2">
        <v>171.85</v>
      </c>
      <c r="AW136" s="2">
        <v>135.30000000000001</v>
      </c>
      <c r="AX136" s="2">
        <v>89.1</v>
      </c>
      <c r="AY136" s="2">
        <v>98.39</v>
      </c>
      <c r="AZ136" s="2">
        <v>91.41</v>
      </c>
      <c r="BA136" s="2">
        <v>166.64</v>
      </c>
      <c r="BB136" s="2">
        <v>139.5</v>
      </c>
      <c r="BC136" s="2">
        <v>184.3</v>
      </c>
      <c r="BD136" s="2">
        <v>151.04</v>
      </c>
      <c r="BE136" s="2">
        <v>182.55</v>
      </c>
      <c r="BF136" s="2">
        <v>152.44</v>
      </c>
      <c r="BG136" s="2">
        <v>202.18</v>
      </c>
      <c r="BH136" s="2">
        <v>151.32</v>
      </c>
      <c r="BI136" s="2">
        <v>167.29</v>
      </c>
      <c r="BJ136" s="2">
        <v>144.13</v>
      </c>
      <c r="BK136" s="2">
        <v>144.11000000000001</v>
      </c>
      <c r="BL136" s="2">
        <v>122.46</v>
      </c>
      <c r="BM136" s="2">
        <v>133.72999999999999</v>
      </c>
      <c r="BN136" s="2">
        <v>169.83</v>
      </c>
      <c r="BO136" s="2">
        <v>134.04</v>
      </c>
    </row>
    <row r="137" spans="24:67" x14ac:dyDescent="0.3">
      <c r="X137" s="1" t="s">
        <v>68</v>
      </c>
      <c r="Y137" s="2">
        <v>112.94</v>
      </c>
      <c r="Z137" s="2">
        <v>32.76</v>
      </c>
      <c r="AA137" s="2">
        <v>86.22</v>
      </c>
      <c r="AB137" s="2">
        <v>25.74</v>
      </c>
      <c r="AC137" s="2">
        <v>148.41999999999999</v>
      </c>
      <c r="AD137" s="2">
        <v>103.72</v>
      </c>
      <c r="AE137" s="2">
        <v>129.94999999999999</v>
      </c>
      <c r="AF137" s="2">
        <v>79.12</v>
      </c>
      <c r="AG137" s="2">
        <v>163.96</v>
      </c>
      <c r="AH137" s="2">
        <v>72.39</v>
      </c>
      <c r="AI137" s="2">
        <v>166.53</v>
      </c>
      <c r="AJ137" s="2">
        <v>76.459999999999994</v>
      </c>
      <c r="AK137" s="2">
        <v>179.13</v>
      </c>
      <c r="AL137" s="2">
        <v>69.45</v>
      </c>
      <c r="AM137" s="2">
        <v>168.18</v>
      </c>
      <c r="AN137" s="2">
        <v>56.07</v>
      </c>
      <c r="AO137" s="2">
        <v>65.41</v>
      </c>
      <c r="AP137" s="2">
        <v>60.48</v>
      </c>
      <c r="AQ137" s="2">
        <v>45.81</v>
      </c>
      <c r="AR137" s="2">
        <v>43.59</v>
      </c>
      <c r="AU137" s="1" t="s">
        <v>68</v>
      </c>
      <c r="AV137" s="2">
        <v>715.72</v>
      </c>
      <c r="AW137" s="2">
        <v>382.14</v>
      </c>
      <c r="AX137" s="2">
        <v>588.46</v>
      </c>
      <c r="AY137" s="2">
        <v>281.16000000000003</v>
      </c>
      <c r="AZ137" s="2">
        <v>568.38</v>
      </c>
      <c r="BA137" s="2">
        <v>954.13</v>
      </c>
      <c r="BB137" s="2">
        <v>700.32</v>
      </c>
      <c r="BC137" s="2">
        <v>724.94</v>
      </c>
      <c r="BD137" s="2">
        <v>844.64</v>
      </c>
      <c r="BE137" s="2">
        <v>772.01</v>
      </c>
      <c r="BF137" s="2">
        <v>813.67</v>
      </c>
      <c r="BG137" s="2">
        <v>806.32</v>
      </c>
      <c r="BH137" s="2">
        <v>822.19</v>
      </c>
      <c r="BI137" s="2">
        <v>710.96</v>
      </c>
      <c r="BJ137" s="2">
        <v>755.37</v>
      </c>
      <c r="BK137" s="2">
        <v>627.95000000000005</v>
      </c>
      <c r="BL137" s="2">
        <v>622.63</v>
      </c>
      <c r="BM137" s="2">
        <v>675.1</v>
      </c>
      <c r="BN137" s="2">
        <v>532.13</v>
      </c>
      <c r="BO137" s="2">
        <v>492.67</v>
      </c>
    </row>
    <row r="138" spans="24:67" x14ac:dyDescent="0.3">
      <c r="X138" s="1" t="s">
        <v>69</v>
      </c>
      <c r="Y138" s="2">
        <v>35.71</v>
      </c>
      <c r="Z138" s="2">
        <v>11.09</v>
      </c>
      <c r="AA138" s="2">
        <v>14.74</v>
      </c>
      <c r="AB138" s="2">
        <v>11.16</v>
      </c>
      <c r="AC138" s="2">
        <v>29.88</v>
      </c>
      <c r="AD138" s="2">
        <v>34.590000000000003</v>
      </c>
      <c r="AE138" s="2">
        <v>37.340000000000003</v>
      </c>
      <c r="AF138" s="2">
        <v>17.13</v>
      </c>
      <c r="AG138" s="2">
        <v>22.14</v>
      </c>
      <c r="AH138" s="2">
        <v>19.489999999999998</v>
      </c>
      <c r="AI138" s="2">
        <v>23.33</v>
      </c>
      <c r="AJ138" s="2">
        <v>20.03</v>
      </c>
      <c r="AK138" s="2">
        <v>38.9</v>
      </c>
      <c r="AL138" s="2">
        <v>16.87</v>
      </c>
      <c r="AM138" s="2">
        <v>26.44</v>
      </c>
      <c r="AN138" s="2">
        <v>17.39</v>
      </c>
      <c r="AO138" s="2">
        <v>16.559999999999999</v>
      </c>
      <c r="AP138" s="2">
        <v>15.09</v>
      </c>
      <c r="AQ138" s="2">
        <v>15.71</v>
      </c>
      <c r="AR138" s="2">
        <v>13.61</v>
      </c>
      <c r="AU138" s="1" t="s">
        <v>69</v>
      </c>
      <c r="AV138" s="2">
        <v>216.63</v>
      </c>
      <c r="AW138" s="2">
        <v>112.41</v>
      </c>
      <c r="AX138" s="2">
        <v>163.16</v>
      </c>
      <c r="AY138" s="2">
        <v>121.84</v>
      </c>
      <c r="AZ138" s="2">
        <v>169.51</v>
      </c>
      <c r="BA138" s="2">
        <v>216.31</v>
      </c>
      <c r="BB138" s="2">
        <v>254.36</v>
      </c>
      <c r="BC138" s="2">
        <v>186.67</v>
      </c>
      <c r="BD138" s="2">
        <v>259.55</v>
      </c>
      <c r="BE138" s="2">
        <v>226.89</v>
      </c>
      <c r="BF138" s="2">
        <v>274.62</v>
      </c>
      <c r="BG138" s="2">
        <v>231.62</v>
      </c>
      <c r="BH138" s="2">
        <v>270.52</v>
      </c>
      <c r="BI138" s="2">
        <v>195.83</v>
      </c>
      <c r="BJ138" s="2">
        <v>252.86</v>
      </c>
      <c r="BK138" s="2">
        <v>201.01</v>
      </c>
      <c r="BL138" s="2">
        <v>192.64</v>
      </c>
      <c r="BM138" s="2">
        <v>165.81</v>
      </c>
      <c r="BN138" s="2">
        <v>175.89</v>
      </c>
      <c r="BO138" s="2">
        <v>149.43</v>
      </c>
    </row>
    <row r="139" spans="24:67" x14ac:dyDescent="0.3">
      <c r="X139" s="1" t="s">
        <v>70</v>
      </c>
      <c r="Y139" s="2">
        <v>99.42</v>
      </c>
      <c r="Z139" s="2">
        <v>92.15</v>
      </c>
      <c r="AA139" s="2">
        <v>104.45</v>
      </c>
      <c r="AB139" s="2">
        <v>81.84</v>
      </c>
      <c r="AC139" s="2">
        <v>95.65</v>
      </c>
      <c r="AD139" s="2">
        <v>95.7</v>
      </c>
      <c r="AE139" s="2">
        <v>94.6</v>
      </c>
      <c r="AF139" s="2">
        <v>117.93</v>
      </c>
      <c r="AG139" s="2">
        <v>115.69</v>
      </c>
      <c r="AH139" s="2">
        <v>110.2</v>
      </c>
      <c r="AI139" s="2">
        <v>99.03</v>
      </c>
      <c r="AJ139" s="2">
        <v>85.48</v>
      </c>
      <c r="AK139" s="2">
        <v>91.12</v>
      </c>
      <c r="AL139" s="2">
        <v>80.06</v>
      </c>
      <c r="AM139" s="2">
        <v>81.73</v>
      </c>
      <c r="AN139" s="2">
        <v>76.260000000000005</v>
      </c>
      <c r="AO139" s="2">
        <v>79.25</v>
      </c>
      <c r="AP139" s="2">
        <v>58.56</v>
      </c>
      <c r="AQ139" s="2">
        <v>71.72</v>
      </c>
      <c r="AR139" s="2">
        <v>69.11</v>
      </c>
      <c r="AU139" s="1" t="s">
        <v>70</v>
      </c>
      <c r="AV139" s="2">
        <v>622.01</v>
      </c>
      <c r="AW139" s="2">
        <v>759.85</v>
      </c>
      <c r="AX139" s="2">
        <v>758.55</v>
      </c>
      <c r="AY139" s="2">
        <v>896.16</v>
      </c>
      <c r="AZ139" s="2">
        <v>598.85</v>
      </c>
      <c r="BA139" s="2">
        <v>620.29</v>
      </c>
      <c r="BB139" s="2">
        <v>1030.9000000000001</v>
      </c>
      <c r="BC139" s="2">
        <v>944.57</v>
      </c>
      <c r="BD139" s="2">
        <v>1164.81</v>
      </c>
      <c r="BE139" s="2">
        <v>1016.3</v>
      </c>
      <c r="BF139" s="2">
        <v>1121.97</v>
      </c>
      <c r="BG139" s="2">
        <v>999.52</v>
      </c>
      <c r="BH139" s="2">
        <v>1059.3800000000001</v>
      </c>
      <c r="BI139" s="2">
        <v>933.94</v>
      </c>
      <c r="BJ139" s="2">
        <v>948.27</v>
      </c>
      <c r="BK139" s="2">
        <v>885.74</v>
      </c>
      <c r="BL139" s="2">
        <v>917.75</v>
      </c>
      <c r="BM139" s="2">
        <v>679.94</v>
      </c>
      <c r="BN139" s="2">
        <v>830.28</v>
      </c>
      <c r="BO139" s="2">
        <v>807.89</v>
      </c>
    </row>
    <row r="140" spans="24:67" x14ac:dyDescent="0.3">
      <c r="X140" s="1" t="s">
        <v>71</v>
      </c>
      <c r="Y140" s="2">
        <v>10.84</v>
      </c>
      <c r="Z140" s="2">
        <v>10.48</v>
      </c>
      <c r="AA140" s="2">
        <v>12.3</v>
      </c>
      <c r="AB140" s="2">
        <v>14.33</v>
      </c>
      <c r="AC140" s="2">
        <v>16.55</v>
      </c>
      <c r="AD140" s="2">
        <v>13.23</v>
      </c>
      <c r="AE140" s="2">
        <v>14.83</v>
      </c>
      <c r="AF140" s="2">
        <v>13.5</v>
      </c>
      <c r="AG140" s="2">
        <v>13.66</v>
      </c>
      <c r="AH140" s="2">
        <v>20.32</v>
      </c>
      <c r="AI140" s="2">
        <v>16</v>
      </c>
      <c r="AJ140" s="2">
        <v>20.63</v>
      </c>
      <c r="AK140" s="2">
        <v>14.81</v>
      </c>
      <c r="AL140" s="2">
        <v>14.59</v>
      </c>
      <c r="AM140" s="2">
        <v>14.95</v>
      </c>
      <c r="AN140" s="2">
        <v>17.47</v>
      </c>
      <c r="AO140" s="2">
        <v>15.22</v>
      </c>
      <c r="AP140" s="2">
        <v>11.67</v>
      </c>
      <c r="AQ140" s="2">
        <v>12.93</v>
      </c>
      <c r="AR140" s="2">
        <v>10.73</v>
      </c>
      <c r="AU140" s="1" t="s">
        <v>71</v>
      </c>
      <c r="AV140" s="2">
        <v>114.04</v>
      </c>
      <c r="AW140" s="2">
        <v>110.51</v>
      </c>
      <c r="AX140" s="2">
        <v>124.5</v>
      </c>
      <c r="AY140" s="2">
        <v>145.72999999999999</v>
      </c>
      <c r="AZ140" s="2">
        <v>99.3</v>
      </c>
      <c r="BA140" s="2">
        <v>85.03</v>
      </c>
      <c r="BB140" s="2">
        <v>146.07</v>
      </c>
      <c r="BC140" s="2">
        <v>87.66</v>
      </c>
      <c r="BD140" s="2">
        <v>143.94</v>
      </c>
      <c r="BE140" s="2">
        <v>162.06</v>
      </c>
      <c r="BF140" s="2">
        <v>170.2</v>
      </c>
      <c r="BG140" s="2">
        <v>169.21</v>
      </c>
      <c r="BH140" s="2">
        <v>156.91999999999999</v>
      </c>
      <c r="BI140" s="2">
        <v>142.15</v>
      </c>
      <c r="BJ140" s="2">
        <v>158.9</v>
      </c>
      <c r="BK140" s="2">
        <v>169.94</v>
      </c>
      <c r="BL140" s="2">
        <v>160.82</v>
      </c>
      <c r="BM140" s="2">
        <v>126.15</v>
      </c>
      <c r="BN140" s="2">
        <v>136.38</v>
      </c>
      <c r="BO140" s="2">
        <v>113.67</v>
      </c>
    </row>
    <row r="141" spans="24:67" x14ac:dyDescent="0.3">
      <c r="X141" s="1" t="s">
        <v>72</v>
      </c>
      <c r="Y141" s="2">
        <v>49.89</v>
      </c>
      <c r="Z141" s="2">
        <v>59.38</v>
      </c>
      <c r="AA141" s="2">
        <v>29.74</v>
      </c>
      <c r="AB141" s="2">
        <v>40.57</v>
      </c>
      <c r="AC141" s="2">
        <v>48.48</v>
      </c>
      <c r="AD141" s="2">
        <v>44.87</v>
      </c>
      <c r="AE141" s="2">
        <v>45.4</v>
      </c>
      <c r="AF141" s="2">
        <v>69.849999999999994</v>
      </c>
      <c r="AG141" s="2">
        <v>35.28</v>
      </c>
      <c r="AH141" s="2">
        <v>82.89</v>
      </c>
      <c r="AI141" s="2">
        <v>39.33</v>
      </c>
      <c r="AJ141" s="2">
        <v>77.78</v>
      </c>
      <c r="AK141" s="2">
        <v>35.630000000000003</v>
      </c>
      <c r="AL141" s="2">
        <v>59.21</v>
      </c>
      <c r="AM141" s="2">
        <v>41.68</v>
      </c>
      <c r="AN141" s="2">
        <v>51.26</v>
      </c>
      <c r="AO141" s="2">
        <v>33.36</v>
      </c>
      <c r="AP141" s="2">
        <v>25.66</v>
      </c>
      <c r="AQ141" s="2">
        <v>28.13</v>
      </c>
      <c r="AR141" s="2">
        <v>27.19</v>
      </c>
      <c r="AU141" s="1" t="s">
        <v>72</v>
      </c>
      <c r="AV141" s="2">
        <v>331.85</v>
      </c>
      <c r="AW141" s="2">
        <v>396.61</v>
      </c>
      <c r="AX141" s="2">
        <v>302.05</v>
      </c>
      <c r="AY141" s="2">
        <v>331.81</v>
      </c>
      <c r="AZ141" s="2">
        <v>254.74</v>
      </c>
      <c r="BA141" s="2">
        <v>300.18</v>
      </c>
      <c r="BB141" s="2">
        <v>367.65</v>
      </c>
      <c r="BC141" s="2">
        <v>300.22000000000003</v>
      </c>
      <c r="BD141" s="2">
        <v>369.8</v>
      </c>
      <c r="BE141" s="2">
        <v>444.92</v>
      </c>
      <c r="BF141" s="2">
        <v>380.94</v>
      </c>
      <c r="BG141" s="2">
        <v>420.12</v>
      </c>
      <c r="BH141" s="2">
        <v>342.71</v>
      </c>
      <c r="BI141" s="2">
        <v>355.09</v>
      </c>
      <c r="BJ141" s="2">
        <v>364.1</v>
      </c>
      <c r="BK141" s="2">
        <v>392.58</v>
      </c>
      <c r="BL141" s="2">
        <v>353.85</v>
      </c>
      <c r="BM141" s="2">
        <v>273.64999999999998</v>
      </c>
      <c r="BN141" s="2">
        <v>298.33999999999997</v>
      </c>
      <c r="BO141" s="2">
        <v>288.94</v>
      </c>
    </row>
    <row r="142" spans="24:67" x14ac:dyDescent="0.3">
      <c r="X142" s="1" t="s">
        <v>73</v>
      </c>
      <c r="Y142" s="2">
        <v>16.86</v>
      </c>
      <c r="Z142" s="2">
        <v>12.62</v>
      </c>
      <c r="AA142" s="2">
        <v>7.81</v>
      </c>
      <c r="AB142" s="2">
        <v>9.2200000000000006</v>
      </c>
      <c r="AC142" s="2">
        <v>4.92</v>
      </c>
      <c r="AD142" s="2">
        <v>9.86</v>
      </c>
      <c r="AE142" s="2">
        <v>7.82</v>
      </c>
      <c r="AF142" s="2">
        <v>11</v>
      </c>
      <c r="AG142" s="2">
        <v>12.6</v>
      </c>
      <c r="AH142" s="2">
        <v>7.74</v>
      </c>
      <c r="AI142" s="2">
        <v>10.24</v>
      </c>
      <c r="AJ142" s="2">
        <v>8.85</v>
      </c>
      <c r="AK142" s="2">
        <v>11.11</v>
      </c>
      <c r="AL142" s="2">
        <v>11.08</v>
      </c>
      <c r="AM142" s="2">
        <v>9.1300000000000008</v>
      </c>
      <c r="AN142" s="2">
        <v>9.98</v>
      </c>
      <c r="AO142" s="2">
        <v>13.35</v>
      </c>
      <c r="AP142" s="2">
        <v>9.1199999999999992</v>
      </c>
      <c r="AQ142" s="2">
        <v>12.8</v>
      </c>
      <c r="AR142" s="2">
        <v>9.51</v>
      </c>
      <c r="AU142" s="1" t="s">
        <v>73</v>
      </c>
      <c r="AV142" s="2">
        <v>172.14</v>
      </c>
      <c r="AW142" s="2">
        <v>131.97999999999999</v>
      </c>
      <c r="AX142" s="2">
        <v>76.489999999999995</v>
      </c>
      <c r="AY142" s="2">
        <v>90.38</v>
      </c>
      <c r="AZ142" s="2">
        <v>93.48</v>
      </c>
      <c r="BA142" s="2">
        <v>96.34</v>
      </c>
      <c r="BB142" s="2">
        <v>101.68</v>
      </c>
      <c r="BC142" s="2">
        <v>99.5</v>
      </c>
      <c r="BD142" s="2">
        <v>131.4</v>
      </c>
      <c r="BE142" s="2">
        <v>77.47</v>
      </c>
      <c r="BF142" s="2">
        <v>93.26</v>
      </c>
      <c r="BG142" s="2">
        <v>89.26</v>
      </c>
      <c r="BH142" s="2">
        <v>100.79</v>
      </c>
      <c r="BI142" s="2">
        <v>115.82</v>
      </c>
      <c r="BJ142" s="2">
        <v>80.27</v>
      </c>
      <c r="BK142" s="2">
        <v>94.42</v>
      </c>
      <c r="BL142" s="2">
        <v>112.05</v>
      </c>
      <c r="BM142" s="2">
        <v>79.38</v>
      </c>
      <c r="BN142" s="2">
        <v>110.2</v>
      </c>
      <c r="BO142" s="2">
        <v>87.39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11.61</v>
      </c>
      <c r="Z149" s="2">
        <v>1.87</v>
      </c>
      <c r="AA149" s="2">
        <v>2.34</v>
      </c>
      <c r="AB149" s="2">
        <v>0.76</v>
      </c>
      <c r="AC149" s="2">
        <v>20.079999999999998</v>
      </c>
      <c r="AD149" s="2">
        <v>23.74</v>
      </c>
      <c r="AE149" s="2">
        <v>22.85</v>
      </c>
      <c r="AF149" s="2">
        <v>19.260000000000002</v>
      </c>
      <c r="AG149" s="2">
        <v>10.3</v>
      </c>
      <c r="AH149" s="2">
        <v>1.2</v>
      </c>
      <c r="AI149" s="2">
        <v>17.850000000000001</v>
      </c>
      <c r="AJ149" s="2">
        <v>1.62</v>
      </c>
      <c r="AK149" s="2">
        <v>2.3199999999999998</v>
      </c>
      <c r="AL149" s="2">
        <v>1.84</v>
      </c>
      <c r="AM149" s="2">
        <v>5.0199999999999996</v>
      </c>
      <c r="AN149" s="2">
        <v>14.26</v>
      </c>
      <c r="AO149" s="2">
        <v>12.03</v>
      </c>
      <c r="AP149" s="2">
        <v>2.86</v>
      </c>
      <c r="AQ149" s="2">
        <v>5.26</v>
      </c>
      <c r="AR149" s="2">
        <v>2.1</v>
      </c>
      <c r="AU149" s="1" t="s">
        <v>66</v>
      </c>
      <c r="AV149" s="2">
        <v>100.32</v>
      </c>
      <c r="AW149" s="2">
        <v>114.68</v>
      </c>
      <c r="AX149" s="2">
        <v>78.650000000000006</v>
      </c>
      <c r="AY149" s="2">
        <v>25.84</v>
      </c>
      <c r="AZ149" s="2">
        <v>247.6</v>
      </c>
      <c r="BA149" s="2">
        <v>252.06</v>
      </c>
      <c r="BB149" s="2">
        <v>256.87</v>
      </c>
      <c r="BC149" s="2">
        <v>232.46</v>
      </c>
      <c r="BD149" s="2">
        <v>186.54</v>
      </c>
      <c r="BE149" s="2">
        <v>115.42</v>
      </c>
      <c r="BF149" s="2">
        <v>162.33000000000001</v>
      </c>
      <c r="BG149" s="2">
        <v>155.88</v>
      </c>
      <c r="BH149" s="2">
        <v>78.67</v>
      </c>
      <c r="BI149" s="2">
        <v>55.56</v>
      </c>
      <c r="BJ149" s="2">
        <v>121.54</v>
      </c>
      <c r="BK149" s="2">
        <v>348.34</v>
      </c>
      <c r="BL149" s="2">
        <v>391.17</v>
      </c>
      <c r="BM149" s="2">
        <v>275.25</v>
      </c>
      <c r="BN149" s="2">
        <v>191.58</v>
      </c>
      <c r="BO149" s="2">
        <v>202.58</v>
      </c>
    </row>
    <row r="150" spans="24:67" x14ac:dyDescent="0.3">
      <c r="X150" s="1" t="s">
        <v>67</v>
      </c>
      <c r="Y150" s="2">
        <v>9.9700000000000006</v>
      </c>
      <c r="Z150" s="2">
        <v>19.97</v>
      </c>
      <c r="AA150" s="2">
        <v>7.06</v>
      </c>
      <c r="AB150" s="2">
        <v>1.64</v>
      </c>
      <c r="AC150" s="2">
        <v>9.67</v>
      </c>
      <c r="AD150" s="2">
        <v>10.94</v>
      </c>
      <c r="AE150" s="2">
        <v>15.44</v>
      </c>
      <c r="AF150" s="2">
        <v>13.02</v>
      </c>
      <c r="AG150" s="2">
        <v>17.77</v>
      </c>
      <c r="AH150" s="2">
        <v>12.82</v>
      </c>
      <c r="AI150" s="2">
        <v>6.71</v>
      </c>
      <c r="AJ150" s="2">
        <v>21.62</v>
      </c>
      <c r="AK150" s="2">
        <v>5.3</v>
      </c>
      <c r="AL150" s="2">
        <v>3.71</v>
      </c>
      <c r="AM150" s="2">
        <v>12.68</v>
      </c>
      <c r="AN150" s="2">
        <v>14.2</v>
      </c>
      <c r="AO150" s="2">
        <v>19.27</v>
      </c>
      <c r="AP150" s="2">
        <v>15.07</v>
      </c>
      <c r="AQ150" s="2">
        <v>16.7</v>
      </c>
      <c r="AR150" s="2">
        <v>16.2</v>
      </c>
      <c r="AU150" s="1" t="s">
        <v>67</v>
      </c>
      <c r="AV150" s="2">
        <v>116.91</v>
      </c>
      <c r="AW150" s="2">
        <v>237.43</v>
      </c>
      <c r="AX150" s="2">
        <v>77.7</v>
      </c>
      <c r="AY150" s="2">
        <v>17.91</v>
      </c>
      <c r="AZ150" s="2">
        <v>106.97</v>
      </c>
      <c r="BA150" s="2">
        <v>129.46</v>
      </c>
      <c r="BB150" s="2">
        <v>184.36</v>
      </c>
      <c r="BC150" s="2">
        <v>152.86000000000001</v>
      </c>
      <c r="BD150" s="2">
        <v>208.71</v>
      </c>
      <c r="BE150" s="2">
        <v>150.38</v>
      </c>
      <c r="BF150" s="2">
        <v>78.31</v>
      </c>
      <c r="BG150" s="2">
        <v>252.88</v>
      </c>
      <c r="BH150" s="2">
        <v>57.88</v>
      </c>
      <c r="BI150" s="2">
        <v>40.49</v>
      </c>
      <c r="BJ150" s="2">
        <v>138.19999999999999</v>
      </c>
      <c r="BK150" s="2">
        <v>165.6</v>
      </c>
      <c r="BL150" s="2">
        <v>224.81</v>
      </c>
      <c r="BM150" s="2">
        <v>176.04</v>
      </c>
      <c r="BN150" s="2">
        <v>195.72</v>
      </c>
      <c r="BO150" s="2">
        <v>188.82</v>
      </c>
    </row>
    <row r="151" spans="24:67" x14ac:dyDescent="0.3">
      <c r="X151" s="1" t="s">
        <v>68</v>
      </c>
      <c r="Y151" s="2">
        <v>36.36</v>
      </c>
      <c r="Z151" s="2">
        <v>61.6</v>
      </c>
      <c r="AA151" s="2">
        <v>28.75</v>
      </c>
      <c r="AB151" s="2">
        <v>13.8</v>
      </c>
      <c r="AC151" s="2">
        <v>69.94</v>
      </c>
      <c r="AD151" s="2">
        <v>86.57</v>
      </c>
      <c r="AE151" s="2">
        <v>155.57</v>
      </c>
      <c r="AF151" s="2">
        <v>141.44999999999999</v>
      </c>
      <c r="AG151" s="2">
        <v>180.69</v>
      </c>
      <c r="AH151" s="2">
        <v>56.21</v>
      </c>
      <c r="AI151" s="2">
        <v>14.84</v>
      </c>
      <c r="AJ151" s="2">
        <v>59.03</v>
      </c>
      <c r="AK151" s="2">
        <v>9.6199999999999992</v>
      </c>
      <c r="AL151" s="2">
        <v>14.66</v>
      </c>
      <c r="AM151" s="2">
        <v>47.58</v>
      </c>
      <c r="AN151" s="2">
        <v>44.49</v>
      </c>
      <c r="AO151" s="2">
        <v>72.97</v>
      </c>
      <c r="AP151" s="2">
        <v>61.72</v>
      </c>
      <c r="AQ151" s="2">
        <v>65.27</v>
      </c>
      <c r="AR151" s="2">
        <v>58.91</v>
      </c>
      <c r="AU151" s="1" t="s">
        <v>68</v>
      </c>
      <c r="AV151" s="2">
        <v>230.21</v>
      </c>
      <c r="AW151" s="2">
        <v>714.82</v>
      </c>
      <c r="AX151" s="2">
        <v>196.09</v>
      </c>
      <c r="AY151" s="2">
        <v>52.86</v>
      </c>
      <c r="AZ151" s="2">
        <v>376.71</v>
      </c>
      <c r="BA151" s="2">
        <v>445.63</v>
      </c>
      <c r="BB151" s="2">
        <v>759.24</v>
      </c>
      <c r="BC151" s="2">
        <v>648.62</v>
      </c>
      <c r="BD151" s="2">
        <v>810.62</v>
      </c>
      <c r="BE151" s="2">
        <v>534.5</v>
      </c>
      <c r="BF151" s="2">
        <v>173.14</v>
      </c>
      <c r="BG151" s="2">
        <v>666.68</v>
      </c>
      <c r="BH151" s="2">
        <v>105.04</v>
      </c>
      <c r="BI151" s="2">
        <v>134.77000000000001</v>
      </c>
      <c r="BJ151" s="2">
        <v>435.7</v>
      </c>
      <c r="BK151" s="2">
        <v>474.12</v>
      </c>
      <c r="BL151" s="2">
        <v>768.37</v>
      </c>
      <c r="BM151" s="2">
        <v>631.16999999999996</v>
      </c>
      <c r="BN151" s="2">
        <v>730.19</v>
      </c>
      <c r="BO151" s="2">
        <v>656.97</v>
      </c>
    </row>
    <row r="152" spans="24:67" x14ac:dyDescent="0.3">
      <c r="X152" s="1" t="s">
        <v>69</v>
      </c>
      <c r="Y152" s="2">
        <v>12.89</v>
      </c>
      <c r="Z152" s="2">
        <v>28.02</v>
      </c>
      <c r="AA152" s="2">
        <v>6.69</v>
      </c>
      <c r="AB152" s="2">
        <v>3.78</v>
      </c>
      <c r="AC152" s="2">
        <v>25.24</v>
      </c>
      <c r="AD152" s="2">
        <v>20.65</v>
      </c>
      <c r="AE152" s="2">
        <v>34</v>
      </c>
      <c r="AF152" s="2">
        <v>47.47</v>
      </c>
      <c r="AG152" s="2">
        <v>45.58</v>
      </c>
      <c r="AH152" s="2">
        <v>25.53</v>
      </c>
      <c r="AI152" s="2">
        <v>5.63</v>
      </c>
      <c r="AJ152" s="2">
        <v>26.65</v>
      </c>
      <c r="AK152" s="2">
        <v>4.32</v>
      </c>
      <c r="AL152" s="2">
        <v>5.54</v>
      </c>
      <c r="AM152" s="2">
        <v>12.18</v>
      </c>
      <c r="AN152" s="2">
        <v>13.06</v>
      </c>
      <c r="AO152" s="2">
        <v>19.82</v>
      </c>
      <c r="AP152" s="2">
        <v>16.59</v>
      </c>
      <c r="AQ152" s="2">
        <v>27.07</v>
      </c>
      <c r="AR152" s="2">
        <v>18.5</v>
      </c>
      <c r="AU152" s="1" t="s">
        <v>69</v>
      </c>
      <c r="AV152" s="2">
        <v>78.16</v>
      </c>
      <c r="AW152" s="2">
        <v>313.52999999999997</v>
      </c>
      <c r="AX152" s="2">
        <v>73.98</v>
      </c>
      <c r="AY152" s="2">
        <v>21.41</v>
      </c>
      <c r="AZ152" s="2">
        <v>171.88</v>
      </c>
      <c r="BA152" s="2">
        <v>241.84</v>
      </c>
      <c r="BB152" s="2">
        <v>399.14</v>
      </c>
      <c r="BC152" s="2">
        <v>329.87</v>
      </c>
      <c r="BD152" s="2">
        <v>435.5</v>
      </c>
      <c r="BE152" s="2">
        <v>296.79000000000002</v>
      </c>
      <c r="BF152" s="2">
        <v>57.03</v>
      </c>
      <c r="BG152" s="2">
        <v>292.49</v>
      </c>
      <c r="BH152" s="2">
        <v>47.16</v>
      </c>
      <c r="BI152" s="2">
        <v>34.630000000000003</v>
      </c>
      <c r="BJ152" s="2">
        <v>132.69</v>
      </c>
      <c r="BK152" s="2">
        <v>151.99</v>
      </c>
      <c r="BL152" s="2">
        <v>228.98</v>
      </c>
      <c r="BM152" s="2">
        <v>192.5</v>
      </c>
      <c r="BN152" s="2">
        <v>312.64999999999998</v>
      </c>
      <c r="BO152" s="2">
        <v>203.18</v>
      </c>
    </row>
    <row r="153" spans="24:67" x14ac:dyDescent="0.3">
      <c r="X153" s="1" t="s">
        <v>70</v>
      </c>
      <c r="Y153" s="2">
        <v>35.29</v>
      </c>
      <c r="Z153" s="2">
        <v>113.5</v>
      </c>
      <c r="AA153" s="2">
        <v>33.21</v>
      </c>
      <c r="AB153" s="2">
        <v>12.19</v>
      </c>
      <c r="AC153" s="2">
        <v>56.63</v>
      </c>
      <c r="AD153" s="2">
        <v>77.930000000000007</v>
      </c>
      <c r="AE153" s="2">
        <v>101</v>
      </c>
      <c r="AF153" s="2">
        <v>84.36</v>
      </c>
      <c r="AG153" s="2">
        <v>108.62</v>
      </c>
      <c r="AH153" s="2">
        <v>96.53</v>
      </c>
      <c r="AI153" s="2">
        <v>37.340000000000003</v>
      </c>
      <c r="AJ153" s="2">
        <v>108.22</v>
      </c>
      <c r="AK153" s="2">
        <v>19.48</v>
      </c>
      <c r="AL153" s="2">
        <v>17.850000000000001</v>
      </c>
      <c r="AM153" s="2">
        <v>64.75</v>
      </c>
      <c r="AN153" s="2">
        <v>79.56</v>
      </c>
      <c r="AO153" s="2">
        <v>96.25</v>
      </c>
      <c r="AP153" s="2">
        <v>84.08</v>
      </c>
      <c r="AQ153" s="2">
        <v>106.56</v>
      </c>
      <c r="AR153" s="2">
        <v>81.31</v>
      </c>
      <c r="AU153" s="1" t="s">
        <v>70</v>
      </c>
      <c r="AV153" s="2">
        <v>220.75</v>
      </c>
      <c r="AW153" s="2">
        <v>1313</v>
      </c>
      <c r="AX153" s="2">
        <v>241.09</v>
      </c>
      <c r="AY153" s="2">
        <v>76.31</v>
      </c>
      <c r="AZ153" s="2">
        <v>616.97</v>
      </c>
      <c r="BA153" s="2">
        <v>784.07</v>
      </c>
      <c r="BB153" s="2">
        <v>1142.8</v>
      </c>
      <c r="BC153" s="2">
        <v>979.94</v>
      </c>
      <c r="BD153" s="2">
        <v>1259.3800000000001</v>
      </c>
      <c r="BE153" s="2">
        <v>1117.27</v>
      </c>
      <c r="BF153" s="2">
        <v>307.81</v>
      </c>
      <c r="BG153" s="2">
        <v>1264.28</v>
      </c>
      <c r="BH153" s="2">
        <v>213.22</v>
      </c>
      <c r="BI153" s="2">
        <v>115.72</v>
      </c>
      <c r="BJ153" s="2">
        <v>518.45000000000005</v>
      </c>
      <c r="BK153" s="2">
        <v>733.44</v>
      </c>
      <c r="BL153" s="2">
        <v>1124.1500000000001</v>
      </c>
      <c r="BM153" s="2">
        <v>980.22</v>
      </c>
      <c r="BN153" s="2">
        <v>1236.74</v>
      </c>
      <c r="BO153" s="2">
        <v>943.79</v>
      </c>
    </row>
    <row r="154" spans="24:67" x14ac:dyDescent="0.3">
      <c r="X154" s="1" t="s">
        <v>71</v>
      </c>
      <c r="Y154" s="2">
        <v>4.75</v>
      </c>
      <c r="Z154" s="2">
        <v>15.99</v>
      </c>
      <c r="AA154" s="2">
        <v>4.9400000000000004</v>
      </c>
      <c r="AB154" s="2">
        <v>2.0699999999999998</v>
      </c>
      <c r="AC154" s="2">
        <v>5.56</v>
      </c>
      <c r="AD154" s="2">
        <v>6.19</v>
      </c>
      <c r="AE154" s="2">
        <v>12.97</v>
      </c>
      <c r="AF154" s="2">
        <v>11.84</v>
      </c>
      <c r="AG154" s="2">
        <v>15.02</v>
      </c>
      <c r="AH154" s="2">
        <v>15.21</v>
      </c>
      <c r="AI154" s="2">
        <v>1.84</v>
      </c>
      <c r="AJ154" s="2">
        <v>12.08</v>
      </c>
      <c r="AK154" s="2">
        <v>1.8</v>
      </c>
      <c r="AL154" s="2">
        <v>1.54</v>
      </c>
      <c r="AM154" s="2">
        <v>4.99</v>
      </c>
      <c r="AN154" s="2">
        <v>9.26</v>
      </c>
      <c r="AO154" s="2">
        <v>14.57</v>
      </c>
      <c r="AP154" s="2">
        <v>9.4</v>
      </c>
      <c r="AQ154" s="2">
        <v>15.85</v>
      </c>
      <c r="AR154" s="2">
        <v>7.43</v>
      </c>
      <c r="AU154" s="1" t="s">
        <v>71</v>
      </c>
      <c r="AV154" s="2">
        <v>49.9</v>
      </c>
      <c r="AW154" s="2">
        <v>168.52</v>
      </c>
      <c r="AX154" s="2">
        <v>49.93</v>
      </c>
      <c r="AY154" s="2">
        <v>12.4</v>
      </c>
      <c r="AZ154" s="2">
        <v>54.76</v>
      </c>
      <c r="BA154" s="2">
        <v>65.209999999999994</v>
      </c>
      <c r="BB154" s="2">
        <v>137.87</v>
      </c>
      <c r="BC154" s="2">
        <v>125.36</v>
      </c>
      <c r="BD154" s="2">
        <v>159.44999999999999</v>
      </c>
      <c r="BE154" s="2">
        <v>160.61000000000001</v>
      </c>
      <c r="BF154" s="2">
        <v>19.39</v>
      </c>
      <c r="BG154" s="2">
        <v>127.87</v>
      </c>
      <c r="BH154" s="2">
        <v>18.29</v>
      </c>
      <c r="BI154" s="2">
        <v>9.91</v>
      </c>
      <c r="BJ154" s="2">
        <v>32.43</v>
      </c>
      <c r="BK154" s="2">
        <v>73.77</v>
      </c>
      <c r="BL154" s="2">
        <v>119.44</v>
      </c>
      <c r="BM154" s="2">
        <v>91.54</v>
      </c>
      <c r="BN154" s="2">
        <v>154.02000000000001</v>
      </c>
      <c r="BO154" s="2">
        <v>80.290000000000006</v>
      </c>
    </row>
    <row r="155" spans="24:67" x14ac:dyDescent="0.3">
      <c r="X155" s="1" t="s">
        <v>72</v>
      </c>
      <c r="Y155" s="2">
        <v>14.21</v>
      </c>
      <c r="Z155" s="2">
        <v>30.56</v>
      </c>
      <c r="AA155" s="2">
        <v>7.75</v>
      </c>
      <c r="AB155" s="2">
        <v>5.24</v>
      </c>
      <c r="AC155" s="2">
        <v>17.97</v>
      </c>
      <c r="AD155" s="2">
        <v>17.62</v>
      </c>
      <c r="AE155" s="2">
        <v>29.14</v>
      </c>
      <c r="AF155" s="2">
        <v>22.99</v>
      </c>
      <c r="AG155" s="2">
        <v>40.74</v>
      </c>
      <c r="AH155" s="2">
        <v>28.4</v>
      </c>
      <c r="AI155" s="2">
        <v>14.69</v>
      </c>
      <c r="AJ155" s="2">
        <v>23.32</v>
      </c>
      <c r="AK155" s="2">
        <v>10.89</v>
      </c>
      <c r="AL155" s="2">
        <v>6.04</v>
      </c>
      <c r="AM155" s="2">
        <v>22.01</v>
      </c>
      <c r="AN155" s="2">
        <v>31.63</v>
      </c>
      <c r="AO155" s="2">
        <v>54.43</v>
      </c>
      <c r="AP155" s="2">
        <v>41.79</v>
      </c>
      <c r="AQ155" s="2">
        <v>44.58</v>
      </c>
      <c r="AR155" s="2">
        <v>20.49</v>
      </c>
      <c r="AU155" s="1" t="s">
        <v>72</v>
      </c>
      <c r="AV155" s="2">
        <v>94.46</v>
      </c>
      <c r="AW155" s="2">
        <v>323.82</v>
      </c>
      <c r="AX155" s="2">
        <v>78.680000000000007</v>
      </c>
      <c r="AY155" s="2">
        <v>27.51</v>
      </c>
      <c r="AZ155" s="2">
        <v>145.43</v>
      </c>
      <c r="BA155" s="2">
        <v>184.61</v>
      </c>
      <c r="BB155" s="2">
        <v>282</v>
      </c>
      <c r="BC155" s="2">
        <v>221.03</v>
      </c>
      <c r="BD155" s="2">
        <v>355.7</v>
      </c>
      <c r="BE155" s="2">
        <v>301</v>
      </c>
      <c r="BF155" s="2">
        <v>98.08</v>
      </c>
      <c r="BG155" s="2">
        <v>247.58</v>
      </c>
      <c r="BH155" s="2">
        <v>89.05</v>
      </c>
      <c r="BI155" s="2">
        <v>40.4</v>
      </c>
      <c r="BJ155" s="2">
        <v>94.56</v>
      </c>
      <c r="BK155" s="2">
        <v>169.68</v>
      </c>
      <c r="BL155" s="2">
        <v>293.81</v>
      </c>
      <c r="BM155" s="2">
        <v>250.53</v>
      </c>
      <c r="BN155" s="2">
        <v>341.1</v>
      </c>
      <c r="BO155" s="2">
        <v>218.36</v>
      </c>
    </row>
    <row r="156" spans="24:67" x14ac:dyDescent="0.3">
      <c r="X156" s="1" t="s">
        <v>73</v>
      </c>
      <c r="Y156" s="2">
        <v>2.16</v>
      </c>
      <c r="Z156" s="2">
        <v>7.02</v>
      </c>
      <c r="AA156" s="2">
        <v>1.37</v>
      </c>
      <c r="AB156" s="2">
        <v>0.28999999999999998</v>
      </c>
      <c r="AC156" s="2">
        <v>3.87</v>
      </c>
      <c r="AD156" s="2">
        <v>3.89</v>
      </c>
      <c r="AE156" s="2">
        <v>9.19</v>
      </c>
      <c r="AF156" s="2">
        <v>7.52</v>
      </c>
      <c r="AG156" s="2">
        <v>5.82</v>
      </c>
      <c r="AH156" s="2">
        <v>2.71</v>
      </c>
      <c r="AI156" s="2">
        <v>3.78</v>
      </c>
      <c r="AJ156" s="2">
        <v>8.2200000000000006</v>
      </c>
      <c r="AK156" s="2">
        <v>1.84</v>
      </c>
      <c r="AL156" s="2">
        <v>0.71</v>
      </c>
      <c r="AM156" s="2">
        <v>2.76</v>
      </c>
      <c r="AN156" s="2">
        <v>5.58</v>
      </c>
      <c r="AO156" s="2">
        <v>6.83</v>
      </c>
      <c r="AP156" s="2">
        <v>3.8</v>
      </c>
      <c r="AQ156" s="2">
        <v>2.73</v>
      </c>
      <c r="AR156" s="2">
        <v>2.63</v>
      </c>
      <c r="AU156" s="1" t="s">
        <v>73</v>
      </c>
      <c r="AV156" s="2">
        <v>22.02</v>
      </c>
      <c r="AW156" s="2">
        <v>60.48</v>
      </c>
      <c r="AX156" s="2">
        <v>13.45</v>
      </c>
      <c r="AY156" s="2">
        <v>5.41</v>
      </c>
      <c r="AZ156" s="2">
        <v>50.37</v>
      </c>
      <c r="BA156" s="2">
        <v>40.51</v>
      </c>
      <c r="BB156" s="2">
        <v>83.69</v>
      </c>
      <c r="BC156" s="2">
        <v>68.17</v>
      </c>
      <c r="BD156" s="2">
        <v>51.18</v>
      </c>
      <c r="BE156" s="2">
        <v>22.79</v>
      </c>
      <c r="BF156" s="2">
        <v>39.51</v>
      </c>
      <c r="BG156" s="2">
        <v>75.48</v>
      </c>
      <c r="BH156" s="2">
        <v>18.05</v>
      </c>
      <c r="BI156" s="2">
        <v>6.94</v>
      </c>
      <c r="BJ156" s="2">
        <v>24.95</v>
      </c>
      <c r="BK156" s="2">
        <v>55.84</v>
      </c>
      <c r="BL156" s="2">
        <v>68.92</v>
      </c>
      <c r="BM156" s="2">
        <v>39.700000000000003</v>
      </c>
      <c r="BN156" s="2">
        <v>25.77</v>
      </c>
      <c r="BO156" s="2">
        <v>22.87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8.93</v>
      </c>
      <c r="Z163" s="2">
        <v>13.73</v>
      </c>
      <c r="AA163" s="2">
        <v>1.8</v>
      </c>
      <c r="AB163" s="2">
        <v>1.79</v>
      </c>
      <c r="AC163" s="2">
        <v>1.53</v>
      </c>
      <c r="AD163" s="2">
        <v>3.67</v>
      </c>
      <c r="AE163" s="2">
        <v>12.55</v>
      </c>
      <c r="AF163" s="2">
        <v>3.14</v>
      </c>
      <c r="AG163" s="2">
        <v>11.87</v>
      </c>
      <c r="AH163" s="2">
        <v>7.13</v>
      </c>
      <c r="AI163" s="2">
        <v>6.35</v>
      </c>
      <c r="AJ163" s="2">
        <v>3.34</v>
      </c>
      <c r="AK163" s="2">
        <v>6.64</v>
      </c>
      <c r="AL163" s="2">
        <v>0.98</v>
      </c>
      <c r="AM163" s="2">
        <v>2.71</v>
      </c>
      <c r="AN163" s="2">
        <v>1.38</v>
      </c>
      <c r="AO163" s="2">
        <v>0.35</v>
      </c>
      <c r="AP163" s="2">
        <v>0.62</v>
      </c>
      <c r="AQ163" s="2">
        <v>0.42</v>
      </c>
      <c r="AR163" s="2">
        <v>0.36</v>
      </c>
      <c r="AU163" s="1" t="s">
        <v>66</v>
      </c>
      <c r="AV163" s="2">
        <v>77.17</v>
      </c>
      <c r="AW163" s="2">
        <v>124.87</v>
      </c>
      <c r="AX163" s="2">
        <v>60.5</v>
      </c>
      <c r="AY163" s="2">
        <v>60.51</v>
      </c>
      <c r="AZ163" s="2">
        <v>51.67</v>
      </c>
      <c r="BA163" s="2">
        <v>111.13</v>
      </c>
      <c r="BB163" s="2">
        <v>154.75</v>
      </c>
      <c r="BC163" s="2">
        <v>75.959999999999994</v>
      </c>
      <c r="BD163" s="2">
        <v>126.03</v>
      </c>
      <c r="BE163" s="2">
        <v>174.17</v>
      </c>
      <c r="BF163" s="2">
        <v>71.349999999999994</v>
      </c>
      <c r="BG163" s="2">
        <v>108.66</v>
      </c>
      <c r="BH163" s="2">
        <v>80.16</v>
      </c>
      <c r="BI163" s="2">
        <v>94.92</v>
      </c>
      <c r="BJ163" s="2">
        <v>49.09</v>
      </c>
      <c r="BK163" s="2">
        <v>50.42</v>
      </c>
      <c r="BL163" s="2">
        <v>33.950000000000003</v>
      </c>
      <c r="BM163" s="2">
        <v>59.58</v>
      </c>
      <c r="BN163" s="2">
        <v>25.48</v>
      </c>
      <c r="BO163" s="2">
        <v>34.64</v>
      </c>
    </row>
    <row r="164" spans="24:67" x14ac:dyDescent="0.3">
      <c r="X164" s="1" t="s">
        <v>67</v>
      </c>
      <c r="Y164" s="2">
        <v>7.67</v>
      </c>
      <c r="Z164" s="2">
        <v>5.16</v>
      </c>
      <c r="AA164" s="2">
        <v>5.43</v>
      </c>
      <c r="AB164" s="2">
        <v>4.08</v>
      </c>
      <c r="AC164" s="2">
        <v>3.29</v>
      </c>
      <c r="AD164" s="2">
        <v>7.42</v>
      </c>
      <c r="AE164" s="2">
        <v>6.04</v>
      </c>
      <c r="AF164" s="2">
        <v>7.92</v>
      </c>
      <c r="AG164" s="2">
        <v>5.47</v>
      </c>
      <c r="AH164" s="2">
        <v>7.1</v>
      </c>
      <c r="AI164" s="2">
        <v>4.29</v>
      </c>
      <c r="AJ164" s="2">
        <v>5.35</v>
      </c>
      <c r="AK164" s="2">
        <v>4.49</v>
      </c>
      <c r="AL164" s="2">
        <v>5.2</v>
      </c>
      <c r="AM164" s="2">
        <v>4.68</v>
      </c>
      <c r="AN164" s="2">
        <v>4.3899999999999997</v>
      </c>
      <c r="AO164" s="2">
        <v>3.77</v>
      </c>
      <c r="AP164" s="2">
        <v>4.76</v>
      </c>
      <c r="AQ164" s="2">
        <v>4.4400000000000004</v>
      </c>
      <c r="AR164" s="2">
        <v>4.8</v>
      </c>
      <c r="AU164" s="1" t="s">
        <v>67</v>
      </c>
      <c r="AV164" s="2">
        <v>89.93</v>
      </c>
      <c r="AW164" s="2">
        <v>60.24</v>
      </c>
      <c r="AX164" s="2">
        <v>59.77</v>
      </c>
      <c r="AY164" s="2">
        <v>44.52</v>
      </c>
      <c r="AZ164" s="2">
        <v>35.81</v>
      </c>
      <c r="BA164" s="2">
        <v>80.98</v>
      </c>
      <c r="BB164" s="2">
        <v>66.86</v>
      </c>
      <c r="BC164" s="2">
        <v>86.38</v>
      </c>
      <c r="BD164" s="2">
        <v>64.73</v>
      </c>
      <c r="BE164" s="2">
        <v>82.8</v>
      </c>
      <c r="BF164" s="2">
        <v>51.21</v>
      </c>
      <c r="BG164" s="2">
        <v>62.45</v>
      </c>
      <c r="BH164" s="2">
        <v>52.71</v>
      </c>
      <c r="BI164" s="2">
        <v>60.7</v>
      </c>
      <c r="BJ164" s="2">
        <v>54.92</v>
      </c>
      <c r="BK164" s="2">
        <v>51.51</v>
      </c>
      <c r="BL164" s="2">
        <v>44.23</v>
      </c>
      <c r="BM164" s="2">
        <v>55.54</v>
      </c>
      <c r="BN164" s="2">
        <v>52.76</v>
      </c>
      <c r="BO164" s="2">
        <v>56.2</v>
      </c>
    </row>
    <row r="165" spans="24:67" x14ac:dyDescent="0.3">
      <c r="X165" s="1" t="s">
        <v>68</v>
      </c>
      <c r="Y165" s="2">
        <v>27.97</v>
      </c>
      <c r="Z165" s="2">
        <v>11.42</v>
      </c>
      <c r="AA165" s="2">
        <v>22.12</v>
      </c>
      <c r="AB165" s="2">
        <v>7.4</v>
      </c>
      <c r="AC165" s="2">
        <v>27.61</v>
      </c>
      <c r="AD165" s="2">
        <v>29.32</v>
      </c>
      <c r="AE165" s="2">
        <v>43.71</v>
      </c>
      <c r="AF165" s="2">
        <v>29.74</v>
      </c>
      <c r="AG165" s="2">
        <v>43.28</v>
      </c>
      <c r="AH165" s="2">
        <v>22.24</v>
      </c>
      <c r="AI165" s="2">
        <v>43.22</v>
      </c>
      <c r="AJ165" s="2">
        <v>20.27</v>
      </c>
      <c r="AK165" s="2">
        <v>48.78</v>
      </c>
      <c r="AL165" s="2">
        <v>21.28</v>
      </c>
      <c r="AM165" s="2">
        <v>47.55</v>
      </c>
      <c r="AN165" s="2">
        <v>17.18</v>
      </c>
      <c r="AO165" s="2">
        <v>16.53</v>
      </c>
      <c r="AP165" s="2">
        <v>17.329999999999998</v>
      </c>
      <c r="AQ165" s="2">
        <v>13.69</v>
      </c>
      <c r="AR165" s="2">
        <v>13.12</v>
      </c>
      <c r="AU165" s="1" t="s">
        <v>68</v>
      </c>
      <c r="AV165" s="2">
        <v>177.08</v>
      </c>
      <c r="AW165" s="2">
        <v>133.18</v>
      </c>
      <c r="AX165" s="2">
        <v>150.84</v>
      </c>
      <c r="AY165" s="2">
        <v>80.8</v>
      </c>
      <c r="AZ165" s="2">
        <v>105.72</v>
      </c>
      <c r="BA165" s="2">
        <v>269.55</v>
      </c>
      <c r="BB165" s="2">
        <v>235.45</v>
      </c>
      <c r="BC165" s="2">
        <v>272.31</v>
      </c>
      <c r="BD165" s="2">
        <v>222.82</v>
      </c>
      <c r="BE165" s="2">
        <v>237.06</v>
      </c>
      <c r="BF165" s="2">
        <v>210.9</v>
      </c>
      <c r="BG165" s="2">
        <v>213.44</v>
      </c>
      <c r="BH165" s="2">
        <v>223.66</v>
      </c>
      <c r="BI165" s="2">
        <v>217.64</v>
      </c>
      <c r="BJ165" s="2">
        <v>213.32</v>
      </c>
      <c r="BK165" s="2">
        <v>192.15</v>
      </c>
      <c r="BL165" s="2">
        <v>157.21</v>
      </c>
      <c r="BM165" s="2">
        <v>193.23</v>
      </c>
      <c r="BN165" s="2">
        <v>158.85</v>
      </c>
      <c r="BO165" s="2">
        <v>148.15</v>
      </c>
    </row>
    <row r="166" spans="24:67" x14ac:dyDescent="0.3">
      <c r="X166" s="1" t="s">
        <v>69</v>
      </c>
      <c r="Y166" s="2">
        <v>9.91</v>
      </c>
      <c r="Z166" s="2">
        <v>4.33</v>
      </c>
      <c r="AA166" s="2">
        <v>5.14</v>
      </c>
      <c r="AB166" s="2">
        <v>3.32</v>
      </c>
      <c r="AC166" s="2">
        <v>7.55</v>
      </c>
      <c r="AD166" s="2">
        <v>11.08</v>
      </c>
      <c r="AE166" s="2">
        <v>15.78</v>
      </c>
      <c r="AF166" s="2">
        <v>7.61</v>
      </c>
      <c r="AG166" s="2">
        <v>10.33</v>
      </c>
      <c r="AH166" s="2">
        <v>6.53</v>
      </c>
      <c r="AI166" s="2">
        <v>9.44</v>
      </c>
      <c r="AJ166" s="2">
        <v>5.51</v>
      </c>
      <c r="AK166" s="2">
        <v>16.37</v>
      </c>
      <c r="AL166" s="2">
        <v>5.72</v>
      </c>
      <c r="AM166" s="2">
        <v>11.99</v>
      </c>
      <c r="AN166" s="2">
        <v>7.12</v>
      </c>
      <c r="AO166" s="2">
        <v>7.51</v>
      </c>
      <c r="AP166" s="2">
        <v>5.44</v>
      </c>
      <c r="AQ166" s="2">
        <v>6.23</v>
      </c>
      <c r="AR166" s="2">
        <v>5.92</v>
      </c>
      <c r="AU166" s="1" t="s">
        <v>69</v>
      </c>
      <c r="AV166" s="2">
        <v>60.12</v>
      </c>
      <c r="AW166" s="2">
        <v>43.87</v>
      </c>
      <c r="AX166" s="2">
        <v>56.91</v>
      </c>
      <c r="AY166" s="2">
        <v>36.28</v>
      </c>
      <c r="AZ166" s="2">
        <v>42.83</v>
      </c>
      <c r="BA166" s="2">
        <v>69.260000000000005</v>
      </c>
      <c r="BB166" s="2">
        <v>107.42</v>
      </c>
      <c r="BC166" s="2">
        <v>82.93</v>
      </c>
      <c r="BD166" s="2">
        <v>120.92</v>
      </c>
      <c r="BE166" s="2">
        <v>75.989999999999995</v>
      </c>
      <c r="BF166" s="2">
        <v>110.87</v>
      </c>
      <c r="BG166" s="2">
        <v>63.61</v>
      </c>
      <c r="BH166" s="2">
        <v>113.75</v>
      </c>
      <c r="BI166" s="2">
        <v>66.38</v>
      </c>
      <c r="BJ166" s="2">
        <v>114.61</v>
      </c>
      <c r="BK166" s="2">
        <v>82.28</v>
      </c>
      <c r="BL166" s="2">
        <v>87.29</v>
      </c>
      <c r="BM166" s="2">
        <v>59.76</v>
      </c>
      <c r="BN166" s="2">
        <v>69.67</v>
      </c>
      <c r="BO166" s="2">
        <v>65</v>
      </c>
    </row>
    <row r="167" spans="24:67" x14ac:dyDescent="0.3">
      <c r="X167" s="1" t="s">
        <v>70</v>
      </c>
      <c r="Y167" s="2">
        <v>27.15</v>
      </c>
      <c r="Z167" s="2">
        <v>28.72</v>
      </c>
      <c r="AA167" s="2">
        <v>25.54</v>
      </c>
      <c r="AB167" s="2">
        <v>14.98</v>
      </c>
      <c r="AC167" s="2">
        <v>24.38</v>
      </c>
      <c r="AD167" s="2">
        <v>35.71</v>
      </c>
      <c r="AE167" s="2">
        <v>35.4</v>
      </c>
      <c r="AF167" s="2">
        <v>40.47</v>
      </c>
      <c r="AG167" s="2">
        <v>38.96</v>
      </c>
      <c r="AH167" s="2">
        <v>39.78</v>
      </c>
      <c r="AI167" s="2">
        <v>28.05</v>
      </c>
      <c r="AJ167" s="2">
        <v>26.73</v>
      </c>
      <c r="AK167" s="2">
        <v>29.09</v>
      </c>
      <c r="AL167" s="2">
        <v>28.99</v>
      </c>
      <c r="AM167" s="2">
        <v>28.58</v>
      </c>
      <c r="AN167" s="2">
        <v>28.04</v>
      </c>
      <c r="AO167" s="2">
        <v>28.39</v>
      </c>
      <c r="AP167" s="2">
        <v>23.91</v>
      </c>
      <c r="AQ167" s="2">
        <v>25.22</v>
      </c>
      <c r="AR167" s="2">
        <v>24.05</v>
      </c>
      <c r="AU167" s="1" t="s">
        <v>70</v>
      </c>
      <c r="AV167" s="2">
        <v>169.81</v>
      </c>
      <c r="AW167" s="2">
        <v>236.78</v>
      </c>
      <c r="AX167" s="2">
        <v>185.46</v>
      </c>
      <c r="AY167" s="2">
        <v>164.02</v>
      </c>
      <c r="AZ167" s="2">
        <v>152.62</v>
      </c>
      <c r="BA167" s="2">
        <v>231.44</v>
      </c>
      <c r="BB167" s="2">
        <v>385.6</v>
      </c>
      <c r="BC167" s="2">
        <v>324.02999999999997</v>
      </c>
      <c r="BD167" s="2">
        <v>392.04</v>
      </c>
      <c r="BE167" s="2">
        <v>366.72</v>
      </c>
      <c r="BF167" s="2">
        <v>317.45</v>
      </c>
      <c r="BG167" s="2">
        <v>312.27</v>
      </c>
      <c r="BH167" s="2">
        <v>337.91</v>
      </c>
      <c r="BI167" s="2">
        <v>338.01</v>
      </c>
      <c r="BJ167" s="2">
        <v>331.42</v>
      </c>
      <c r="BK167" s="2">
        <v>325.45999999999998</v>
      </c>
      <c r="BL167" s="2">
        <v>328.61</v>
      </c>
      <c r="BM167" s="2">
        <v>277.58999999999997</v>
      </c>
      <c r="BN167" s="2">
        <v>291.77999999999997</v>
      </c>
      <c r="BO167" s="2">
        <v>280.95</v>
      </c>
    </row>
    <row r="168" spans="24:67" x14ac:dyDescent="0.3">
      <c r="X168" s="1" t="s">
        <v>71</v>
      </c>
      <c r="Y168" s="2">
        <v>3.65</v>
      </c>
      <c r="Z168" s="2">
        <v>1.41</v>
      </c>
      <c r="AA168" s="2">
        <v>3.8</v>
      </c>
      <c r="AB168" s="2">
        <v>1.39</v>
      </c>
      <c r="AC168" s="2">
        <v>4.13</v>
      </c>
      <c r="AD168" s="2">
        <v>3.08</v>
      </c>
      <c r="AE168" s="2">
        <v>3.48</v>
      </c>
      <c r="AF168" s="2">
        <v>3.12</v>
      </c>
      <c r="AG168" s="2">
        <v>3.09</v>
      </c>
      <c r="AH168" s="2">
        <v>4.63</v>
      </c>
      <c r="AI168" s="2">
        <v>3.6</v>
      </c>
      <c r="AJ168" s="2">
        <v>4.05</v>
      </c>
      <c r="AK168" s="2">
        <v>4.08</v>
      </c>
      <c r="AL168" s="2">
        <v>3.24</v>
      </c>
      <c r="AM168" s="2">
        <v>3.95</v>
      </c>
      <c r="AN168" s="2">
        <v>4.17</v>
      </c>
      <c r="AO168" s="2">
        <v>4.47</v>
      </c>
      <c r="AP168" s="2">
        <v>2.19</v>
      </c>
      <c r="AQ168" s="2">
        <v>3.55</v>
      </c>
      <c r="AR168" s="2">
        <v>2.68</v>
      </c>
      <c r="AU168" s="1" t="s">
        <v>71</v>
      </c>
      <c r="AV168" s="2">
        <v>38.380000000000003</v>
      </c>
      <c r="AW168" s="2">
        <v>14.91</v>
      </c>
      <c r="AX168" s="2">
        <v>38.4</v>
      </c>
      <c r="AY168" s="2">
        <v>14.07</v>
      </c>
      <c r="AZ168" s="2">
        <v>24.8</v>
      </c>
      <c r="BA168" s="2">
        <v>19.82</v>
      </c>
      <c r="BB168" s="2">
        <v>34.22</v>
      </c>
      <c r="BC168" s="2">
        <v>20.27</v>
      </c>
      <c r="BD168" s="2">
        <v>32.61</v>
      </c>
      <c r="BE168" s="2">
        <v>36.89</v>
      </c>
      <c r="BF168" s="2">
        <v>38.299999999999997</v>
      </c>
      <c r="BG168" s="2">
        <v>33.18</v>
      </c>
      <c r="BH168" s="2">
        <v>43.23</v>
      </c>
      <c r="BI168" s="2">
        <v>31.57</v>
      </c>
      <c r="BJ168" s="2">
        <v>41.96</v>
      </c>
      <c r="BK168" s="2">
        <v>40.53</v>
      </c>
      <c r="BL168" s="2">
        <v>47.24</v>
      </c>
      <c r="BM168" s="2">
        <v>23.62</v>
      </c>
      <c r="BN168" s="2">
        <v>37.450000000000003</v>
      </c>
      <c r="BO168" s="2">
        <v>28.42</v>
      </c>
    </row>
    <row r="169" spans="24:67" x14ac:dyDescent="0.3">
      <c r="X169" s="1" t="s">
        <v>72</v>
      </c>
      <c r="Y169" s="2">
        <v>10.93</v>
      </c>
      <c r="Z169" s="2">
        <v>11.3</v>
      </c>
      <c r="AA169" s="2">
        <v>5.96</v>
      </c>
      <c r="AB169" s="2">
        <v>8.3800000000000008</v>
      </c>
      <c r="AC169" s="2">
        <v>10.47</v>
      </c>
      <c r="AD169" s="2">
        <v>12.08</v>
      </c>
      <c r="AE169" s="2">
        <v>11.23</v>
      </c>
      <c r="AF169" s="2">
        <v>13.75</v>
      </c>
      <c r="AG169" s="2">
        <v>8.81</v>
      </c>
      <c r="AH169" s="2">
        <v>15.81</v>
      </c>
      <c r="AI169" s="2">
        <v>8.09</v>
      </c>
      <c r="AJ169" s="2">
        <v>15.12</v>
      </c>
      <c r="AK169" s="2">
        <v>7.93</v>
      </c>
      <c r="AL169" s="2">
        <v>14.41</v>
      </c>
      <c r="AM169" s="2">
        <v>10.72</v>
      </c>
      <c r="AN169" s="2">
        <v>11.73</v>
      </c>
      <c r="AO169" s="2">
        <v>8.35</v>
      </c>
      <c r="AP169" s="2">
        <v>6.03</v>
      </c>
      <c r="AQ169" s="2">
        <v>6.79</v>
      </c>
      <c r="AR169" s="2">
        <v>5.18</v>
      </c>
      <c r="AU169" s="1" t="s">
        <v>72</v>
      </c>
      <c r="AV169" s="2">
        <v>72.66</v>
      </c>
      <c r="AW169" s="2">
        <v>75.44</v>
      </c>
      <c r="AX169" s="2">
        <v>60.52</v>
      </c>
      <c r="AY169" s="2">
        <v>68.5</v>
      </c>
      <c r="AZ169" s="2">
        <v>55.03</v>
      </c>
      <c r="BA169" s="2">
        <v>80.8</v>
      </c>
      <c r="BB169" s="2">
        <v>90.9</v>
      </c>
      <c r="BC169" s="2">
        <v>59.1</v>
      </c>
      <c r="BD169" s="2">
        <v>92.31</v>
      </c>
      <c r="BE169" s="2">
        <v>84.84</v>
      </c>
      <c r="BF169" s="2">
        <v>78.33</v>
      </c>
      <c r="BG169" s="2">
        <v>81.61</v>
      </c>
      <c r="BH169" s="2">
        <v>76.22</v>
      </c>
      <c r="BI169" s="2">
        <v>86.39</v>
      </c>
      <c r="BJ169" s="2">
        <v>93.6</v>
      </c>
      <c r="BK169" s="2">
        <v>89.76</v>
      </c>
      <c r="BL169" s="2">
        <v>88.53</v>
      </c>
      <c r="BM169" s="2">
        <v>64.22</v>
      </c>
      <c r="BN169" s="2">
        <v>71.959999999999994</v>
      </c>
      <c r="BO169" s="2">
        <v>55.02</v>
      </c>
    </row>
    <row r="170" spans="24:67" x14ac:dyDescent="0.3">
      <c r="X170" s="1" t="s">
        <v>73</v>
      </c>
      <c r="Y170" s="2">
        <v>1.66</v>
      </c>
      <c r="Z170" s="2">
        <v>2.91</v>
      </c>
      <c r="AA170" s="2">
        <v>1.06</v>
      </c>
      <c r="AB170" s="2">
        <v>1.42</v>
      </c>
      <c r="AC170" s="2">
        <v>0.56999999999999995</v>
      </c>
      <c r="AD170" s="2">
        <v>1.42</v>
      </c>
      <c r="AE170" s="2">
        <v>2.42</v>
      </c>
      <c r="AF170" s="2">
        <v>1.72</v>
      </c>
      <c r="AG170" s="2">
        <v>1.94</v>
      </c>
      <c r="AH170" s="2">
        <v>2.79</v>
      </c>
      <c r="AI170" s="2">
        <v>2.5499999999999998</v>
      </c>
      <c r="AJ170" s="2">
        <v>1.9</v>
      </c>
      <c r="AK170" s="2">
        <v>2.59</v>
      </c>
      <c r="AL170" s="2">
        <v>1.31</v>
      </c>
      <c r="AM170" s="2">
        <v>1.53</v>
      </c>
      <c r="AN170" s="2">
        <v>0.72</v>
      </c>
      <c r="AO170" s="2">
        <v>0.8</v>
      </c>
      <c r="AP170" s="2">
        <v>0.77</v>
      </c>
      <c r="AQ170" s="2">
        <v>1.56</v>
      </c>
      <c r="AR170" s="2">
        <v>1.83</v>
      </c>
      <c r="AU170" s="1" t="s">
        <v>73</v>
      </c>
      <c r="AV170" s="2">
        <v>16.940000000000001</v>
      </c>
      <c r="AW170" s="2">
        <v>30.39</v>
      </c>
      <c r="AX170" s="2">
        <v>10.34</v>
      </c>
      <c r="AY170" s="2">
        <v>13.88</v>
      </c>
      <c r="AZ170" s="2">
        <v>10.83</v>
      </c>
      <c r="BA170" s="2">
        <v>13.88</v>
      </c>
      <c r="BB170" s="2">
        <v>31.48</v>
      </c>
      <c r="BC170" s="2">
        <v>15.59</v>
      </c>
      <c r="BD170" s="2">
        <v>20.260000000000002</v>
      </c>
      <c r="BE170" s="2">
        <v>27.92</v>
      </c>
      <c r="BF170" s="2">
        <v>23.25</v>
      </c>
      <c r="BG170" s="2">
        <v>19.14</v>
      </c>
      <c r="BH170" s="2">
        <v>23.51</v>
      </c>
      <c r="BI170" s="2">
        <v>13.69</v>
      </c>
      <c r="BJ170" s="2">
        <v>13.47</v>
      </c>
      <c r="BK170" s="2">
        <v>6.78</v>
      </c>
      <c r="BL170" s="2">
        <v>6.7</v>
      </c>
      <c r="BM170" s="2">
        <v>6.73</v>
      </c>
      <c r="BN170" s="2">
        <v>13.44</v>
      </c>
      <c r="BO170" s="2">
        <v>16.77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363.59</v>
      </c>
      <c r="Z177" s="2">
        <v>143.71</v>
      </c>
      <c r="AA177" s="2">
        <v>19.329999999999998</v>
      </c>
      <c r="AB177" s="2">
        <v>11.42</v>
      </c>
      <c r="AC177" s="2">
        <v>264.76</v>
      </c>
      <c r="AD177" s="2">
        <v>451.87</v>
      </c>
      <c r="AE177" s="2">
        <v>819.94</v>
      </c>
      <c r="AF177" s="2">
        <v>679.39</v>
      </c>
      <c r="AG177" s="2">
        <v>906.7</v>
      </c>
      <c r="AH177" s="2">
        <v>55.65</v>
      </c>
      <c r="AI177" s="2">
        <v>355.77</v>
      </c>
      <c r="AJ177" s="2">
        <v>90.12</v>
      </c>
      <c r="AK177" s="2">
        <v>19.73</v>
      </c>
      <c r="AL177" s="2">
        <v>20.58</v>
      </c>
      <c r="AM177" s="2">
        <v>125.2</v>
      </c>
      <c r="AN177" s="2">
        <v>170.36</v>
      </c>
      <c r="AO177" s="2">
        <v>226.44</v>
      </c>
      <c r="AP177" s="2">
        <v>56.01</v>
      </c>
      <c r="AQ177" s="2">
        <v>228.43</v>
      </c>
      <c r="AR177" s="2">
        <v>58.34</v>
      </c>
      <c r="AU177" s="1" t="s">
        <v>66</v>
      </c>
      <c r="AV177" s="2">
        <v>2422.83</v>
      </c>
      <c r="AW177" s="2">
        <v>8477.84</v>
      </c>
      <c r="AX177" s="2">
        <v>1260.1300000000001</v>
      </c>
      <c r="AY177" s="2">
        <v>748.78</v>
      </c>
      <c r="AZ177" s="2">
        <v>2608.04</v>
      </c>
      <c r="BA177" s="2">
        <v>3237.13</v>
      </c>
      <c r="BB177" s="2">
        <v>5953.82</v>
      </c>
      <c r="BC177" s="2">
        <v>4673.72</v>
      </c>
      <c r="BD177" s="2">
        <v>6256.68</v>
      </c>
      <c r="BE177" s="2">
        <v>5363.61</v>
      </c>
      <c r="BF177" s="2">
        <v>2453.4</v>
      </c>
      <c r="BG177" s="2">
        <v>8685.7800000000007</v>
      </c>
      <c r="BH177" s="2">
        <v>1295.22</v>
      </c>
      <c r="BI177" s="2">
        <v>801.57</v>
      </c>
      <c r="BJ177" s="2">
        <v>2790.16</v>
      </c>
      <c r="BK177" s="2">
        <v>3398.24</v>
      </c>
      <c r="BL177" s="2">
        <v>6174.36</v>
      </c>
      <c r="BM177" s="2">
        <v>5398.6</v>
      </c>
      <c r="BN177" s="2">
        <v>6738.11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188.91</v>
      </c>
      <c r="Z179" s="2">
        <v>254.76</v>
      </c>
      <c r="AA179" s="2">
        <v>80.27</v>
      </c>
      <c r="AB179" s="2">
        <v>99.3</v>
      </c>
      <c r="AC179" s="2">
        <v>229.23</v>
      </c>
      <c r="AD179" s="2">
        <v>319.08999999999997</v>
      </c>
      <c r="AE179" s="2">
        <v>629.03</v>
      </c>
      <c r="AF179" s="2">
        <v>584.75</v>
      </c>
      <c r="AG179" s="2">
        <v>749.54</v>
      </c>
      <c r="AH179" s="2">
        <v>253.3</v>
      </c>
      <c r="AI179" s="2">
        <v>59.54</v>
      </c>
      <c r="AJ179" s="2">
        <v>257.04000000000002</v>
      </c>
      <c r="AK179" s="2">
        <v>29.17</v>
      </c>
      <c r="AL179" s="2">
        <v>36.78</v>
      </c>
      <c r="AM179" s="2">
        <v>121.36</v>
      </c>
      <c r="AN179" s="2">
        <v>130.30000000000001</v>
      </c>
      <c r="AO179" s="2">
        <v>249.03</v>
      </c>
      <c r="AP179" s="2">
        <v>219.27</v>
      </c>
      <c r="AQ179" s="2">
        <v>233.63</v>
      </c>
      <c r="AR179" s="2">
        <v>221.12</v>
      </c>
      <c r="AU179" s="1" t="s">
        <v>68</v>
      </c>
      <c r="AV179" s="2">
        <v>1985.58</v>
      </c>
      <c r="AW179" s="2">
        <v>5165.25</v>
      </c>
      <c r="AX179" s="2">
        <v>920.73</v>
      </c>
      <c r="AY179" s="2">
        <v>613.38</v>
      </c>
      <c r="AZ179" s="2">
        <v>2041.01</v>
      </c>
      <c r="BA179" s="2">
        <v>2680.31</v>
      </c>
      <c r="BB179" s="2">
        <v>4998.74</v>
      </c>
      <c r="BC179" s="2">
        <v>4343.8900000000003</v>
      </c>
      <c r="BD179" s="2">
        <v>5443.34</v>
      </c>
      <c r="BE179" s="2">
        <v>4136.13</v>
      </c>
      <c r="BF179" s="2">
        <v>1207.18</v>
      </c>
      <c r="BG179" s="2">
        <v>5057.6099999999997</v>
      </c>
      <c r="BH179" s="2">
        <v>554.27</v>
      </c>
      <c r="BI179" s="2">
        <v>582.07000000000005</v>
      </c>
      <c r="BJ179" s="2">
        <v>1914.08</v>
      </c>
      <c r="BK179" s="2">
        <v>2403.19</v>
      </c>
      <c r="BL179" s="2">
        <v>4544.54</v>
      </c>
      <c r="BM179" s="2">
        <v>3873.63</v>
      </c>
      <c r="BN179" s="2">
        <v>4553.97</v>
      </c>
      <c r="BO179" s="2">
        <v>4290.67</v>
      </c>
    </row>
    <row r="180" spans="24:67" x14ac:dyDescent="0.3">
      <c r="X180" s="1" t="s">
        <v>69</v>
      </c>
      <c r="Y180" s="2">
        <v>78.56</v>
      </c>
      <c r="Z180" s="2">
        <v>111.48</v>
      </c>
      <c r="AA180" s="2">
        <v>19.97</v>
      </c>
      <c r="AB180" s="2">
        <v>25.15</v>
      </c>
      <c r="AC180" s="2">
        <v>71.040000000000006</v>
      </c>
      <c r="AD180" s="2">
        <v>54.53</v>
      </c>
      <c r="AE180" s="2">
        <v>98.84</v>
      </c>
      <c r="AF180" s="2">
        <v>143.16</v>
      </c>
      <c r="AG180" s="2">
        <v>122.74</v>
      </c>
      <c r="AH180" s="2">
        <v>73.95</v>
      </c>
      <c r="AI180" s="2">
        <v>30.91</v>
      </c>
      <c r="AJ180" s="2">
        <v>114.37</v>
      </c>
      <c r="AK180" s="2">
        <v>15.7</v>
      </c>
      <c r="AL180" s="2">
        <v>25.62</v>
      </c>
      <c r="AM180" s="2">
        <v>44.08</v>
      </c>
      <c r="AN180" s="2">
        <v>48.86</v>
      </c>
      <c r="AO180" s="2">
        <v>92.45</v>
      </c>
      <c r="AP180" s="2">
        <v>76.69</v>
      </c>
      <c r="AQ180" s="2">
        <v>90.71</v>
      </c>
      <c r="AR180" s="2">
        <v>94.2</v>
      </c>
      <c r="AU180" s="1" t="s">
        <v>69</v>
      </c>
      <c r="AV180" s="2">
        <v>787.11</v>
      </c>
      <c r="AW180" s="2">
        <v>2172.27</v>
      </c>
      <c r="AX180" s="2">
        <v>379.36</v>
      </c>
      <c r="AY180" s="2">
        <v>236.42</v>
      </c>
      <c r="AZ180" s="2">
        <v>814.08</v>
      </c>
      <c r="BA180" s="2">
        <v>1105.58</v>
      </c>
      <c r="BB180" s="2">
        <v>2004.11</v>
      </c>
      <c r="BC180" s="2">
        <v>1665.11</v>
      </c>
      <c r="BD180" s="2">
        <v>2018.56</v>
      </c>
      <c r="BE180" s="2">
        <v>1499.23</v>
      </c>
      <c r="BF180" s="2">
        <v>539.01</v>
      </c>
      <c r="BG180" s="2">
        <v>2181.2399999999998</v>
      </c>
      <c r="BH180" s="2">
        <v>298.38</v>
      </c>
      <c r="BI180" s="2">
        <v>267.45</v>
      </c>
      <c r="BJ180" s="2">
        <v>837.45</v>
      </c>
      <c r="BK180" s="2">
        <v>990.68</v>
      </c>
      <c r="BL180" s="2">
        <v>1865.61</v>
      </c>
      <c r="BM180" s="2">
        <v>1553.98</v>
      </c>
      <c r="BN180" s="2">
        <v>1828.67</v>
      </c>
      <c r="BO180" s="2">
        <v>1796.88</v>
      </c>
    </row>
    <row r="181" spans="24:67" x14ac:dyDescent="0.3">
      <c r="X181" s="1" t="s">
        <v>70</v>
      </c>
      <c r="Y181" s="2">
        <v>236.75</v>
      </c>
      <c r="Z181" s="2">
        <v>509.08</v>
      </c>
      <c r="AA181" s="2">
        <v>119.74</v>
      </c>
      <c r="AB181" s="2">
        <v>76.03</v>
      </c>
      <c r="AC181" s="2">
        <v>159.44</v>
      </c>
      <c r="AD181" s="2">
        <v>241.87</v>
      </c>
      <c r="AE181" s="2">
        <v>380.04</v>
      </c>
      <c r="AF181" s="2">
        <v>301.77</v>
      </c>
      <c r="AG181" s="2">
        <v>386.76</v>
      </c>
      <c r="AH181" s="2">
        <v>342.21</v>
      </c>
      <c r="AI181" s="2">
        <v>225.37</v>
      </c>
      <c r="AJ181" s="2">
        <v>544.61</v>
      </c>
      <c r="AK181" s="2">
        <v>86.42</v>
      </c>
      <c r="AL181" s="2">
        <v>73.09</v>
      </c>
      <c r="AM181" s="2">
        <v>233.08</v>
      </c>
      <c r="AN181" s="2">
        <v>274.06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2462.89</v>
      </c>
      <c r="AW181" s="2">
        <v>10322.42</v>
      </c>
      <c r="AX181" s="2">
        <v>1476.01</v>
      </c>
      <c r="AY181" s="2">
        <v>798.47</v>
      </c>
      <c r="AZ181" s="2">
        <v>3029.36</v>
      </c>
      <c r="BA181" s="2">
        <v>4215.13</v>
      </c>
      <c r="BB181" s="2">
        <v>7543.56</v>
      </c>
      <c r="BC181" s="2">
        <v>6118.83</v>
      </c>
      <c r="BD181" s="2">
        <v>7842.14</v>
      </c>
      <c r="BE181" s="2">
        <v>6938.89</v>
      </c>
      <c r="BF181" s="2">
        <v>3161.78</v>
      </c>
      <c r="BG181" s="2">
        <v>11042.89</v>
      </c>
      <c r="BH181" s="2">
        <v>1641.93</v>
      </c>
      <c r="BI181" s="2">
        <v>796.84</v>
      </c>
      <c r="BJ181" s="2">
        <v>3196.52</v>
      </c>
      <c r="BK181" s="2">
        <v>4342.9399999999996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27.9</v>
      </c>
      <c r="Z182" s="2">
        <v>82.87</v>
      </c>
      <c r="AA182" s="2">
        <v>16.04</v>
      </c>
      <c r="AB182" s="2">
        <v>13.66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25.83</v>
      </c>
      <c r="AJ182" s="2">
        <v>53.68</v>
      </c>
      <c r="AK182" s="2">
        <v>10.4</v>
      </c>
      <c r="AL182" s="2">
        <v>12.28</v>
      </c>
      <c r="AM182" s="2">
        <v>35.409999999999997</v>
      </c>
      <c r="AN182" s="2">
        <v>50.53</v>
      </c>
      <c r="AO182" s="2">
        <v>75.930000000000007</v>
      </c>
      <c r="AP182" s="2">
        <v>46.07</v>
      </c>
      <c r="AQ182" s="2">
        <v>67.849999999999994</v>
      </c>
      <c r="AR182" s="2">
        <v>48.18</v>
      </c>
      <c r="AU182" s="1" t="s">
        <v>71</v>
      </c>
      <c r="AV182" s="2">
        <v>565.72</v>
      </c>
      <c r="AW182" s="2">
        <v>1680.33</v>
      </c>
      <c r="AX182" s="2">
        <v>304.81</v>
      </c>
      <c r="AY182" s="2">
        <v>152.33000000000001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523.82000000000005</v>
      </c>
      <c r="BG182" s="2">
        <v>1088.42</v>
      </c>
      <c r="BH182" s="2">
        <v>197.68</v>
      </c>
      <c r="BI182" s="2">
        <v>147.59</v>
      </c>
      <c r="BJ182" s="2">
        <v>430.59</v>
      </c>
      <c r="BK182" s="2">
        <v>762.19</v>
      </c>
      <c r="BL182" s="2">
        <v>1182.8499999999999</v>
      </c>
      <c r="BM182" s="2">
        <v>866.8</v>
      </c>
      <c r="BN182" s="2">
        <v>1276.28</v>
      </c>
      <c r="BO182" s="2">
        <v>977.03</v>
      </c>
    </row>
    <row r="183" spans="24:67" x14ac:dyDescent="0.3">
      <c r="X183" s="1" t="s">
        <v>72</v>
      </c>
      <c r="Y183" s="2">
        <v>145.18</v>
      </c>
      <c r="Z183" s="2">
        <v>270.7</v>
      </c>
      <c r="AA183" s="2">
        <v>46.08</v>
      </c>
      <c r="AB183" s="2">
        <v>43.86</v>
      </c>
      <c r="AC183" s="2">
        <v>101.91</v>
      </c>
      <c r="AD183" s="2">
        <v>96.94</v>
      </c>
      <c r="AE183" s="2">
        <v>200.01</v>
      </c>
      <c r="AF183" s="2">
        <v>168.7</v>
      </c>
      <c r="AG183" s="2">
        <v>276.70999999999998</v>
      </c>
      <c r="AH183" s="2">
        <v>205.99</v>
      </c>
      <c r="AI183" s="2">
        <v>161.77000000000001</v>
      </c>
      <c r="AJ183" s="2">
        <v>241.15</v>
      </c>
      <c r="AK183" s="2">
        <v>56.01</v>
      </c>
      <c r="AL183" s="2">
        <v>49.65</v>
      </c>
      <c r="AM183" s="2">
        <v>208.19</v>
      </c>
      <c r="AN183" s="2">
        <v>278.39999999999998</v>
      </c>
      <c r="AO183" s="2">
        <v>470.32</v>
      </c>
      <c r="AP183" s="2">
        <v>330.64</v>
      </c>
      <c r="AQ183" s="2">
        <v>317.83999999999997</v>
      </c>
      <c r="AR183" s="2">
        <v>183.6</v>
      </c>
      <c r="AU183" s="1" t="s">
        <v>72</v>
      </c>
      <c r="AV183" s="2">
        <v>1796.64</v>
      </c>
      <c r="AW183" s="2">
        <v>5488.92</v>
      </c>
      <c r="AX183" s="2">
        <v>875.6</v>
      </c>
      <c r="AY183" s="2">
        <v>423.11</v>
      </c>
      <c r="AZ183" s="2">
        <v>1579.44</v>
      </c>
      <c r="BA183" s="2">
        <v>1965.61</v>
      </c>
      <c r="BB183" s="2">
        <v>3745.11</v>
      </c>
      <c r="BC183" s="2">
        <v>3132.69</v>
      </c>
      <c r="BD183" s="2">
        <v>4628.51</v>
      </c>
      <c r="BE183" s="2">
        <v>4176.72</v>
      </c>
      <c r="BF183" s="2">
        <v>2011.68</v>
      </c>
      <c r="BG183" s="2">
        <v>4889.6099999999997</v>
      </c>
      <c r="BH183" s="2">
        <v>877.44</v>
      </c>
      <c r="BI183" s="2">
        <v>623.98</v>
      </c>
      <c r="BJ183" s="2">
        <v>1616.39</v>
      </c>
      <c r="BK183" s="2">
        <v>2720.98</v>
      </c>
      <c r="BL183" s="2">
        <v>4636.12</v>
      </c>
      <c r="BM183" s="2">
        <v>3652.22</v>
      </c>
      <c r="BN183" s="2">
        <v>4596.9799999999996</v>
      </c>
      <c r="BO183" s="2">
        <v>3722.77</v>
      </c>
    </row>
    <row r="184" spans="24:67" x14ac:dyDescent="0.3">
      <c r="X184" s="1" t="s">
        <v>73</v>
      </c>
      <c r="Y184" s="2">
        <v>61.4</v>
      </c>
      <c r="Z184" s="2">
        <v>230.46</v>
      </c>
      <c r="AA184" s="2">
        <v>27.18</v>
      </c>
      <c r="AB184" s="2">
        <v>16.86</v>
      </c>
      <c r="AC184" s="2">
        <v>64.27</v>
      </c>
      <c r="AD184" s="2">
        <v>79.16</v>
      </c>
      <c r="AE184" s="2">
        <v>167.4</v>
      </c>
      <c r="AF184" s="2">
        <v>137.19</v>
      </c>
      <c r="AG184" s="2">
        <v>183.61</v>
      </c>
      <c r="AH184" s="2">
        <v>169.54</v>
      </c>
      <c r="AI184" s="2">
        <v>64.28</v>
      </c>
      <c r="AJ184" s="2">
        <v>249.67</v>
      </c>
      <c r="AK184" s="2">
        <v>29.17</v>
      </c>
      <c r="AL184" s="2">
        <v>18.850000000000001</v>
      </c>
      <c r="AM184" s="2">
        <v>67.84</v>
      </c>
      <c r="AN184" s="2">
        <v>78.650000000000006</v>
      </c>
      <c r="AO184" s="2">
        <v>147.94</v>
      </c>
      <c r="AP184" s="2">
        <v>122.06</v>
      </c>
      <c r="AQ184" s="2">
        <v>170.87</v>
      </c>
      <c r="AR184" s="2">
        <v>159.83000000000001</v>
      </c>
      <c r="AU184" s="1" t="s">
        <v>73</v>
      </c>
      <c r="AV184" s="2">
        <v>1214.68</v>
      </c>
      <c r="AW184" s="2">
        <v>3783.09</v>
      </c>
      <c r="AX184" s="2">
        <v>516.48</v>
      </c>
      <c r="AY184" s="2">
        <v>320.33999999999997</v>
      </c>
      <c r="AZ184" s="2">
        <v>1221.17</v>
      </c>
      <c r="BA184" s="2">
        <v>1605.04</v>
      </c>
      <c r="BB184" s="2">
        <v>2922.48</v>
      </c>
      <c r="BC184" s="2">
        <v>2384.0700000000002</v>
      </c>
      <c r="BD184" s="2">
        <v>3084.77</v>
      </c>
      <c r="BE184" s="2">
        <v>2704.82</v>
      </c>
      <c r="BF184" s="2">
        <v>1303.45</v>
      </c>
      <c r="BG184" s="2">
        <v>4402.43</v>
      </c>
      <c r="BH184" s="2">
        <v>554.27</v>
      </c>
      <c r="BI184" s="2">
        <v>358.1</v>
      </c>
      <c r="BJ184" s="2">
        <v>1187.29</v>
      </c>
      <c r="BK184" s="2">
        <v>1522.67</v>
      </c>
      <c r="BL184" s="2">
        <v>2894.52</v>
      </c>
      <c r="BM184" s="2">
        <v>2474.89</v>
      </c>
      <c r="BN184" s="2">
        <v>3111.19</v>
      </c>
      <c r="BO184" s="2">
        <v>2652.31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279.68</v>
      </c>
      <c r="Z191" s="2">
        <v>273.67</v>
      </c>
      <c r="AA191" s="2">
        <v>14.87</v>
      </c>
      <c r="AB191" s="2">
        <v>15.18</v>
      </c>
      <c r="AC191" s="2">
        <v>22.84</v>
      </c>
      <c r="AD191" s="2">
        <v>41.15</v>
      </c>
      <c r="AE191" s="2">
        <v>165.48</v>
      </c>
      <c r="AF191" s="2">
        <v>78.25</v>
      </c>
      <c r="AG191" s="2">
        <v>225.94</v>
      </c>
      <c r="AH191" s="2">
        <v>85.18</v>
      </c>
      <c r="AI191" s="2">
        <v>227.76</v>
      </c>
      <c r="AJ191" s="2">
        <v>62.9</v>
      </c>
      <c r="AK191" s="2">
        <v>234.27</v>
      </c>
      <c r="AL191" s="2">
        <v>19.309999999999999</v>
      </c>
      <c r="AM191" s="2">
        <v>238.6</v>
      </c>
      <c r="AN191" s="2">
        <v>60.11</v>
      </c>
      <c r="AO191" s="2">
        <v>16.37</v>
      </c>
      <c r="AP191" s="2">
        <v>17.16</v>
      </c>
      <c r="AQ191" s="2">
        <v>31.94</v>
      </c>
      <c r="AR191" s="2">
        <v>20.03</v>
      </c>
      <c r="AU191" s="1" t="s">
        <v>66</v>
      </c>
      <c r="AV191" s="2">
        <v>1863.72</v>
      </c>
      <c r="AW191" s="2">
        <v>1887.23</v>
      </c>
      <c r="AX191" s="2">
        <v>969.33</v>
      </c>
      <c r="AY191" s="2">
        <v>996.32</v>
      </c>
      <c r="AZ191" s="2">
        <v>1497.56</v>
      </c>
      <c r="BA191" s="2">
        <v>1603.15</v>
      </c>
      <c r="BB191" s="2">
        <v>1630.02</v>
      </c>
      <c r="BC191" s="2">
        <v>1743.85</v>
      </c>
      <c r="BD191" s="2">
        <v>1618.56</v>
      </c>
      <c r="BE191" s="2">
        <v>1699.12</v>
      </c>
      <c r="BF191" s="2">
        <v>1653.84</v>
      </c>
      <c r="BG191" s="2">
        <v>1715.1</v>
      </c>
      <c r="BH191" s="2">
        <v>1611.63</v>
      </c>
      <c r="BI191" s="2">
        <v>1861.59</v>
      </c>
      <c r="BJ191" s="2">
        <v>1646.5</v>
      </c>
      <c r="BK191" s="2">
        <v>1773.19</v>
      </c>
      <c r="BL191" s="2">
        <v>1577.53</v>
      </c>
      <c r="BM191" s="2">
        <v>1653.74</v>
      </c>
      <c r="BN191" s="2">
        <v>1883.96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145.31</v>
      </c>
      <c r="Z193" s="2">
        <v>45.8</v>
      </c>
      <c r="AA193" s="2">
        <v>61.74</v>
      </c>
      <c r="AB193" s="2">
        <v>22.44</v>
      </c>
      <c r="AC193" s="2">
        <v>198.59</v>
      </c>
      <c r="AD193" s="2">
        <v>73.56</v>
      </c>
      <c r="AE193" s="2">
        <v>143.27000000000001</v>
      </c>
      <c r="AF193" s="2">
        <v>75.849999999999994</v>
      </c>
      <c r="AG193" s="2">
        <v>159.54</v>
      </c>
      <c r="AH193" s="2">
        <v>65.150000000000006</v>
      </c>
      <c r="AI193" s="2">
        <v>174.73</v>
      </c>
      <c r="AJ193" s="2">
        <v>69.17</v>
      </c>
      <c r="AK193" s="2">
        <v>201.64</v>
      </c>
      <c r="AL193" s="2">
        <v>75.61</v>
      </c>
      <c r="AM193" s="2">
        <v>197.25</v>
      </c>
      <c r="AN193" s="2">
        <v>61.48</v>
      </c>
      <c r="AO193" s="2">
        <v>74.5</v>
      </c>
      <c r="AP193" s="2">
        <v>65.040000000000006</v>
      </c>
      <c r="AQ193" s="2">
        <v>56.61</v>
      </c>
      <c r="AR193" s="2">
        <v>57.12</v>
      </c>
      <c r="AU193" s="1" t="s">
        <v>68</v>
      </c>
      <c r="AV193" s="2">
        <v>1527.37</v>
      </c>
      <c r="AW193" s="2">
        <v>928.6</v>
      </c>
      <c r="AX193" s="2">
        <v>708.26</v>
      </c>
      <c r="AY193" s="2">
        <v>426.36</v>
      </c>
      <c r="AZ193" s="2">
        <v>1226.76</v>
      </c>
      <c r="BA193" s="2">
        <v>1164.1500000000001</v>
      </c>
      <c r="BB193" s="2">
        <v>1275.6300000000001</v>
      </c>
      <c r="BC193" s="2">
        <v>1196.3</v>
      </c>
      <c r="BD193" s="2">
        <v>1340.16</v>
      </c>
      <c r="BE193" s="2">
        <v>1201.5899999999999</v>
      </c>
      <c r="BF193" s="2">
        <v>1388.54</v>
      </c>
      <c r="BG193" s="2">
        <v>1262.3699999999999</v>
      </c>
      <c r="BH193" s="2">
        <v>1497.89</v>
      </c>
      <c r="BI193" s="2">
        <v>1335.74</v>
      </c>
      <c r="BJ193" s="2">
        <v>1432.46</v>
      </c>
      <c r="BK193" s="2">
        <v>1198.4100000000001</v>
      </c>
      <c r="BL193" s="2">
        <v>1216.51</v>
      </c>
      <c r="BM193" s="2">
        <v>1261.96</v>
      </c>
      <c r="BN193" s="2">
        <v>1147.83</v>
      </c>
      <c r="BO193" s="2">
        <v>1123.9100000000001</v>
      </c>
    </row>
    <row r="194" spans="24:67" x14ac:dyDescent="0.3">
      <c r="X194" s="1" t="s">
        <v>69</v>
      </c>
      <c r="Y194" s="2">
        <v>60.43</v>
      </c>
      <c r="Z194" s="2">
        <v>23.78</v>
      </c>
      <c r="AA194" s="2">
        <v>15.36</v>
      </c>
      <c r="AB194" s="2">
        <v>12.08</v>
      </c>
      <c r="AC194" s="2">
        <v>50.3</v>
      </c>
      <c r="AD194" s="2">
        <v>51.24</v>
      </c>
      <c r="AE194" s="2">
        <v>44.4</v>
      </c>
      <c r="AF194" s="2">
        <v>27.55</v>
      </c>
      <c r="AG194" s="2">
        <v>27.26</v>
      </c>
      <c r="AH194" s="2">
        <v>24.43</v>
      </c>
      <c r="AI194" s="2">
        <v>27.46</v>
      </c>
      <c r="AJ194" s="2">
        <v>25.68</v>
      </c>
      <c r="AK194" s="2">
        <v>49.37</v>
      </c>
      <c r="AL194" s="2">
        <v>26.45</v>
      </c>
      <c r="AM194" s="2">
        <v>32.299999999999997</v>
      </c>
      <c r="AN194" s="2">
        <v>23.87</v>
      </c>
      <c r="AO194" s="2">
        <v>21.75</v>
      </c>
      <c r="AP194" s="2">
        <v>27.71</v>
      </c>
      <c r="AQ194" s="2">
        <v>24.77</v>
      </c>
      <c r="AR194" s="2">
        <v>25.42</v>
      </c>
      <c r="AU194" s="1" t="s">
        <v>69</v>
      </c>
      <c r="AV194" s="2">
        <v>605.47</v>
      </c>
      <c r="AW194" s="2">
        <v>414.62</v>
      </c>
      <c r="AX194" s="2">
        <v>291.82</v>
      </c>
      <c r="AY194" s="2">
        <v>229.52</v>
      </c>
      <c r="AZ194" s="2">
        <v>472.83</v>
      </c>
      <c r="BA194" s="2">
        <v>534.9</v>
      </c>
      <c r="BB194" s="2">
        <v>508.8</v>
      </c>
      <c r="BC194" s="2">
        <v>523.41</v>
      </c>
      <c r="BD194" s="2">
        <v>552.79</v>
      </c>
      <c r="BE194" s="2">
        <v>495.34</v>
      </c>
      <c r="BF194" s="2">
        <v>556.70000000000005</v>
      </c>
      <c r="BG194" s="2">
        <v>518.22</v>
      </c>
      <c r="BH194" s="2">
        <v>574.17999999999995</v>
      </c>
      <c r="BI194" s="2">
        <v>535.85</v>
      </c>
      <c r="BJ194" s="2">
        <v>531.20000000000005</v>
      </c>
      <c r="BK194" s="2">
        <v>481.23</v>
      </c>
      <c r="BL194" s="2">
        <v>440.95</v>
      </c>
      <c r="BM194" s="2">
        <v>528.49</v>
      </c>
      <c r="BN194" s="2">
        <v>482.73</v>
      </c>
      <c r="BO194" s="2">
        <v>484.72</v>
      </c>
    </row>
    <row r="195" spans="24:67" x14ac:dyDescent="0.3">
      <c r="X195" s="1" t="s">
        <v>70</v>
      </c>
      <c r="Y195" s="2">
        <v>182.12</v>
      </c>
      <c r="Z195" s="2">
        <v>173.36</v>
      </c>
      <c r="AA195" s="2">
        <v>92.11</v>
      </c>
      <c r="AB195" s="2">
        <v>66.48</v>
      </c>
      <c r="AC195" s="2">
        <v>152.05000000000001</v>
      </c>
      <c r="AD195" s="2">
        <v>146.18</v>
      </c>
      <c r="AE195" s="2">
        <v>99.65</v>
      </c>
      <c r="AF195" s="2">
        <v>145.66999999999999</v>
      </c>
      <c r="AG195" s="2">
        <v>120.94</v>
      </c>
      <c r="AH195" s="2">
        <v>137.03</v>
      </c>
      <c r="AI195" s="2">
        <v>105.57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1894.53</v>
      </c>
      <c r="AW195" s="2">
        <v>2432.14</v>
      </c>
      <c r="AX195" s="2">
        <v>1135.3900000000001</v>
      </c>
      <c r="AY195" s="2">
        <v>1263.02</v>
      </c>
      <c r="AZ195" s="2">
        <v>1596.95</v>
      </c>
      <c r="BA195" s="2">
        <v>1593.69</v>
      </c>
      <c r="BB195" s="2">
        <v>1893.35</v>
      </c>
      <c r="BC195" s="2">
        <v>1997.83</v>
      </c>
      <c r="BD195" s="2">
        <v>2107.56</v>
      </c>
      <c r="BE195" s="2">
        <v>2171.4699999999998</v>
      </c>
      <c r="BF195" s="2">
        <v>2095.4299999999998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21.46</v>
      </c>
      <c r="Z196" s="2">
        <v>19.87</v>
      </c>
      <c r="AA196" s="2">
        <v>12.34</v>
      </c>
      <c r="AB196" s="2">
        <v>8</v>
      </c>
      <c r="AC196" s="2">
        <v>27.33</v>
      </c>
      <c r="AD196" s="2">
        <v>24.56</v>
      </c>
      <c r="AE196" s="2">
        <v>13.64</v>
      </c>
      <c r="AF196" s="2">
        <v>22.13</v>
      </c>
      <c r="AG196" s="2">
        <v>13.71</v>
      </c>
      <c r="AH196" s="2">
        <v>25.26</v>
      </c>
      <c r="AI196" s="2">
        <v>15.65</v>
      </c>
      <c r="AJ196" s="2">
        <v>21.09</v>
      </c>
      <c r="AK196" s="2">
        <v>15.85</v>
      </c>
      <c r="AL196" s="2">
        <v>15.88</v>
      </c>
      <c r="AM196" s="2">
        <v>16.22</v>
      </c>
      <c r="AN196" s="2">
        <v>17.86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435.17</v>
      </c>
      <c r="AW196" s="2">
        <v>402.94</v>
      </c>
      <c r="AX196" s="2">
        <v>234.47</v>
      </c>
      <c r="AY196" s="2">
        <v>152.06</v>
      </c>
      <c r="AZ196" s="2">
        <v>304.67</v>
      </c>
      <c r="BA196" s="2">
        <v>295.18</v>
      </c>
      <c r="BB196" s="2">
        <v>259.16000000000003</v>
      </c>
      <c r="BC196" s="2">
        <v>269.12</v>
      </c>
      <c r="BD196" s="2">
        <v>278.08999999999997</v>
      </c>
      <c r="BE196" s="2">
        <v>381.1</v>
      </c>
      <c r="BF196" s="2">
        <v>317.25</v>
      </c>
      <c r="BG196" s="2">
        <v>328.57</v>
      </c>
      <c r="BH196" s="2">
        <v>321.31</v>
      </c>
      <c r="BI196" s="2">
        <v>298.89999999999998</v>
      </c>
      <c r="BJ196" s="2">
        <v>328.89</v>
      </c>
      <c r="BK196" s="2">
        <v>335.86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111.68</v>
      </c>
      <c r="Z197" s="2">
        <v>124.43</v>
      </c>
      <c r="AA197" s="2">
        <v>35.450000000000003</v>
      </c>
      <c r="AB197" s="2">
        <v>43.08</v>
      </c>
      <c r="AC197" s="2">
        <v>87.73</v>
      </c>
      <c r="AD197" s="2">
        <v>99.3</v>
      </c>
      <c r="AE197" s="2">
        <v>63.7</v>
      </c>
      <c r="AF197" s="2">
        <v>130.12</v>
      </c>
      <c r="AG197" s="2">
        <v>48.47</v>
      </c>
      <c r="AH197" s="2">
        <v>139.19999999999999</v>
      </c>
      <c r="AI197" s="2">
        <v>55.56</v>
      </c>
      <c r="AJ197" s="2">
        <v>130.65</v>
      </c>
      <c r="AK197" s="2">
        <v>58.17</v>
      </c>
      <c r="AL197" s="2">
        <v>114.02</v>
      </c>
      <c r="AM197" s="2">
        <v>72.819999999999993</v>
      </c>
      <c r="AN197" s="2">
        <v>83.64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1382.03</v>
      </c>
      <c r="AW197" s="2">
        <v>1547.45</v>
      </c>
      <c r="AX197" s="2">
        <v>673.54</v>
      </c>
      <c r="AY197" s="2">
        <v>674.95</v>
      </c>
      <c r="AZ197" s="2">
        <v>846.22</v>
      </c>
      <c r="BA197" s="2">
        <v>1247.95</v>
      </c>
      <c r="BB197" s="2">
        <v>987.15</v>
      </c>
      <c r="BC197" s="2">
        <v>1010.24</v>
      </c>
      <c r="BD197" s="2">
        <v>982.81</v>
      </c>
      <c r="BE197" s="2">
        <v>1360.49</v>
      </c>
      <c r="BF197" s="2">
        <v>1040.31</v>
      </c>
      <c r="BG197" s="2">
        <v>1287.81</v>
      </c>
      <c r="BH197" s="2">
        <v>1080.24</v>
      </c>
      <c r="BI197" s="2">
        <v>1259.3800000000001</v>
      </c>
      <c r="BJ197" s="2">
        <v>1218.03</v>
      </c>
      <c r="BK197" s="2">
        <v>1209.73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47.23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42.4</v>
      </c>
      <c r="AG198" s="2">
        <v>39.58</v>
      </c>
      <c r="AH198" s="2">
        <v>39.33</v>
      </c>
      <c r="AI198" s="2">
        <v>46.5</v>
      </c>
      <c r="AJ198" s="2">
        <v>41.09</v>
      </c>
      <c r="AK198" s="2">
        <v>47.31</v>
      </c>
      <c r="AL198" s="2">
        <v>42.09</v>
      </c>
      <c r="AM198" s="2">
        <v>48.32</v>
      </c>
      <c r="AN198" s="2">
        <v>44.97</v>
      </c>
      <c r="AO198" s="2">
        <v>49.86</v>
      </c>
      <c r="AP198" s="2">
        <v>47.01</v>
      </c>
      <c r="AQ198" s="2">
        <v>51.21</v>
      </c>
      <c r="AR198" s="2">
        <v>55.48</v>
      </c>
      <c r="AU198" s="1" t="s">
        <v>73</v>
      </c>
      <c r="AV198" s="2">
        <v>934.37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742.06</v>
      </c>
      <c r="BD198" s="2">
        <v>802.52</v>
      </c>
      <c r="BE198" s="2">
        <v>761.33</v>
      </c>
      <c r="BF198" s="2">
        <v>811.8</v>
      </c>
      <c r="BG198" s="2">
        <v>804.03</v>
      </c>
      <c r="BH198" s="2">
        <v>822.09</v>
      </c>
      <c r="BI198" s="2">
        <v>853.41</v>
      </c>
      <c r="BJ198" s="2">
        <v>811.78</v>
      </c>
      <c r="BK198" s="2">
        <v>818.73</v>
      </c>
      <c r="BL198" s="2">
        <v>795.54</v>
      </c>
      <c r="BM198" s="2">
        <v>780.09</v>
      </c>
      <c r="BN198" s="2">
        <v>840.69</v>
      </c>
      <c r="BO198" s="2">
        <v>978.32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0.18</v>
      </c>
      <c r="AA206" s="2">
        <v>0.22</v>
      </c>
      <c r="AB206" s="2">
        <v>0.2</v>
      </c>
      <c r="AC206" s="2">
        <v>0.17</v>
      </c>
      <c r="AD206" s="2">
        <v>0.19</v>
      </c>
      <c r="AE206" s="2">
        <v>0.21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0.17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0.21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0.32</v>
      </c>
      <c r="AH208" s="2">
        <v>0.14000000000000001</v>
      </c>
      <c r="AI208" s="2">
        <v>0.32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0.33</v>
      </c>
      <c r="AB209" s="2">
        <v>0.23</v>
      </c>
      <c r="AC209" s="2">
        <v>0.31</v>
      </c>
      <c r="AD209" s="2">
        <v>0.32</v>
      </c>
      <c r="AE209" s="2">
        <v>0.17</v>
      </c>
      <c r="AF209" s="2">
        <v>0.28000000000000003</v>
      </c>
      <c r="AG209" s="2">
        <v>0.23</v>
      </c>
      <c r="AH209" s="2">
        <v>0.25</v>
      </c>
      <c r="AI209" s="2">
        <v>0.21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0.08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0.35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0.15</v>
      </c>
      <c r="AJ210" s="2">
        <v>0.31</v>
      </c>
      <c r="AK210" s="2">
        <v>0.15</v>
      </c>
      <c r="AL210" s="2">
        <v>0.27</v>
      </c>
      <c r="AM210" s="2">
        <v>0.14000000000000001</v>
      </c>
      <c r="AN210" s="2">
        <v>0.26</v>
      </c>
      <c r="AO210" s="2">
        <v>0.12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7.0000000000000007E-2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0.28999999999999998</v>
      </c>
      <c r="AB212" s="2">
        <v>0.28000000000000003</v>
      </c>
      <c r="AC212" s="2">
        <v>0.99</v>
      </c>
      <c r="AD212" s="2">
        <v>0.25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0.11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0.12</v>
      </c>
      <c r="AG220" s="2">
        <v>0.22</v>
      </c>
      <c r="AH220" s="2">
        <v>0.08</v>
      </c>
      <c r="AI220" s="2">
        <v>0.62</v>
      </c>
      <c r="AJ220" s="2">
        <v>0.15</v>
      </c>
      <c r="AK220" s="2">
        <v>0.35</v>
      </c>
      <c r="AL220" s="2">
        <v>0.18</v>
      </c>
      <c r="AM220" s="2">
        <v>0.39</v>
      </c>
      <c r="AN220" s="2">
        <v>0.17</v>
      </c>
      <c r="AO220" s="2">
        <v>0.3</v>
      </c>
      <c r="AP220" s="2">
        <v>0.06</v>
      </c>
      <c r="AQ220" s="2">
        <v>0.28999999999999998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1.1599999999999999</v>
      </c>
      <c r="Z221" s="2">
        <v>0</v>
      </c>
      <c r="AA221" s="2">
        <v>1.1200000000000001</v>
      </c>
      <c r="AB221" s="2">
        <v>0</v>
      </c>
      <c r="AC221" s="2">
        <v>0.24</v>
      </c>
      <c r="AD221" s="2">
        <v>0.28000000000000003</v>
      </c>
      <c r="AE221" s="2">
        <v>0.63</v>
      </c>
      <c r="AF221" s="2">
        <v>0.17</v>
      </c>
      <c r="AG221" s="2">
        <v>0.92</v>
      </c>
      <c r="AH221" s="2">
        <v>0.17</v>
      </c>
      <c r="AI221" s="2">
        <v>1.85</v>
      </c>
      <c r="AJ221" s="2">
        <v>0.3</v>
      </c>
      <c r="AK221" s="2">
        <v>1.44</v>
      </c>
      <c r="AL221" s="2">
        <v>0.26</v>
      </c>
      <c r="AM221" s="2">
        <v>1.83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0.53</v>
      </c>
      <c r="Z222" s="2">
        <v>0.02</v>
      </c>
      <c r="AA222" s="2">
        <v>0.79</v>
      </c>
      <c r="AB222" s="2">
        <v>0</v>
      </c>
      <c r="AC222" s="2">
        <v>0.19</v>
      </c>
      <c r="AD222" s="2">
        <v>0.2</v>
      </c>
      <c r="AE222" s="2">
        <v>0.56000000000000005</v>
      </c>
      <c r="AF222" s="2">
        <v>0.25</v>
      </c>
      <c r="AG222" s="2">
        <v>1.0900000000000001</v>
      </c>
      <c r="AH222" s="2">
        <v>0.22</v>
      </c>
      <c r="AI222" s="2">
        <v>1.97</v>
      </c>
      <c r="AJ222" s="2">
        <v>0.33</v>
      </c>
      <c r="AK222" s="2">
        <v>1.07</v>
      </c>
      <c r="AL222" s="2">
        <v>0.28000000000000003</v>
      </c>
      <c r="AM222" s="2">
        <v>0.93</v>
      </c>
      <c r="AN222" s="2">
        <v>0.27</v>
      </c>
      <c r="AO222" s="2">
        <v>0.23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0.35</v>
      </c>
      <c r="AA223" s="2">
        <v>0.42</v>
      </c>
      <c r="AB223" s="2">
        <v>0.09</v>
      </c>
      <c r="AC223" s="2">
        <v>0.15</v>
      </c>
      <c r="AD223" s="2">
        <v>0.16</v>
      </c>
      <c r="AE223" s="2">
        <v>0.09</v>
      </c>
      <c r="AF223" s="2">
        <v>0.42</v>
      </c>
      <c r="AG223" s="2">
        <v>0.48</v>
      </c>
      <c r="AH223" s="2">
        <v>0.53</v>
      </c>
      <c r="AI223" s="2">
        <v>0.74</v>
      </c>
      <c r="AJ223" s="2">
        <v>0.62</v>
      </c>
      <c r="AK223" s="2">
        <v>0.43</v>
      </c>
      <c r="AL223" s="2">
        <v>0.4</v>
      </c>
      <c r="AM223" s="2">
        <v>0.34</v>
      </c>
      <c r="AN223" s="2">
        <v>0.36</v>
      </c>
      <c r="AO223" s="2">
        <v>0.22</v>
      </c>
      <c r="AP223" s="2">
        <v>0.17</v>
      </c>
      <c r="AQ223" s="2">
        <v>0.26</v>
      </c>
      <c r="AR223" s="2">
        <v>0.12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0.75</v>
      </c>
      <c r="Z224" s="2">
        <v>0.73</v>
      </c>
      <c r="AA224" s="2">
        <v>0.63</v>
      </c>
      <c r="AB224" s="2">
        <v>0.62</v>
      </c>
      <c r="AC224" s="2">
        <v>0.16</v>
      </c>
      <c r="AD224" s="2">
        <v>0.16</v>
      </c>
      <c r="AE224" s="2">
        <v>0.11</v>
      </c>
      <c r="AF224" s="2">
        <v>0.46</v>
      </c>
      <c r="AG224" s="2">
        <v>0.14000000000000001</v>
      </c>
      <c r="AH224" s="2">
        <v>0.68</v>
      </c>
      <c r="AI224" s="2">
        <v>0.39</v>
      </c>
      <c r="AJ224" s="2">
        <v>1.22</v>
      </c>
      <c r="AK224" s="2">
        <v>0.3</v>
      </c>
      <c r="AL224" s="2">
        <v>0.8</v>
      </c>
      <c r="AM224" s="2">
        <v>0.38</v>
      </c>
      <c r="AN224" s="2">
        <v>1.03</v>
      </c>
      <c r="AO224" s="2">
        <v>0.27</v>
      </c>
      <c r="AP224" s="2">
        <v>0.73</v>
      </c>
      <c r="AQ224" s="2">
        <v>0.23</v>
      </c>
      <c r="AR224" s="2">
        <v>0.15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1.06</v>
      </c>
      <c r="Z225" s="2">
        <v>1.08</v>
      </c>
      <c r="AA225" s="2">
        <v>0.6</v>
      </c>
      <c r="AB225" s="2">
        <v>0.98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0.23</v>
      </c>
      <c r="AH225" s="2">
        <v>0.97</v>
      </c>
      <c r="AI225" s="2">
        <v>0.49</v>
      </c>
      <c r="AJ225" s="2">
        <v>1.75</v>
      </c>
      <c r="AK225" s="2">
        <v>0.4</v>
      </c>
      <c r="AL225" s="2">
        <v>1.1100000000000001</v>
      </c>
      <c r="AM225" s="2">
        <v>0.63</v>
      </c>
      <c r="AN225" s="2">
        <v>0.86</v>
      </c>
      <c r="AO225" s="2">
        <v>0.32</v>
      </c>
      <c r="AP225" s="2">
        <v>0.36</v>
      </c>
      <c r="AQ225" s="2">
        <v>0.28999999999999998</v>
      </c>
      <c r="AR225" s="2">
        <v>0.26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0.71</v>
      </c>
      <c r="AK226" s="2">
        <v>0.38</v>
      </c>
      <c r="AL226" s="2">
        <v>0.42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7">
        <f>Y191/(AV191+AV219)</f>
        <v>0.13175548353056454</v>
      </c>
      <c r="Z233" s="7">
        <f t="shared" ref="Z233:AR240" si="0">Z191/(AW191+AW219)</f>
        <v>0.12851796020531317</v>
      </c>
      <c r="AA233" s="7">
        <f t="shared" si="0"/>
        <v>1.3814182064788233E-2</v>
      </c>
      <c r="AB233" s="7">
        <f t="shared" si="0"/>
        <v>1.386276049752516E-2</v>
      </c>
      <c r="AC233" s="7">
        <f t="shared" si="0"/>
        <v>1.32240209361032E-2</v>
      </c>
      <c r="AD233" s="7">
        <f t="shared" si="0"/>
        <v>2.278326827782853E-2</v>
      </c>
      <c r="AE233" s="7">
        <f t="shared" si="0"/>
        <v>8.4230029216846011E-2</v>
      </c>
      <c r="AF233" s="7">
        <f t="shared" si="0"/>
        <v>3.8464374370191956E-2</v>
      </c>
      <c r="AG233" s="7">
        <f t="shared" si="0"/>
        <v>0.1160952850741974</v>
      </c>
      <c r="AH233" s="7">
        <f t="shared" si="0"/>
        <v>4.2572545256444862E-2</v>
      </c>
      <c r="AI233" s="7">
        <f t="shared" si="0"/>
        <v>0.11854843746746893</v>
      </c>
      <c r="AJ233" s="7">
        <f t="shared" si="0"/>
        <v>3.1582647117895157E-2</v>
      </c>
      <c r="AK233" s="7">
        <f t="shared" si="0"/>
        <v>0.12006888316001496</v>
      </c>
      <c r="AL233" s="7">
        <f t="shared" si="0"/>
        <v>9.2494575344040531E-3</v>
      </c>
      <c r="AM233" s="7">
        <f t="shared" si="0"/>
        <v>0.12567816697392678</v>
      </c>
      <c r="AN233" s="7">
        <f t="shared" si="0"/>
        <v>3.006567331402648E-2</v>
      </c>
      <c r="AO233" s="7">
        <f t="shared" si="0"/>
        <v>9.2192630221386226E-3</v>
      </c>
      <c r="AP233" s="7">
        <f t="shared" si="0"/>
        <v>9.2664593053395552E-3</v>
      </c>
      <c r="AQ233" s="7">
        <f t="shared" si="0"/>
        <v>1.5072009664206574E-2</v>
      </c>
      <c r="AR233" s="7">
        <f t="shared" si="0"/>
        <v>9.4799964029968729E-3</v>
      </c>
    </row>
    <row r="234" spans="24:67" x14ac:dyDescent="0.3">
      <c r="X234" s="1" t="s">
        <v>67</v>
      </c>
      <c r="Y234" s="7">
        <f t="shared" ref="Y234:Y240" si="1">Y192/(AV192+AV220)</f>
        <v>4.7024710035300045E-2</v>
      </c>
      <c r="Z234" s="7">
        <f t="shared" si="0"/>
        <v>4.674582894934616E-2</v>
      </c>
      <c r="AA234" s="7">
        <f t="shared" si="0"/>
        <v>5.0947421257372318E-2</v>
      </c>
      <c r="AB234" s="7">
        <f t="shared" si="0"/>
        <v>5.1262034868592245E-2</v>
      </c>
      <c r="AC234" s="7">
        <f t="shared" si="0"/>
        <v>4.9723756906077346E-2</v>
      </c>
      <c r="AD234" s="7">
        <f t="shared" si="0"/>
        <v>4.9665517940401374E-2</v>
      </c>
      <c r="AE234" s="7">
        <f t="shared" si="0"/>
        <v>4.8731953088615096E-2</v>
      </c>
      <c r="AF234" s="7">
        <f t="shared" si="0"/>
        <v>4.9100437264261151E-2</v>
      </c>
      <c r="AG234" s="7">
        <f t="shared" si="0"/>
        <v>4.5997259737717754E-2</v>
      </c>
      <c r="AH234" s="7">
        <f t="shared" si="0"/>
        <v>4.3924115535805844E-2</v>
      </c>
      <c r="AI234" s="7">
        <f t="shared" si="0"/>
        <v>4.6853318096481918E-2</v>
      </c>
      <c r="AJ234" s="7">
        <f t="shared" si="0"/>
        <v>4.5184994198788193E-2</v>
      </c>
      <c r="AK234" s="7">
        <f t="shared" si="0"/>
        <v>4.7272459932362891E-2</v>
      </c>
      <c r="AL234" s="7">
        <f t="shared" si="0"/>
        <v>4.4790527060943428E-2</v>
      </c>
      <c r="AM234" s="7">
        <f t="shared" si="0"/>
        <v>4.7373623270262642E-2</v>
      </c>
      <c r="AN234" s="7">
        <f t="shared" si="0"/>
        <v>4.6610892948608498E-2</v>
      </c>
      <c r="AO234" s="7">
        <f t="shared" si="0"/>
        <v>4.6309747369167001E-2</v>
      </c>
      <c r="AP234" s="7">
        <f t="shared" si="0"/>
        <v>4.7903187958834768E-2</v>
      </c>
      <c r="AQ234" s="7">
        <f t="shared" si="0"/>
        <v>4.7322540473225407E-2</v>
      </c>
      <c r="AR234" s="7">
        <f t="shared" si="0"/>
        <v>4.8258229466283158E-2</v>
      </c>
    </row>
    <row r="235" spans="24:67" x14ac:dyDescent="0.3">
      <c r="X235" s="1" t="s">
        <v>68</v>
      </c>
      <c r="Y235" s="7">
        <f t="shared" si="1"/>
        <v>9.2794697080967867E-2</v>
      </c>
      <c r="Z235" s="7">
        <f t="shared" si="0"/>
        <v>4.7436561367167271E-2</v>
      </c>
      <c r="AA235" s="7">
        <f t="shared" si="0"/>
        <v>8.547103204817609E-2</v>
      </c>
      <c r="AB235" s="7">
        <f t="shared" si="0"/>
        <v>5.0363587395636955E-2</v>
      </c>
      <c r="AC235" s="7">
        <f t="shared" si="0"/>
        <v>0.15759985397868406</v>
      </c>
      <c r="AD235" s="7">
        <f t="shared" si="0"/>
        <v>6.0950550178973877E-2</v>
      </c>
      <c r="AE235" s="7">
        <f t="shared" si="0"/>
        <v>0.10940399373830705</v>
      </c>
      <c r="AF235" s="7">
        <f t="shared" si="0"/>
        <v>6.0532301185108335E-2</v>
      </c>
      <c r="AG235" s="7">
        <f t="shared" si="0"/>
        <v>0.1131200544541819</v>
      </c>
      <c r="AH235" s="7">
        <f t="shared" si="0"/>
        <v>5.033842254914081E-2</v>
      </c>
      <c r="AI235" s="7">
        <f t="shared" si="0"/>
        <v>0.11966250967339866</v>
      </c>
      <c r="AJ235" s="7">
        <f t="shared" si="0"/>
        <v>5.0900715273893983E-2</v>
      </c>
      <c r="AK235" s="7">
        <f t="shared" si="0"/>
        <v>0.12737517687487362</v>
      </c>
      <c r="AL235" s="7">
        <f t="shared" si="0"/>
        <v>5.2631578947368425E-2</v>
      </c>
      <c r="AM235" s="7">
        <f t="shared" si="0"/>
        <v>0.13138438174406522</v>
      </c>
      <c r="AN235" s="7">
        <f t="shared" si="0"/>
        <v>4.8717867444293003E-2</v>
      </c>
      <c r="AO235" s="7">
        <f t="shared" si="0"/>
        <v>5.7893305358044843E-2</v>
      </c>
      <c r="AP235" s="7">
        <f t="shared" si="0"/>
        <v>4.8820032426589811E-2</v>
      </c>
      <c r="AQ235" s="7">
        <f t="shared" si="0"/>
        <v>4.7162423353772333E-2</v>
      </c>
      <c r="AR235" s="7">
        <f t="shared" si="0"/>
        <v>4.8556564317045796E-2</v>
      </c>
    </row>
    <row r="236" spans="24:67" x14ac:dyDescent="0.3">
      <c r="X236" s="1" t="s">
        <v>69</v>
      </c>
      <c r="Y236" s="7">
        <f t="shared" si="1"/>
        <v>9.6616889968982822E-2</v>
      </c>
      <c r="Z236" s="7">
        <f t="shared" si="0"/>
        <v>5.5532203073186681E-2</v>
      </c>
      <c r="AA236" s="7">
        <f t="shared" si="0"/>
        <v>5.1900658895083628E-2</v>
      </c>
      <c r="AB236" s="7">
        <f t="shared" si="0"/>
        <v>5.0666890361546847E-2</v>
      </c>
      <c r="AC236" s="7">
        <f t="shared" si="0"/>
        <v>0.10156076483534233</v>
      </c>
      <c r="AD236" s="7">
        <f t="shared" si="0"/>
        <v>9.3367346938775519E-2</v>
      </c>
      <c r="AE236" s="7">
        <f t="shared" si="0"/>
        <v>8.3161640756696006E-2</v>
      </c>
      <c r="AF236" s="7">
        <f t="shared" si="0"/>
        <v>5.0800265525888781E-2</v>
      </c>
      <c r="AG236" s="7">
        <f t="shared" si="0"/>
        <v>4.6407899216887982E-2</v>
      </c>
      <c r="AH236" s="7">
        <f t="shared" si="0"/>
        <v>4.777549623545517E-2</v>
      </c>
      <c r="AI236" s="7">
        <f t="shared" si="0"/>
        <v>4.6680832979175524E-2</v>
      </c>
      <c r="AJ236" s="7">
        <f t="shared" si="0"/>
        <v>4.795339109650433E-2</v>
      </c>
      <c r="AK236" s="7">
        <f t="shared" si="0"/>
        <v>8.0712137065132097E-2</v>
      </c>
      <c r="AL236" s="7">
        <f t="shared" si="0"/>
        <v>4.7696330357947882E-2</v>
      </c>
      <c r="AM236" s="7">
        <f t="shared" si="0"/>
        <v>5.7958011842813552E-2</v>
      </c>
      <c r="AN236" s="7">
        <f t="shared" si="0"/>
        <v>4.787116699757335E-2</v>
      </c>
      <c r="AO236" s="7">
        <f t="shared" si="0"/>
        <v>4.6839668353612578E-2</v>
      </c>
      <c r="AP236" s="7">
        <f t="shared" si="0"/>
        <v>5.0318691096624228E-2</v>
      </c>
      <c r="AQ236" s="7">
        <f t="shared" si="0"/>
        <v>4.9646242959934257E-2</v>
      </c>
      <c r="AR236" s="7">
        <f t="shared" si="0"/>
        <v>5.0493613809268423E-2</v>
      </c>
    </row>
    <row r="237" spans="24:67" x14ac:dyDescent="0.3">
      <c r="X237" s="1" t="s">
        <v>70</v>
      </c>
      <c r="Y237" s="7">
        <f t="shared" si="1"/>
        <v>9.3169354178603586E-2</v>
      </c>
      <c r="Z237" s="7">
        <f t="shared" si="0"/>
        <v>6.9520861070563517E-2</v>
      </c>
      <c r="AA237" s="7">
        <f t="shared" si="0"/>
        <v>7.7215837168557025E-2</v>
      </c>
      <c r="AB237" s="7">
        <f t="shared" si="0"/>
        <v>5.0343803956017327E-2</v>
      </c>
      <c r="AC237" s="7">
        <f t="shared" si="0"/>
        <v>9.2294151567574131E-2</v>
      </c>
      <c r="AD237" s="7">
        <f t="shared" si="0"/>
        <v>8.9177103604785229E-2</v>
      </c>
      <c r="AE237" s="7">
        <f t="shared" si="0"/>
        <v>5.0936693331970255E-2</v>
      </c>
      <c r="AF237" s="7">
        <f t="shared" si="0"/>
        <v>7.0479913684241086E-2</v>
      </c>
      <c r="AG237" s="7">
        <f t="shared" si="0"/>
        <v>5.4971228057416617E-2</v>
      </c>
      <c r="AH237" s="7">
        <f t="shared" si="0"/>
        <v>6.036643656083561E-2</v>
      </c>
      <c r="AI237" s="7">
        <f t="shared" si="0"/>
        <v>4.83837703317705E-2</v>
      </c>
      <c r="AJ237" s="7">
        <f t="shared" si="0"/>
        <v>4.7286151212248211E-2</v>
      </c>
      <c r="AK237" s="7">
        <f t="shared" si="0"/>
        <v>4.736588163536555E-2</v>
      </c>
      <c r="AL237" s="7">
        <f t="shared" si="0"/>
        <v>4.726615212637561E-2</v>
      </c>
      <c r="AM237" s="7">
        <f t="shared" si="0"/>
        <v>4.7467144229603311E-2</v>
      </c>
      <c r="AN237" s="7">
        <f t="shared" si="0"/>
        <v>4.7559838358719304E-2</v>
      </c>
      <c r="AO237" s="7">
        <f t="shared" si="0"/>
        <v>4.7323506594259122E-2</v>
      </c>
      <c r="AP237" s="7">
        <f t="shared" si="0"/>
        <v>4.7425428775550317E-2</v>
      </c>
      <c r="AQ237" s="7">
        <f t="shared" si="0"/>
        <v>4.7516244062044549E-2</v>
      </c>
      <c r="AR237" s="7">
        <f t="shared" si="0"/>
        <v>4.7744154763172744E-2</v>
      </c>
    </row>
    <row r="238" spans="24:67" x14ac:dyDescent="0.3">
      <c r="X238" s="1" t="s">
        <v>71</v>
      </c>
      <c r="Y238" s="7">
        <f t="shared" si="1"/>
        <v>4.800572668500995E-2</v>
      </c>
      <c r="Z238" s="7">
        <f t="shared" si="0"/>
        <v>4.8526143551420133E-2</v>
      </c>
      <c r="AA238" s="7">
        <f t="shared" si="0"/>
        <v>5.1508953541762326E-2</v>
      </c>
      <c r="AB238" s="7">
        <f t="shared" si="0"/>
        <v>5.1847051198963053E-2</v>
      </c>
      <c r="AC238" s="7">
        <f t="shared" si="0"/>
        <v>8.7154793035270087E-2</v>
      </c>
      <c r="AD238" s="7">
        <f t="shared" si="0"/>
        <v>8.1115000990818406E-2</v>
      </c>
      <c r="AE238" s="7">
        <f t="shared" si="0"/>
        <v>5.0657357201218146E-2</v>
      </c>
      <c r="AF238" s="7">
        <f t="shared" si="0"/>
        <v>8.0277142960786446E-2</v>
      </c>
      <c r="AG238" s="7">
        <f t="shared" si="0"/>
        <v>4.721236957195496E-2</v>
      </c>
      <c r="AH238" s="7">
        <f t="shared" si="0"/>
        <v>6.2348817692649453E-2</v>
      </c>
      <c r="AI238" s="7">
        <f t="shared" si="0"/>
        <v>4.7489000151722048E-2</v>
      </c>
      <c r="AJ238" s="7">
        <f t="shared" si="0"/>
        <v>6.1054338071389283E-2</v>
      </c>
      <c r="AK238" s="7">
        <f t="shared" si="0"/>
        <v>4.7667739316110791E-2</v>
      </c>
      <c r="AL238" s="7">
        <f t="shared" si="0"/>
        <v>5.0396699460488741E-2</v>
      </c>
      <c r="AM238" s="7">
        <f t="shared" si="0"/>
        <v>4.6838001732601789E-2</v>
      </c>
      <c r="AN238" s="7">
        <f t="shared" si="0"/>
        <v>5.0744402773042381E-2</v>
      </c>
      <c r="AO238" s="7">
        <f t="shared" si="0"/>
        <v>4.6894161556918154E-2</v>
      </c>
      <c r="AP238" s="7">
        <f t="shared" si="0"/>
        <v>4.7684748956790951E-2</v>
      </c>
      <c r="AQ238" s="7">
        <f t="shared" si="0"/>
        <v>4.743632664623626E-2</v>
      </c>
      <c r="AR238" s="7">
        <f t="shared" si="0"/>
        <v>4.7141107203540519E-2</v>
      </c>
    </row>
    <row r="239" spans="24:67" x14ac:dyDescent="0.3">
      <c r="X239" s="1" t="s">
        <v>72</v>
      </c>
      <c r="Y239" s="7">
        <f t="shared" si="1"/>
        <v>7.7937122718866672E-2</v>
      </c>
      <c r="Z239" s="7">
        <f t="shared" si="0"/>
        <v>7.6816702987350535E-2</v>
      </c>
      <c r="AA239" s="7">
        <f t="shared" si="0"/>
        <v>5.105862019300015E-2</v>
      </c>
      <c r="AB239" s="7">
        <f t="shared" si="0"/>
        <v>6.1056152385271685E-2</v>
      </c>
      <c r="AC239" s="7">
        <f t="shared" si="0"/>
        <v>9.9996580534120569E-2</v>
      </c>
      <c r="AD239" s="7">
        <f t="shared" si="0"/>
        <v>7.5313426722993723E-2</v>
      </c>
      <c r="AE239" s="7">
        <f t="shared" si="0"/>
        <v>6.1471059386640423E-2</v>
      </c>
      <c r="AF239" s="7">
        <f t="shared" si="0"/>
        <v>0.12013664481580649</v>
      </c>
      <c r="AG239" s="7">
        <f t="shared" si="0"/>
        <v>4.6643442780707499E-2</v>
      </c>
      <c r="AH239" s="7">
        <f t="shared" si="0"/>
        <v>9.5488969377675328E-2</v>
      </c>
      <c r="AI239" s="7">
        <f t="shared" si="0"/>
        <v>5.0497155217857602E-2</v>
      </c>
      <c r="AJ239" s="7">
        <f t="shared" si="0"/>
        <v>9.4860885223048336E-2</v>
      </c>
      <c r="AK239" s="7">
        <f t="shared" si="0"/>
        <v>5.0801718717250054E-2</v>
      </c>
      <c r="AL239" s="7">
        <f t="shared" si="0"/>
        <v>8.4516855931449572E-2</v>
      </c>
      <c r="AM239" s="7">
        <f t="shared" si="0"/>
        <v>5.7071201849602252E-2</v>
      </c>
      <c r="AN239" s="7">
        <f t="shared" si="0"/>
        <v>6.5669016849080594E-2</v>
      </c>
      <c r="AO239" s="7">
        <f t="shared" si="0"/>
        <v>4.7513725490196078E-2</v>
      </c>
      <c r="AP239" s="7">
        <f t="shared" si="0"/>
        <v>4.634477076503201E-2</v>
      </c>
      <c r="AQ239" s="7">
        <f t="shared" si="0"/>
        <v>4.8130695318937856E-2</v>
      </c>
      <c r="AR239" s="7">
        <f t="shared" si="0"/>
        <v>4.7040957848352383E-2</v>
      </c>
    </row>
    <row r="240" spans="24:67" x14ac:dyDescent="0.3">
      <c r="X240" s="1" t="s">
        <v>73</v>
      </c>
      <c r="Y240" s="7">
        <f t="shared" si="1"/>
        <v>4.5336302638778234E-2</v>
      </c>
      <c r="Z240" s="7">
        <f t="shared" si="0"/>
        <v>4.5456634646320729E-2</v>
      </c>
      <c r="AA240" s="7">
        <f t="shared" si="0"/>
        <v>4.8426318349197528E-2</v>
      </c>
      <c r="AB240" s="7">
        <f t="shared" si="0"/>
        <v>4.8282984766331014E-2</v>
      </c>
      <c r="AC240" s="7">
        <f t="shared" si="0"/>
        <v>4.6339050131926122E-2</v>
      </c>
      <c r="AD240" s="7">
        <f t="shared" si="0"/>
        <v>4.7595000631233432E-2</v>
      </c>
      <c r="AE240" s="7">
        <f t="shared" si="0"/>
        <v>4.5449916839211159E-2</v>
      </c>
      <c r="AF240" s="7">
        <f t="shared" si="0"/>
        <v>5.0965213837536362E-2</v>
      </c>
      <c r="AG240" s="7">
        <f t="shared" si="0"/>
        <v>4.1975989479489245E-2</v>
      </c>
      <c r="AH240" s="7">
        <f t="shared" si="0"/>
        <v>4.7028015927108362E-2</v>
      </c>
      <c r="AI240" s="7">
        <f t="shared" si="0"/>
        <v>5.1003619611714381E-2</v>
      </c>
      <c r="AJ240" s="7">
        <f t="shared" si="0"/>
        <v>4.7776292076042094E-2</v>
      </c>
      <c r="AK240" s="7">
        <f t="shared" si="0"/>
        <v>5.0250135423637002E-2</v>
      </c>
      <c r="AL240" s="7">
        <f t="shared" si="0"/>
        <v>4.5175000804971513E-2</v>
      </c>
      <c r="AM240" s="7">
        <f t="shared" si="0"/>
        <v>5.3618588961139843E-2</v>
      </c>
      <c r="AN240" s="7">
        <f t="shared" si="0"/>
        <v>5.0777412689272043E-2</v>
      </c>
      <c r="AO240" s="7">
        <f t="shared" si="0"/>
        <v>5.8856859550959699E-2</v>
      </c>
      <c r="AP240" s="7">
        <f t="shared" si="0"/>
        <v>5.4347449103457839E-2</v>
      </c>
      <c r="AQ240" s="7">
        <f t="shared" si="0"/>
        <v>5.5943368400353945E-2</v>
      </c>
      <c r="AR240" s="7">
        <f t="shared" si="0"/>
        <v>5.2686558659854513E-2</v>
      </c>
    </row>
    <row r="241" spans="24:45" x14ac:dyDescent="0.3">
      <c r="AS241" s="8">
        <f>AVERAGE(Y233:AR240)</f>
        <v>5.8944369791980797E-2</v>
      </c>
    </row>
    <row r="242" spans="24:45" x14ac:dyDescent="0.3">
      <c r="AS242" s="8"/>
    </row>
    <row r="243" spans="24:45" x14ac:dyDescent="0.3">
      <c r="AS243" s="8"/>
    </row>
    <row r="244" spans="24:45" x14ac:dyDescent="0.3">
      <c r="X244" t="s">
        <v>75</v>
      </c>
      <c r="AS244" s="8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8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8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8"/>
    </row>
    <row r="248" spans="24:45" x14ac:dyDescent="0.3">
      <c r="X248" s="1" t="s">
        <v>66</v>
      </c>
      <c r="Y248" s="7">
        <f>(Y163+Y135)/(Y163+Y135+AV135+AV163)</f>
        <v>0.10677339901477831</v>
      </c>
      <c r="Z248" s="7">
        <f t="shared" ref="Z248:AO255" si="2">(Z163+Z135)/(Z163+Z135+AW135+AW163)</f>
        <v>0.10155462184873951</v>
      </c>
      <c r="AA248" s="7">
        <f t="shared" si="2"/>
        <v>2.886002886002886E-2</v>
      </c>
      <c r="AB248" s="7">
        <f t="shared" si="2"/>
        <v>2.867965367965368E-2</v>
      </c>
      <c r="AC248" s="7">
        <f t="shared" si="2"/>
        <v>2.8712871287128711E-2</v>
      </c>
      <c r="AD248" s="7">
        <f t="shared" si="2"/>
        <v>3.2258064516129031E-2</v>
      </c>
      <c r="AE248" s="7">
        <f t="shared" si="2"/>
        <v>7.5471269588916659E-2</v>
      </c>
      <c r="AF248" s="7">
        <f t="shared" si="2"/>
        <v>4.0395539659162635E-2</v>
      </c>
      <c r="AG248" s="7">
        <f t="shared" si="2"/>
        <v>8.8186392474294467E-2</v>
      </c>
      <c r="AH248" s="7">
        <f t="shared" si="2"/>
        <v>4.4648124736620311E-2</v>
      </c>
      <c r="AI248" s="7">
        <f t="shared" si="2"/>
        <v>8.6714022625624831E-2</v>
      </c>
      <c r="AJ248" s="7">
        <f t="shared" si="2"/>
        <v>3.026061776061776E-2</v>
      </c>
      <c r="AK248" s="7">
        <f t="shared" si="2"/>
        <v>7.8503830554303738E-2</v>
      </c>
      <c r="AL248" s="7">
        <f t="shared" si="2"/>
        <v>1.0253671562082777E-2</v>
      </c>
      <c r="AM248" s="7">
        <f t="shared" si="2"/>
        <v>5.1501364877161053E-2</v>
      </c>
      <c r="AN248" s="7">
        <f t="shared" si="2"/>
        <v>2.720199190787426E-2</v>
      </c>
      <c r="AO248" s="7">
        <f>(AO163+AO135)/(AO163+AO135+BL135+BL163)</f>
        <v>1.0249709639953544E-2</v>
      </c>
      <c r="AP248" s="7">
        <f t="shared" ref="AP248:AR255" si="3">(AP163+AP135)/(AP163+AP135+BM135+BM163)</f>
        <v>1.0287004192196065E-2</v>
      </c>
      <c r="AQ248" s="7">
        <f t="shared" si="3"/>
        <v>1.6347569955817376E-2</v>
      </c>
      <c r="AR248" s="7">
        <f t="shared" si="3"/>
        <v>1.0267857142857141E-2</v>
      </c>
      <c r="AS248" s="8"/>
    </row>
    <row r="249" spans="24:45" x14ac:dyDescent="0.3">
      <c r="X249" s="1" t="s">
        <v>67</v>
      </c>
      <c r="Y249" s="7">
        <f t="shared" ref="Y249:Y255" si="4">(Y164+Y136)/(Y164+Y136+AV136+AV164)</f>
        <v>7.8563885955649421E-2</v>
      </c>
      <c r="Z249" s="7">
        <f t="shared" si="2"/>
        <v>7.8944889307583588E-2</v>
      </c>
      <c r="AA249" s="7">
        <f t="shared" si="2"/>
        <v>8.3312807881773393E-2</v>
      </c>
      <c r="AB249" s="7">
        <f t="shared" si="2"/>
        <v>8.3910256410256415E-2</v>
      </c>
      <c r="AC249" s="7">
        <f t="shared" si="2"/>
        <v>8.4089272858171346E-2</v>
      </c>
      <c r="AD249" s="7">
        <f t="shared" si="2"/>
        <v>8.390677025527192E-2</v>
      </c>
      <c r="AE249" s="7">
        <f t="shared" si="2"/>
        <v>8.2844444444444443E-2</v>
      </c>
      <c r="AF249" s="7">
        <f t="shared" si="2"/>
        <v>8.399323181049069E-2</v>
      </c>
      <c r="AG249" s="7">
        <f t="shared" si="2"/>
        <v>7.7905982905982912E-2</v>
      </c>
      <c r="AH249" s="7">
        <f t="shared" si="2"/>
        <v>7.8965636931620953E-2</v>
      </c>
      <c r="AI249" s="7">
        <f t="shared" si="2"/>
        <v>7.7254191209787035E-2</v>
      </c>
      <c r="AJ249" s="7">
        <f t="shared" si="2"/>
        <v>7.8907065784893843E-2</v>
      </c>
      <c r="AK249" s="7">
        <f t="shared" si="2"/>
        <v>7.8455284552845533E-2</v>
      </c>
      <c r="AL249" s="7">
        <f t="shared" si="2"/>
        <v>7.8828282828282831E-2</v>
      </c>
      <c r="AM249" s="7">
        <f t="shared" si="2"/>
        <v>7.8472222222222221E-2</v>
      </c>
      <c r="AN249" s="7">
        <f t="shared" si="2"/>
        <v>7.8568064060292028E-2</v>
      </c>
      <c r="AO249" s="7">
        <f t="shared" si="2"/>
        <v>7.8551686014372582E-2</v>
      </c>
      <c r="AP249" s="7">
        <f t="shared" si="3"/>
        <v>7.8978102189781033E-2</v>
      </c>
      <c r="AQ249" s="7">
        <f t="shared" si="3"/>
        <v>7.7538334024036468E-2</v>
      </c>
      <c r="AR249" s="7">
        <f t="shared" si="3"/>
        <v>7.874092009685231E-2</v>
      </c>
      <c r="AS249" s="8"/>
    </row>
    <row r="250" spans="24:45" x14ac:dyDescent="0.3">
      <c r="X250" s="1" t="s">
        <v>68</v>
      </c>
      <c r="Y250" s="7">
        <f t="shared" si="4"/>
        <v>0.13631482717590038</v>
      </c>
      <c r="Z250" s="7">
        <f t="shared" si="2"/>
        <v>7.8963360142984801E-2</v>
      </c>
      <c r="AA250" s="7">
        <f t="shared" si="2"/>
        <v>0.12781369449294511</v>
      </c>
      <c r="AB250" s="7">
        <f t="shared" si="2"/>
        <v>8.3877499367248795E-2</v>
      </c>
      <c r="AC250" s="7">
        <f t="shared" si="2"/>
        <v>0.20706244927246417</v>
      </c>
      <c r="AD250" s="7">
        <f t="shared" si="2"/>
        <v>9.8060027124240806E-2</v>
      </c>
      <c r="AE250" s="7">
        <f t="shared" si="2"/>
        <v>0.15653083114752619</v>
      </c>
      <c r="AF250" s="7">
        <f t="shared" si="2"/>
        <v>9.8416974803590948E-2</v>
      </c>
      <c r="AG250" s="7">
        <f t="shared" si="2"/>
        <v>0.16257943045422452</v>
      </c>
      <c r="AH250" s="7">
        <f t="shared" si="2"/>
        <v>8.5738878318383616E-2</v>
      </c>
      <c r="AI250" s="7">
        <f t="shared" si="2"/>
        <v>0.16993162226975178</v>
      </c>
      <c r="AJ250" s="7">
        <f t="shared" si="2"/>
        <v>8.6637587439206784E-2</v>
      </c>
      <c r="AK250" s="7">
        <f t="shared" si="2"/>
        <v>0.17892695641251097</v>
      </c>
      <c r="AL250" s="7">
        <f t="shared" si="2"/>
        <v>8.9009447382103937E-2</v>
      </c>
      <c r="AM250" s="7">
        <f t="shared" si="2"/>
        <v>0.18213978149642865</v>
      </c>
      <c r="AN250" s="7">
        <f t="shared" si="2"/>
        <v>8.1994738904124925E-2</v>
      </c>
      <c r="AO250" s="7">
        <f t="shared" si="2"/>
        <v>9.508227157743275E-2</v>
      </c>
      <c r="AP250" s="7">
        <f t="shared" si="3"/>
        <v>8.2239414885746293E-2</v>
      </c>
      <c r="AQ250" s="7">
        <f t="shared" si="3"/>
        <v>7.9282592474149871E-2</v>
      </c>
      <c r="AR250" s="7">
        <f t="shared" si="3"/>
        <v>8.130116267400686E-2</v>
      </c>
      <c r="AS250" s="8"/>
    </row>
    <row r="251" spans="24:45" x14ac:dyDescent="0.3">
      <c r="X251" s="1" t="s">
        <v>69</v>
      </c>
      <c r="Y251" s="7">
        <f t="shared" si="4"/>
        <v>0.14151440890901759</v>
      </c>
      <c r="Z251" s="7">
        <f t="shared" si="2"/>
        <v>8.9807804309842754E-2</v>
      </c>
      <c r="AA251" s="7">
        <f t="shared" si="2"/>
        <v>8.2850593873723691E-2</v>
      </c>
      <c r="AB251" s="7">
        <f t="shared" si="2"/>
        <v>8.3893395133256082E-2</v>
      </c>
      <c r="AC251" s="7">
        <f t="shared" si="2"/>
        <v>0.14985786923970054</v>
      </c>
      <c r="AD251" s="7">
        <f t="shared" si="2"/>
        <v>0.13787586040333294</v>
      </c>
      <c r="AE251" s="7">
        <f t="shared" si="2"/>
        <v>0.12803085080742346</v>
      </c>
      <c r="AF251" s="7">
        <f t="shared" si="2"/>
        <v>8.4052456343004678E-2</v>
      </c>
      <c r="AG251" s="7">
        <f t="shared" si="2"/>
        <v>7.8631278151789608E-2</v>
      </c>
      <c r="AH251" s="7">
        <f t="shared" si="2"/>
        <v>7.9112192155670419E-2</v>
      </c>
      <c r="AI251" s="7">
        <f t="shared" si="2"/>
        <v>7.834839573471046E-2</v>
      </c>
      <c r="AJ251" s="7">
        <f t="shared" si="2"/>
        <v>7.96209121800667E-2</v>
      </c>
      <c r="AK251" s="7">
        <f t="shared" si="2"/>
        <v>0.12574509714701734</v>
      </c>
      <c r="AL251" s="7">
        <f t="shared" si="2"/>
        <v>7.9318820224719103E-2</v>
      </c>
      <c r="AM251" s="7">
        <f t="shared" si="2"/>
        <v>9.4678492239467837E-2</v>
      </c>
      <c r="AN251" s="7">
        <f t="shared" si="2"/>
        <v>7.9629629629629647E-2</v>
      </c>
      <c r="AO251" s="7">
        <f t="shared" si="2"/>
        <v>7.9177631578947374E-2</v>
      </c>
      <c r="AP251" s="7">
        <f t="shared" si="3"/>
        <v>8.3421373425436818E-2</v>
      </c>
      <c r="AQ251" s="7">
        <f t="shared" si="3"/>
        <v>8.2018691588785053E-2</v>
      </c>
      <c r="AR251" s="7">
        <f t="shared" si="3"/>
        <v>8.347580783039836E-2</v>
      </c>
      <c r="AS251" s="8"/>
    </row>
    <row r="252" spans="24:45" x14ac:dyDescent="0.3">
      <c r="X252" s="1" t="s">
        <v>70</v>
      </c>
      <c r="Y252" s="7">
        <f t="shared" si="4"/>
        <v>0.13781726717407639</v>
      </c>
      <c r="Z252" s="7">
        <f t="shared" si="2"/>
        <v>0.10816107382550336</v>
      </c>
      <c r="AA252" s="7">
        <f t="shared" si="2"/>
        <v>0.12103351955307264</v>
      </c>
      <c r="AB252" s="7">
        <f t="shared" si="2"/>
        <v>8.3681936041486604E-2</v>
      </c>
      <c r="AC252" s="7">
        <f t="shared" si="2"/>
        <v>0.13772805507745267</v>
      </c>
      <c r="AD252" s="7">
        <f t="shared" si="2"/>
        <v>0.13366356775230387</v>
      </c>
      <c r="AE252" s="7">
        <f t="shared" si="2"/>
        <v>8.4060782411897836E-2</v>
      </c>
      <c r="AF252" s="7">
        <f t="shared" si="2"/>
        <v>0.1110021023125438</v>
      </c>
      <c r="AG252" s="7">
        <f t="shared" si="2"/>
        <v>9.0359333917616136E-2</v>
      </c>
      <c r="AH252" s="7">
        <f t="shared" si="2"/>
        <v>9.7834311806914556E-2</v>
      </c>
      <c r="AI252" s="7">
        <f t="shared" si="2"/>
        <v>8.1123523779125434E-2</v>
      </c>
      <c r="AJ252" s="7">
        <f t="shared" si="2"/>
        <v>7.8799157303370795E-2</v>
      </c>
      <c r="AK252" s="7">
        <f t="shared" si="2"/>
        <v>7.9215815485996696E-2</v>
      </c>
      <c r="AL252" s="7">
        <f t="shared" si="2"/>
        <v>7.896451846488052E-2</v>
      </c>
      <c r="AM252" s="7">
        <f t="shared" si="2"/>
        <v>7.9359712230215831E-2</v>
      </c>
      <c r="AN252" s="7">
        <f t="shared" si="2"/>
        <v>7.9285442797415437E-2</v>
      </c>
      <c r="AO252" s="7">
        <f t="shared" si="2"/>
        <v>7.9497784342688338E-2</v>
      </c>
      <c r="AP252" s="7">
        <f t="shared" si="3"/>
        <v>7.9298076923076916E-2</v>
      </c>
      <c r="AQ252" s="7">
        <f t="shared" si="3"/>
        <v>7.9524200164068901E-2</v>
      </c>
      <c r="AR252" s="7">
        <f t="shared" si="3"/>
        <v>7.8815566835871403E-2</v>
      </c>
      <c r="AS252" s="8"/>
    </row>
    <row r="253" spans="24:45" x14ac:dyDescent="0.3">
      <c r="X253" s="1" t="s">
        <v>71</v>
      </c>
      <c r="Y253" s="7">
        <f t="shared" si="4"/>
        <v>8.6813252651129352E-2</v>
      </c>
      <c r="Z253" s="7">
        <f t="shared" si="2"/>
        <v>8.6592382200859366E-2</v>
      </c>
      <c r="AA253" s="7">
        <f t="shared" si="2"/>
        <v>8.9944134078212293E-2</v>
      </c>
      <c r="AB253" s="7">
        <f t="shared" si="2"/>
        <v>8.9562443026435748E-2</v>
      </c>
      <c r="AC253" s="7">
        <f t="shared" si="2"/>
        <v>0.14283740848183452</v>
      </c>
      <c r="AD253" s="7">
        <f t="shared" si="2"/>
        <v>0.13461538461538464</v>
      </c>
      <c r="AE253" s="7">
        <f t="shared" si="2"/>
        <v>9.2195367573011069E-2</v>
      </c>
      <c r="AF253" s="7">
        <f t="shared" si="2"/>
        <v>0.13344038538739464</v>
      </c>
      <c r="AG253" s="7">
        <f t="shared" si="2"/>
        <v>8.6652871184687008E-2</v>
      </c>
      <c r="AH253" s="7">
        <f t="shared" si="2"/>
        <v>0.11143367574810184</v>
      </c>
      <c r="AI253" s="7">
        <f t="shared" si="2"/>
        <v>8.5927224901359067E-2</v>
      </c>
      <c r="AJ253" s="7">
        <f t="shared" si="2"/>
        <v>0.10868895054388514</v>
      </c>
      <c r="AK253" s="7">
        <f t="shared" si="2"/>
        <v>8.623995617238861E-2</v>
      </c>
      <c r="AL253" s="7">
        <f t="shared" si="2"/>
        <v>9.3082746019316084E-2</v>
      </c>
      <c r="AM253" s="7">
        <f t="shared" si="2"/>
        <v>8.6002912267928638E-2</v>
      </c>
      <c r="AN253" s="7">
        <f t="shared" si="2"/>
        <v>9.323165740381717E-2</v>
      </c>
      <c r="AO253" s="7">
        <f t="shared" si="2"/>
        <v>8.6454445664105387E-2</v>
      </c>
      <c r="AP253" s="7">
        <f t="shared" si="3"/>
        <v>8.4703294016989547E-2</v>
      </c>
      <c r="AQ253" s="7">
        <f t="shared" si="3"/>
        <v>8.6595554621407181E-2</v>
      </c>
      <c r="AR253" s="7">
        <f t="shared" si="3"/>
        <v>8.6237942122186495E-2</v>
      </c>
      <c r="AS253" s="8"/>
    </row>
    <row r="254" spans="24:45" x14ac:dyDescent="0.3">
      <c r="X254" s="1" t="s">
        <v>72</v>
      </c>
      <c r="Y254" s="7">
        <f t="shared" si="4"/>
        <v>0.13070294199815183</v>
      </c>
      <c r="Z254" s="7">
        <f t="shared" si="2"/>
        <v>0.13023050135426456</v>
      </c>
      <c r="AA254" s="7">
        <f t="shared" si="2"/>
        <v>8.9637682978883665E-2</v>
      </c>
      <c r="AB254" s="7">
        <f t="shared" si="2"/>
        <v>0.1089569514312425</v>
      </c>
      <c r="AC254" s="7">
        <f t="shared" si="2"/>
        <v>0.15987741375569536</v>
      </c>
      <c r="AD254" s="7">
        <f t="shared" si="2"/>
        <v>0.13004361427625419</v>
      </c>
      <c r="AE254" s="7">
        <f t="shared" si="2"/>
        <v>0.10992274544819286</v>
      </c>
      <c r="AF254" s="7">
        <f t="shared" si="2"/>
        <v>0.18874740359432851</v>
      </c>
      <c r="AG254" s="7">
        <f t="shared" si="2"/>
        <v>8.7099960489924938E-2</v>
      </c>
      <c r="AH254" s="7">
        <f t="shared" si="2"/>
        <v>0.15705056805524614</v>
      </c>
      <c r="AI254" s="7">
        <f t="shared" si="2"/>
        <v>9.3587795298900711E-2</v>
      </c>
      <c r="AJ254" s="7">
        <f t="shared" si="2"/>
        <v>0.15623160620890303</v>
      </c>
      <c r="AK254" s="7">
        <f t="shared" si="2"/>
        <v>9.4185820233951001E-2</v>
      </c>
      <c r="AL254" s="7">
        <f t="shared" si="2"/>
        <v>0.1429237041351194</v>
      </c>
      <c r="AM254" s="7">
        <f t="shared" si="2"/>
        <v>0.10272495589100175</v>
      </c>
      <c r="AN254" s="7">
        <f t="shared" si="2"/>
        <v>0.1155080410026956</v>
      </c>
      <c r="AO254" s="7">
        <f t="shared" si="2"/>
        <v>8.6161664153359907E-2</v>
      </c>
      <c r="AP254" s="7">
        <f t="shared" si="3"/>
        <v>8.575062236172748E-2</v>
      </c>
      <c r="AQ254" s="7">
        <f t="shared" si="3"/>
        <v>8.6175410887912751E-2</v>
      </c>
      <c r="AR254" s="7">
        <f t="shared" si="3"/>
        <v>8.6014933701804283E-2</v>
      </c>
      <c r="AS254" s="8"/>
    </row>
    <row r="255" spans="24:45" x14ac:dyDescent="0.3">
      <c r="X255" s="1" t="s">
        <v>73</v>
      </c>
      <c r="Y255" s="7">
        <f t="shared" si="4"/>
        <v>8.9210019267822738E-2</v>
      </c>
      <c r="Z255" s="7">
        <f t="shared" si="2"/>
        <v>8.7296233839235529E-2</v>
      </c>
      <c r="AA255" s="7">
        <f t="shared" si="2"/>
        <v>9.2685475444096124E-2</v>
      </c>
      <c r="AB255" s="7">
        <f t="shared" si="2"/>
        <v>9.2602262837249788E-2</v>
      </c>
      <c r="AC255" s="7">
        <f t="shared" si="2"/>
        <v>0.05</v>
      </c>
      <c r="AD255" s="7">
        <f t="shared" si="2"/>
        <v>9.2839506172839495E-2</v>
      </c>
      <c r="AE255" s="7">
        <f t="shared" si="2"/>
        <v>7.1408647140864714E-2</v>
      </c>
      <c r="AF255" s="7">
        <f t="shared" si="2"/>
        <v>9.9522729050934983E-2</v>
      </c>
      <c r="AG255" s="7">
        <f t="shared" si="2"/>
        <v>8.7484957882069794E-2</v>
      </c>
      <c r="AH255" s="7">
        <f t="shared" si="2"/>
        <v>9.0838509316770191E-2</v>
      </c>
      <c r="AI255" s="7">
        <f t="shared" si="2"/>
        <v>9.8917246713070367E-2</v>
      </c>
      <c r="AJ255" s="7">
        <f t="shared" si="2"/>
        <v>9.0222408728493492E-2</v>
      </c>
      <c r="AK255" s="7">
        <f t="shared" si="2"/>
        <v>9.9275362318840571E-2</v>
      </c>
      <c r="AL255" s="7">
        <f t="shared" si="2"/>
        <v>8.7315010570824539E-2</v>
      </c>
      <c r="AM255" s="7">
        <f t="shared" si="2"/>
        <v>0.1021072796934866</v>
      </c>
      <c r="AN255" s="7">
        <f t="shared" si="2"/>
        <v>9.5621090259159963E-2</v>
      </c>
      <c r="AO255" s="7">
        <f t="shared" si="2"/>
        <v>0.10647103085026335</v>
      </c>
      <c r="AP255" s="7">
        <f t="shared" si="3"/>
        <v>0.10302083333333333</v>
      </c>
      <c r="AQ255" s="7">
        <f t="shared" si="3"/>
        <v>0.10405797101449277</v>
      </c>
      <c r="AR255" s="7">
        <f t="shared" si="3"/>
        <v>9.8181818181818176E-2</v>
      </c>
      <c r="AS255" s="8"/>
    </row>
    <row r="256" spans="24:45" x14ac:dyDescent="0.3">
      <c r="AS256" s="8">
        <f>AVERAGE(Y248:AR255)</f>
        <v>9.2636965706891936E-2</v>
      </c>
    </row>
    <row r="258" spans="24:45" x14ac:dyDescent="0.3">
      <c r="X258" s="9" t="s">
        <v>76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10">
        <f>Y135/(Y135+Y163+Y191+Y107)</f>
        <v>1.1978423525317557E-2</v>
      </c>
      <c r="Z262" s="10">
        <f t="shared" ref="Z262:AP269" si="5">Z135/(Z135+Z163+Z191+Z107)</f>
        <v>1.2774281654271318E-2</v>
      </c>
      <c r="AA262" s="10">
        <f t="shared" si="5"/>
        <v>8.7713093301266185E-3</v>
      </c>
      <c r="AB262" s="10">
        <f t="shared" si="5"/>
        <v>9.6230453189195941E-3</v>
      </c>
      <c r="AC262" s="10">
        <f t="shared" si="5"/>
        <v>1.2304877137949061E-2</v>
      </c>
      <c r="AD262" s="10">
        <f t="shared" si="5"/>
        <v>1.3326668105749897E-2</v>
      </c>
      <c r="AE262" s="10">
        <f t="shared" si="5"/>
        <v>1.1239435854235169E-2</v>
      </c>
      <c r="AF262" s="10">
        <f t="shared" si="5"/>
        <v>1.6712628128414588E-2</v>
      </c>
      <c r="AG262" s="10">
        <f t="shared" si="5"/>
        <v>1.0057644021643032E-2</v>
      </c>
      <c r="AH262" s="10">
        <f t="shared" si="5"/>
        <v>1.9161578717836896E-2</v>
      </c>
      <c r="AI262" s="10">
        <f t="shared" si="5"/>
        <v>9.0875250581417197E-3</v>
      </c>
      <c r="AJ262" s="10">
        <f t="shared" si="5"/>
        <v>1.8370973861299145E-2</v>
      </c>
      <c r="AK262" s="10">
        <f t="shared" si="5"/>
        <v>1.0680240419029005E-2</v>
      </c>
      <c r="AL262" s="10">
        <f t="shared" si="5"/>
        <v>2.328042328042328E-2</v>
      </c>
      <c r="AM262" s="10">
        <f t="shared" si="5"/>
        <v>7.7383179597303791E-3</v>
      </c>
      <c r="AN262" s="10">
        <f t="shared" si="5"/>
        <v>1.4998981047483187E-2</v>
      </c>
      <c r="AO262" s="10">
        <f t="shared" si="5"/>
        <v>2.5051205293839609E-2</v>
      </c>
      <c r="AP262" s="10">
        <f t="shared" si="5"/>
        <v>2.9704114655570962E-2</v>
      </c>
      <c r="AQ262" s="10">
        <f>AQ135/(AQ135+AQ163+AQ191+AQ107)</f>
        <v>2.464332036316472E-2</v>
      </c>
      <c r="AR262" s="10">
        <f t="shared" ref="AR262" si="6">AR135/(AR135+AR163+AR191+AR107)</f>
        <v>3.2407932011331443E-2</v>
      </c>
    </row>
    <row r="263" spans="24:45" x14ac:dyDescent="0.3">
      <c r="X263" s="1" t="s">
        <v>67</v>
      </c>
      <c r="Y263" s="10">
        <f t="shared" ref="Y263:AN269" si="7">Y136/(Y136+Y164+Y192+Y108)</f>
        <v>1.5215404428565494E-2</v>
      </c>
      <c r="Z263" s="10">
        <f t="shared" si="7"/>
        <v>2.0393094476284238E-2</v>
      </c>
      <c r="AA263" s="10">
        <f t="shared" si="7"/>
        <v>7.7696351149138627E-3</v>
      </c>
      <c r="AB263" s="10">
        <f t="shared" si="7"/>
        <v>1.4007431245433204E-2</v>
      </c>
      <c r="AC263" s="10">
        <f t="shared" si="7"/>
        <v>1.3371370286552131E-2</v>
      </c>
      <c r="AD263" s="10">
        <f t="shared" si="7"/>
        <v>1.9437261969965227E-2</v>
      </c>
      <c r="AE263" s="10">
        <f t="shared" si="7"/>
        <v>1.122114562553434E-2</v>
      </c>
      <c r="AF263" s="10">
        <f t="shared" si="7"/>
        <v>2.5190418697551013E-2</v>
      </c>
      <c r="AG263" s="10">
        <f t="shared" si="7"/>
        <v>1.2223744335980535E-2</v>
      </c>
      <c r="AH263" s="10">
        <f t="shared" si="7"/>
        <v>2.5198853572923709E-2</v>
      </c>
      <c r="AI263" s="10">
        <f t="shared" si="7"/>
        <v>1.26926022818832E-2</v>
      </c>
      <c r="AJ263" s="10">
        <f t="shared" si="7"/>
        <v>2.7602913286690997E-2</v>
      </c>
      <c r="AK263" s="10">
        <f t="shared" si="7"/>
        <v>1.5714599448524928E-2</v>
      </c>
      <c r="AL263" s="10">
        <f t="shared" si="7"/>
        <v>2.0552667107115161E-2</v>
      </c>
      <c r="AM263" s="10">
        <f t="shared" si="7"/>
        <v>1.5565140175060256E-2</v>
      </c>
      <c r="AN263" s="10">
        <f t="shared" si="7"/>
        <v>1.7132023920710372E-2</v>
      </c>
      <c r="AO263" s="10">
        <f t="shared" si="5"/>
        <v>1.3456209318811625E-2</v>
      </c>
      <c r="AP263" s="10">
        <f t="shared" si="5"/>
        <v>2.1280543238279003E-2</v>
      </c>
      <c r="AQ263" s="10">
        <f t="shared" ref="AQ263:AR269" si="8">AQ136/(AQ136+AQ164+AQ192+AQ108)</f>
        <v>1.5623631426819655E-2</v>
      </c>
      <c r="AR263" s="10">
        <f t="shared" si="8"/>
        <v>2.1317360814003237E-2</v>
      </c>
    </row>
    <row r="264" spans="24:45" x14ac:dyDescent="0.3">
      <c r="X264" s="1" t="s">
        <v>68</v>
      </c>
      <c r="Y264" s="10">
        <f t="shared" si="7"/>
        <v>2.2386831928292363E-2</v>
      </c>
      <c r="Z264" s="10">
        <f t="shared" si="5"/>
        <v>2.3427108511277332E-2</v>
      </c>
      <c r="AA264" s="10">
        <f t="shared" si="5"/>
        <v>1.6641318026357439E-2</v>
      </c>
      <c r="AB264" s="10">
        <f t="shared" si="5"/>
        <v>1.7838085073944198E-2</v>
      </c>
      <c r="AC264" s="10">
        <f t="shared" si="5"/>
        <v>2.7369927379885445E-2</v>
      </c>
      <c r="AD264" s="10">
        <f t="shared" si="5"/>
        <v>3.1553073169544532E-2</v>
      </c>
      <c r="AE264" s="10">
        <f t="shared" si="5"/>
        <v>2.2728345981568959E-2</v>
      </c>
      <c r="AF264" s="10">
        <f t="shared" si="5"/>
        <v>3.060569253502712E-2</v>
      </c>
      <c r="AG264" s="10">
        <f t="shared" si="5"/>
        <v>2.7332862115412832E-2</v>
      </c>
      <c r="AH264" s="10">
        <f t="shared" si="5"/>
        <v>3.418202079536118E-2</v>
      </c>
      <c r="AI264" s="10">
        <f t="shared" si="5"/>
        <v>2.5945556864284777E-2</v>
      </c>
      <c r="AJ264" s="10">
        <f t="shared" si="5"/>
        <v>3.6300104921830861E-2</v>
      </c>
      <c r="AK264" s="10">
        <f t="shared" si="5"/>
        <v>3.0025696082227462E-2</v>
      </c>
      <c r="AL264" s="10">
        <f t="shared" si="5"/>
        <v>3.1560291745245508E-2</v>
      </c>
      <c r="AM264" s="10">
        <f t="shared" si="5"/>
        <v>2.9169911525913486E-2</v>
      </c>
      <c r="AN264" s="10">
        <f t="shared" si="5"/>
        <v>2.7356957800904583E-2</v>
      </c>
      <c r="AO264" s="10">
        <f t="shared" si="5"/>
        <v>2.4822022192200852E-2</v>
      </c>
      <c r="AP264" s="10">
        <f t="shared" si="5"/>
        <v>3.5836177474402729E-2</v>
      </c>
      <c r="AQ264" s="10">
        <f t="shared" si="8"/>
        <v>2.6859055916790282E-2</v>
      </c>
      <c r="AR264" s="10">
        <f t="shared" si="8"/>
        <v>2.8501559445269033E-2</v>
      </c>
    </row>
    <row r="265" spans="24:45" x14ac:dyDescent="0.3">
      <c r="X265" s="1" t="s">
        <v>69</v>
      </c>
      <c r="Y265" s="10">
        <f t="shared" si="7"/>
        <v>2.5003500910236662E-2</v>
      </c>
      <c r="Z265" s="10">
        <f t="shared" si="5"/>
        <v>2.1072432925438932E-2</v>
      </c>
      <c r="AA265" s="10">
        <f t="shared" si="5"/>
        <v>1.4476242855178645E-2</v>
      </c>
      <c r="AB265" s="10">
        <f t="shared" si="5"/>
        <v>1.9542262769888106E-2</v>
      </c>
      <c r="AC265" s="10">
        <f t="shared" si="5"/>
        <v>2.4098328924446737E-2</v>
      </c>
      <c r="AD265" s="10">
        <f t="shared" si="5"/>
        <v>2.2548450812565599E-2</v>
      </c>
      <c r="AE265" s="10">
        <f t="shared" si="5"/>
        <v>2.6723348219397688E-2</v>
      </c>
      <c r="AF265" s="10">
        <f t="shared" si="5"/>
        <v>2.2242997935413501E-2</v>
      </c>
      <c r="AG265" s="10">
        <f t="shared" si="5"/>
        <v>2.4370108641812237E-2</v>
      </c>
      <c r="AH265" s="10">
        <f t="shared" si="5"/>
        <v>2.9070894798860429E-2</v>
      </c>
      <c r="AI265" s="10">
        <f t="shared" si="5"/>
        <v>2.5953654982145042E-2</v>
      </c>
      <c r="AJ265" s="10">
        <f t="shared" si="5"/>
        <v>3.1289052736815794E-2</v>
      </c>
      <c r="AK265" s="10">
        <f t="shared" si="5"/>
        <v>2.9424000605120831E-2</v>
      </c>
      <c r="AL265" s="10">
        <f t="shared" si="5"/>
        <v>2.5985428443800931E-2</v>
      </c>
      <c r="AM265" s="10">
        <f t="shared" si="5"/>
        <v>2.8647272333279159E-2</v>
      </c>
      <c r="AN265" s="10">
        <f t="shared" si="5"/>
        <v>2.8130510037367155E-2</v>
      </c>
      <c r="AO265" s="10">
        <f t="shared" si="5"/>
        <v>2.6396748226667727E-2</v>
      </c>
      <c r="AP265" s="10">
        <f t="shared" si="5"/>
        <v>2.6045981772990886E-2</v>
      </c>
      <c r="AQ265" s="10">
        <f t="shared" si="8"/>
        <v>2.7376969190018124E-2</v>
      </c>
      <c r="AR265" s="10">
        <f t="shared" si="8"/>
        <v>2.4881170018281534E-2</v>
      </c>
    </row>
    <row r="266" spans="24:45" x14ac:dyDescent="0.3">
      <c r="X266" s="1" t="s">
        <v>70</v>
      </c>
      <c r="Y266" s="10">
        <f t="shared" si="7"/>
        <v>2.001542125596668E-2</v>
      </c>
      <c r="Z266" s="10">
        <f t="shared" si="5"/>
        <v>1.8100427417580688E-2</v>
      </c>
      <c r="AA266" s="10">
        <f t="shared" si="5"/>
        <v>1.5793094584684704E-2</v>
      </c>
      <c r="AB266" s="10">
        <f t="shared" si="5"/>
        <v>1.5533980582524273E-2</v>
      </c>
      <c r="AC266" s="10">
        <f t="shared" si="5"/>
        <v>1.9335849453279617E-2</v>
      </c>
      <c r="AD266" s="10">
        <f t="shared" si="5"/>
        <v>1.7324277159470245E-2</v>
      </c>
      <c r="AE266" s="10">
        <f t="shared" si="5"/>
        <v>2.2118824382145949E-2</v>
      </c>
      <c r="AF266" s="10">
        <f t="shared" si="5"/>
        <v>2.2559584045115346E-2</v>
      </c>
      <c r="AG266" s="10">
        <f t="shared" si="5"/>
        <v>2.3940187813246253E-2</v>
      </c>
      <c r="AH266" s="10">
        <f t="shared" si="5"/>
        <v>2.1209111834761388E-2</v>
      </c>
      <c r="AI266" s="10">
        <f t="shared" si="5"/>
        <v>2.3475892347044003E-2</v>
      </c>
      <c r="AJ266" s="10">
        <f t="shared" si="5"/>
        <v>2.0059088423784618E-2</v>
      </c>
      <c r="AK266" s="10">
        <f t="shared" si="5"/>
        <v>2.3709778982810934E-2</v>
      </c>
      <c r="AL266" s="10">
        <f t="shared" si="5"/>
        <v>1.9163333548759265E-2</v>
      </c>
      <c r="AM266" s="10">
        <f t="shared" si="5"/>
        <v>2.3489884663028076E-2</v>
      </c>
      <c r="AN266" s="10">
        <f t="shared" si="5"/>
        <v>2.1314536144713011E-2</v>
      </c>
      <c r="AO266" s="10">
        <f t="shared" si="5"/>
        <v>2.4975339806437177E-2</v>
      </c>
      <c r="AP266" s="10">
        <f t="shared" si="5"/>
        <v>1.7295356007891598E-2</v>
      </c>
      <c r="AQ266" s="10">
        <f t="shared" si="8"/>
        <v>2.2317858332010814E-2</v>
      </c>
      <c r="AR266" s="10">
        <f t="shared" si="8"/>
        <v>1.889454215388485E-2</v>
      </c>
    </row>
    <row r="267" spans="24:45" x14ac:dyDescent="0.3">
      <c r="X267" s="1" t="s">
        <v>71</v>
      </c>
      <c r="Y267" s="10">
        <f t="shared" si="7"/>
        <v>1.1918898711351541E-2</v>
      </c>
      <c r="Z267" s="10">
        <f t="shared" si="5"/>
        <v>1.0931241655540722E-2</v>
      </c>
      <c r="AA267" s="10">
        <f t="shared" si="5"/>
        <v>8.8239725093799543E-3</v>
      </c>
      <c r="AB267" s="10">
        <f t="shared" si="5"/>
        <v>9.9789001622528784E-3</v>
      </c>
      <c r="AC267" s="10">
        <f t="shared" si="5"/>
        <v>1.3913408995376209E-2</v>
      </c>
      <c r="AD267" s="10">
        <f t="shared" si="5"/>
        <v>9.8153410144744754E-3</v>
      </c>
      <c r="AE267" s="10">
        <f t="shared" si="5"/>
        <v>1.5142542068289496E-2</v>
      </c>
      <c r="AF267" s="10">
        <f t="shared" si="5"/>
        <v>1.2135922330097087E-2</v>
      </c>
      <c r="AG267" s="10">
        <f t="shared" si="5"/>
        <v>1.4884227730863526E-2</v>
      </c>
      <c r="AH267" s="10">
        <f t="shared" si="5"/>
        <v>1.3730935825444126E-2</v>
      </c>
      <c r="AI267" s="10">
        <f t="shared" si="5"/>
        <v>1.6672397803411589E-2</v>
      </c>
      <c r="AJ267" s="10">
        <f t="shared" si="5"/>
        <v>1.3530619339013176E-2</v>
      </c>
      <c r="AK267" s="10">
        <f t="shared" si="5"/>
        <v>1.5485962252313483E-2</v>
      </c>
      <c r="AL267" s="10">
        <f t="shared" si="5"/>
        <v>1.1345080169826285E-2</v>
      </c>
      <c r="AM267" s="10">
        <f t="shared" si="5"/>
        <v>1.5970515970515971E-2</v>
      </c>
      <c r="AN267" s="10">
        <f t="shared" si="5"/>
        <v>1.4066588832078585E-2</v>
      </c>
      <c r="AO267" s="10">
        <f t="shared" si="5"/>
        <v>1.7347299314998232E-2</v>
      </c>
      <c r="AP267" s="10">
        <f t="shared" si="5"/>
        <v>1.0341985625792043E-2</v>
      </c>
      <c r="AQ267" s="10">
        <f t="shared" si="8"/>
        <v>1.6113755888437477E-2</v>
      </c>
      <c r="AR267" s="10">
        <f t="shared" si="8"/>
        <v>1.3208754954821872E-2</v>
      </c>
    </row>
    <row r="268" spans="24:45" x14ac:dyDescent="0.3">
      <c r="X268" s="1" t="s">
        <v>72</v>
      </c>
      <c r="Y268" s="10">
        <f t="shared" si="7"/>
        <v>9.8682063363023011E-3</v>
      </c>
      <c r="Z268" s="10">
        <f t="shared" si="5"/>
        <v>1.1304167388486048E-2</v>
      </c>
      <c r="AA268" s="10">
        <f t="shared" si="5"/>
        <v>7.3451685881667202E-3</v>
      </c>
      <c r="AB268" s="10">
        <f t="shared" si="5"/>
        <v>7.2967232191193214E-3</v>
      </c>
      <c r="AC268" s="10">
        <f t="shared" si="5"/>
        <v>1.1374541018030804E-2</v>
      </c>
      <c r="AD268" s="10">
        <f t="shared" si="5"/>
        <v>8.763877278373711E-3</v>
      </c>
      <c r="AE268" s="10">
        <f t="shared" si="5"/>
        <v>1.1431074898719164E-2</v>
      </c>
      <c r="AF268" s="10">
        <f t="shared" si="5"/>
        <v>1.2602479720562337E-2</v>
      </c>
      <c r="AG268" s="10">
        <f t="shared" si="5"/>
        <v>1.1773657442633456E-2</v>
      </c>
      <c r="AH268" s="10">
        <f t="shared" si="5"/>
        <v>1.2050224533379079E-2</v>
      </c>
      <c r="AI268" s="10">
        <f t="shared" si="5"/>
        <v>1.1963825625644504E-2</v>
      </c>
      <c r="AJ268" s="10">
        <f t="shared" si="5"/>
        <v>1.1257209433593608E-2</v>
      </c>
      <c r="AK268" s="10">
        <f t="shared" si="5"/>
        <v>1.0754895243154811E-2</v>
      </c>
      <c r="AL268" s="10">
        <f t="shared" si="5"/>
        <v>9.7727557817874518E-3</v>
      </c>
      <c r="AM268" s="10">
        <f t="shared" si="5"/>
        <v>1.1436191375114212E-2</v>
      </c>
      <c r="AN268" s="10">
        <f t="shared" si="5"/>
        <v>1.1754319586328667E-2</v>
      </c>
      <c r="AO268" s="10">
        <f t="shared" si="5"/>
        <v>1.2294039822959931E-2</v>
      </c>
      <c r="AP268" s="10">
        <f t="shared" si="5"/>
        <v>8.9269562071220832E-3</v>
      </c>
      <c r="AQ268" s="10">
        <f t="shared" si="8"/>
        <v>1.1086238561035399E-2</v>
      </c>
      <c r="AR268" s="10">
        <f t="shared" si="8"/>
        <v>1.0684533165671172E-2</v>
      </c>
    </row>
    <row r="269" spans="24:45" x14ac:dyDescent="0.3">
      <c r="X269" s="1" t="s">
        <v>73</v>
      </c>
      <c r="Y269" s="10">
        <f t="shared" si="7"/>
        <v>9.1334095353662291E-3</v>
      </c>
      <c r="Z269" s="10">
        <f t="shared" si="5"/>
        <v>5.377947856917609E-3</v>
      </c>
      <c r="AA269" s="10">
        <f t="shared" si="5"/>
        <v>3.936928490054341E-3</v>
      </c>
      <c r="AB269" s="10">
        <f t="shared" si="5"/>
        <v>4.37936095528967E-3</v>
      </c>
      <c r="AC269" s="10">
        <f t="shared" si="5"/>
        <v>1.3137165896771781E-2</v>
      </c>
      <c r="AD269" s="10">
        <f t="shared" si="5"/>
        <v>4.5423344650779244E-3</v>
      </c>
      <c r="AE269" s="10">
        <f t="shared" si="5"/>
        <v>6.9325626545863961E-3</v>
      </c>
      <c r="AF269" s="10">
        <f t="shared" si="5"/>
        <v>4.7297384454639659E-3</v>
      </c>
      <c r="AG269" s="10">
        <f t="shared" si="5"/>
        <v>8.4128436079080743E-3</v>
      </c>
      <c r="AH269" s="10">
        <f t="shared" si="5"/>
        <v>3.543745106747309E-3</v>
      </c>
      <c r="AI269" s="10">
        <f t="shared" si="5"/>
        <v>6.2710515034601023E-3</v>
      </c>
      <c r="AJ269" s="10">
        <f t="shared" si="5"/>
        <v>3.9558022903424779E-3</v>
      </c>
      <c r="AK269" s="10">
        <f t="shared" si="5"/>
        <v>6.8808759955902941E-3</v>
      </c>
      <c r="AL269" s="10">
        <f t="shared" si="5"/>
        <v>5.4944782477176594E-3</v>
      </c>
      <c r="AM269" s="10">
        <f t="shared" si="5"/>
        <v>5.7512173305028702E-3</v>
      </c>
      <c r="AN269" s="10">
        <f t="shared" si="5"/>
        <v>5.9603796009292933E-3</v>
      </c>
      <c r="AO269" s="10">
        <f t="shared" si="5"/>
        <v>8.760359863771482E-3</v>
      </c>
      <c r="AP269" s="10">
        <f t="shared" si="5"/>
        <v>5.9570076487455662E-3</v>
      </c>
      <c r="AQ269" s="10">
        <f t="shared" si="8"/>
        <v>8.2591302103497237E-3</v>
      </c>
      <c r="AR269" s="10">
        <f t="shared" si="8"/>
        <v>6.2375380417672372E-3</v>
      </c>
    </row>
    <row r="270" spans="24:45" x14ac:dyDescent="0.3">
      <c r="AS270" s="6">
        <f>AVERAGE(Y262:AR269)</f>
        <v>1.7112378851303189E-2</v>
      </c>
    </row>
    <row r="272" spans="24:45" x14ac:dyDescent="0.3">
      <c r="X272" s="9" t="s">
        <v>77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10">
        <f>Y163/(Y135+Y163+Y191+Y107)</f>
        <v>3.1077083695841309E-3</v>
      </c>
      <c r="Z276" s="10">
        <f t="shared" ref="Z276:AR283" si="9">Z163/(Z135+Z163+Z191+Z107)</f>
        <v>5.0676361488918003E-3</v>
      </c>
      <c r="AA276" s="10">
        <f t="shared" si="9"/>
        <v>2.5465091603593406E-3</v>
      </c>
      <c r="AB276" s="10">
        <f t="shared" si="9"/>
        <v>2.7963070001405963E-3</v>
      </c>
      <c r="AC276" s="10">
        <f t="shared" si="9"/>
        <v>2.8568227649563072E-3</v>
      </c>
      <c r="AD276" s="10">
        <f t="shared" si="9"/>
        <v>4.169554300775969E-3</v>
      </c>
      <c r="AE276" s="10">
        <f t="shared" si="9"/>
        <v>6.8208375227587709E-3</v>
      </c>
      <c r="AF276" s="10">
        <f t="shared" si="9"/>
        <v>3.2675997710598886E-3</v>
      </c>
      <c r="AG276" s="10">
        <f t="shared" si="9"/>
        <v>4.1977578951090996E-3</v>
      </c>
      <c r="AH276" s="10">
        <f t="shared" si="9"/>
        <v>9.717073702573048E-3</v>
      </c>
      <c r="AI276" s="10">
        <f t="shared" si="9"/>
        <v>2.168575126614052E-3</v>
      </c>
      <c r="AJ276" s="10">
        <f t="shared" si="9"/>
        <v>6.6694622496455596E-3</v>
      </c>
      <c r="AK276" s="10">
        <f t="shared" si="9"/>
        <v>2.5147800135586025E-3</v>
      </c>
      <c r="AL276" s="10">
        <f t="shared" si="9"/>
        <v>7.9772079772079778E-3</v>
      </c>
      <c r="AM276" s="10">
        <f t="shared" si="9"/>
        <v>1.4695754499558043E-3</v>
      </c>
      <c r="AN276" s="10">
        <f t="shared" si="9"/>
        <v>2.8123089464030973E-3</v>
      </c>
      <c r="AO276" s="10">
        <f t="shared" si="9"/>
        <v>2.7572081298251139E-3</v>
      </c>
      <c r="AP276" s="10">
        <f t="shared" si="9"/>
        <v>7.1659731853906602E-3</v>
      </c>
      <c r="AQ276" s="10">
        <f t="shared" si="9"/>
        <v>2.0175817841187487E-3</v>
      </c>
      <c r="AR276" s="10">
        <f t="shared" si="9"/>
        <v>4.0793201133144472E-3</v>
      </c>
    </row>
    <row r="277" spans="24:45" x14ac:dyDescent="0.3">
      <c r="X277" s="1" t="s">
        <v>67</v>
      </c>
      <c r="Y277" s="10">
        <f t="shared" ref="Y277:AN283" si="10">Y164/(Y136+Y164+Y192+Y108)</f>
        <v>7.966017199119272E-3</v>
      </c>
      <c r="Z277" s="10">
        <f t="shared" si="10"/>
        <v>9.0714109911747137E-3</v>
      </c>
      <c r="AA277" s="10">
        <f t="shared" si="10"/>
        <v>5.208533169627441E-3</v>
      </c>
      <c r="AB277" s="10">
        <f t="shared" si="10"/>
        <v>6.3429877337810737E-3</v>
      </c>
      <c r="AC277" s="10">
        <f t="shared" si="10"/>
        <v>5.243362126669429E-3</v>
      </c>
      <c r="AD277" s="10">
        <f t="shared" si="10"/>
        <v>9.4511457285152024E-3</v>
      </c>
      <c r="AE277" s="10">
        <f t="shared" si="10"/>
        <v>5.3790253633513819E-3</v>
      </c>
      <c r="AF277" s="10">
        <f t="shared" si="10"/>
        <v>1.1805213969503197E-2</v>
      </c>
      <c r="AG277" s="10">
        <f t="shared" si="10"/>
        <v>5.2401161064117184E-3</v>
      </c>
      <c r="AH277" s="10">
        <f t="shared" si="10"/>
        <v>1.1432067755128327E-2</v>
      </c>
      <c r="AI277" s="10">
        <f t="shared" si="10"/>
        <v>4.2673404223572834E-3</v>
      </c>
      <c r="AJ277" s="10">
        <f t="shared" si="10"/>
        <v>8.5263040464085924E-3</v>
      </c>
      <c r="AK277" s="10">
        <f t="shared" si="10"/>
        <v>5.478148410238891E-3</v>
      </c>
      <c r="AL277" s="10">
        <f t="shared" si="10"/>
        <v>7.4684744204751106E-3</v>
      </c>
      <c r="AM277" s="10">
        <f t="shared" si="10"/>
        <v>5.9368260814410753E-3</v>
      </c>
      <c r="AN277" s="10">
        <f t="shared" si="10"/>
        <v>6.1195756722472357E-3</v>
      </c>
      <c r="AO277" s="10">
        <f t="shared" si="9"/>
        <v>4.8591866984597533E-3</v>
      </c>
      <c r="AP277" s="10">
        <f t="shared" si="9"/>
        <v>8.8313326777862289E-3</v>
      </c>
      <c r="AQ277" s="10">
        <f t="shared" si="9"/>
        <v>4.8611719365857934E-3</v>
      </c>
      <c r="AR277" s="10">
        <f t="shared" si="9"/>
        <v>8.9287375137186327E-3</v>
      </c>
    </row>
    <row r="278" spans="24:45" x14ac:dyDescent="0.3">
      <c r="X278" s="1" t="s">
        <v>68</v>
      </c>
      <c r="Y278" s="10">
        <f t="shared" si="10"/>
        <v>5.5441799985331804E-3</v>
      </c>
      <c r="Z278" s="10">
        <f t="shared" si="9"/>
        <v>8.1665927716357486E-3</v>
      </c>
      <c r="AA278" s="10">
        <f t="shared" si="9"/>
        <v>4.2693801292394635E-3</v>
      </c>
      <c r="AB278" s="10">
        <f t="shared" si="9"/>
        <v>5.1282762061844239E-3</v>
      </c>
      <c r="AC278" s="10">
        <f t="shared" si="9"/>
        <v>5.0915219981042797E-3</v>
      </c>
      <c r="AD278" s="10">
        <f t="shared" si="9"/>
        <v>8.9195536572603713E-3</v>
      </c>
      <c r="AE278" s="10">
        <f t="shared" si="9"/>
        <v>7.6449096025731382E-3</v>
      </c>
      <c r="AF278" s="10">
        <f t="shared" si="9"/>
        <v>1.1504212537812265E-2</v>
      </c>
      <c r="AG278" s="10">
        <f t="shared" si="9"/>
        <v>7.2149687262446161E-3</v>
      </c>
      <c r="AH278" s="10">
        <f t="shared" si="9"/>
        <v>1.050156295743656E-2</v>
      </c>
      <c r="AI278" s="10">
        <f t="shared" si="9"/>
        <v>6.7337234592829403E-3</v>
      </c>
      <c r="AJ278" s="10">
        <f t="shared" si="9"/>
        <v>9.6233733555520749E-3</v>
      </c>
      <c r="AK278" s="10">
        <f t="shared" si="9"/>
        <v>8.1764833076037272E-3</v>
      </c>
      <c r="AL278" s="10">
        <f t="shared" si="9"/>
        <v>9.670309695303447E-3</v>
      </c>
      <c r="AM278" s="10">
        <f t="shared" si="9"/>
        <v>8.2472903618574511E-3</v>
      </c>
      <c r="AN278" s="10">
        <f t="shared" si="9"/>
        <v>8.3822460320945383E-3</v>
      </c>
      <c r="AO278" s="10">
        <f t="shared" si="9"/>
        <v>6.2728638868228123E-3</v>
      </c>
      <c r="AP278" s="10">
        <f t="shared" si="9"/>
        <v>1.0268534319302237E-2</v>
      </c>
      <c r="AQ278" s="10">
        <f t="shared" si="9"/>
        <v>8.0266421196432871E-3</v>
      </c>
      <c r="AR278" s="10">
        <f t="shared" si="9"/>
        <v>8.5785836183053382E-3</v>
      </c>
    </row>
    <row r="279" spans="24:45" x14ac:dyDescent="0.3">
      <c r="X279" s="1" t="s">
        <v>69</v>
      </c>
      <c r="Y279" s="10">
        <f t="shared" si="10"/>
        <v>6.938804089063156E-3</v>
      </c>
      <c r="Z279" s="10">
        <f t="shared" si="9"/>
        <v>8.227559474044235E-3</v>
      </c>
      <c r="AA279" s="10">
        <f t="shared" si="9"/>
        <v>5.0480249847773559E-3</v>
      </c>
      <c r="AB279" s="10">
        <f t="shared" si="9"/>
        <v>5.8136480641602607E-3</v>
      </c>
      <c r="AC279" s="10">
        <f t="shared" si="9"/>
        <v>6.0891025227434023E-3</v>
      </c>
      <c r="AD279" s="10">
        <f t="shared" si="9"/>
        <v>7.2228052906396882E-3</v>
      </c>
      <c r="AE279" s="10">
        <f t="shared" si="9"/>
        <v>1.1293369975953281E-2</v>
      </c>
      <c r="AF279" s="10">
        <f t="shared" si="9"/>
        <v>9.8814485866022626E-3</v>
      </c>
      <c r="AG279" s="10">
        <f t="shared" si="9"/>
        <v>1.1370515911017183E-2</v>
      </c>
      <c r="AH279" s="10">
        <f t="shared" si="9"/>
        <v>9.7400176006443625E-3</v>
      </c>
      <c r="AI279" s="10">
        <f t="shared" si="9"/>
        <v>1.0501607502419597E-2</v>
      </c>
      <c r="AJ279" s="10">
        <f t="shared" si="9"/>
        <v>8.607223194201449E-3</v>
      </c>
      <c r="AK279" s="10">
        <f t="shared" si="9"/>
        <v>1.2382285087553419E-2</v>
      </c>
      <c r="AL279" s="10">
        <f t="shared" si="9"/>
        <v>8.8107083994393189E-3</v>
      </c>
      <c r="AM279" s="10">
        <f t="shared" si="9"/>
        <v>1.2990952922693536E-2</v>
      </c>
      <c r="AN279" s="10">
        <f t="shared" si="9"/>
        <v>1.1517494621394718E-2</v>
      </c>
      <c r="AO279" s="10">
        <f t="shared" si="9"/>
        <v>1.1970989081055232E-2</v>
      </c>
      <c r="AP279" s="10">
        <f t="shared" si="9"/>
        <v>9.3896713615023476E-3</v>
      </c>
      <c r="AQ279" s="10">
        <f t="shared" si="9"/>
        <v>1.0856684790185417E-2</v>
      </c>
      <c r="AR279" s="10">
        <f t="shared" si="9"/>
        <v>1.0822669104204753E-2</v>
      </c>
    </row>
    <row r="280" spans="24:45" x14ac:dyDescent="0.3">
      <c r="X280" s="1" t="s">
        <v>70</v>
      </c>
      <c r="Y280" s="10">
        <f t="shared" si="10"/>
        <v>5.4658890273536044E-3</v>
      </c>
      <c r="Z280" s="10">
        <f t="shared" si="9"/>
        <v>5.6412835098526024E-3</v>
      </c>
      <c r="AA280" s="10">
        <f t="shared" si="9"/>
        <v>3.8617102507692421E-3</v>
      </c>
      <c r="AB280" s="10">
        <f t="shared" si="9"/>
        <v>2.8433410206037831E-3</v>
      </c>
      <c r="AC280" s="10">
        <f t="shared" si="9"/>
        <v>4.9284684753889913E-3</v>
      </c>
      <c r="AD280" s="10">
        <f t="shared" si="9"/>
        <v>6.4644716548033689E-3</v>
      </c>
      <c r="AE280" s="10">
        <f t="shared" si="9"/>
        <v>8.2770230774626488E-3</v>
      </c>
      <c r="AF280" s="10">
        <f t="shared" si="9"/>
        <v>7.7417651683695235E-3</v>
      </c>
      <c r="AG280" s="10">
        <f t="shared" si="9"/>
        <v>8.0621464016256729E-3</v>
      </c>
      <c r="AH280" s="10">
        <f t="shared" si="9"/>
        <v>7.6560659599528855E-3</v>
      </c>
      <c r="AI280" s="10">
        <f t="shared" si="9"/>
        <v>6.649487835348725E-3</v>
      </c>
      <c r="AJ280" s="10">
        <f t="shared" si="9"/>
        <v>6.272571754419312E-3</v>
      </c>
      <c r="AK280" s="10">
        <f t="shared" si="9"/>
        <v>7.5693313280286436E-3</v>
      </c>
      <c r="AL280" s="10">
        <f t="shared" si="9"/>
        <v>6.9391086632342126E-3</v>
      </c>
      <c r="AM280" s="10">
        <f t="shared" si="9"/>
        <v>8.2141307190669571E-3</v>
      </c>
      <c r="AN280" s="10">
        <f t="shared" si="9"/>
        <v>7.8371307828186826E-3</v>
      </c>
      <c r="AO280" s="10">
        <f t="shared" si="9"/>
        <v>8.9470018562113739E-3</v>
      </c>
      <c r="AP280" s="10">
        <f t="shared" si="9"/>
        <v>7.0616796815008206E-3</v>
      </c>
      <c r="AQ280" s="10">
        <f t="shared" si="9"/>
        <v>7.8479697034761955E-3</v>
      </c>
      <c r="AR280" s="10">
        <f t="shared" si="9"/>
        <v>6.5752241180861044E-3</v>
      </c>
    </row>
    <row r="281" spans="24:45" x14ac:dyDescent="0.3">
      <c r="X281" s="1" t="s">
        <v>71</v>
      </c>
      <c r="Y281" s="10">
        <f t="shared" si="10"/>
        <v>4.0132823151691078E-3</v>
      </c>
      <c r="Z281" s="10">
        <f t="shared" si="9"/>
        <v>1.470710947930574E-3</v>
      </c>
      <c r="AA281" s="10">
        <f t="shared" si="9"/>
        <v>2.7261053281011239E-3</v>
      </c>
      <c r="AB281" s="10">
        <f t="shared" si="9"/>
        <v>9.6794635209570829E-4</v>
      </c>
      <c r="AC281" s="10">
        <f t="shared" si="9"/>
        <v>3.4720470786044557E-3</v>
      </c>
      <c r="AD281" s="10">
        <f t="shared" si="9"/>
        <v>2.2850529345866503E-3</v>
      </c>
      <c r="AE281" s="10">
        <f t="shared" si="9"/>
        <v>3.5533409573599082E-3</v>
      </c>
      <c r="AF281" s="10">
        <f t="shared" si="9"/>
        <v>2.8047464940668823E-3</v>
      </c>
      <c r="AG281" s="10">
        <f t="shared" si="9"/>
        <v>3.3669299918278398E-3</v>
      </c>
      <c r="AH281" s="10">
        <f t="shared" si="9"/>
        <v>3.1286531925101527E-3</v>
      </c>
      <c r="AI281" s="10">
        <f t="shared" si="9"/>
        <v>3.751289505767608E-3</v>
      </c>
      <c r="AJ281" s="10">
        <f t="shared" si="9"/>
        <v>2.6562776695590578E-3</v>
      </c>
      <c r="AK281" s="10">
        <f t="shared" si="9"/>
        <v>4.2662205259580699E-3</v>
      </c>
      <c r="AL281" s="10">
        <f t="shared" si="9"/>
        <v>2.5194009424425751E-3</v>
      </c>
      <c r="AM281" s="10">
        <f t="shared" si="9"/>
        <v>4.2196346544172633E-3</v>
      </c>
      <c r="AN281" s="10">
        <f t="shared" si="9"/>
        <v>3.357623092717098E-3</v>
      </c>
      <c r="AO281" s="10">
        <f t="shared" si="9"/>
        <v>5.0947718750356174E-3</v>
      </c>
      <c r="AP281" s="10">
        <f t="shared" si="9"/>
        <v>1.9407839349172727E-3</v>
      </c>
      <c r="AQ281" s="10">
        <f t="shared" si="9"/>
        <v>4.4241170459360431E-3</v>
      </c>
      <c r="AR281" s="10">
        <f t="shared" si="9"/>
        <v>3.2991112095920429E-3</v>
      </c>
    </row>
    <row r="282" spans="24:45" x14ac:dyDescent="0.3">
      <c r="X282" s="1" t="s">
        <v>72</v>
      </c>
      <c r="Y282" s="10">
        <f t="shared" si="10"/>
        <v>2.1619461867264812E-3</v>
      </c>
      <c r="Z282" s="10">
        <f t="shared" si="9"/>
        <v>2.1511803888496521E-3</v>
      </c>
      <c r="AA282" s="10">
        <f t="shared" si="9"/>
        <v>1.4719974709305197E-3</v>
      </c>
      <c r="AB282" s="10">
        <f t="shared" si="9"/>
        <v>1.5071861123051495E-3</v>
      </c>
      <c r="AC282" s="10">
        <f t="shared" si="9"/>
        <v>2.4565066926316528E-3</v>
      </c>
      <c r="AD282" s="10">
        <f t="shared" si="9"/>
        <v>2.3594302991476364E-3</v>
      </c>
      <c r="AE282" s="10">
        <f t="shared" si="9"/>
        <v>2.8275544297933089E-3</v>
      </c>
      <c r="AF282" s="10">
        <f t="shared" si="9"/>
        <v>2.4808030945988853E-3</v>
      </c>
      <c r="AG282" s="10">
        <f t="shared" si="9"/>
        <v>2.9400771561678214E-3</v>
      </c>
      <c r="AH282" s="10">
        <f t="shared" si="9"/>
        <v>2.2983960655413587E-3</v>
      </c>
      <c r="AI282" s="10">
        <f t="shared" si="9"/>
        <v>2.4609038726535479E-3</v>
      </c>
      <c r="AJ282" s="10">
        <f t="shared" si="9"/>
        <v>2.1883389899194569E-3</v>
      </c>
      <c r="AK282" s="10">
        <f t="shared" si="9"/>
        <v>2.3936659915301051E-3</v>
      </c>
      <c r="AL282" s="10">
        <f t="shared" si="9"/>
        <v>2.3784058573814758E-3</v>
      </c>
      <c r="AM282" s="10">
        <f t="shared" si="9"/>
        <v>2.9413620811234251E-3</v>
      </c>
      <c r="AN282" s="10">
        <f t="shared" si="9"/>
        <v>2.6897808963643245E-3</v>
      </c>
      <c r="AO282" s="10">
        <f t="shared" si="9"/>
        <v>3.0771952194758819E-3</v>
      </c>
      <c r="AP282" s="10">
        <f t="shared" si="9"/>
        <v>2.0977999192886266E-3</v>
      </c>
      <c r="AQ282" s="10">
        <f t="shared" si="9"/>
        <v>2.6759886181809581E-3</v>
      </c>
      <c r="AR282" s="10">
        <f t="shared" si="9"/>
        <v>2.0355234203080792E-3</v>
      </c>
    </row>
    <row r="283" spans="24:45" x14ac:dyDescent="0.3">
      <c r="X283" s="1" t="s">
        <v>73</v>
      </c>
      <c r="Y283" s="10">
        <f t="shared" si="10"/>
        <v>8.992562175983358E-4</v>
      </c>
      <c r="Z283" s="10">
        <f t="shared" si="9"/>
        <v>1.2400814788930464E-3</v>
      </c>
      <c r="AA283" s="10">
        <f t="shared" si="9"/>
        <v>5.3433344423272743E-4</v>
      </c>
      <c r="AB283" s="10">
        <f t="shared" si="9"/>
        <v>6.7447858530491657E-4</v>
      </c>
      <c r="AC283" s="10">
        <f t="shared" si="9"/>
        <v>1.5219887319430723E-3</v>
      </c>
      <c r="AD283" s="10">
        <f t="shared" si="9"/>
        <v>6.5416987225260165E-4</v>
      </c>
      <c r="AE283" s="10">
        <f t="shared" si="9"/>
        <v>2.1453710516750736E-3</v>
      </c>
      <c r="AF283" s="10">
        <f t="shared" si="9"/>
        <v>7.3955910238163831E-4</v>
      </c>
      <c r="AG283" s="10">
        <f t="shared" si="9"/>
        <v>1.2953108412175924E-3</v>
      </c>
      <c r="AH283" s="10">
        <f t="shared" si="9"/>
        <v>1.2773964919670531E-3</v>
      </c>
      <c r="AI283" s="10">
        <f t="shared" si="9"/>
        <v>1.5616388021311776E-3</v>
      </c>
      <c r="AJ283" s="10">
        <f t="shared" si="9"/>
        <v>8.4926828832211393E-4</v>
      </c>
      <c r="AK283" s="10">
        <f t="shared" si="9"/>
        <v>1.6040926038324806E-3</v>
      </c>
      <c r="AL283" s="10">
        <f t="shared" si="9"/>
        <v>6.4961791556950672E-4</v>
      </c>
      <c r="AM283" s="10">
        <f t="shared" si="9"/>
        <v>9.6378559864944034E-4</v>
      </c>
      <c r="AN283" s="10">
        <f t="shared" si="9"/>
        <v>4.3000734595882674E-4</v>
      </c>
      <c r="AO283" s="10">
        <f t="shared" si="9"/>
        <v>5.2496538509492032E-4</v>
      </c>
      <c r="AP283" s="10">
        <f t="shared" si="9"/>
        <v>5.0294911069452704E-4</v>
      </c>
      <c r="AQ283" s="10">
        <f t="shared" si="9"/>
        <v>1.0065814943863724E-3</v>
      </c>
      <c r="AR283" s="10">
        <f t="shared" si="9"/>
        <v>1.2002833455766609E-3</v>
      </c>
    </row>
    <row r="284" spans="24:45" x14ac:dyDescent="0.3">
      <c r="AS284" s="6">
        <f>AVERAGE(Y276:AR283)</f>
        <v>5.2505037152993693E-3</v>
      </c>
    </row>
    <row r="286" spans="24:45" x14ac:dyDescent="0.3">
      <c r="X286" s="9" t="s">
        <v>78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10">
        <f>Y191/(Y135+Y163+Y191+Y107)</f>
        <v>9.7330781277188097E-2</v>
      </c>
      <c r="Z290" s="10">
        <f t="shared" ref="Z290:AR297" si="11">Z191/(Z135+Z163+Z191+Z107)</f>
        <v>0.10100946721538376</v>
      </c>
      <c r="AA290" s="10">
        <f t="shared" si="11"/>
        <v>2.1036995119190775E-2</v>
      </c>
      <c r="AB290" s="10">
        <f t="shared" si="11"/>
        <v>2.3713933107337572E-2</v>
      </c>
      <c r="AC290" s="10">
        <f t="shared" si="11"/>
        <v>4.2646948987975199E-2</v>
      </c>
      <c r="AD290" s="10">
        <f t="shared" si="11"/>
        <v>4.675126961224281E-2</v>
      </c>
      <c r="AE290" s="10">
        <f t="shared" si="11"/>
        <v>8.993722655506943E-2</v>
      </c>
      <c r="AF290" s="10">
        <f t="shared" si="11"/>
        <v>8.1429835059056141E-2</v>
      </c>
      <c r="AG290" s="10">
        <f t="shared" si="11"/>
        <v>7.9902394171941865E-2</v>
      </c>
      <c r="AH290" s="10">
        <f t="shared" si="11"/>
        <v>0.11608700392498911</v>
      </c>
      <c r="AI290" s="10">
        <f t="shared" si="11"/>
        <v>7.7781837927183697E-2</v>
      </c>
      <c r="AJ290" s="10">
        <f t="shared" si="11"/>
        <v>0.1256015495517083</v>
      </c>
      <c r="AK290" s="10">
        <f t="shared" si="11"/>
        <v>8.8725529183188837E-2</v>
      </c>
      <c r="AL290" s="10">
        <f t="shared" si="11"/>
        <v>0.15718355718355717</v>
      </c>
      <c r="AM290" s="10">
        <f t="shared" si="11"/>
        <v>0.12938771304776933</v>
      </c>
      <c r="AN290" s="10">
        <f t="shared" si="11"/>
        <v>0.12249847157122477</v>
      </c>
      <c r="AO290" s="10">
        <f t="shared" si="11"/>
        <v>0.12895856310067749</v>
      </c>
      <c r="AP290" s="10">
        <f t="shared" si="11"/>
        <v>0.19833564493758665</v>
      </c>
      <c r="AQ290" s="10">
        <f t="shared" si="11"/>
        <v>0.15343229091607821</v>
      </c>
      <c r="AR290" s="10">
        <f t="shared" si="11"/>
        <v>0.22696883852691219</v>
      </c>
    </row>
    <row r="291" spans="24:45" x14ac:dyDescent="0.3">
      <c r="X291" s="1" t="s">
        <v>67</v>
      </c>
      <c r="Y291" s="10">
        <f t="shared" ref="Y291:AN297" si="12">Y192/(Y136+Y164+Y192+Y108)</f>
        <v>1.5495824851481035E-2</v>
      </c>
      <c r="Z291" s="10">
        <f t="shared" si="12"/>
        <v>2.7337294750536201E-2</v>
      </c>
      <c r="AA291" s="10">
        <f t="shared" si="12"/>
        <v>7.7888193991482169E-3</v>
      </c>
      <c r="AB291" s="10">
        <f t="shared" si="12"/>
        <v>1.5313340484741072E-2</v>
      </c>
      <c r="AC291" s="10">
        <f t="shared" si="12"/>
        <v>1.620820450706021E-2</v>
      </c>
      <c r="AD291" s="10">
        <f t="shared" si="12"/>
        <v>1.5603306627265666E-2</v>
      </c>
      <c r="AE291" s="10">
        <f t="shared" si="12"/>
        <v>1.0250427472214305E-2</v>
      </c>
      <c r="AF291" s="10">
        <f t="shared" si="12"/>
        <v>2.1926098168105056E-2</v>
      </c>
      <c r="AG291" s="10">
        <f t="shared" si="12"/>
        <v>1.125619090499775E-2</v>
      </c>
      <c r="AH291" s="10">
        <f t="shared" si="12"/>
        <v>2.0690432486394225E-2</v>
      </c>
      <c r="AI291" s="10">
        <f t="shared" si="12"/>
        <v>1.1419363181506203E-2</v>
      </c>
      <c r="AJ291" s="10">
        <f t="shared" si="12"/>
        <v>2.2343697706663265E-2</v>
      </c>
      <c r="AK291" s="10">
        <f t="shared" si="12"/>
        <v>1.5690197896586221E-2</v>
      </c>
      <c r="AL291" s="10">
        <f t="shared" si="12"/>
        <v>1.9992531525579525E-2</v>
      </c>
      <c r="AM291" s="10">
        <f t="shared" si="12"/>
        <v>1.7023975643790434E-2</v>
      </c>
      <c r="AN291" s="10">
        <f t="shared" si="12"/>
        <v>1.9027837796395167E-2</v>
      </c>
      <c r="AO291" s="10">
        <f t="shared" si="11"/>
        <v>1.6846039827286202E-2</v>
      </c>
      <c r="AP291" s="10">
        <f t="shared" si="11"/>
        <v>2.6512551253270004E-2</v>
      </c>
      <c r="AQ291" s="10">
        <f t="shared" si="11"/>
        <v>2.0802312341245511E-2</v>
      </c>
      <c r="AR291" s="10">
        <f t="shared" si="11"/>
        <v>3.0897152104763851E-2</v>
      </c>
    </row>
    <row r="292" spans="24:45" x14ac:dyDescent="0.3">
      <c r="X292" s="1" t="s">
        <v>68</v>
      </c>
      <c r="Y292" s="10">
        <f t="shared" si="12"/>
        <v>2.8803174672393867E-2</v>
      </c>
      <c r="Z292" s="10">
        <f t="shared" si="11"/>
        <v>3.2752184670833386E-2</v>
      </c>
      <c r="AA292" s="10">
        <f t="shared" si="11"/>
        <v>1.191643441135825E-2</v>
      </c>
      <c r="AB292" s="10">
        <f t="shared" si="11"/>
        <v>1.55511510901052E-2</v>
      </c>
      <c r="AC292" s="10">
        <f t="shared" si="11"/>
        <v>3.6621707845111512E-2</v>
      </c>
      <c r="AD292" s="10">
        <f t="shared" si="11"/>
        <v>2.2377979775855147E-2</v>
      </c>
      <c r="AE292" s="10">
        <f t="shared" si="11"/>
        <v>2.5058023307267297E-2</v>
      </c>
      <c r="AF292" s="10">
        <f t="shared" si="11"/>
        <v>2.9340770712611309E-2</v>
      </c>
      <c r="AG292" s="10">
        <f t="shared" si="11"/>
        <v>2.6596028433111506E-2</v>
      </c>
      <c r="AH292" s="10">
        <f t="shared" si="11"/>
        <v>3.0763346523246041E-2</v>
      </c>
      <c r="AI292" s="10">
        <f t="shared" si="11"/>
        <v>2.7223125868591116E-2</v>
      </c>
      <c r="AJ292" s="10">
        <f t="shared" si="11"/>
        <v>3.2839108781624916E-2</v>
      </c>
      <c r="AK292" s="10">
        <f t="shared" si="11"/>
        <v>3.3798812918106096E-2</v>
      </c>
      <c r="AL292" s="10">
        <f t="shared" si="11"/>
        <v>3.4359591920201764E-2</v>
      </c>
      <c r="AM292" s="10">
        <f t="shared" si="11"/>
        <v>3.4211945822847159E-2</v>
      </c>
      <c r="AN292" s="10">
        <f t="shared" si="11"/>
        <v>2.9996535858741104E-2</v>
      </c>
      <c r="AO292" s="10">
        <f t="shared" si="11"/>
        <v>2.8271528104555323E-2</v>
      </c>
      <c r="AP292" s="10">
        <f t="shared" si="11"/>
        <v>3.8538111490329929E-2</v>
      </c>
      <c r="AQ292" s="10">
        <f t="shared" si="11"/>
        <v>3.3191249846092508E-2</v>
      </c>
      <c r="AR292" s="10">
        <f t="shared" si="11"/>
        <v>3.7348223801646409E-2</v>
      </c>
    </row>
    <row r="293" spans="24:45" x14ac:dyDescent="0.3">
      <c r="X293" s="1" t="s">
        <v>69</v>
      </c>
      <c r="Y293" s="10">
        <f t="shared" si="12"/>
        <v>4.2312001120291272E-2</v>
      </c>
      <c r="Z293" s="10">
        <f t="shared" si="11"/>
        <v>4.518507258493578E-2</v>
      </c>
      <c r="AA293" s="10">
        <f t="shared" si="11"/>
        <v>1.508514859264206E-2</v>
      </c>
      <c r="AB293" s="10">
        <f t="shared" si="11"/>
        <v>2.1153273679233722E-2</v>
      </c>
      <c r="AC293" s="10">
        <f t="shared" si="11"/>
        <v>4.0567133363442795E-2</v>
      </c>
      <c r="AD293" s="10">
        <f t="shared" si="11"/>
        <v>3.3402215080539498E-2</v>
      </c>
      <c r="AE293" s="10">
        <f t="shared" si="11"/>
        <v>3.1776021985571966E-2</v>
      </c>
      <c r="AF293" s="10">
        <f t="shared" si="11"/>
        <v>3.5773181151234207E-2</v>
      </c>
      <c r="AG293" s="10">
        <f t="shared" si="11"/>
        <v>3.0005833856178936E-2</v>
      </c>
      <c r="AH293" s="10">
        <f t="shared" si="11"/>
        <v>3.6439300150649577E-2</v>
      </c>
      <c r="AI293" s="10">
        <f t="shared" si="11"/>
        <v>3.054810826445362E-2</v>
      </c>
      <c r="AJ293" s="10">
        <f t="shared" si="11"/>
        <v>4.0114971257185696E-2</v>
      </c>
      <c r="AK293" s="10">
        <f t="shared" si="11"/>
        <v>3.734351953405695E-2</v>
      </c>
      <c r="AL293" s="10">
        <f t="shared" si="11"/>
        <v>4.0741824679225526E-2</v>
      </c>
      <c r="AM293" s="10">
        <f t="shared" si="11"/>
        <v>3.4996478682485503E-2</v>
      </c>
      <c r="AN293" s="10">
        <f t="shared" si="11"/>
        <v>3.8612724243355608E-2</v>
      </c>
      <c r="AO293" s="10">
        <f t="shared" si="11"/>
        <v>3.4669642145532795E-2</v>
      </c>
      <c r="AP293" s="10">
        <f t="shared" si="11"/>
        <v>4.7828638497652586E-2</v>
      </c>
      <c r="AQ293" s="10">
        <f t="shared" si="11"/>
        <v>4.316534225568102E-2</v>
      </c>
      <c r="AR293" s="10">
        <f t="shared" si="11"/>
        <v>4.6471663619744065E-2</v>
      </c>
    </row>
    <row r="294" spans="24:45" x14ac:dyDescent="0.3">
      <c r="X294" s="1" t="s">
        <v>70</v>
      </c>
      <c r="Y294" s="10">
        <f t="shared" si="12"/>
        <v>3.6664740687353169E-2</v>
      </c>
      <c r="Z294" s="10">
        <f t="shared" si="11"/>
        <v>3.4051981520475186E-2</v>
      </c>
      <c r="AA294" s="10">
        <f t="shared" si="11"/>
        <v>1.3927256507374898E-2</v>
      </c>
      <c r="AB294" s="10">
        <f t="shared" si="11"/>
        <v>1.261851208609743E-2</v>
      </c>
      <c r="AC294" s="10">
        <f t="shared" si="11"/>
        <v>3.0737228534983438E-2</v>
      </c>
      <c r="AD294" s="10">
        <f t="shared" si="11"/>
        <v>2.6462516563964058E-2</v>
      </c>
      <c r="AE294" s="10">
        <f t="shared" si="11"/>
        <v>2.329958614884613E-2</v>
      </c>
      <c r="AF294" s="10">
        <f t="shared" si="11"/>
        <v>2.7866146085406187E-2</v>
      </c>
      <c r="AG294" s="10">
        <f t="shared" si="11"/>
        <v>2.502659101161727E-2</v>
      </c>
      <c r="AH294" s="10">
        <f t="shared" si="11"/>
        <v>2.6372818463859828E-2</v>
      </c>
      <c r="AI294" s="10">
        <f t="shared" si="11"/>
        <v>2.5026254216676109E-2</v>
      </c>
      <c r="AJ294" s="10">
        <f t="shared" si="11"/>
        <v>2.4888475880049093E-2</v>
      </c>
      <c r="AK294" s="10">
        <f t="shared" si="11"/>
        <v>2.7076817394110025E-2</v>
      </c>
      <c r="AL294" s="10">
        <f t="shared" si="11"/>
        <v>2.5403504740567334E-2</v>
      </c>
      <c r="AM294" s="10">
        <f t="shared" si="11"/>
        <v>2.9252422133892054E-2</v>
      </c>
      <c r="AN294" s="10">
        <f t="shared" si="11"/>
        <v>2.7796100440489233E-2</v>
      </c>
      <c r="AO294" s="10">
        <f t="shared" si="11"/>
        <v>3.1719469419784249E-2</v>
      </c>
      <c r="AP294" s="10">
        <f t="shared" si="11"/>
        <v>2.9212494240788214E-2</v>
      </c>
      <c r="AQ294" s="10">
        <f t="shared" si="11"/>
        <v>3.5203838721421965E-2</v>
      </c>
      <c r="AR294" s="10">
        <f t="shared" si="11"/>
        <v>3.3089371102368446E-2</v>
      </c>
    </row>
    <row r="295" spans="24:45" x14ac:dyDescent="0.3">
      <c r="X295" s="1" t="s">
        <v>71</v>
      </c>
      <c r="Y295" s="10">
        <f t="shared" si="12"/>
        <v>2.359590095439152E-2</v>
      </c>
      <c r="Z295" s="10">
        <f t="shared" si="11"/>
        <v>2.0725550734312419E-2</v>
      </c>
      <c r="AA295" s="10">
        <f t="shared" si="11"/>
        <v>8.8526683549389126E-3</v>
      </c>
      <c r="AB295" s="10">
        <f t="shared" si="11"/>
        <v>5.5709142566659469E-3</v>
      </c>
      <c r="AC295" s="10">
        <f t="shared" si="11"/>
        <v>2.2976040353089533E-2</v>
      </c>
      <c r="AD295" s="10">
        <f t="shared" si="11"/>
        <v>1.8221071452418226E-2</v>
      </c>
      <c r="AE295" s="10">
        <f t="shared" si="11"/>
        <v>1.3927462832870446E-2</v>
      </c>
      <c r="AF295" s="10">
        <f t="shared" si="11"/>
        <v>1.9893923049262852E-2</v>
      </c>
      <c r="AG295" s="10">
        <f t="shared" si="11"/>
        <v>1.4938708798692456E-2</v>
      </c>
      <c r="AH295" s="10">
        <f t="shared" si="11"/>
        <v>1.7069066877495997E-2</v>
      </c>
      <c r="AI295" s="10">
        <f t="shared" si="11"/>
        <v>1.6307689101461961E-2</v>
      </c>
      <c r="AJ295" s="10">
        <f t="shared" si="11"/>
        <v>1.3832320012592722E-2</v>
      </c>
      <c r="AK295" s="10">
        <f t="shared" si="11"/>
        <v>1.6573430229518481E-2</v>
      </c>
      <c r="AL295" s="10">
        <f t="shared" si="11"/>
        <v>1.2348174989502497E-2</v>
      </c>
      <c r="AM295" s="10">
        <f t="shared" si="11"/>
        <v>1.7327208631556457E-2</v>
      </c>
      <c r="AN295" s="10">
        <f t="shared" si="11"/>
        <v>1.4380611135713997E-2</v>
      </c>
      <c r="AO295" s="10">
        <f t="shared" si="11"/>
        <v>2.0048554201762082E-2</v>
      </c>
      <c r="AP295" s="10">
        <f t="shared" si="11"/>
        <v>1.255749240081176E-2</v>
      </c>
      <c r="AQ295" s="10">
        <f t="shared" si="11"/>
        <v>2.2955559432716037E-2</v>
      </c>
      <c r="AR295" s="10">
        <f t="shared" si="11"/>
        <v>1.4685968929266069E-2</v>
      </c>
    </row>
    <row r="296" spans="24:45" x14ac:dyDescent="0.3">
      <c r="X296" s="1" t="s">
        <v>72</v>
      </c>
      <c r="Y296" s="10">
        <f t="shared" si="12"/>
        <v>2.2090224165929866E-2</v>
      </c>
      <c r="Z296" s="10">
        <f t="shared" si="11"/>
        <v>2.3687732370315236E-2</v>
      </c>
      <c r="AA296" s="10">
        <f t="shared" si="11"/>
        <v>8.7554211987394166E-3</v>
      </c>
      <c r="AB296" s="10">
        <f t="shared" si="11"/>
        <v>7.7481596322321999E-3</v>
      </c>
      <c r="AC296" s="10">
        <f t="shared" si="11"/>
        <v>2.0583508323264079E-2</v>
      </c>
      <c r="AD296" s="10">
        <f t="shared" si="11"/>
        <v>1.9394985819980153E-2</v>
      </c>
      <c r="AE296" s="10">
        <f t="shared" si="11"/>
        <v>1.6038754868907729E-2</v>
      </c>
      <c r="AF296" s="10">
        <f t="shared" si="11"/>
        <v>2.3476516266851419E-2</v>
      </c>
      <c r="AG296" s="10">
        <f t="shared" si="11"/>
        <v>1.6175430165658831E-2</v>
      </c>
      <c r="AH296" s="10">
        <f t="shared" si="11"/>
        <v>2.0236352455620311E-2</v>
      </c>
      <c r="AI296" s="10">
        <f t="shared" si="11"/>
        <v>1.6900842912809782E-2</v>
      </c>
      <c r="AJ296" s="10">
        <f t="shared" si="11"/>
        <v>1.8909159327577849E-2</v>
      </c>
      <c r="AK296" s="10">
        <f t="shared" si="11"/>
        <v>1.7558581428411883E-2</v>
      </c>
      <c r="AL296" s="10">
        <f t="shared" si="11"/>
        <v>1.8819280767427886E-2</v>
      </c>
      <c r="AM296" s="10">
        <f t="shared" si="11"/>
        <v>1.998040921151192E-2</v>
      </c>
      <c r="AN296" s="10">
        <f t="shared" si="11"/>
        <v>1.9179307261032574E-2</v>
      </c>
      <c r="AO296" s="10">
        <f t="shared" si="11"/>
        <v>2.2325327712077715E-2</v>
      </c>
      <c r="AP296" s="10">
        <f t="shared" si="11"/>
        <v>1.8786267933928E-2</v>
      </c>
      <c r="AQ296" s="10">
        <f t="shared" si="11"/>
        <v>2.3709495621467812E-2</v>
      </c>
      <c r="AR296" s="10">
        <f t="shared" si="11"/>
        <v>2.10586293618359E-2</v>
      </c>
    </row>
    <row r="297" spans="24:45" x14ac:dyDescent="0.3">
      <c r="X297" s="1" t="s">
        <v>73</v>
      </c>
      <c r="Y297" s="10">
        <f t="shared" si="12"/>
        <v>2.5585464552511684E-2</v>
      </c>
      <c r="Z297" s="10">
        <f t="shared" si="11"/>
        <v>2.1072862244419635E-2</v>
      </c>
      <c r="AA297" s="10">
        <f t="shared" si="11"/>
        <v>1.0540483319722953E-2</v>
      </c>
      <c r="AB297" s="10">
        <f t="shared" si="11"/>
        <v>1.0658661587494598E-2</v>
      </c>
      <c r="AC297" s="10">
        <f t="shared" si="11"/>
        <v>9.0037649194948069E-2</v>
      </c>
      <c r="AD297" s="10">
        <f t="shared" si="11"/>
        <v>1.7367749425297948E-2</v>
      </c>
      <c r="AE297" s="10">
        <f t="shared" si="11"/>
        <v>3.5611386423879225E-2</v>
      </c>
      <c r="AF297" s="10">
        <f t="shared" si="11"/>
        <v>1.8230991826152013E-2</v>
      </c>
      <c r="AG297" s="10">
        <f t="shared" si="11"/>
        <v>2.6427011904841393E-2</v>
      </c>
      <c r="AH297" s="10">
        <f t="shared" si="11"/>
        <v>1.8007169902890394E-2</v>
      </c>
      <c r="AI297" s="10">
        <f t="shared" si="11"/>
        <v>2.8476942862392066E-2</v>
      </c>
      <c r="AJ297" s="10">
        <f t="shared" si="11"/>
        <v>1.8366544193239825E-2</v>
      </c>
      <c r="AK297" s="10">
        <f t="shared" si="11"/>
        <v>2.9301012002824197E-2</v>
      </c>
      <c r="AL297" s="10">
        <f t="shared" si="11"/>
        <v>2.087207485978667E-2</v>
      </c>
      <c r="AM297" s="10">
        <f t="shared" si="11"/>
        <v>3.0437987010941803E-2</v>
      </c>
      <c r="AN297" s="10">
        <f t="shared" si="11"/>
        <v>2.6857542149678389E-2</v>
      </c>
      <c r="AO297" s="10">
        <f t="shared" si="11"/>
        <v>3.2718467626040908E-2</v>
      </c>
      <c r="AP297" s="10">
        <f t="shared" si="11"/>
        <v>3.0706022978895731E-2</v>
      </c>
      <c r="AQ297" s="10">
        <f t="shared" si="11"/>
        <v>3.3042973286875728E-2</v>
      </c>
      <c r="AR297" s="10">
        <f t="shared" si="11"/>
        <v>3.6388918039668379E-2</v>
      </c>
    </row>
    <row r="298" spans="24:45" x14ac:dyDescent="0.3">
      <c r="AS298" s="6">
        <f>AVERAGE(Y290:AR297)</f>
        <v>3.497189578332037E-2</v>
      </c>
    </row>
    <row r="300" spans="24:45" x14ac:dyDescent="0.3">
      <c r="X300" s="9" t="s">
        <v>79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10">
        <f>Y107/(Y135+Y163+Y191+Y107)</f>
        <v>0.88758308682791009</v>
      </c>
      <c r="Z304" s="10">
        <f t="shared" ref="Z304:AR311" si="13">Z107/(Z135+Z163+Z191+Z107)</f>
        <v>0.88114861498145303</v>
      </c>
      <c r="AA304" s="10">
        <f t="shared" si="13"/>
        <v>0.96764518639032326</v>
      </c>
      <c r="AB304" s="10">
        <f t="shared" si="13"/>
        <v>0.96386671457360229</v>
      </c>
      <c r="AC304" s="10">
        <f t="shared" si="13"/>
        <v>0.94219135110911933</v>
      </c>
      <c r="AD304" s="10">
        <f t="shared" si="13"/>
        <v>0.93575250798123133</v>
      </c>
      <c r="AE304" s="10">
        <f t="shared" si="13"/>
        <v>0.89200250006793658</v>
      </c>
      <c r="AF304" s="10">
        <f t="shared" si="13"/>
        <v>0.89858993704146939</v>
      </c>
      <c r="AG304" s="10">
        <f t="shared" si="13"/>
        <v>0.90584220391130599</v>
      </c>
      <c r="AH304" s="10">
        <f t="shared" si="13"/>
        <v>0.85503434365460096</v>
      </c>
      <c r="AI304" s="10">
        <f t="shared" si="13"/>
        <v>0.91096206188806061</v>
      </c>
      <c r="AJ304" s="10">
        <f t="shared" si="13"/>
        <v>0.84935801433734703</v>
      </c>
      <c r="AK304" s="10">
        <f t="shared" si="13"/>
        <v>0.89807945038422354</v>
      </c>
      <c r="AL304" s="10">
        <f t="shared" si="13"/>
        <v>0.8115588115588116</v>
      </c>
      <c r="AM304" s="10">
        <f t="shared" si="13"/>
        <v>0.8614043935425445</v>
      </c>
      <c r="AN304" s="10">
        <f t="shared" si="13"/>
        <v>0.8596902384348889</v>
      </c>
      <c r="AO304" s="10">
        <f t="shared" si="13"/>
        <v>0.84323302347565776</v>
      </c>
      <c r="AP304" s="10">
        <f t="shared" si="13"/>
        <v>0.76479426722145161</v>
      </c>
      <c r="AQ304" s="10">
        <f t="shared" si="13"/>
        <v>0.81990680693663831</v>
      </c>
      <c r="AR304" s="10">
        <f t="shared" si="13"/>
        <v>0.73654390934844194</v>
      </c>
    </row>
    <row r="305" spans="24:45" x14ac:dyDescent="0.3">
      <c r="X305" s="1" t="s">
        <v>67</v>
      </c>
      <c r="Y305" s="10">
        <f t="shared" ref="Y305:AN311" si="14">Y108/(Y136+Y164+Y192+Y108)</f>
        <v>0.96132275352083418</v>
      </c>
      <c r="Z305" s="10">
        <f t="shared" si="14"/>
        <v>0.94319819978200492</v>
      </c>
      <c r="AA305" s="10">
        <f t="shared" si="14"/>
        <v>0.97923301231631055</v>
      </c>
      <c r="AB305" s="10">
        <f t="shared" si="14"/>
        <v>0.96433624053604461</v>
      </c>
      <c r="AC305" s="10">
        <f t="shared" si="14"/>
        <v>0.96517706307971818</v>
      </c>
      <c r="AD305" s="10">
        <f t="shared" si="14"/>
        <v>0.95550828567425394</v>
      </c>
      <c r="AE305" s="10">
        <f t="shared" si="14"/>
        <v>0.97314940153889984</v>
      </c>
      <c r="AF305" s="10">
        <f t="shared" si="14"/>
        <v>0.94107826916484072</v>
      </c>
      <c r="AG305" s="10">
        <f t="shared" si="14"/>
        <v>0.97127994865261014</v>
      </c>
      <c r="AH305" s="10">
        <f t="shared" si="14"/>
        <v>0.94267864618555375</v>
      </c>
      <c r="AI305" s="10">
        <f t="shared" si="14"/>
        <v>0.97162069411425334</v>
      </c>
      <c r="AJ305" s="10">
        <f t="shared" si="14"/>
        <v>0.94152708496023707</v>
      </c>
      <c r="AK305" s="10">
        <f t="shared" si="14"/>
        <v>0.96311705424464988</v>
      </c>
      <c r="AL305" s="10">
        <f t="shared" si="14"/>
        <v>0.95198632694683027</v>
      </c>
      <c r="AM305" s="10">
        <f t="shared" si="14"/>
        <v>0.96147405809970821</v>
      </c>
      <c r="AN305" s="10">
        <f t="shared" si="14"/>
        <v>0.9577205626106472</v>
      </c>
      <c r="AO305" s="10">
        <f t="shared" si="13"/>
        <v>0.96483856415544245</v>
      </c>
      <c r="AP305" s="10">
        <f t="shared" si="13"/>
        <v>0.94337557283066475</v>
      </c>
      <c r="AQ305" s="10">
        <f t="shared" si="13"/>
        <v>0.95871288429534895</v>
      </c>
      <c r="AR305" s="10">
        <f t="shared" si="13"/>
        <v>0.9388567495675143</v>
      </c>
    </row>
    <row r="306" spans="24:45" x14ac:dyDescent="0.3">
      <c r="X306" s="1" t="s">
        <v>68</v>
      </c>
      <c r="Y306" s="10">
        <f t="shared" si="14"/>
        <v>0.94326581340078053</v>
      </c>
      <c r="Z306" s="10">
        <f t="shared" si="13"/>
        <v>0.93565411404625354</v>
      </c>
      <c r="AA306" s="10">
        <f t="shared" si="13"/>
        <v>0.96717286743304487</v>
      </c>
      <c r="AB306" s="10">
        <f t="shared" si="13"/>
        <v>0.96148248762976618</v>
      </c>
      <c r="AC306" s="10">
        <f t="shared" si="13"/>
        <v>0.93091684277689879</v>
      </c>
      <c r="AD306" s="10">
        <f t="shared" si="13"/>
        <v>0.93714939339733994</v>
      </c>
      <c r="AE306" s="10">
        <f t="shared" si="13"/>
        <v>0.94456872110859058</v>
      </c>
      <c r="AF306" s="10">
        <f t="shared" si="13"/>
        <v>0.92854932421454928</v>
      </c>
      <c r="AG306" s="10">
        <f t="shared" si="13"/>
        <v>0.93885614072523105</v>
      </c>
      <c r="AH306" s="10">
        <f t="shared" si="13"/>
        <v>0.92455306972395612</v>
      </c>
      <c r="AI306" s="10">
        <f t="shared" si="13"/>
        <v>0.94009759380784108</v>
      </c>
      <c r="AJ306" s="10">
        <f t="shared" si="13"/>
        <v>0.92123741294099226</v>
      </c>
      <c r="AK306" s="10">
        <f t="shared" si="13"/>
        <v>0.92799900769206267</v>
      </c>
      <c r="AL306" s="10">
        <f t="shared" si="13"/>
        <v>0.92440980663924921</v>
      </c>
      <c r="AM306" s="10">
        <f t="shared" si="13"/>
        <v>0.92837085228938188</v>
      </c>
      <c r="AN306" s="10">
        <f t="shared" si="13"/>
        <v>0.93426426030825982</v>
      </c>
      <c r="AO306" s="10">
        <f t="shared" si="13"/>
        <v>0.94063358581642098</v>
      </c>
      <c r="AP306" s="10">
        <f t="shared" si="13"/>
        <v>0.91535717671596517</v>
      </c>
      <c r="AQ306" s="10">
        <f t="shared" si="13"/>
        <v>0.93192305211747395</v>
      </c>
      <c r="AR306" s="10">
        <f t="shared" si="13"/>
        <v>0.9255716331347793</v>
      </c>
    </row>
    <row r="307" spans="24:45" x14ac:dyDescent="0.3">
      <c r="X307" s="1" t="s">
        <v>69</v>
      </c>
      <c r="Y307" s="10">
        <f t="shared" si="14"/>
        <v>0.92574569388040895</v>
      </c>
      <c r="Z307" s="10">
        <f t="shared" si="13"/>
        <v>0.92551493501558113</v>
      </c>
      <c r="AA307" s="10">
        <f t="shared" si="13"/>
        <v>0.96539058356740193</v>
      </c>
      <c r="AB307" s="10">
        <f t="shared" si="13"/>
        <v>0.95349081548671799</v>
      </c>
      <c r="AC307" s="10">
        <f t="shared" si="13"/>
        <v>0.92924543518936709</v>
      </c>
      <c r="AD307" s="10">
        <f t="shared" si="13"/>
        <v>0.93682652881625517</v>
      </c>
      <c r="AE307" s="10">
        <f t="shared" si="13"/>
        <v>0.93020725981907704</v>
      </c>
      <c r="AF307" s="10">
        <f t="shared" si="13"/>
        <v>0.93210237232675008</v>
      </c>
      <c r="AG307" s="10">
        <f t="shared" si="13"/>
        <v>0.93425354159099161</v>
      </c>
      <c r="AH307" s="10">
        <f t="shared" si="13"/>
        <v>0.92474978744984559</v>
      </c>
      <c r="AI307" s="10">
        <f t="shared" si="13"/>
        <v>0.9329966292509817</v>
      </c>
      <c r="AJ307" s="10">
        <f t="shared" si="13"/>
        <v>0.91998875281179704</v>
      </c>
      <c r="AK307" s="10">
        <f t="shared" si="13"/>
        <v>0.92085019477326868</v>
      </c>
      <c r="AL307" s="10">
        <f t="shared" si="13"/>
        <v>0.92446203847753428</v>
      </c>
      <c r="AM307" s="10">
        <f t="shared" si="13"/>
        <v>0.92336529606154183</v>
      </c>
      <c r="AN307" s="10">
        <f t="shared" si="13"/>
        <v>0.92173927109788256</v>
      </c>
      <c r="AO307" s="10">
        <f t="shared" si="13"/>
        <v>0.92696262054674416</v>
      </c>
      <c r="AP307" s="10">
        <f t="shared" si="13"/>
        <v>0.91673570836785412</v>
      </c>
      <c r="AQ307" s="10">
        <f t="shared" si="13"/>
        <v>0.91860100376411535</v>
      </c>
      <c r="AR307" s="10">
        <f t="shared" si="13"/>
        <v>0.91782449725776971</v>
      </c>
    </row>
    <row r="308" spans="24:45" x14ac:dyDescent="0.3">
      <c r="X308" s="1" t="s">
        <v>70</v>
      </c>
      <c r="Y308" s="10">
        <f t="shared" si="14"/>
        <v>0.93785394902932662</v>
      </c>
      <c r="Z308" s="10">
        <f t="shared" si="13"/>
        <v>0.94220630755209145</v>
      </c>
      <c r="AA308" s="10">
        <f t="shared" si="13"/>
        <v>0.96641793865717107</v>
      </c>
      <c r="AB308" s="10">
        <f t="shared" si="13"/>
        <v>0.96900416631077446</v>
      </c>
      <c r="AC308" s="10">
        <f t="shared" si="13"/>
        <v>0.94499845353634793</v>
      </c>
      <c r="AD308" s="10">
        <f t="shared" si="13"/>
        <v>0.94974873462176235</v>
      </c>
      <c r="AE308" s="10">
        <f t="shared" si="13"/>
        <v>0.94630456639154537</v>
      </c>
      <c r="AF308" s="10">
        <f t="shared" si="13"/>
        <v>0.94183250470110902</v>
      </c>
      <c r="AG308" s="10">
        <f t="shared" si="13"/>
        <v>0.94297107477351072</v>
      </c>
      <c r="AH308" s="10">
        <f t="shared" si="13"/>
        <v>0.94476200374142583</v>
      </c>
      <c r="AI308" s="10">
        <f t="shared" si="13"/>
        <v>0.94484836560093111</v>
      </c>
      <c r="AJ308" s="10">
        <f t="shared" si="13"/>
        <v>0.94877986394174696</v>
      </c>
      <c r="AK308" s="10">
        <f t="shared" si="13"/>
        <v>0.94164407229505043</v>
      </c>
      <c r="AL308" s="10">
        <f t="shared" si="13"/>
        <v>0.94849405304743917</v>
      </c>
      <c r="AM308" s="10">
        <f t="shared" si="13"/>
        <v>0.93904356248401288</v>
      </c>
      <c r="AN308" s="10">
        <f t="shared" si="13"/>
        <v>0.94305223263197913</v>
      </c>
      <c r="AO308" s="10">
        <f t="shared" si="13"/>
        <v>0.93435818891756717</v>
      </c>
      <c r="AP308" s="10">
        <f t="shared" si="13"/>
        <v>0.94643047006981929</v>
      </c>
      <c r="AQ308" s="10">
        <f t="shared" si="13"/>
        <v>0.93463033324309097</v>
      </c>
      <c r="AR308" s="10">
        <f t="shared" si="13"/>
        <v>0.94144086262566062</v>
      </c>
    </row>
    <row r="309" spans="24:45" x14ac:dyDescent="0.3">
      <c r="X309" s="1" t="s">
        <v>71</v>
      </c>
      <c r="Y309" s="10">
        <f t="shared" si="14"/>
        <v>0.96047191801908782</v>
      </c>
      <c r="Z309" s="10">
        <f t="shared" si="13"/>
        <v>0.96687249666221631</v>
      </c>
      <c r="AA309" s="10">
        <f t="shared" si="13"/>
        <v>0.97959725380758</v>
      </c>
      <c r="AB309" s="10">
        <f t="shared" si="13"/>
        <v>0.98348223922898548</v>
      </c>
      <c r="AC309" s="10">
        <f t="shared" si="13"/>
        <v>0.95963850357292979</v>
      </c>
      <c r="AD309" s="10">
        <f t="shared" si="13"/>
        <v>0.96967853459852071</v>
      </c>
      <c r="AE309" s="10">
        <f t="shared" si="13"/>
        <v>0.96737665414148011</v>
      </c>
      <c r="AF309" s="10">
        <f t="shared" si="13"/>
        <v>0.96516540812657314</v>
      </c>
      <c r="AG309" s="10">
        <f t="shared" si="13"/>
        <v>0.96681013347861611</v>
      </c>
      <c r="AH309" s="10">
        <f t="shared" si="13"/>
        <v>0.96607134410454976</v>
      </c>
      <c r="AI309" s="10">
        <f t="shared" si="13"/>
        <v>0.96326862358935883</v>
      </c>
      <c r="AJ309" s="10">
        <f t="shared" si="13"/>
        <v>0.96998078297883505</v>
      </c>
      <c r="AK309" s="10">
        <f t="shared" si="13"/>
        <v>0.96367438699220997</v>
      </c>
      <c r="AL309" s="10">
        <f t="shared" si="13"/>
        <v>0.97378734389822863</v>
      </c>
      <c r="AM309" s="10">
        <f t="shared" si="13"/>
        <v>0.96248264074351031</v>
      </c>
      <c r="AN309" s="10">
        <f t="shared" si="13"/>
        <v>0.96819517693949031</v>
      </c>
      <c r="AO309" s="10">
        <f t="shared" si="13"/>
        <v>0.95750937460820407</v>
      </c>
      <c r="AP309" s="10">
        <f t="shared" si="13"/>
        <v>0.975159738038479</v>
      </c>
      <c r="AQ309" s="10">
        <f t="shared" si="13"/>
        <v>0.95650656763291042</v>
      </c>
      <c r="AR309" s="10">
        <f t="shared" si="13"/>
        <v>0.96880616490631999</v>
      </c>
    </row>
    <row r="310" spans="24:45" x14ac:dyDescent="0.3">
      <c r="X310" s="1" t="s">
        <v>72</v>
      </c>
      <c r="Y310" s="10">
        <f t="shared" si="14"/>
        <v>0.96587962331104138</v>
      </c>
      <c r="Z310" s="10">
        <f t="shared" si="13"/>
        <v>0.96285691985234911</v>
      </c>
      <c r="AA310" s="10">
        <f t="shared" si="13"/>
        <v>0.98242741274216328</v>
      </c>
      <c r="AB310" s="10">
        <f t="shared" si="13"/>
        <v>0.98344793103634343</v>
      </c>
      <c r="AC310" s="10">
        <f t="shared" si="13"/>
        <v>0.96558544396607338</v>
      </c>
      <c r="AD310" s="10">
        <f t="shared" si="13"/>
        <v>0.96948170660249855</v>
      </c>
      <c r="AE310" s="10">
        <f t="shared" si="13"/>
        <v>0.96970261580257977</v>
      </c>
      <c r="AF310" s="10">
        <f t="shared" si="13"/>
        <v>0.96144020091798732</v>
      </c>
      <c r="AG310" s="10">
        <f t="shared" si="13"/>
        <v>0.96911083523553987</v>
      </c>
      <c r="AH310" s="10">
        <f t="shared" si="13"/>
        <v>0.96541502694545933</v>
      </c>
      <c r="AI310" s="10">
        <f t="shared" si="13"/>
        <v>0.96867442758889211</v>
      </c>
      <c r="AJ310" s="10">
        <f t="shared" si="13"/>
        <v>0.96764529224890905</v>
      </c>
      <c r="AK310" s="10">
        <f t="shared" si="13"/>
        <v>0.96929285733690318</v>
      </c>
      <c r="AL310" s="10">
        <f t="shared" si="13"/>
        <v>0.96902955759340315</v>
      </c>
      <c r="AM310" s="10">
        <f t="shared" si="13"/>
        <v>0.96564203733225051</v>
      </c>
      <c r="AN310" s="10">
        <f t="shared" si="13"/>
        <v>0.96637659225627437</v>
      </c>
      <c r="AO310" s="10">
        <f t="shared" si="13"/>
        <v>0.9623034372454865</v>
      </c>
      <c r="AP310" s="10">
        <f t="shared" si="13"/>
        <v>0.97018897593966125</v>
      </c>
      <c r="AQ310" s="10">
        <f t="shared" si="13"/>
        <v>0.96252827719931588</v>
      </c>
      <c r="AR310" s="10">
        <f t="shared" si="13"/>
        <v>0.96622131405218481</v>
      </c>
    </row>
    <row r="311" spans="24:45" x14ac:dyDescent="0.3">
      <c r="X311" s="1" t="s">
        <v>73</v>
      </c>
      <c r="Y311" s="10">
        <f t="shared" si="14"/>
        <v>0.96438186969452377</v>
      </c>
      <c r="Z311" s="10">
        <f t="shared" si="13"/>
        <v>0.9723091084197697</v>
      </c>
      <c r="AA311" s="10">
        <f t="shared" si="13"/>
        <v>0.98498825474598994</v>
      </c>
      <c r="AB311" s="10">
        <f t="shared" si="13"/>
        <v>0.9842874988719108</v>
      </c>
      <c r="AC311" s="10">
        <f t="shared" si="13"/>
        <v>0.89530319617633713</v>
      </c>
      <c r="AD311" s="10">
        <f t="shared" si="13"/>
        <v>0.97743574623737151</v>
      </c>
      <c r="AE311" s="10">
        <f t="shared" si="13"/>
        <v>0.95531067986985929</v>
      </c>
      <c r="AF311" s="10">
        <f t="shared" si="13"/>
        <v>0.9762997106260024</v>
      </c>
      <c r="AG311" s="10">
        <f t="shared" si="13"/>
        <v>0.96386483364603304</v>
      </c>
      <c r="AH311" s="10">
        <f t="shared" si="13"/>
        <v>0.9771716884983952</v>
      </c>
      <c r="AI311" s="10">
        <f t="shared" si="13"/>
        <v>0.9636903668320167</v>
      </c>
      <c r="AJ311" s="10">
        <f t="shared" si="13"/>
        <v>0.97682838522809556</v>
      </c>
      <c r="AK311" s="10">
        <f t="shared" si="13"/>
        <v>0.96221401939775308</v>
      </c>
      <c r="AL311" s="10">
        <f t="shared" si="13"/>
        <v>0.97298382897692615</v>
      </c>
      <c r="AM311" s="10">
        <f t="shared" si="13"/>
        <v>0.96284701005990592</v>
      </c>
      <c r="AN311" s="10">
        <f t="shared" si="13"/>
        <v>0.9667520709034334</v>
      </c>
      <c r="AO311" s="10">
        <f t="shared" si="13"/>
        <v>0.9579962071250927</v>
      </c>
      <c r="AP311" s="10">
        <f t="shared" si="13"/>
        <v>0.96283402026166409</v>
      </c>
      <c r="AQ311" s="10">
        <f t="shared" si="13"/>
        <v>0.95769131500838822</v>
      </c>
      <c r="AR311" s="10">
        <f t="shared" si="13"/>
        <v>0.95617326057298779</v>
      </c>
    </row>
    <row r="312" spans="24:45" x14ac:dyDescent="0.3">
      <c r="AS312" s="6">
        <f>AVERAGE(Y304:AR311)</f>
        <v>0.94266522165007705</v>
      </c>
    </row>
    <row r="314" spans="24:45" x14ac:dyDescent="0.3">
      <c r="X314" t="s">
        <v>80</v>
      </c>
      <c r="AS314" s="8"/>
    </row>
    <row r="315" spans="24:45" x14ac:dyDescent="0.3">
      <c r="X315" s="1" t="s">
        <v>6</v>
      </c>
      <c r="Y315" s="1" t="s">
        <v>63</v>
      </c>
      <c r="Z315" s="1" t="s">
        <v>64</v>
      </c>
      <c r="AA315" s="1" t="s">
        <v>63</v>
      </c>
      <c r="AB315" s="1" t="s">
        <v>64</v>
      </c>
      <c r="AC315" s="1" t="s">
        <v>63</v>
      </c>
      <c r="AD315" s="1" t="s">
        <v>64</v>
      </c>
      <c r="AE315" s="1" t="s">
        <v>63</v>
      </c>
      <c r="AF315" s="1" t="s">
        <v>64</v>
      </c>
      <c r="AG315" s="1" t="s">
        <v>63</v>
      </c>
      <c r="AH315" s="1" t="s">
        <v>64</v>
      </c>
      <c r="AI315" s="1" t="s">
        <v>63</v>
      </c>
      <c r="AJ315" s="1" t="s">
        <v>64</v>
      </c>
      <c r="AK315" s="1" t="s">
        <v>63</v>
      </c>
      <c r="AL315" s="1" t="s">
        <v>64</v>
      </c>
      <c r="AM315" s="1" t="s">
        <v>63</v>
      </c>
      <c r="AN315" s="1" t="s">
        <v>64</v>
      </c>
      <c r="AO315" s="1" t="s">
        <v>63</v>
      </c>
      <c r="AP315" s="1" t="s">
        <v>64</v>
      </c>
      <c r="AQ315" s="1" t="s">
        <v>63</v>
      </c>
      <c r="AR315" s="1" t="s">
        <v>64</v>
      </c>
      <c r="AS315" s="8"/>
    </row>
    <row r="316" spans="24:45" x14ac:dyDescent="0.3">
      <c r="X316" s="1" t="s">
        <v>65</v>
      </c>
      <c r="Y316" s="1" t="s">
        <v>53</v>
      </c>
      <c r="Z316" s="1" t="s">
        <v>53</v>
      </c>
      <c r="AA316" s="1" t="s">
        <v>54</v>
      </c>
      <c r="AB316" s="1" t="s">
        <v>54</v>
      </c>
      <c r="AC316" s="1" t="s">
        <v>55</v>
      </c>
      <c r="AD316" s="1" t="s">
        <v>55</v>
      </c>
      <c r="AE316" s="1" t="s">
        <v>56</v>
      </c>
      <c r="AF316" s="1" t="s">
        <v>56</v>
      </c>
      <c r="AG316" s="1" t="s">
        <v>57</v>
      </c>
      <c r="AH316" s="1" t="s">
        <v>57</v>
      </c>
      <c r="AI316" s="1" t="s">
        <v>58</v>
      </c>
      <c r="AJ316" s="1" t="s">
        <v>58</v>
      </c>
      <c r="AK316" s="1" t="s">
        <v>59</v>
      </c>
      <c r="AL316" s="1" t="s">
        <v>59</v>
      </c>
      <c r="AM316" s="1" t="s">
        <v>60</v>
      </c>
      <c r="AN316" s="1" t="s">
        <v>60</v>
      </c>
      <c r="AO316" s="1" t="s">
        <v>61</v>
      </c>
      <c r="AP316" s="1" t="s">
        <v>61</v>
      </c>
      <c r="AQ316" s="1" t="s">
        <v>62</v>
      </c>
      <c r="AR316" s="1" t="s">
        <v>62</v>
      </c>
      <c r="AS316" s="8"/>
    </row>
    <row r="317" spans="24:45" x14ac:dyDescent="0.3">
      <c r="X317" s="1" t="s">
        <v>7</v>
      </c>
      <c r="Y317">
        <v>1.3</v>
      </c>
      <c r="Z317">
        <v>1.3</v>
      </c>
      <c r="AA317">
        <v>1.3</v>
      </c>
      <c r="AB317">
        <v>1.3</v>
      </c>
      <c r="AC317">
        <v>0.5</v>
      </c>
      <c r="AD317">
        <v>0.5</v>
      </c>
      <c r="AE317">
        <v>1.6</v>
      </c>
      <c r="AF317">
        <v>1.6</v>
      </c>
      <c r="AG317">
        <v>2</v>
      </c>
      <c r="AH317">
        <v>2</v>
      </c>
      <c r="AI317">
        <v>3.6</v>
      </c>
      <c r="AJ317">
        <v>3.6</v>
      </c>
      <c r="AK317">
        <v>2.9</v>
      </c>
      <c r="AL317">
        <v>2.9</v>
      </c>
      <c r="AM317">
        <v>3.8</v>
      </c>
      <c r="AN317">
        <v>3.8</v>
      </c>
      <c r="AO317">
        <v>3.4</v>
      </c>
      <c r="AP317">
        <v>3.4</v>
      </c>
      <c r="AQ317">
        <v>4.5</v>
      </c>
      <c r="AR317">
        <v>4.5</v>
      </c>
      <c r="AS317" s="8"/>
    </row>
    <row r="318" spans="24:45" x14ac:dyDescent="0.3">
      <c r="X318" s="1" t="s">
        <v>66</v>
      </c>
      <c r="Y318" s="7">
        <f>(Y135)/(Y135+AV135)</f>
        <v>0.10759612378868395</v>
      </c>
      <c r="Z318" s="7">
        <f t="shared" ref="Z318:AR325" si="15">(Z135)/(Z135+AW135)</f>
        <v>0.10257854179016003</v>
      </c>
      <c r="AA318" s="7">
        <f t="shared" si="15"/>
        <v>2.8850628199162405E-2</v>
      </c>
      <c r="AB318" s="7">
        <f t="shared" si="15"/>
        <v>2.8664495114006514E-2</v>
      </c>
      <c r="AC318" s="7">
        <f t="shared" si="15"/>
        <v>2.8702090592334494E-2</v>
      </c>
      <c r="AD318" s="7">
        <f t="shared" si="15"/>
        <v>3.2349696635410922E-2</v>
      </c>
      <c r="AE318" s="7">
        <f t="shared" si="15"/>
        <v>7.5750915750915748E-2</v>
      </c>
      <c r="AF318" s="7">
        <f t="shared" si="15"/>
        <v>4.0535083291267038E-2</v>
      </c>
      <c r="AG318" s="7">
        <f t="shared" si="15"/>
        <v>8.9097744360902259E-2</v>
      </c>
      <c r="AH318" s="7">
        <f t="shared" si="15"/>
        <v>4.7937265598363449E-2</v>
      </c>
      <c r="AI318" s="7">
        <f t="shared" si="15"/>
        <v>8.7996031746031739E-2</v>
      </c>
      <c r="AJ318" s="7">
        <f t="shared" si="15"/>
        <v>3.0423280423280422E-2</v>
      </c>
      <c r="AK318" s="7">
        <f t="shared" si="15"/>
        <v>7.8991596638655459E-2</v>
      </c>
      <c r="AL318" s="7">
        <f t="shared" si="15"/>
        <v>1.0265613783201722E-2</v>
      </c>
      <c r="AM318" s="7">
        <f t="shared" si="15"/>
        <v>5.1349406261245054E-2</v>
      </c>
      <c r="AN318" s="7">
        <f t="shared" si="15"/>
        <v>2.730983302411874E-2</v>
      </c>
      <c r="AO318" s="7">
        <f t="shared" si="15"/>
        <v>1.0254756530151564E-2</v>
      </c>
      <c r="AP318" s="7">
        <f t="shared" si="15"/>
        <v>1.0284113645458183E-2</v>
      </c>
      <c r="AQ318" s="7">
        <f t="shared" si="15"/>
        <v>1.6358418367346937E-2</v>
      </c>
      <c r="AR318" s="7">
        <f t="shared" si="15"/>
        <v>1.0265613783201722E-2</v>
      </c>
      <c r="AS318" s="8"/>
    </row>
    <row r="319" spans="24:45" x14ac:dyDescent="0.3">
      <c r="X319" s="1" t="s">
        <v>67</v>
      </c>
      <c r="Y319" s="7">
        <f t="shared" ref="Y319:Y325" si="16">(Y136)/(Y136+AV136)</f>
        <v>7.855227882037534E-2</v>
      </c>
      <c r="Z319" s="7">
        <f t="shared" si="15"/>
        <v>7.8965282505105511E-2</v>
      </c>
      <c r="AA319" s="7">
        <f t="shared" si="15"/>
        <v>8.3333333333333343E-2</v>
      </c>
      <c r="AB319" s="7">
        <f t="shared" si="15"/>
        <v>8.3891992551210423E-2</v>
      </c>
      <c r="AC319" s="7">
        <f t="shared" si="15"/>
        <v>8.4068136272545099E-2</v>
      </c>
      <c r="AD319" s="7">
        <f t="shared" si="15"/>
        <v>8.3892248488180332E-2</v>
      </c>
      <c r="AE319" s="7">
        <f t="shared" si="15"/>
        <v>8.2840236686390539E-2</v>
      </c>
      <c r="AF319" s="7">
        <f t="shared" si="15"/>
        <v>8.3996023856858837E-2</v>
      </c>
      <c r="AG319" s="7">
        <f t="shared" si="15"/>
        <v>7.7899877899877901E-2</v>
      </c>
      <c r="AH319" s="7">
        <f t="shared" si="15"/>
        <v>7.8960645812310798E-2</v>
      </c>
      <c r="AI319" s="7">
        <f t="shared" si="15"/>
        <v>7.7239709443099283E-2</v>
      </c>
      <c r="AJ319" s="7">
        <f t="shared" si="15"/>
        <v>7.8906605922551248E-2</v>
      </c>
      <c r="AK319" s="7">
        <f t="shared" si="15"/>
        <v>7.8440925700365413E-2</v>
      </c>
      <c r="AL319" s="7">
        <f t="shared" si="15"/>
        <v>7.8799559471365646E-2</v>
      </c>
      <c r="AM319" s="7">
        <f t="shared" si="15"/>
        <v>7.8452685421994878E-2</v>
      </c>
      <c r="AN319" s="7">
        <f t="shared" si="15"/>
        <v>7.8580562659846545E-2</v>
      </c>
      <c r="AO319" s="7">
        <f t="shared" si="15"/>
        <v>7.8555304740406312E-2</v>
      </c>
      <c r="AP319" s="7">
        <f t="shared" si="15"/>
        <v>7.8994490358126737E-2</v>
      </c>
      <c r="AQ319" s="7">
        <f t="shared" si="15"/>
        <v>7.7512221618685484E-2</v>
      </c>
      <c r="AR319" s="7">
        <f t="shared" si="15"/>
        <v>7.8762886597938148E-2</v>
      </c>
      <c r="AS319" s="8"/>
    </row>
    <row r="320" spans="24:45" x14ac:dyDescent="0.3">
      <c r="X320" s="1" t="s">
        <v>68</v>
      </c>
      <c r="Y320" s="7">
        <f t="shared" si="16"/>
        <v>0.13629232737190161</v>
      </c>
      <c r="Z320" s="7">
        <f t="shared" si="15"/>
        <v>7.8958785249457694E-2</v>
      </c>
      <c r="AA320" s="7">
        <f t="shared" si="15"/>
        <v>0.12779391711626251</v>
      </c>
      <c r="AB320" s="7">
        <f t="shared" si="15"/>
        <v>8.3870967741935476E-2</v>
      </c>
      <c r="AC320" s="7">
        <f t="shared" si="15"/>
        <v>0.20705915178571427</v>
      </c>
      <c r="AD320" s="7">
        <f t="shared" si="15"/>
        <v>9.8047927399914928E-2</v>
      </c>
      <c r="AE320" s="7">
        <f t="shared" si="15"/>
        <v>0.15651535042817397</v>
      </c>
      <c r="AF320" s="7">
        <f t="shared" si="15"/>
        <v>9.840061686938785E-2</v>
      </c>
      <c r="AG320" s="7">
        <f t="shared" si="15"/>
        <v>0.16256196708308546</v>
      </c>
      <c r="AH320" s="7">
        <f t="shared" si="15"/>
        <v>8.5729512079583139E-2</v>
      </c>
      <c r="AI320" s="7">
        <f t="shared" si="15"/>
        <v>0.16989389920424405</v>
      </c>
      <c r="AJ320" s="7">
        <f t="shared" si="15"/>
        <v>8.661274609755544E-2</v>
      </c>
      <c r="AK320" s="7">
        <f t="shared" si="15"/>
        <v>0.17889386010466182</v>
      </c>
      <c r="AL320" s="7">
        <f t="shared" si="15"/>
        <v>8.8991683858484633E-2</v>
      </c>
      <c r="AM320" s="7">
        <f t="shared" si="15"/>
        <v>0.18210167289264254</v>
      </c>
      <c r="AN320" s="7">
        <f t="shared" si="15"/>
        <v>8.1971287389257616E-2</v>
      </c>
      <c r="AO320" s="7">
        <f t="shared" si="15"/>
        <v>9.5067147258880297E-2</v>
      </c>
      <c r="AP320" s="7">
        <f t="shared" si="15"/>
        <v>8.222083254030832E-2</v>
      </c>
      <c r="AQ320" s="7">
        <f t="shared" si="15"/>
        <v>7.9264283489635601E-2</v>
      </c>
      <c r="AR320" s="7">
        <f t="shared" si="15"/>
        <v>8.1285197478834906E-2</v>
      </c>
      <c r="AS320" s="8"/>
    </row>
    <row r="321" spans="24:45" x14ac:dyDescent="0.3">
      <c r="X321" s="1" t="s">
        <v>69</v>
      </c>
      <c r="Y321" s="7">
        <f t="shared" si="16"/>
        <v>0.14151541570896409</v>
      </c>
      <c r="Z321" s="7">
        <f t="shared" si="15"/>
        <v>8.9797570850202429E-2</v>
      </c>
      <c r="AA321" s="7">
        <f t="shared" si="15"/>
        <v>8.2855536818437325E-2</v>
      </c>
      <c r="AB321" s="7">
        <f t="shared" si="15"/>
        <v>8.3909774436090226E-2</v>
      </c>
      <c r="AC321" s="7">
        <f t="shared" si="15"/>
        <v>0.1498570640453383</v>
      </c>
      <c r="AD321" s="7">
        <f t="shared" si="15"/>
        <v>0.13786369071343166</v>
      </c>
      <c r="AE321" s="7">
        <f t="shared" si="15"/>
        <v>0.12800822763112787</v>
      </c>
      <c r="AF321" s="7">
        <f t="shared" si="15"/>
        <v>8.4052993130520115E-2</v>
      </c>
      <c r="AG321" s="7">
        <f t="shared" si="15"/>
        <v>7.8597039298519647E-2</v>
      </c>
      <c r="AH321" s="7">
        <f t="shared" si="15"/>
        <v>7.9105446870687546E-2</v>
      </c>
      <c r="AI321" s="7">
        <f t="shared" si="15"/>
        <v>7.8301728477932542E-2</v>
      </c>
      <c r="AJ321" s="7">
        <f t="shared" si="15"/>
        <v>7.9594675144049276E-2</v>
      </c>
      <c r="AK321" s="7">
        <f t="shared" si="15"/>
        <v>0.12571908732467199</v>
      </c>
      <c r="AL321" s="7">
        <f t="shared" si="15"/>
        <v>7.9313587212035727E-2</v>
      </c>
      <c r="AM321" s="7">
        <f t="shared" si="15"/>
        <v>9.4665234514858573E-2</v>
      </c>
      <c r="AN321" s="7">
        <f t="shared" si="15"/>
        <v>7.9624542124542133E-2</v>
      </c>
      <c r="AO321" s="7">
        <f t="shared" si="15"/>
        <v>7.9158699808795405E-2</v>
      </c>
      <c r="AP321" s="7">
        <f t="shared" si="15"/>
        <v>8.3416252072968489E-2</v>
      </c>
      <c r="AQ321" s="7">
        <f t="shared" si="15"/>
        <v>8.1993736951983309E-2</v>
      </c>
      <c r="AR321" s="7">
        <f t="shared" si="15"/>
        <v>8.3476447497546596E-2</v>
      </c>
      <c r="AS321" s="8"/>
    </row>
    <row r="322" spans="24:45" x14ac:dyDescent="0.3">
      <c r="X322" s="1" t="s">
        <v>70</v>
      </c>
      <c r="Y322" s="7">
        <f t="shared" si="16"/>
        <v>0.13780962809974634</v>
      </c>
      <c r="Z322" s="7">
        <f t="shared" si="15"/>
        <v>0.10815727699530517</v>
      </c>
      <c r="AA322" s="7">
        <f t="shared" si="15"/>
        <v>0.12103128621089224</v>
      </c>
      <c r="AB322" s="7">
        <f t="shared" si="15"/>
        <v>8.3680981595092033E-2</v>
      </c>
      <c r="AC322" s="7">
        <f t="shared" si="15"/>
        <v>0.1377249820014399</v>
      </c>
      <c r="AD322" s="7">
        <f t="shared" si="15"/>
        <v>0.13366108465202028</v>
      </c>
      <c r="AE322" s="7">
        <f t="shared" si="15"/>
        <v>8.4051532652154592E-2</v>
      </c>
      <c r="AF322" s="7">
        <f t="shared" si="15"/>
        <v>0.1109929411764706</v>
      </c>
      <c r="AG322" s="7">
        <f t="shared" si="15"/>
        <v>9.0347520499804768E-2</v>
      </c>
      <c r="AH322" s="7">
        <f t="shared" si="15"/>
        <v>9.7825122059476258E-2</v>
      </c>
      <c r="AI322" s="7">
        <f t="shared" si="15"/>
        <v>8.11056511056511E-2</v>
      </c>
      <c r="AJ322" s="7">
        <f t="shared" si="15"/>
        <v>7.8783410138248855E-2</v>
      </c>
      <c r="AK322" s="7">
        <f t="shared" si="15"/>
        <v>7.9200347674923954E-2</v>
      </c>
      <c r="AL322" s="7">
        <f t="shared" si="15"/>
        <v>7.8954635108481261E-2</v>
      </c>
      <c r="AM322" s="7">
        <f t="shared" si="15"/>
        <v>7.9349514563106793E-2</v>
      </c>
      <c r="AN322" s="7">
        <f t="shared" si="15"/>
        <v>7.9272349272349274E-2</v>
      </c>
      <c r="AO322" s="7">
        <f t="shared" si="15"/>
        <v>7.9488465396188562E-2</v>
      </c>
      <c r="AP322" s="7">
        <f t="shared" si="15"/>
        <v>7.9295870006770477E-2</v>
      </c>
      <c r="AQ322" s="7">
        <f t="shared" si="15"/>
        <v>7.9512195121951221E-2</v>
      </c>
      <c r="AR322" s="7">
        <f t="shared" si="15"/>
        <v>7.8802736602052448E-2</v>
      </c>
      <c r="AS322" s="8"/>
    </row>
    <row r="323" spans="24:45" x14ac:dyDescent="0.3">
      <c r="X323" s="1" t="s">
        <v>71</v>
      </c>
      <c r="Y323" s="7">
        <f t="shared" si="16"/>
        <v>8.6803331197950029E-2</v>
      </c>
      <c r="Z323" s="7">
        <f t="shared" si="15"/>
        <v>8.6618728820563679E-2</v>
      </c>
      <c r="AA323" s="7">
        <f t="shared" si="15"/>
        <v>8.9912280701754388E-2</v>
      </c>
      <c r="AB323" s="7">
        <f t="shared" si="15"/>
        <v>8.9528926652505308E-2</v>
      </c>
      <c r="AC323" s="7">
        <f t="shared" si="15"/>
        <v>0.14285714285714288</v>
      </c>
      <c r="AD323" s="7">
        <f t="shared" si="15"/>
        <v>0.13464278444941991</v>
      </c>
      <c r="AE323" s="7">
        <f t="shared" si="15"/>
        <v>9.2169049098819136E-2</v>
      </c>
      <c r="AF323" s="7">
        <f t="shared" si="15"/>
        <v>0.13345195729537368</v>
      </c>
      <c r="AG323" s="7">
        <f t="shared" si="15"/>
        <v>8.6675126903553307E-2</v>
      </c>
      <c r="AH323" s="7">
        <f t="shared" si="15"/>
        <v>0.11141572540848778</v>
      </c>
      <c r="AI323" s="7">
        <f t="shared" si="15"/>
        <v>8.5929108485499464E-2</v>
      </c>
      <c r="AJ323" s="7">
        <f t="shared" si="15"/>
        <v>0.10867045933417614</v>
      </c>
      <c r="AK323" s="7">
        <f t="shared" si="15"/>
        <v>8.6240027950853088E-2</v>
      </c>
      <c r="AL323" s="7">
        <f t="shared" si="15"/>
        <v>9.3084088299094037E-2</v>
      </c>
      <c r="AM323" s="7">
        <f t="shared" si="15"/>
        <v>8.599367270635605E-2</v>
      </c>
      <c r="AN323" s="7">
        <f t="shared" si="15"/>
        <v>9.3218078010778499E-2</v>
      </c>
      <c r="AO323" s="7">
        <f t="shared" si="15"/>
        <v>8.6457623267439221E-2</v>
      </c>
      <c r="AP323" s="7">
        <f t="shared" si="15"/>
        <v>8.4675663909447113E-2</v>
      </c>
      <c r="AQ323" s="7">
        <f t="shared" si="15"/>
        <v>8.6598352421137226E-2</v>
      </c>
      <c r="AR323" s="7">
        <f t="shared" si="15"/>
        <v>8.6254019292604497E-2</v>
      </c>
      <c r="AS323" s="8"/>
    </row>
    <row r="324" spans="24:45" x14ac:dyDescent="0.3">
      <c r="X324" s="1" t="s">
        <v>72</v>
      </c>
      <c r="Y324" s="7">
        <f t="shared" si="16"/>
        <v>0.13069104626185363</v>
      </c>
      <c r="Z324" s="7">
        <f t="shared" si="15"/>
        <v>0.13022215399460516</v>
      </c>
      <c r="AA324" s="7">
        <f t="shared" si="15"/>
        <v>8.963501009674793E-2</v>
      </c>
      <c r="AB324" s="7">
        <f t="shared" si="15"/>
        <v>0.10894784897148074</v>
      </c>
      <c r="AC324" s="7">
        <f t="shared" si="15"/>
        <v>0.15988391267066815</v>
      </c>
      <c r="AD324" s="7">
        <f t="shared" si="15"/>
        <v>0.13003912476452686</v>
      </c>
      <c r="AE324" s="7">
        <f t="shared" si="15"/>
        <v>0.10991405398862124</v>
      </c>
      <c r="AF324" s="7">
        <f t="shared" si="15"/>
        <v>0.18874807468857238</v>
      </c>
      <c r="AG324" s="7">
        <f t="shared" si="15"/>
        <v>8.7093907376320723E-2</v>
      </c>
      <c r="AH324" s="7">
        <f t="shared" si="15"/>
        <v>0.15704514882249293</v>
      </c>
      <c r="AI324" s="7">
        <f t="shared" si="15"/>
        <v>9.3582696837747156E-2</v>
      </c>
      <c r="AJ324" s="7">
        <f t="shared" si="15"/>
        <v>0.156216107652139</v>
      </c>
      <c r="AK324" s="7">
        <f t="shared" si="15"/>
        <v>9.4174551990273317E-2</v>
      </c>
      <c r="AL324" s="7">
        <f t="shared" si="15"/>
        <v>0.14291576152546465</v>
      </c>
      <c r="AM324" s="7">
        <f t="shared" si="15"/>
        <v>0.10271575730691507</v>
      </c>
      <c r="AN324" s="7">
        <f t="shared" si="15"/>
        <v>0.11549206921413122</v>
      </c>
      <c r="AO324" s="7">
        <f t="shared" si="15"/>
        <v>8.6154799721081574E-2</v>
      </c>
      <c r="AP324" s="7">
        <f t="shared" si="15"/>
        <v>8.573051351441649E-2</v>
      </c>
      <c r="AQ324" s="7">
        <f t="shared" si="15"/>
        <v>8.6164119214629215E-2</v>
      </c>
      <c r="AR324" s="7">
        <f t="shared" si="15"/>
        <v>8.6008920380855988E-2</v>
      </c>
      <c r="AS324" s="8"/>
    </row>
    <row r="325" spans="24:45" x14ac:dyDescent="0.3">
      <c r="X325" s="1" t="s">
        <v>73</v>
      </c>
      <c r="Y325" s="7">
        <f t="shared" si="16"/>
        <v>8.9206349206349206E-2</v>
      </c>
      <c r="Z325" s="7">
        <f t="shared" si="15"/>
        <v>8.7275242047026275E-2</v>
      </c>
      <c r="AA325" s="7">
        <f t="shared" si="15"/>
        <v>9.2645314353499403E-2</v>
      </c>
      <c r="AB325" s="7">
        <f t="shared" si="15"/>
        <v>9.2570281124498E-2</v>
      </c>
      <c r="AC325" s="7">
        <f t="shared" si="15"/>
        <v>4.9999999999999996E-2</v>
      </c>
      <c r="AD325" s="7">
        <f t="shared" si="15"/>
        <v>9.2843691148775886E-2</v>
      </c>
      <c r="AE325" s="7">
        <f t="shared" si="15"/>
        <v>7.1415525114155248E-2</v>
      </c>
      <c r="AF325" s="7">
        <f t="shared" si="15"/>
        <v>9.9547511312217188E-2</v>
      </c>
      <c r="AG325" s="7">
        <f t="shared" si="15"/>
        <v>8.7499999999999994E-2</v>
      </c>
      <c r="AH325" s="7">
        <f t="shared" si="15"/>
        <v>9.0834409106912345E-2</v>
      </c>
      <c r="AI325" s="7">
        <f t="shared" si="15"/>
        <v>9.8937198067632848E-2</v>
      </c>
      <c r="AJ325" s="7">
        <f t="shared" si="15"/>
        <v>9.020487208235653E-2</v>
      </c>
      <c r="AK325" s="7">
        <f t="shared" si="15"/>
        <v>9.9285075960679162E-2</v>
      </c>
      <c r="AL325" s="7">
        <f t="shared" si="15"/>
        <v>8.7312844759653271E-2</v>
      </c>
      <c r="AM325" s="7">
        <f t="shared" si="15"/>
        <v>0.10212527964205818</v>
      </c>
      <c r="AN325" s="7">
        <f t="shared" si="15"/>
        <v>9.5593869731800771E-2</v>
      </c>
      <c r="AO325" s="7">
        <f t="shared" si="15"/>
        <v>0.10645933014354067</v>
      </c>
      <c r="AP325" s="7">
        <f t="shared" si="15"/>
        <v>0.1030508474576271</v>
      </c>
      <c r="AQ325" s="7">
        <f t="shared" si="15"/>
        <v>0.1040650406504065</v>
      </c>
      <c r="AR325" s="7">
        <f t="shared" si="15"/>
        <v>9.8142414860681107E-2</v>
      </c>
      <c r="AS325" s="8"/>
    </row>
    <row r="326" spans="24:45" x14ac:dyDescent="0.3">
      <c r="AS326" s="8">
        <f>AVERAGE(Y318:AR325)</f>
        <v>9.2682503095722443E-2</v>
      </c>
    </row>
    <row r="328" spans="24:45" x14ac:dyDescent="0.3">
      <c r="X328" t="s">
        <v>81</v>
      </c>
      <c r="AS328" s="8"/>
    </row>
    <row r="329" spans="24:45" x14ac:dyDescent="0.3">
      <c r="X329" s="1" t="s">
        <v>6</v>
      </c>
      <c r="Y329" s="1" t="s">
        <v>63</v>
      </c>
      <c r="Z329" s="1" t="s">
        <v>64</v>
      </c>
      <c r="AA329" s="1" t="s">
        <v>63</v>
      </c>
      <c r="AB329" s="1" t="s">
        <v>64</v>
      </c>
      <c r="AC329" s="1" t="s">
        <v>63</v>
      </c>
      <c r="AD329" s="1" t="s">
        <v>64</v>
      </c>
      <c r="AE329" s="1" t="s">
        <v>63</v>
      </c>
      <c r="AF329" s="1" t="s">
        <v>64</v>
      </c>
      <c r="AG329" s="1" t="s">
        <v>63</v>
      </c>
      <c r="AH329" s="1" t="s">
        <v>64</v>
      </c>
      <c r="AI329" s="1" t="s">
        <v>63</v>
      </c>
      <c r="AJ329" s="1" t="s">
        <v>64</v>
      </c>
      <c r="AK329" s="1" t="s">
        <v>63</v>
      </c>
      <c r="AL329" s="1" t="s">
        <v>64</v>
      </c>
      <c r="AM329" s="1" t="s">
        <v>63</v>
      </c>
      <c r="AN329" s="1" t="s">
        <v>64</v>
      </c>
      <c r="AO329" s="1" t="s">
        <v>63</v>
      </c>
      <c r="AP329" s="1" t="s">
        <v>64</v>
      </c>
      <c r="AQ329" s="1" t="s">
        <v>63</v>
      </c>
      <c r="AR329" s="1" t="s">
        <v>64</v>
      </c>
      <c r="AS329" s="8"/>
    </row>
    <row r="330" spans="24:45" x14ac:dyDescent="0.3">
      <c r="X330" s="1" t="s">
        <v>65</v>
      </c>
      <c r="Y330" s="1" t="s">
        <v>53</v>
      </c>
      <c r="Z330" s="1" t="s">
        <v>53</v>
      </c>
      <c r="AA330" s="1" t="s">
        <v>54</v>
      </c>
      <c r="AB330" s="1" t="s">
        <v>54</v>
      </c>
      <c r="AC330" s="1" t="s">
        <v>55</v>
      </c>
      <c r="AD330" s="1" t="s">
        <v>55</v>
      </c>
      <c r="AE330" s="1" t="s">
        <v>56</v>
      </c>
      <c r="AF330" s="1" t="s">
        <v>56</v>
      </c>
      <c r="AG330" s="1" t="s">
        <v>57</v>
      </c>
      <c r="AH330" s="1" t="s">
        <v>57</v>
      </c>
      <c r="AI330" s="1" t="s">
        <v>58</v>
      </c>
      <c r="AJ330" s="1" t="s">
        <v>58</v>
      </c>
      <c r="AK330" s="1" t="s">
        <v>59</v>
      </c>
      <c r="AL330" s="1" t="s">
        <v>59</v>
      </c>
      <c r="AM330" s="1" t="s">
        <v>60</v>
      </c>
      <c r="AN330" s="1" t="s">
        <v>60</v>
      </c>
      <c r="AO330" s="1" t="s">
        <v>61</v>
      </c>
      <c r="AP330" s="1" t="s">
        <v>61</v>
      </c>
      <c r="AQ330" s="1" t="s">
        <v>62</v>
      </c>
      <c r="AR330" s="1" t="s">
        <v>62</v>
      </c>
      <c r="AS330" s="8"/>
    </row>
    <row r="331" spans="24:45" x14ac:dyDescent="0.3">
      <c r="X331" s="1" t="s">
        <v>7</v>
      </c>
      <c r="Y331">
        <v>1.3</v>
      </c>
      <c r="Z331">
        <v>1.3</v>
      </c>
      <c r="AA331">
        <v>1.3</v>
      </c>
      <c r="AB331">
        <v>1.3</v>
      </c>
      <c r="AC331">
        <v>0.5</v>
      </c>
      <c r="AD331">
        <v>0.5</v>
      </c>
      <c r="AE331">
        <v>1.6</v>
      </c>
      <c r="AF331">
        <v>1.6</v>
      </c>
      <c r="AG331">
        <v>2</v>
      </c>
      <c r="AH331">
        <v>2</v>
      </c>
      <c r="AI331">
        <v>3.6</v>
      </c>
      <c r="AJ331">
        <v>3.6</v>
      </c>
      <c r="AK331">
        <v>2.9</v>
      </c>
      <c r="AL331">
        <v>2.9</v>
      </c>
      <c r="AM331">
        <v>3.8</v>
      </c>
      <c r="AN331">
        <v>3.8</v>
      </c>
      <c r="AO331">
        <v>3.4</v>
      </c>
      <c r="AP331">
        <v>3.4</v>
      </c>
      <c r="AQ331">
        <v>4.5</v>
      </c>
      <c r="AR331">
        <v>4.5</v>
      </c>
      <c r="AS331" s="8"/>
    </row>
    <row r="332" spans="24:45" x14ac:dyDescent="0.3">
      <c r="X332" s="1" t="s">
        <v>66</v>
      </c>
      <c r="Y332" s="7">
        <f>(Y163)/(Y163+AV163)</f>
        <v>0.10371660859465738</v>
      </c>
      <c r="Z332" s="7">
        <f t="shared" ref="Z332:AR339" si="17">(Z163)/(Z163+AW163)</f>
        <v>9.9062049062049073E-2</v>
      </c>
      <c r="AA332" s="7">
        <f t="shared" si="17"/>
        <v>2.8892455858747997E-2</v>
      </c>
      <c r="AB332" s="7">
        <f t="shared" si="17"/>
        <v>2.8731942215088284E-2</v>
      </c>
      <c r="AC332" s="7">
        <f t="shared" si="17"/>
        <v>2.8759398496240599E-2</v>
      </c>
      <c r="AD332" s="7">
        <f t="shared" si="17"/>
        <v>3.1968641114982578E-2</v>
      </c>
      <c r="AE332" s="7">
        <f t="shared" si="17"/>
        <v>7.5014943215780033E-2</v>
      </c>
      <c r="AF332" s="7">
        <f t="shared" si="17"/>
        <v>3.9696586599241468E-2</v>
      </c>
      <c r="AG332" s="7">
        <f t="shared" si="17"/>
        <v>8.6076867295141399E-2</v>
      </c>
      <c r="AH332" s="7">
        <f t="shared" si="17"/>
        <v>3.9327082184225044E-2</v>
      </c>
      <c r="AI332" s="7">
        <f t="shared" si="17"/>
        <v>8.1724581724581732E-2</v>
      </c>
      <c r="AJ332" s="7">
        <f t="shared" si="17"/>
        <v>2.9821428571428572E-2</v>
      </c>
      <c r="AK332" s="7">
        <f t="shared" si="17"/>
        <v>7.6497695852534561E-2</v>
      </c>
      <c r="AL332" s="7">
        <f t="shared" si="17"/>
        <v>1.0218978102189781E-2</v>
      </c>
      <c r="AM332" s="7">
        <f t="shared" si="17"/>
        <v>5.2316602316602311E-2</v>
      </c>
      <c r="AN332" s="7">
        <f t="shared" si="17"/>
        <v>2.6640926640926637E-2</v>
      </c>
      <c r="AO332" s="7">
        <f t="shared" si="17"/>
        <v>1.0204081632653059E-2</v>
      </c>
      <c r="AP332" s="7">
        <f t="shared" si="17"/>
        <v>1.0299003322259137E-2</v>
      </c>
      <c r="AQ332" s="7">
        <f t="shared" si="17"/>
        <v>1.6216216216216214E-2</v>
      </c>
      <c r="AR332" s="7">
        <f t="shared" si="17"/>
        <v>1.0285714285714285E-2</v>
      </c>
      <c r="AS332" s="8"/>
    </row>
    <row r="333" spans="24:45" x14ac:dyDescent="0.3">
      <c r="X333" s="1" t="s">
        <v>67</v>
      </c>
      <c r="Y333" s="7">
        <f t="shared" ref="Y333:Y339" si="18">(Y164)/(Y164+AV164)</f>
        <v>7.8586065573770486E-2</v>
      </c>
      <c r="Z333" s="7">
        <f t="shared" si="17"/>
        <v>7.889908256880733E-2</v>
      </c>
      <c r="AA333" s="7">
        <f t="shared" si="17"/>
        <v>8.3282208588957046E-2</v>
      </c>
      <c r="AB333" s="7">
        <f t="shared" si="17"/>
        <v>8.3950617283950618E-2</v>
      </c>
      <c r="AC333" s="7">
        <f t="shared" si="17"/>
        <v>8.4143222506393861E-2</v>
      </c>
      <c r="AD333" s="7">
        <f t="shared" si="17"/>
        <v>8.39366515837104E-2</v>
      </c>
      <c r="AE333" s="7">
        <f t="shared" si="17"/>
        <v>8.2853223593964326E-2</v>
      </c>
      <c r="AF333" s="7">
        <f t="shared" si="17"/>
        <v>8.3987274655355257E-2</v>
      </c>
      <c r="AG333" s="7">
        <f t="shared" si="17"/>
        <v>7.7920227920227916E-2</v>
      </c>
      <c r="AH333" s="7">
        <f t="shared" si="17"/>
        <v>7.8976640711902121E-2</v>
      </c>
      <c r="AI333" s="7">
        <f t="shared" si="17"/>
        <v>7.7297297297297299E-2</v>
      </c>
      <c r="AJ333" s="7">
        <f t="shared" si="17"/>
        <v>7.8908554572271389E-2</v>
      </c>
      <c r="AK333" s="7">
        <f t="shared" si="17"/>
        <v>7.84965034965035E-2</v>
      </c>
      <c r="AL333" s="7">
        <f t="shared" si="17"/>
        <v>7.8907435508345974E-2</v>
      </c>
      <c r="AM333" s="7">
        <f t="shared" si="17"/>
        <v>7.8523489932885895E-2</v>
      </c>
      <c r="AN333" s="7">
        <f t="shared" si="17"/>
        <v>7.8533094812164569E-2</v>
      </c>
      <c r="AO333" s="7">
        <f t="shared" si="17"/>
        <v>7.8541666666666662E-2</v>
      </c>
      <c r="AP333" s="7">
        <f t="shared" si="17"/>
        <v>7.893864013266999E-2</v>
      </c>
      <c r="AQ333" s="7">
        <f t="shared" si="17"/>
        <v>7.7622377622377642E-2</v>
      </c>
      <c r="AR333" s="7">
        <f t="shared" si="17"/>
        <v>7.8688524590163927E-2</v>
      </c>
      <c r="AS333" s="8"/>
    </row>
    <row r="334" spans="24:45" x14ac:dyDescent="0.3">
      <c r="X334" s="1" t="s">
        <v>68</v>
      </c>
      <c r="Y334" s="7">
        <f t="shared" si="18"/>
        <v>0.13640575469397706</v>
      </c>
      <c r="Z334" s="7">
        <f t="shared" si="17"/>
        <v>7.8976486860304285E-2</v>
      </c>
      <c r="AA334" s="7">
        <f t="shared" si="17"/>
        <v>0.12789084181313598</v>
      </c>
      <c r="AB334" s="7">
        <f t="shared" si="17"/>
        <v>8.390022675736962E-2</v>
      </c>
      <c r="AC334" s="7">
        <f t="shared" si="17"/>
        <v>0.20708017700442513</v>
      </c>
      <c r="AD334" s="7">
        <f t="shared" si="17"/>
        <v>9.810285408371533E-2</v>
      </c>
      <c r="AE334" s="7">
        <f t="shared" si="17"/>
        <v>0.1565768734775756</v>
      </c>
      <c r="AF334" s="7">
        <f t="shared" si="17"/>
        <v>9.8460519781493117E-2</v>
      </c>
      <c r="AG334" s="7">
        <f t="shared" si="17"/>
        <v>0.16264562194663659</v>
      </c>
      <c r="AH334" s="7">
        <f t="shared" si="17"/>
        <v>8.5769379097570375E-2</v>
      </c>
      <c r="AI334" s="7">
        <f t="shared" si="17"/>
        <v>0.170077128915473</v>
      </c>
      <c r="AJ334" s="7">
        <f t="shared" si="17"/>
        <v>8.6731419280304645E-2</v>
      </c>
      <c r="AK334" s="7">
        <f t="shared" si="17"/>
        <v>0.17904859785640875</v>
      </c>
      <c r="AL334" s="7">
        <f t="shared" si="17"/>
        <v>8.9067470282939903E-2</v>
      </c>
      <c r="AM334" s="7">
        <f t="shared" si="17"/>
        <v>0.18227469620883963</v>
      </c>
      <c r="AN334" s="7">
        <f t="shared" si="17"/>
        <v>8.2071370563225526E-2</v>
      </c>
      <c r="AO334" s="7">
        <f t="shared" si="17"/>
        <v>9.5142166455623345E-2</v>
      </c>
      <c r="AP334" s="7">
        <f t="shared" si="17"/>
        <v>8.2304331306990872E-2</v>
      </c>
      <c r="AQ334" s="7">
        <f t="shared" si="17"/>
        <v>7.9343920250376732E-2</v>
      </c>
      <c r="AR334" s="7">
        <f t="shared" si="17"/>
        <v>8.1354250635580078E-2</v>
      </c>
      <c r="AS334" s="8"/>
    </row>
    <row r="335" spans="24:45" x14ac:dyDescent="0.3">
      <c r="X335" s="1" t="s">
        <v>69</v>
      </c>
      <c r="Y335" s="7">
        <f t="shared" si="18"/>
        <v>0.14151078109381693</v>
      </c>
      <c r="Z335" s="7">
        <f t="shared" si="17"/>
        <v>8.9834024896265574E-2</v>
      </c>
      <c r="AA335" s="7">
        <f t="shared" si="17"/>
        <v>8.2836422240128924E-2</v>
      </c>
      <c r="AB335" s="7">
        <f t="shared" si="17"/>
        <v>8.3838383838383837E-2</v>
      </c>
      <c r="AC335" s="7">
        <f t="shared" si="17"/>
        <v>0.14986105597459309</v>
      </c>
      <c r="AD335" s="7">
        <f t="shared" si="17"/>
        <v>0.13791386606920586</v>
      </c>
      <c r="AE335" s="7">
        <f t="shared" si="17"/>
        <v>0.12808441558441558</v>
      </c>
      <c r="AF335" s="7">
        <f t="shared" si="17"/>
        <v>8.405124806715264E-2</v>
      </c>
      <c r="AG335" s="7">
        <f t="shared" si="17"/>
        <v>7.8704761904761902E-2</v>
      </c>
      <c r="AH335" s="7">
        <f t="shared" si="17"/>
        <v>7.9132331555986438E-2</v>
      </c>
      <c r="AI335" s="7">
        <f t="shared" si="17"/>
        <v>7.846396808245365E-2</v>
      </c>
      <c r="AJ335" s="7">
        <f t="shared" si="17"/>
        <v>7.9716435185185175E-2</v>
      </c>
      <c r="AK335" s="7">
        <f t="shared" si="17"/>
        <v>0.12580694743313864</v>
      </c>
      <c r="AL335" s="7">
        <f t="shared" si="17"/>
        <v>7.9334257975034683E-2</v>
      </c>
      <c r="AM335" s="7">
        <f t="shared" si="17"/>
        <v>9.4707740916271724E-2</v>
      </c>
      <c r="AN335" s="7">
        <f t="shared" si="17"/>
        <v>7.9642058165548091E-2</v>
      </c>
      <c r="AO335" s="7">
        <f t="shared" si="17"/>
        <v>7.9219409282700409E-2</v>
      </c>
      <c r="AP335" s="7">
        <f t="shared" si="17"/>
        <v>8.3435582822085894E-2</v>
      </c>
      <c r="AQ335" s="7">
        <f t="shared" si="17"/>
        <v>8.208168642951251E-2</v>
      </c>
      <c r="AR335" s="7">
        <f t="shared" si="17"/>
        <v>8.3474337281443878E-2</v>
      </c>
      <c r="AS335" s="8"/>
    </row>
    <row r="336" spans="24:45" x14ac:dyDescent="0.3">
      <c r="X336" s="1" t="s">
        <v>70</v>
      </c>
      <c r="Y336" s="7">
        <f t="shared" si="18"/>
        <v>0.13784524776604384</v>
      </c>
      <c r="Z336" s="7">
        <f t="shared" si="17"/>
        <v>0.10817325800376647</v>
      </c>
      <c r="AA336" s="7">
        <f t="shared" si="17"/>
        <v>0.12104265402843602</v>
      </c>
      <c r="AB336" s="7">
        <f t="shared" si="17"/>
        <v>8.3687150837988833E-2</v>
      </c>
      <c r="AC336" s="7">
        <f t="shared" si="17"/>
        <v>0.13774011299435027</v>
      </c>
      <c r="AD336" s="7">
        <f t="shared" si="17"/>
        <v>0.13367022272131762</v>
      </c>
      <c r="AE336" s="7">
        <f t="shared" si="17"/>
        <v>8.4085510688836101E-2</v>
      </c>
      <c r="AF336" s="7">
        <f t="shared" si="17"/>
        <v>0.11102880658436214</v>
      </c>
      <c r="AG336" s="7">
        <f t="shared" si="17"/>
        <v>9.0394431554524368E-2</v>
      </c>
      <c r="AH336" s="7">
        <f t="shared" si="17"/>
        <v>9.7859778597785982E-2</v>
      </c>
      <c r="AI336" s="7">
        <f t="shared" si="17"/>
        <v>8.118668596237337E-2</v>
      </c>
      <c r="AJ336" s="7">
        <f t="shared" si="17"/>
        <v>7.88495575221239E-2</v>
      </c>
      <c r="AK336" s="7">
        <f t="shared" si="17"/>
        <v>7.9264305177111721E-2</v>
      </c>
      <c r="AL336" s="7">
        <f t="shared" si="17"/>
        <v>7.899182561307902E-2</v>
      </c>
      <c r="AM336" s="7">
        <f t="shared" si="17"/>
        <v>7.9388888888888884E-2</v>
      </c>
      <c r="AN336" s="7">
        <f t="shared" si="17"/>
        <v>7.9321074964639318E-2</v>
      </c>
      <c r="AO336" s="7">
        <f t="shared" si="17"/>
        <v>7.9523809523809524E-2</v>
      </c>
      <c r="AP336" s="7">
        <f t="shared" si="17"/>
        <v>7.9303482587064683E-2</v>
      </c>
      <c r="AQ336" s="7">
        <f t="shared" si="17"/>
        <v>7.9558359621451094E-2</v>
      </c>
      <c r="AR336" s="7">
        <f t="shared" si="17"/>
        <v>7.8852459016393442E-2</v>
      </c>
      <c r="AS336" s="8"/>
    </row>
    <row r="337" spans="24:45" x14ac:dyDescent="0.3">
      <c r="X337" s="1" t="s">
        <v>71</v>
      </c>
      <c r="Y337" s="7">
        <f t="shared" si="18"/>
        <v>8.6842731382345939E-2</v>
      </c>
      <c r="Z337" s="7">
        <f t="shared" si="17"/>
        <v>8.639705882352941E-2</v>
      </c>
      <c r="AA337" s="7">
        <f t="shared" si="17"/>
        <v>9.004739336492891E-2</v>
      </c>
      <c r="AB337" s="7">
        <f t="shared" si="17"/>
        <v>8.9909443725743846E-2</v>
      </c>
      <c r="AC337" s="7">
        <f t="shared" si="17"/>
        <v>0.14275838230210852</v>
      </c>
      <c r="AD337" s="7">
        <f t="shared" si="17"/>
        <v>0.13449781659388649</v>
      </c>
      <c r="AE337" s="7">
        <f t="shared" si="17"/>
        <v>9.2307692307692313E-2</v>
      </c>
      <c r="AF337" s="7">
        <f t="shared" si="17"/>
        <v>0.13339033775117573</v>
      </c>
      <c r="AG337" s="7">
        <f t="shared" si="17"/>
        <v>8.655462184873948E-2</v>
      </c>
      <c r="AH337" s="7">
        <f t="shared" si="17"/>
        <v>0.11151252408477841</v>
      </c>
      <c r="AI337" s="7">
        <f t="shared" si="17"/>
        <v>8.591885441527447E-2</v>
      </c>
      <c r="AJ337" s="7">
        <f t="shared" si="17"/>
        <v>0.10878323932312652</v>
      </c>
      <c r="AK337" s="7">
        <f t="shared" si="17"/>
        <v>8.6239695624603693E-2</v>
      </c>
      <c r="AL337" s="7">
        <f t="shared" si="17"/>
        <v>9.3076702097098535E-2</v>
      </c>
      <c r="AM337" s="7">
        <f t="shared" si="17"/>
        <v>8.6037900239599216E-2</v>
      </c>
      <c r="AN337" s="7">
        <f t="shared" si="17"/>
        <v>9.3288590604026833E-2</v>
      </c>
      <c r="AO337" s="7">
        <f t="shared" si="17"/>
        <v>8.6443627924966154E-2</v>
      </c>
      <c r="AP337" s="7">
        <f t="shared" si="17"/>
        <v>8.4850833010461049E-2</v>
      </c>
      <c r="AQ337" s="7">
        <f t="shared" si="17"/>
        <v>8.658536585365853E-2</v>
      </c>
      <c r="AR337" s="7">
        <f t="shared" si="17"/>
        <v>8.6173633440514472E-2</v>
      </c>
      <c r="AS337" s="8"/>
    </row>
    <row r="338" spans="24:45" x14ac:dyDescent="0.3">
      <c r="X338" s="1" t="s">
        <v>72</v>
      </c>
      <c r="Y338" s="7">
        <f t="shared" si="18"/>
        <v>0.13075726761574349</v>
      </c>
      <c r="Z338" s="7">
        <f t="shared" si="17"/>
        <v>0.13027438321420337</v>
      </c>
      <c r="AA338" s="7">
        <f t="shared" si="17"/>
        <v>8.9651022864019242E-2</v>
      </c>
      <c r="AB338" s="7">
        <f t="shared" si="17"/>
        <v>0.10900104058272635</v>
      </c>
      <c r="AC338" s="7">
        <f t="shared" si="17"/>
        <v>0.15984732824427481</v>
      </c>
      <c r="AD338" s="7">
        <f t="shared" si="17"/>
        <v>0.13006029285099052</v>
      </c>
      <c r="AE338" s="7">
        <f t="shared" si="17"/>
        <v>0.10995789679819837</v>
      </c>
      <c r="AF338" s="7">
        <f t="shared" si="17"/>
        <v>0.18874399450926563</v>
      </c>
      <c r="AG338" s="7">
        <f t="shared" si="17"/>
        <v>8.71242088607595E-2</v>
      </c>
      <c r="AH338" s="7">
        <f t="shared" si="17"/>
        <v>0.15707898658718331</v>
      </c>
      <c r="AI338" s="7">
        <f t="shared" si="17"/>
        <v>9.3612589678315206E-2</v>
      </c>
      <c r="AJ338" s="7">
        <f t="shared" si="17"/>
        <v>0.15631138219787036</v>
      </c>
      <c r="AK338" s="7">
        <f t="shared" si="17"/>
        <v>9.4236482471776586E-2</v>
      </c>
      <c r="AL338" s="7">
        <f t="shared" si="17"/>
        <v>0.1429563492063492</v>
      </c>
      <c r="AM338" s="7">
        <f t="shared" si="17"/>
        <v>0.10276073619631904</v>
      </c>
      <c r="AN338" s="7">
        <f t="shared" si="17"/>
        <v>0.11557788944723617</v>
      </c>
      <c r="AO338" s="7">
        <f t="shared" si="17"/>
        <v>8.6189099917423614E-2</v>
      </c>
      <c r="AP338" s="7">
        <f t="shared" si="17"/>
        <v>8.5836298932384342E-2</v>
      </c>
      <c r="AQ338" s="7">
        <f t="shared" si="17"/>
        <v>8.6222222222222228E-2</v>
      </c>
      <c r="AR338" s="7">
        <f t="shared" si="17"/>
        <v>8.6046511627906969E-2</v>
      </c>
      <c r="AS338" s="8"/>
    </row>
    <row r="339" spans="24:45" x14ac:dyDescent="0.3">
      <c r="X339" s="1" t="s">
        <v>73</v>
      </c>
      <c r="Y339" s="7">
        <f t="shared" si="18"/>
        <v>8.9247311827956977E-2</v>
      </c>
      <c r="Z339" s="7">
        <f t="shared" si="17"/>
        <v>8.7387387387387397E-2</v>
      </c>
      <c r="AA339" s="7">
        <f t="shared" si="17"/>
        <v>9.2982456140350875E-2</v>
      </c>
      <c r="AB339" s="7">
        <f t="shared" si="17"/>
        <v>9.2810457516339859E-2</v>
      </c>
      <c r="AC339" s="7">
        <f t="shared" si="17"/>
        <v>4.9999999999999996E-2</v>
      </c>
      <c r="AD339" s="7">
        <f t="shared" si="17"/>
        <v>9.2810457516339859E-2</v>
      </c>
      <c r="AE339" s="7">
        <f t="shared" si="17"/>
        <v>7.1386430678466076E-2</v>
      </c>
      <c r="AF339" s="7">
        <f t="shared" si="17"/>
        <v>9.9364529173887925E-2</v>
      </c>
      <c r="AG339" s="7">
        <f t="shared" si="17"/>
        <v>8.7387387387387369E-2</v>
      </c>
      <c r="AH339" s="7">
        <f t="shared" si="17"/>
        <v>9.0849886030608923E-2</v>
      </c>
      <c r="AI339" s="7">
        <f t="shared" si="17"/>
        <v>9.8837209302325577E-2</v>
      </c>
      <c r="AJ339" s="7">
        <f t="shared" si="17"/>
        <v>9.0304182509505698E-2</v>
      </c>
      <c r="AK339" s="7">
        <f t="shared" si="17"/>
        <v>9.9233716475095768E-2</v>
      </c>
      <c r="AL339" s="7">
        <f t="shared" si="17"/>
        <v>8.7333333333333332E-2</v>
      </c>
      <c r="AM339" s="7">
        <f t="shared" si="17"/>
        <v>0.10200000000000001</v>
      </c>
      <c r="AN339" s="7">
        <f t="shared" si="17"/>
        <v>9.6000000000000002E-2</v>
      </c>
      <c r="AO339" s="7">
        <f t="shared" si="17"/>
        <v>0.10666666666666667</v>
      </c>
      <c r="AP339" s="7">
        <f t="shared" si="17"/>
        <v>0.10266666666666667</v>
      </c>
      <c r="AQ339" s="7">
        <f t="shared" si="17"/>
        <v>0.10400000000000001</v>
      </c>
      <c r="AR339" s="7">
        <f t="shared" si="17"/>
        <v>9.838709677419355E-2</v>
      </c>
      <c r="AS339" s="8"/>
    </row>
    <row r="340" spans="24:45" x14ac:dyDescent="0.3">
      <c r="AS340" s="8">
        <f>AVERAGE(Y332:AR339)</f>
        <v>9.2528897698587423E-2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62:AR2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2026-01-26T15:50:27Z</dcterms:created>
  <dcterms:modified xsi:type="dcterms:W3CDTF">2026-01-26T15:55:46Z</dcterms:modified>
</cp:coreProperties>
</file>